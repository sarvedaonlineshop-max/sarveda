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Catalog" sheetId="1" r:id="rId4"/>
  </sheets>
  <definedNames/>
  <calcPr/>
  <extLst>
    <ext uri="GoogleSheetsCustomDataVersion2">
      <go:sheetsCustomData xmlns:go="http://customooxmlschemas.google.com/" r:id="rId5" roundtripDataChecksum="ASeGkYX2OCl8qEaSh1Wb2UEB4KCPg3NjveuI6TRe3e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28">
      <text>
        <t xml:space="preserve">======
ID#AAAB_aLsVCk
Chethan GS    (2026-06-24 07:57:22)
Bag</t>
      </text>
    </comment>
    <comment authorId="0" ref="E34">
      <text>
        <t xml:space="preserve">======
ID#AAAB_aLsVD0
Chethan GS    (2026-06-24 07:58:15)
Brush</t>
      </text>
    </comment>
    <comment authorId="0" ref="E32">
      <text>
        <t xml:space="preserve">======
ID#AAAB_aLsVCQ
Chethan GS    (2026-06-24 07:58:04)
Brush</t>
      </text>
    </comment>
    <comment authorId="0" ref="E222">
      <text>
        <t xml:space="preserve">======
ID#AAAB_aLsVCE
Chethan GS    (2026-06-24 07:56:20)
Bag</t>
      </text>
    </comment>
    <comment authorId="0" ref="G767">
      <text>
        <t xml:space="preserve">======
ID#AAAB_aLsVB8
Chethan GS    (2026-06-24 07:56:54)
Bag</t>
      </text>
    </comment>
    <comment authorId="0" ref="E220">
      <text>
        <t xml:space="preserve">======
ID#AAAB_aLsVDA
Chethan GS    (2026-06-24 07:55:42)
Bag</t>
      </text>
    </comment>
    <comment authorId="0" ref="E28">
      <text>
        <t xml:space="preserve">======
ID#AAAB_aLsVDE
Chethan GS    (2026-06-24 07:42:15)
Brush</t>
      </text>
    </comment>
    <comment authorId="0" ref="E218">
      <text>
        <t xml:space="preserve">======
ID#AAAB_aLsVCA
Chethan GS    (2026-06-24 07:54:33)
Bag</t>
      </text>
    </comment>
    <comment authorId="0" ref="E26">
      <text>
        <t xml:space="preserve">======
ID#AAAB_aLsVCw
Chethan GS    (2026-06-24 07:42:04)
Brush</t>
      </text>
    </comment>
    <comment authorId="0" ref="E216">
      <text>
        <t xml:space="preserve">======
ID#AAAB_aLsVDY
Chethan GS    (2026-06-24 07:53:52)
Bag</t>
      </text>
    </comment>
    <comment authorId="0" ref="E214">
      <text>
        <t xml:space="preserve">======
ID#AAAB_aLsVCI
Chethan GS    (2026-06-24 07:52:10)
Bag</t>
      </text>
    </comment>
    <comment authorId="0" ref="E86">
      <text>
        <t xml:space="preserve">======
ID#AAAB_aLsVCs
Chethan GS    (2026-06-24 07:51:09)
Brush</t>
      </text>
    </comment>
    <comment authorId="0" ref="E212">
      <text>
        <t xml:space="preserve">======
ID#AAAB_aLsVBo
Chethan GS    (2026-06-24 07:53:27)
Bag</t>
      </text>
    </comment>
    <comment authorId="0" ref="E20">
      <text>
        <t xml:space="preserve">======
ID#AAAB_aLsVDM
Sarveda Admin    (2026-06-24 07:19:37)
Brush</t>
      </text>
    </comment>
    <comment authorId="0" ref="E210">
      <text>
        <t xml:space="preserve">======
ID#AAAB_aLsVC0
Chethan GS    (2026-06-24 07:53:00)
Bag</t>
      </text>
    </comment>
    <comment authorId="0" ref="E82">
      <text>
        <t xml:space="preserve">======
ID#AAAB_aLsVDQ
Chethan GS    (2026-06-24 07:49:59)
Brush</t>
      </text>
    </comment>
    <comment authorId="0" ref="E78">
      <text>
        <t xml:space="preserve">======
ID#AAAB_aLsVCc
Chethan GS    (2026-06-24 07:48:58)
Brush</t>
      </text>
    </comment>
    <comment authorId="0" ref="E74">
      <text>
        <t xml:space="preserve">======
ID#AAAB_aLsVCg
Chethan GS    (2026-06-24 07:47:52)
Brush</t>
      </text>
    </comment>
    <comment authorId="0" ref="E70">
      <text>
        <t xml:space="preserve">======
ID#AAAB_aLsVDU
Chethan GS    (2026-06-24 07:47:16)
Brush</t>
      </text>
    </comment>
    <comment authorId="0" ref="E227">
      <text>
        <t xml:space="preserve">======
ID#AAAB_aLsVBs
Chethan GS    (2026-06-24 07:57:14)
Bag</t>
      </text>
    </comment>
    <comment authorId="0" ref="E223">
      <text>
        <t xml:space="preserve">======
ID#AAAB_aLsVDk
Chethan GS    (2026-06-24 07:56:27)
Bag</t>
      </text>
    </comment>
    <comment authorId="0" ref="E31">
      <text>
        <t xml:space="preserve">======
ID#AAAB_aLAyjA
Chethan GS    (2026-06-24 07:42:58)
Brush</t>
      </text>
    </comment>
    <comment authorId="0" ref="E221">
      <text>
        <t xml:space="preserve">======
ID#AAAB_aLsVCM
Chethan GS    (2026-06-24 07:55:55)
Bag</t>
      </text>
    </comment>
    <comment authorId="0" ref="E219">
      <text>
        <t xml:space="preserve">======
ID#AAAB_aLsVDc
Chethan GS    (2026-06-24 07:55:32)
Bag</t>
      </text>
    </comment>
    <comment authorId="0" ref="E281">
      <text>
        <t xml:space="preserve">======
ID#AAAB_aLsVDg
Chethan GS    (2026-06-24 08:01:06)
Bag</t>
      </text>
    </comment>
    <comment authorId="0" ref="E217">
      <text>
        <t xml:space="preserve">======
ID#AAAB_aLsVCo
Chethan GS    (2026-06-24 07:54:24)
Bag</t>
      </text>
    </comment>
    <comment authorId="0" ref="E89">
      <text>
        <t xml:space="preserve">======
ID#AAAB_aLsVCU
Chethan GS    (2026-06-24 07:51:24)
Brush</t>
      </text>
    </comment>
    <comment authorId="0" ref="E279">
      <text>
        <t xml:space="preserve">======
ID#AAAB_aLsVDw
Chethan GS    (2026-06-24 08:00:55)
Bag</t>
      </text>
    </comment>
    <comment authorId="0" ref="E23">
      <text>
        <t xml:space="preserve">======
ID#AAAB_aLsVB0
Chethan GS    (2026-06-24 07:41:32)
Brush</t>
      </text>
    </comment>
    <comment authorId="0" ref="E85">
      <text>
        <t xml:space="preserve">======
ID#AAAB_aLsVCY
Chethan GS    (2026-06-24 07:51:02)
Brush</t>
      </text>
    </comment>
    <comment authorId="0" ref="E211">
      <text>
        <t xml:space="preserve">======
ID#AAAB_aLsVB4
Chethan GS    (2026-06-24 07:53:15)
Bag</t>
      </text>
    </comment>
    <comment authorId="0" ref="E209">
      <text>
        <t xml:space="preserve">======
ID#AAAB_aLAyjE
Chethan GS    (2026-06-24 07:52:52)
Bag</t>
      </text>
    </comment>
    <comment authorId="0" ref="E81">
      <text>
        <t xml:space="preserve">======
ID#AAAB_aLsVBw
Chethan GS    (2026-06-24 07:49:51)
Brush</t>
      </text>
    </comment>
    <comment authorId="0" ref="E77">
      <text>
        <t xml:space="preserve">======
ID#AAAB_aLsVC4
Chethan GS    (2026-06-24 07:48:51)
Brush</t>
      </text>
    </comment>
    <comment authorId="0" ref="E73">
      <text>
        <t xml:space="preserve">======
ID#AAAB_aLsVDI
Chethan GS    (2026-06-24 07:47:31)
Brush</t>
      </text>
    </comment>
    <comment authorId="0" ref="E38">
      <text>
        <t xml:space="preserve">======
ID#AAAB_aLsVDs
Chethan GS    (2026-06-24 08:00:18)
Brush</t>
      </text>
    </comment>
  </commentList>
  <extLst>
    <ext uri="GoogleSheetsCustomDataVersion2">
      <go:sheetsCustomData xmlns:go="http://customooxmlschemas.google.com/" r:id="rId1" roundtripDataSignature="AMtx7mgB8twVnJnjMzM7eR24lsz7rLdzHw=="/>
    </ext>
  </extLst>
</comments>
</file>

<file path=xl/sharedStrings.xml><?xml version="1.0" encoding="utf-8"?>
<sst xmlns="http://schemas.openxmlformats.org/spreadsheetml/2006/main" count="1879" uniqueCount="1654">
  <si>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</si>
  <si>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Product Cost </t>
  </si>
  <si>
    <t>Operations Cost</t>
  </si>
  <si>
    <t>Sales Cost</t>
  </si>
  <si>
    <t xml:space="preserve">Sarveda Website Sales Price without GST </t>
  </si>
  <si>
    <t>INR</t>
  </si>
  <si>
    <t>USD</t>
  </si>
  <si>
    <t>Dinnar</t>
  </si>
  <si>
    <t>GBP</t>
  </si>
  <si>
    <t>GST</t>
  </si>
  <si>
    <t xml:space="preserve">Price with GST </t>
  </si>
  <si>
    <t>Name</t>
  </si>
  <si>
    <t>Variant Name</t>
  </si>
  <si>
    <t>SKU</t>
  </si>
  <si>
    <t xml:space="preserve">Invoiced Price </t>
  </si>
  <si>
    <t>Accessories</t>
  </si>
  <si>
    <t>Packaging+Cards</t>
  </si>
  <si>
    <t>HSN</t>
  </si>
  <si>
    <t>GST%</t>
  </si>
  <si>
    <t>Packaging  by Vendor</t>
  </si>
  <si>
    <t>Shipping to Warehouse</t>
  </si>
  <si>
    <t>Product Cost 
( Recd at wharehouse)</t>
  </si>
  <si>
    <t xml:space="preserve">Storage </t>
  </si>
  <si>
    <t xml:space="preserve">Packaging </t>
  </si>
  <si>
    <t>Operations team</t>
  </si>
  <si>
    <t>Returns &amp; refunds</t>
  </si>
  <si>
    <t>Breakages</t>
  </si>
  <si>
    <t>Accounting 
Services</t>
  </si>
  <si>
    <t>IT and Telservices</t>
  </si>
  <si>
    <t xml:space="preserve">Operations Cost </t>
  </si>
  <si>
    <t>Ads</t>
  </si>
  <si>
    <t>Welcome 5</t>
  </si>
  <si>
    <t>Add. discounts</t>
  </si>
  <si>
    <t xml:space="preserve">Sales/Incentives </t>
  </si>
  <si>
    <t>Sales Costs</t>
  </si>
  <si>
    <t xml:space="preserve">Total Cost </t>
  </si>
  <si>
    <t>Margin</t>
  </si>
  <si>
    <t>Proposed Sale Price</t>
  </si>
  <si>
    <t xml:space="preserve">Refernce Sale price </t>
  </si>
  <si>
    <t>Differnce</t>
  </si>
  <si>
    <t>DIffernce %</t>
  </si>
  <si>
    <t xml:space="preserve">Existing Sale Price </t>
  </si>
  <si>
    <t>%current</t>
  </si>
  <si>
    <t>DIfference</t>
  </si>
  <si>
    <t xml:space="preserve">MRP </t>
  </si>
  <si>
    <t>proposed sale</t>
  </si>
  <si>
    <t>proposed %</t>
  </si>
  <si>
    <t>Proposed Sale Arjun</t>
  </si>
  <si>
    <t>%inc</t>
  </si>
  <si>
    <t xml:space="preserve">Difference </t>
  </si>
  <si>
    <t>Times  Product Cost</t>
  </si>
  <si>
    <t>% Diffr Proposed sale Price</t>
  </si>
  <si>
    <t>% Diff Ref</t>
  </si>
  <si>
    <t>Sale</t>
  </si>
  <si>
    <t>6 inches / White</t>
  </si>
  <si>
    <t>MI-TD-11N-W-6</t>
  </si>
  <si>
    <t>6 inches / Blue</t>
  </si>
  <si>
    <t>MI-TD-11N-B-6</t>
  </si>
  <si>
    <t>8 inches / White</t>
  </si>
  <si>
    <t>MI-TD-11N-W-8</t>
  </si>
  <si>
    <t>8 inches / Blue</t>
  </si>
  <si>
    <t>MI-TD-11N-B-8</t>
  </si>
  <si>
    <t>11 Note Tongue Drum</t>
  </si>
  <si>
    <t>10 inches / White</t>
  </si>
  <si>
    <t>MI-TD-11N-W-10</t>
  </si>
  <si>
    <t>10 inches / Blue</t>
  </si>
  <si>
    <t>MI-TD-11N-B-10</t>
  </si>
  <si>
    <t>12 inches / White</t>
  </si>
  <si>
    <t>MI-TD-11N-W-12</t>
  </si>
  <si>
    <t>12 inches / Blue</t>
  </si>
  <si>
    <t>MI-TD-11N-B-12</t>
  </si>
  <si>
    <t>Jala Neti Pot - Ceramic 185 ml</t>
  </si>
  <si>
    <t>Red</t>
  </si>
  <si>
    <t>NP-R-185</t>
  </si>
  <si>
    <t>Blue</t>
  </si>
  <si>
    <t>NP-B-185</t>
  </si>
  <si>
    <t>Lemon Yellow</t>
  </si>
  <si>
    <t>NP-LY-185</t>
  </si>
  <si>
    <t>Mint Green</t>
  </si>
  <si>
    <t>NP-MG-185</t>
  </si>
  <si>
    <t>White</t>
  </si>
  <si>
    <t>NP-W-185</t>
  </si>
  <si>
    <t>Tounge Cleaner</t>
  </si>
  <si>
    <t>Straight / pack-of-1</t>
  </si>
  <si>
    <t>TC-S-1</t>
  </si>
  <si>
    <t>Straight / pack-of-2</t>
  </si>
  <si>
    <t>TC-S-2</t>
  </si>
  <si>
    <t>Straight / pack-of-4</t>
  </si>
  <si>
    <t>TC-S-4</t>
  </si>
  <si>
    <t>7 Chakras Copper Water Bottles</t>
  </si>
  <si>
    <t>7 Chakras Plain / With Brush / 500ml</t>
  </si>
  <si>
    <t>CB-7CP-B-.5</t>
  </si>
  <si>
    <t>7 Chakras Plain / Without Brush / 1L</t>
  </si>
  <si>
    <t>CB-7CP</t>
  </si>
  <si>
    <t>7 Chakras Plain / Without Brush / 500ml</t>
  </si>
  <si>
    <t>CB-7CP-.5</t>
  </si>
  <si>
    <t>7 Chakras Plain / 1L / With Brush</t>
  </si>
  <si>
    <t>CB-7CP-B</t>
  </si>
  <si>
    <t>Without Brush / 1L / 7 Chakras Vintage</t>
  </si>
  <si>
    <t>CB-7CV</t>
  </si>
  <si>
    <t>Without Brush / 7 Chakras Vintage / 500ml</t>
  </si>
  <si>
    <t>CB-7CV-.5</t>
  </si>
  <si>
    <t>1L / 7 Chakras Vintage / With Brush</t>
  </si>
  <si>
    <t>CB-7CV-B</t>
  </si>
  <si>
    <t>7 Chakras Vintage / With Brush / 500ml</t>
  </si>
  <si>
    <t>CB-7CV-B-.5</t>
  </si>
  <si>
    <t>7 Chakras Copper Water Bottles with Handle</t>
  </si>
  <si>
    <t>CB-7CP-B-1</t>
  </si>
  <si>
    <t>CB-7CP-1</t>
  </si>
  <si>
    <t>CB-7CV-1</t>
  </si>
  <si>
    <t>CB-7CV-B-1</t>
  </si>
  <si>
    <t>Curved Copper Bottles</t>
  </si>
  <si>
    <t>With Brush / gold</t>
  </si>
  <si>
    <t>CB-CP-B</t>
  </si>
  <si>
    <t>Without Brush / gold</t>
  </si>
  <si>
    <t>CB-CP</t>
  </si>
  <si>
    <t>vintage / With Brush</t>
  </si>
  <si>
    <t>CB-CV-B</t>
  </si>
  <si>
    <t>vintage / Without Brush</t>
  </si>
  <si>
    <t>CB-CV</t>
  </si>
  <si>
    <t>Curved Diamond Groove Copper Bottle</t>
  </si>
  <si>
    <t>copper / 1L / without-brush</t>
  </si>
  <si>
    <t>CB-CDG</t>
  </si>
  <si>
    <t>vintage / 1L / without-brush</t>
  </si>
  <si>
    <t>CB-CVDG</t>
  </si>
  <si>
    <t>Curved Hammered Copper Bottles</t>
  </si>
  <si>
    <t>with-brush / vintage</t>
  </si>
  <si>
    <t>CB-CVH-B</t>
  </si>
  <si>
    <t>vintage / without-brush</t>
  </si>
  <si>
    <t>CB-CVH</t>
  </si>
  <si>
    <t>Grooved, Hammered &amp; Plain Copper Bottle</t>
  </si>
  <si>
    <t>Gold / Curved / With Brush</t>
  </si>
  <si>
    <t>Diamond Groove / Without Brush / Gold</t>
  </si>
  <si>
    <t>Diamond Groove / Gold / With Brush</t>
  </si>
  <si>
    <t>CB-CDG-B</t>
  </si>
  <si>
    <t>Without Brush / Gold / Curved</t>
  </si>
  <si>
    <t>Without Brush / Gold / Hammered</t>
  </si>
  <si>
    <t>CB-CPH</t>
  </si>
  <si>
    <t>Gold / Hammered / With Brush</t>
  </si>
  <si>
    <t>CB-CPH-B</t>
  </si>
  <si>
    <t>Without Brush / Curved / Vintage</t>
  </si>
  <si>
    <t>Diamond Groove / Without Brush / Vintage</t>
  </si>
  <si>
    <t>Diamond Groove / Vintage / With Brush</t>
  </si>
  <si>
    <t>CB-CVDG-B</t>
  </si>
  <si>
    <t>Without Brush / Curved Hammered / Vintage</t>
  </si>
  <si>
    <t>Curved Hammered / Vintage / With Brush</t>
  </si>
  <si>
    <t>Sunshine within Me</t>
  </si>
  <si>
    <t>with-brush / 1L</t>
  </si>
  <si>
    <t>SWM-B-1</t>
  </si>
  <si>
    <t>without-brush / 500ml</t>
  </si>
  <si>
    <t>SWM-N-.5</t>
  </si>
  <si>
    <t>with-brush / 500ml</t>
  </si>
  <si>
    <t>SWM-B-.5</t>
  </si>
  <si>
    <t>without-brush / 1L</t>
  </si>
  <si>
    <t>SWM-N-1</t>
  </si>
  <si>
    <t>Tattvamasi-I am Infinite</t>
  </si>
  <si>
    <t>TIAI-B-1</t>
  </si>
  <si>
    <t>TIAI-N-.5</t>
  </si>
  <si>
    <t>TIAI-B-.5</t>
  </si>
  <si>
    <t>TIAI-N-1</t>
  </si>
  <si>
    <t>Pink &amp; Positive</t>
  </si>
  <si>
    <t>PP-N-1</t>
  </si>
  <si>
    <t>PP-N-.5</t>
  </si>
  <si>
    <t>PP-B-.5</t>
  </si>
  <si>
    <t>PP-B-1</t>
  </si>
  <si>
    <t>Happiness is Inside</t>
  </si>
  <si>
    <t>HII-B-1</t>
  </si>
  <si>
    <t>Bottle</t>
  </si>
  <si>
    <t>BO-N-.5</t>
  </si>
  <si>
    <t>BO-B-.5</t>
  </si>
  <si>
    <t>BO-N-1</t>
  </si>
  <si>
    <t>Hammered Copper Bottle</t>
  </si>
  <si>
    <t>copper / without-brush</t>
  </si>
  <si>
    <t>HCB-C-N</t>
  </si>
  <si>
    <t>with-brush / copper</t>
  </si>
  <si>
    <t>HCB-C-B</t>
  </si>
  <si>
    <t>Artistically Designed Copper Bottles</t>
  </si>
  <si>
    <t>Tatvamasi - I am Infinite / With Brush / 500ml</t>
  </si>
  <si>
    <t>CB-T-B-.5</t>
  </si>
  <si>
    <t>Without Brush / 1L / Blue Tranquillity</t>
  </si>
  <si>
    <t>CB-BM</t>
  </si>
  <si>
    <t>Without Brush / Blue Tranquillity / 500ml</t>
  </si>
  <si>
    <t>CB-BM-.5</t>
  </si>
  <si>
    <t>1L / With Brush / Blue Tranquillity</t>
  </si>
  <si>
    <t>CB-BM-B</t>
  </si>
  <si>
    <t>With Brush / Blue Tranquillity / 500ml</t>
  </si>
  <si>
    <t>CB-BM-B-.5</t>
  </si>
  <si>
    <t>Without Brush / 1L / Happiness is inside</t>
  </si>
  <si>
    <t>CB-HW</t>
  </si>
  <si>
    <t>Without Brush / Happiness is inside / 500ml</t>
  </si>
  <si>
    <t>CB-HW-.5</t>
  </si>
  <si>
    <t>1L / Happiness is inside / With Brush</t>
  </si>
  <si>
    <t>CB-HW-B</t>
  </si>
  <si>
    <t>Happiness is inside / With Brush / 500ml</t>
  </si>
  <si>
    <t>CB-HW-B.-.5</t>
  </si>
  <si>
    <t>Without Brush / Sunshine within me / 1L</t>
  </si>
  <si>
    <t>CB-OL</t>
  </si>
  <si>
    <t>Without Brush / Sunshine within me / 500ml</t>
  </si>
  <si>
    <t>CB-OL-.5</t>
  </si>
  <si>
    <t>Sunshine within me / 1L / With Brush</t>
  </si>
  <si>
    <t>CB-OL-B</t>
  </si>
  <si>
    <t>Sunshine within me / With Brush / 500ml</t>
  </si>
  <si>
    <t>CB-OL-B-.5</t>
  </si>
  <si>
    <t>Without Brush / Pink &amp; Positive / 1L</t>
  </si>
  <si>
    <t>CB-PNT</t>
  </si>
  <si>
    <t>Without Brush / Pink &amp; Positive / 500ml</t>
  </si>
  <si>
    <t>CB-PNT-.5</t>
  </si>
  <si>
    <t>Pink &amp; Positive / 1L / With Brush</t>
  </si>
  <si>
    <t>CB-PNT-B</t>
  </si>
  <si>
    <t>Pink &amp; Positive / With Brush / 500ml</t>
  </si>
  <si>
    <t>CB-PNT-B-.5</t>
  </si>
  <si>
    <t>Tatvamasi - I am Infinite / Without Brush / 1L</t>
  </si>
  <si>
    <t>CB-T</t>
  </si>
  <si>
    <t>Tatvamasi - I am Infinite / Without Brush / 500ml</t>
  </si>
  <si>
    <t>CB-T-.5</t>
  </si>
  <si>
    <t>Tatvamasi - I am Infinite / 1L / With Brush</t>
  </si>
  <si>
    <t>CB-T-B</t>
  </si>
  <si>
    <t>Ayurvedic Copper Bedroom Jar</t>
  </si>
  <si>
    <t>Standard</t>
  </si>
  <si>
    <t>CB-BJ</t>
  </si>
  <si>
    <t>Copper Bottle Gift Set - 7 Chakra</t>
  </si>
  <si>
    <t>Gold</t>
  </si>
  <si>
    <t>GP-CB-7C-C-2G</t>
  </si>
  <si>
    <t>Vintage</t>
  </si>
  <si>
    <t>GP-CB-7C-V-2G</t>
  </si>
  <si>
    <t>7 Chakras Mystical Incense Sticks Set</t>
  </si>
  <si>
    <t>7 Chakra Set</t>
  </si>
  <si>
    <t>IS-7C</t>
  </si>
  <si>
    <t>7 Chakra Set with Stand</t>
  </si>
  <si>
    <t>IS-7C-S</t>
  </si>
  <si>
    <t>Pure Citronella</t>
  </si>
  <si>
    <t>IS-C-12</t>
  </si>
  <si>
    <t>Pure Eucalyptus</t>
  </si>
  <si>
    <t>IS-E-12</t>
  </si>
  <si>
    <t>Pure Frankincense</t>
  </si>
  <si>
    <t>IS-F-12</t>
  </si>
  <si>
    <t>Pure Lavender</t>
  </si>
  <si>
    <t>IS-L-12</t>
  </si>
  <si>
    <t>Pure Musk</t>
  </si>
  <si>
    <t>IS-M-12</t>
  </si>
  <si>
    <t>Pure Rose</t>
  </si>
  <si>
    <t>IS-R-12</t>
  </si>
  <si>
    <t>Pure Sandalwood</t>
  </si>
  <si>
    <t>IS-S-12</t>
  </si>
  <si>
    <t>7 Chakras Yoga Mats</t>
  </si>
  <si>
    <t>Moderate / Green</t>
  </si>
  <si>
    <t>Yo-M-C-MG-G-27</t>
  </si>
  <si>
    <t>Moderate / Orange</t>
  </si>
  <si>
    <t>Yo-M-C-MG-o-27</t>
  </si>
  <si>
    <t>Moderate / Blue</t>
  </si>
  <si>
    <t>Yo-M-C-MG-B-27</t>
  </si>
  <si>
    <t>Moderate / Pink</t>
  </si>
  <si>
    <t>Yo-M-C-MG-P-27</t>
  </si>
  <si>
    <t>Teal/ Superior</t>
  </si>
  <si>
    <t>Yo-M-C-HG-T</t>
  </si>
  <si>
    <t>Orange / Superior</t>
  </si>
  <si>
    <t>Yo-M-C-HG-O</t>
  </si>
  <si>
    <t>Yellow / Superior</t>
  </si>
  <si>
    <t>Yo-M-C-HG-Y</t>
  </si>
  <si>
    <t>Pink / Superior</t>
  </si>
  <si>
    <t>Yo-M-C-HG-P</t>
  </si>
  <si>
    <t>Plain Yoga Mats</t>
  </si>
  <si>
    <t>Moderate / Teal</t>
  </si>
  <si>
    <t>Yo-PYM-M-T</t>
  </si>
  <si>
    <t>Teal / Superior</t>
  </si>
  <si>
    <t>YO-PYM-S-T</t>
  </si>
  <si>
    <t>YO-PYM-M-O</t>
  </si>
  <si>
    <t>YO-PYM-S-O</t>
  </si>
  <si>
    <t>Moderate / Yellow</t>
  </si>
  <si>
    <t>YO-PYM-M-Y</t>
  </si>
  <si>
    <t>YO-PYM-S-Y</t>
  </si>
  <si>
    <t>YO-PYM-M-P</t>
  </si>
  <si>
    <t>YO-PYM-S-P</t>
  </si>
  <si>
    <t>Macrame Yoga Mat Straps</t>
  </si>
  <si>
    <t>Green</t>
  </si>
  <si>
    <t>Yo-MC-MS-G</t>
  </si>
  <si>
    <t>Brown</t>
  </si>
  <si>
    <t>Yo-MC-MS-B</t>
  </si>
  <si>
    <t>Dark Grey</t>
  </si>
  <si>
    <t>Yo-MC-MS-DG</t>
  </si>
  <si>
    <t>Orange</t>
  </si>
  <si>
    <t>Yo-MC-MS-O</t>
  </si>
  <si>
    <t>Yo-BR-RE-DG</t>
  </si>
  <si>
    <t>Navy Blue</t>
  </si>
  <si>
    <t>Yo-BR-RE-NB</t>
  </si>
  <si>
    <t>Rose</t>
  </si>
  <si>
    <t>Yo-BR-RE-RE</t>
  </si>
  <si>
    <t>Rouge Pink</t>
  </si>
  <si>
    <t>Yo-BR-RE-RP</t>
  </si>
  <si>
    <t>Sage</t>
  </si>
  <si>
    <t>Yo-BR-RE-SE</t>
  </si>
  <si>
    <t>Round Yoga Bolster</t>
  </si>
  <si>
    <t>Yo-BR-R-DG</t>
  </si>
  <si>
    <t>Grey</t>
  </si>
  <si>
    <t>Yo-BR-R-GY</t>
  </si>
  <si>
    <t>Maroon</t>
  </si>
  <si>
    <t>Yo-BR-R-M</t>
  </si>
  <si>
    <t>Yo-BR-R-NB</t>
  </si>
  <si>
    <t>Yo-BR-R-O</t>
  </si>
  <si>
    <t>Yo-BR-R-RE</t>
  </si>
  <si>
    <t>Rogue Pink</t>
  </si>
  <si>
    <t>Yo-BR-R-RP</t>
  </si>
  <si>
    <t>Eye Shaped Natural Lavender Scented Eye Pillows</t>
  </si>
  <si>
    <t>Yo-P-E-RE-1</t>
  </si>
  <si>
    <t>Yo-P-E-DG-1</t>
  </si>
  <si>
    <t>Yo-P-E-GY-1</t>
  </si>
  <si>
    <t>Yo-P-E-NB-1</t>
  </si>
  <si>
    <t>Yo-P-E-SE-1</t>
  </si>
  <si>
    <t>Crescent Zafu Cushion - Compact</t>
  </si>
  <si>
    <t>Me-CZ-C-DG</t>
  </si>
  <si>
    <t>Misty Blue</t>
  </si>
  <si>
    <t>Me-CZ-C-MB</t>
  </si>
  <si>
    <t>Lavender</t>
  </si>
  <si>
    <t>Me-CZ-C-L</t>
  </si>
  <si>
    <t>Me-CZ-C-S</t>
  </si>
  <si>
    <t>Me-CZ-C-RE</t>
  </si>
  <si>
    <t>Yoga Belt/Strap for Sturdy Grip</t>
  </si>
  <si>
    <t>Sky Blue</t>
  </si>
  <si>
    <t>Yo-BL-D-SB</t>
  </si>
  <si>
    <t>Beige</t>
  </si>
  <si>
    <t>Yo-BL-D-BE</t>
  </si>
  <si>
    <t>Yo-BL-D-GR</t>
  </si>
  <si>
    <t>Yo-BL-D-NB</t>
  </si>
  <si>
    <t>Yo-BL-D-RE</t>
  </si>
  <si>
    <t>Yoga Blanket made from Organic Cotton</t>
  </si>
  <si>
    <t>Magenta</t>
  </si>
  <si>
    <t>Yo-BT-C-MG</t>
  </si>
  <si>
    <t>Yo-BT-C-BW</t>
  </si>
  <si>
    <t>Natural White</t>
  </si>
  <si>
    <t>Yo-BT-C-NT</t>
  </si>
  <si>
    <t>Zabuton Cushion for Meditation</t>
  </si>
  <si>
    <t>Me-C-Zn-NB</t>
  </si>
  <si>
    <t>Me-C-Zn-GY</t>
  </si>
  <si>
    <t>Light Grey</t>
  </si>
  <si>
    <t>Me-C-Zn-LG</t>
  </si>
  <si>
    <t>Me-C-Zn-LR</t>
  </si>
  <si>
    <t>Me-C-Zn-MB</t>
  </si>
  <si>
    <t>Zafu &amp; Zabuton Meditation Cushion Combo - Lotus Embroidery</t>
  </si>
  <si>
    <t>Co-Me-C-Z-Zn-LG</t>
  </si>
  <si>
    <t>Co-Me-C-Z-Zn-LR</t>
  </si>
  <si>
    <t>Co-Me-C-Z-Zn-MB</t>
  </si>
  <si>
    <t>CO-Me-Zf-Zn-C-NB</t>
  </si>
  <si>
    <t>Co-Me-C-Z-Zn-LR-E-L</t>
  </si>
  <si>
    <t>Co-Me-C-Z-Zn-LG-E-L</t>
  </si>
  <si>
    <t>Co-Me-C-Z-Zn-MB-E-L</t>
  </si>
  <si>
    <t>Zafu Meditation Cushion Lotus - Embroidery Filled with Cotton</t>
  </si>
  <si>
    <t>Me-C-RZ-R-E-L</t>
  </si>
  <si>
    <t>Me-C-RZ-LG-E-L</t>
  </si>
  <si>
    <t>Me-C-RZ-LR-E-L</t>
  </si>
  <si>
    <t>Me-C-RZ-MB-E-L</t>
  </si>
  <si>
    <t>Me-C-RZ-S-E-L</t>
  </si>
  <si>
    <t>Zafu Meditation Cushion Plain Filled with Cotton</t>
  </si>
  <si>
    <t>Me-Z-R-C-DG</t>
  </si>
  <si>
    <t>Me-Z-R-C-GY</t>
  </si>
  <si>
    <t>Me-Z-R-C-NB</t>
  </si>
  <si>
    <t>Me-Z-R-C-O</t>
  </si>
  <si>
    <t>Me-Z-R-C-RE</t>
  </si>
  <si>
    <t>Me-Z-R-C-SE</t>
  </si>
  <si>
    <t>Me-Z-R-LG</t>
  </si>
  <si>
    <t>Me-Z-R-LR</t>
  </si>
  <si>
    <t>Me-Z-R-MB</t>
  </si>
  <si>
    <t>Me-Z-R-MG</t>
  </si>
  <si>
    <t>Zen Meditation Bench</t>
  </si>
  <si>
    <t>Small</t>
  </si>
  <si>
    <t>ME-ZMB-S</t>
  </si>
  <si>
    <t>Medium</t>
  </si>
  <si>
    <t>ME-ZMB-M</t>
  </si>
  <si>
    <t>Large</t>
  </si>
  <si>
    <t>ME-ZMB-L</t>
  </si>
  <si>
    <t>Crescent Zafu Cushion - Wide</t>
  </si>
  <si>
    <t>Large / Rouge Pink</t>
  </si>
  <si>
    <t>Me-CZ-W-RP</t>
  </si>
  <si>
    <t>Lavender / Large</t>
  </si>
  <si>
    <t>Me-CZ-W-L</t>
  </si>
  <si>
    <t>Large / Misty Blue</t>
  </si>
  <si>
    <t>Me-CZ-W-MB</t>
  </si>
  <si>
    <t>Hi-Zafu Meditation Cushion - Embroidered with Lotus</t>
  </si>
  <si>
    <t>Me-C-HZ-S-E-L</t>
  </si>
  <si>
    <t>Me-C-HZ-L-E-L</t>
  </si>
  <si>
    <t>Me-C-HZ-LG-E-L</t>
  </si>
  <si>
    <t>Me-C-HZ-MB-E-L</t>
  </si>
  <si>
    <t>Me-C-HZ-R-E-L</t>
  </si>
  <si>
    <t>Hi-Zafu Meditation Cushion - Filled with Buckwheat</t>
  </si>
  <si>
    <t>Royal Blue</t>
  </si>
  <si>
    <t>Me-C-HZ-RB</t>
  </si>
  <si>
    <t>Me-C-HZ-DG</t>
  </si>
  <si>
    <t>Me-C-HZ-GY</t>
  </si>
  <si>
    <t>Ivory</t>
  </si>
  <si>
    <t>Me-C-HZ-I</t>
  </si>
  <si>
    <t>Me-C-HZ-LG</t>
  </si>
  <si>
    <t>Me-C-HZ-LR</t>
  </si>
  <si>
    <t>Me-C-HZ-M</t>
  </si>
  <si>
    <t>Me-C-HZ-MB</t>
  </si>
  <si>
    <t>Me-C-HZ-NB</t>
  </si>
  <si>
    <t>Me-C-HZ-R</t>
  </si>
  <si>
    <t>Me-C-HZ-RD</t>
  </si>
  <si>
    <t>Me-C-HZ-SE</t>
  </si>
  <si>
    <t>7-Key Kalimba Made from Coconut Shell - Painted &amp; Plain</t>
  </si>
  <si>
    <t>Plain Etched</t>
  </si>
  <si>
    <t>MI-KCS-PE</t>
  </si>
  <si>
    <t>Dot Painted</t>
  </si>
  <si>
    <t>MI-KCS-DP</t>
  </si>
  <si>
    <t>8 Keys Metallophone - with 1” &amp; 1.5” key-widths</t>
  </si>
  <si>
    <t>1 inch</t>
  </si>
  <si>
    <t>MI-XP-SP-1-8</t>
  </si>
  <si>
    <t>1.5 inch</t>
  </si>
  <si>
    <t>MI-XP-SP-1.5-8</t>
  </si>
  <si>
    <t>9/10 Notes Handpan Drum - Handcrafted to Precision</t>
  </si>
  <si>
    <t>D Celtic Minor 9</t>
  </si>
  <si>
    <t>MI-D-HP-DC-M9</t>
  </si>
  <si>
    <t>D Kurd 10</t>
  </si>
  <si>
    <t>MI-D-HP-DK-10</t>
  </si>
  <si>
    <t>25 Rods -Bar Chime</t>
  </si>
  <si>
    <t>MI-BCH-25</t>
  </si>
  <si>
    <t>Asalato/Aslatau or Kashaka Shaker</t>
  </si>
  <si>
    <t>Plain / Single</t>
  </si>
  <si>
    <t>MI-AS</t>
  </si>
  <si>
    <t>Pair / Plain</t>
  </si>
  <si>
    <t>MI-AS-2</t>
  </si>
  <si>
    <t>Painted / Single</t>
  </si>
  <si>
    <t>MI-AS-P</t>
  </si>
  <si>
    <t>Pair / Painted</t>
  </si>
  <si>
    <t>MI-AS-P-2</t>
  </si>
  <si>
    <t>Bamboo Castanet</t>
  </si>
  <si>
    <t>MI-CN-B</t>
  </si>
  <si>
    <t>Bamboo Rainstick</t>
  </si>
  <si>
    <t>MI-RS-N</t>
  </si>
  <si>
    <t>Belly Bowls</t>
  </si>
  <si>
    <t>MI-SB-BY</t>
  </si>
  <si>
    <t>Bendo Chimes</t>
  </si>
  <si>
    <t>MI-CH-BE</t>
  </si>
  <si>
    <t>Bendo Shaker</t>
  </si>
  <si>
    <t>MI-BR-S</t>
  </si>
  <si>
    <t>MI-BR-L</t>
  </si>
  <si>
    <t>Bird Flute</t>
  </si>
  <si>
    <t>Brown / Single</t>
  </si>
  <si>
    <t>MI-BF-BN-S</t>
  </si>
  <si>
    <t>Brown / Pair</t>
  </si>
  <si>
    <t>MI-BF-BN-P</t>
  </si>
  <si>
    <t>Pair / Green</t>
  </si>
  <si>
    <t>MI-BF-GN-S</t>
  </si>
  <si>
    <t>Single / Green</t>
  </si>
  <si>
    <t>MI-BF-GN-P</t>
  </si>
  <si>
    <t>Pair / Mixed</t>
  </si>
  <si>
    <t>MI-BF-M</t>
  </si>
  <si>
    <t>Box Tanpura</t>
  </si>
  <si>
    <t>Male Tanpura</t>
  </si>
  <si>
    <t>MI-BT-M</t>
  </si>
  <si>
    <t>Female Tanpura</t>
  </si>
  <si>
    <t>MI-BT-F</t>
  </si>
  <si>
    <t>Caxixi</t>
  </si>
  <si>
    <t>Mi-CX-M-N</t>
  </si>
  <si>
    <t>Coconut Maracas Shakers</t>
  </si>
  <si>
    <t>Plain</t>
  </si>
  <si>
    <t>MI-CM</t>
  </si>
  <si>
    <t>9503 00 90</t>
  </si>
  <si>
    <t>MI-CM-DP</t>
  </si>
  <si>
    <t>9504 00 90</t>
  </si>
  <si>
    <t>Coconut Rattle</t>
  </si>
  <si>
    <t>MI-CR</t>
  </si>
  <si>
    <t>9505 00 90</t>
  </si>
  <si>
    <t>Conscious Cards</t>
  </si>
  <si>
    <t>MS-CC</t>
  </si>
  <si>
    <t>Crystal Bowl Bag</t>
  </si>
  <si>
    <t>MI-CB-B-S</t>
  </si>
  <si>
    <t>MI-CB-B-M</t>
  </si>
  <si>
    <t>MI-CB-B-L</t>
  </si>
  <si>
    <t>Crystal Bowl with Handle</t>
  </si>
  <si>
    <t>MI-CBH</t>
  </si>
  <si>
    <t>N/A</t>
  </si>
  <si>
    <t>Crystal Bowls - Frosted white</t>
  </si>
  <si>
    <t>6 in</t>
  </si>
  <si>
    <t>MI-CB-W-6</t>
  </si>
  <si>
    <t>7 in</t>
  </si>
  <si>
    <t>MI-CB-W-7</t>
  </si>
  <si>
    <t>8 in</t>
  </si>
  <si>
    <t>MI-CB-W-8</t>
  </si>
  <si>
    <t>9 in</t>
  </si>
  <si>
    <t>MI-CB-W-9</t>
  </si>
  <si>
    <t>10 in</t>
  </si>
  <si>
    <t>MI-CB-W-10</t>
  </si>
  <si>
    <t>11 in</t>
  </si>
  <si>
    <t>MI-CB-W-11</t>
  </si>
  <si>
    <t>12 in</t>
  </si>
  <si>
    <t>MI-CB-W-12</t>
  </si>
  <si>
    <t>13 in</t>
  </si>
  <si>
    <t>MI-CB-W-13</t>
  </si>
  <si>
    <t>14 in</t>
  </si>
  <si>
    <t>MI-CB-W-14</t>
  </si>
  <si>
    <t>Crystal Bowls - Coloured</t>
  </si>
  <si>
    <t>MI-CB-C-6</t>
  </si>
  <si>
    <t>MI-CB-C-7</t>
  </si>
  <si>
    <t>MI-CB-C-8</t>
  </si>
  <si>
    <t>MI-CB-C-9</t>
  </si>
  <si>
    <t>MI-CB-C-10</t>
  </si>
  <si>
    <t>MI-CB-C-11</t>
  </si>
  <si>
    <t>MI-CB-C-12</t>
  </si>
  <si>
    <t>MI-CB-C-13</t>
  </si>
  <si>
    <t>MI-CB-C-14</t>
  </si>
  <si>
    <t>Crystal Bowls - Set of 7</t>
  </si>
  <si>
    <t>6-12-in-set / Frosted White</t>
  </si>
  <si>
    <t>MI-CB-W-6-12-SET</t>
  </si>
  <si>
    <t>8-14-in-set / Frosted White</t>
  </si>
  <si>
    <t>MI-CB-W-8-14-SET</t>
  </si>
  <si>
    <t>8-14-in-set / Chakra Coloured</t>
  </si>
  <si>
    <t>MI-CB-CL-8-14-SET</t>
  </si>
  <si>
    <t>6-12-in-set / Chakra Coloured</t>
  </si>
  <si>
    <t>MI-CB-CL-6-12-SET</t>
  </si>
  <si>
    <t>Triad Crystal Bowl Set</t>
  </si>
  <si>
    <t>CEG</t>
  </si>
  <si>
    <t>MI-TCB-CEG</t>
  </si>
  <si>
    <t>DFA</t>
  </si>
  <si>
    <t>MI-TCB-DFA</t>
  </si>
  <si>
    <t>EGB</t>
  </si>
  <si>
    <t>MI-TCB-EGB</t>
  </si>
  <si>
    <t>Crystal Pyramid</t>
  </si>
  <si>
    <t>MI-CP-6</t>
  </si>
  <si>
    <t>MI-CP-8</t>
  </si>
  <si>
    <t>Djembe Drums</t>
  </si>
  <si>
    <t>8in / Ivory</t>
  </si>
  <si>
    <t>MI-DJB-I-8</t>
  </si>
  <si>
    <t>8in / Mahogany</t>
  </si>
  <si>
    <t>MI-DJB-M-8</t>
  </si>
  <si>
    <t>10in / Ivory</t>
  </si>
  <si>
    <t>MI-DJB-I-10</t>
  </si>
  <si>
    <t>10in / Mahogany</t>
  </si>
  <si>
    <t>MI-DJB-M-10</t>
  </si>
  <si>
    <t>12in / Ivory</t>
  </si>
  <si>
    <t>MI-DJB-I-12</t>
  </si>
  <si>
    <t>12in / Mahogany</t>
  </si>
  <si>
    <t>MI-DJB-M-12</t>
  </si>
  <si>
    <t>14in / Mahogany</t>
  </si>
  <si>
    <t>MI-DJB-M-14</t>
  </si>
  <si>
    <t>14in / Ivory</t>
  </si>
  <si>
    <t>MI-DJB-I-14</t>
  </si>
  <si>
    <t>Dotted Singing Bowl</t>
  </si>
  <si>
    <t>4 inch Hand Made</t>
  </si>
  <si>
    <t>MI-SB-HH-4</t>
  </si>
  <si>
    <t>5.5 inch Hand Made</t>
  </si>
  <si>
    <t>MI-SB-HH-5.5</t>
  </si>
  <si>
    <t xml:space="preserve">Deep 5.5 Inch </t>
  </si>
  <si>
    <t>MI-SB-HH-D-5.5</t>
  </si>
  <si>
    <t>Singing Bowl with Mantra - Rustic Blue Colour</t>
  </si>
  <si>
    <t>6 inches</t>
  </si>
  <si>
    <t>MI-SB-RB-6</t>
  </si>
  <si>
    <t>7 Inches</t>
  </si>
  <si>
    <t>MI-SB-RB-7</t>
  </si>
  <si>
    <t>Dumru/Dumroo Indian Handmade Percussion Instrument</t>
  </si>
  <si>
    <t>MI-D-P</t>
  </si>
  <si>
    <t>MI-D-DP</t>
  </si>
  <si>
    <t>Eco-Friendly Neem Wood Toothbrush</t>
  </si>
  <si>
    <t>pack-of-2</t>
  </si>
  <si>
    <t>NTB-2</t>
  </si>
  <si>
    <t>x</t>
  </si>
  <si>
    <t>pack-of-4</t>
  </si>
  <si>
    <t>NTB-4</t>
  </si>
  <si>
    <t>Egg Shaker with Handle</t>
  </si>
  <si>
    <t>MI-ES-H</t>
  </si>
  <si>
    <t>Handheld Natural Coconut Shaker</t>
  </si>
  <si>
    <t>MI-CS-H</t>
  </si>
  <si>
    <t>Element Chimes</t>
  </si>
  <si>
    <t>MI-Ch-KS</t>
  </si>
  <si>
    <t>Chau Gongs</t>
  </si>
  <si>
    <t>18 in</t>
  </si>
  <si>
    <t>MI-CG-18</t>
  </si>
  <si>
    <t>20 in</t>
  </si>
  <si>
    <t>MI-CG-2</t>
  </si>
  <si>
    <t>22 in</t>
  </si>
  <si>
    <t>MI-CG-22</t>
  </si>
  <si>
    <t>24 in</t>
  </si>
  <si>
    <t>MI-CG-24</t>
  </si>
  <si>
    <t>28 in</t>
  </si>
  <si>
    <t>MI-CG-28</t>
  </si>
  <si>
    <t>32 in</t>
  </si>
  <si>
    <t>MI-CG-32</t>
  </si>
  <si>
    <t>36 in</t>
  </si>
  <si>
    <t>MI-CG-36</t>
  </si>
  <si>
    <t>Etched Chau Gong</t>
  </si>
  <si>
    <t>MI-ECG-18</t>
  </si>
  <si>
    <t>MI-ECG-20</t>
  </si>
  <si>
    <t>MI-ECG-22</t>
  </si>
  <si>
    <t>MI-ECG-24</t>
  </si>
  <si>
    <t>MI-ECG-28</t>
  </si>
  <si>
    <t>MI-ECG-32</t>
  </si>
  <si>
    <t>MI-ECG-36</t>
  </si>
  <si>
    <t>28INCH</t>
  </si>
  <si>
    <t>MI-ECG-28-2</t>
  </si>
  <si>
    <t>32INCH</t>
  </si>
  <si>
    <t>MI-ECG-32-2</t>
  </si>
  <si>
    <t>40INCH</t>
  </si>
  <si>
    <t>MI-ECG-40</t>
  </si>
  <si>
    <t>WIND GONG PLAIN</t>
  </si>
  <si>
    <t>14 INCh</t>
  </si>
  <si>
    <t>MI-WGP-14</t>
  </si>
  <si>
    <t>16INCH</t>
  </si>
  <si>
    <t>MI-WGP-16</t>
  </si>
  <si>
    <t>18INCH</t>
  </si>
  <si>
    <t>MI-WGP-18</t>
  </si>
  <si>
    <t>20INCH</t>
  </si>
  <si>
    <t>MI-WGP-20</t>
  </si>
  <si>
    <t>22INCH</t>
  </si>
  <si>
    <t>MI-WGP-22</t>
  </si>
  <si>
    <t>24INCH</t>
  </si>
  <si>
    <t>MI-WGP-24</t>
  </si>
  <si>
    <t>26INCH</t>
  </si>
  <si>
    <t>MI-WGP-26</t>
  </si>
  <si>
    <t>MI-WGP-28</t>
  </si>
  <si>
    <t>Etched Handmade Singing Bowls</t>
  </si>
  <si>
    <t>Buddha / 6 in</t>
  </si>
  <si>
    <t>MI-SB-H-ET-B-6</t>
  </si>
  <si>
    <t>Sacred Geometry / 10 in</t>
  </si>
  <si>
    <t>MI-SB-GE-10</t>
  </si>
  <si>
    <t>Sacred Geometry / 11 in</t>
  </si>
  <si>
    <t>MI-SB-GE-11</t>
  </si>
  <si>
    <t>Sacred Geometry / 12 in</t>
  </si>
  <si>
    <t>MI-SB-GE-12</t>
  </si>
  <si>
    <t>Sacred Geometry / 6 in</t>
  </si>
  <si>
    <t>MI-SB-GE-6</t>
  </si>
  <si>
    <t>Sacred Geometry / 7 in</t>
  </si>
  <si>
    <t>MI-SB-GE-7</t>
  </si>
  <si>
    <t>8 in / Sacred Geometry</t>
  </si>
  <si>
    <t>MI-SB-GE-8</t>
  </si>
  <si>
    <t>Sacred Geometry / 9 in</t>
  </si>
  <si>
    <t>MI-SB-GE-9</t>
  </si>
  <si>
    <t>Golden Feet / 10 in</t>
  </si>
  <si>
    <t>MI-SB-GF-10</t>
  </si>
  <si>
    <t>Golden Feet / 11 in</t>
  </si>
  <si>
    <t>MI-SB-GF-11</t>
  </si>
  <si>
    <t>Golden Feet / 12 in</t>
  </si>
  <si>
    <t>MI-SB-GF-12</t>
  </si>
  <si>
    <t>Golden Feet / 6 in</t>
  </si>
  <si>
    <t>MI-SB-GF-6</t>
  </si>
  <si>
    <t>Golden Feet / 7 in</t>
  </si>
  <si>
    <t>MI-SB-GF-7</t>
  </si>
  <si>
    <t>8 in / Golden Feet</t>
  </si>
  <si>
    <t>MI-SB-GF-8</t>
  </si>
  <si>
    <t>Golden Feet / 9 in</t>
  </si>
  <si>
    <t>MI-SB-GF-9</t>
  </si>
  <si>
    <t>Buddha / 10 in</t>
  </si>
  <si>
    <t>MI-SB-H-ET-B-10</t>
  </si>
  <si>
    <t>Buddha / 11 in</t>
  </si>
  <si>
    <t>MI-SB-H-ET-B-11</t>
  </si>
  <si>
    <t>Buddha / 12 in</t>
  </si>
  <si>
    <t>MI-SB-H-ET-B-12</t>
  </si>
  <si>
    <t>Buddha / 7 in</t>
  </si>
  <si>
    <t>MI-SB-H-ET-B-7</t>
  </si>
  <si>
    <t>8 in / Buddha</t>
  </si>
  <si>
    <t>MI-SB-H-ET-B-8</t>
  </si>
  <si>
    <t>Buddha / 9 in</t>
  </si>
  <si>
    <t>MI-SB-H-ET-B-9</t>
  </si>
  <si>
    <t>Buddhas Eyes / 10 in</t>
  </si>
  <si>
    <t>MI-SB-H-ET-BE-10</t>
  </si>
  <si>
    <t>Buddhas Eyes / 11 in</t>
  </si>
  <si>
    <t>MI-SB-H-ET-BE-11</t>
  </si>
  <si>
    <t>12 in / Buddhas Eyes</t>
  </si>
  <si>
    <t>MI-SB-H-ET-BE-12</t>
  </si>
  <si>
    <t>6 in / Buddhas Eyes</t>
  </si>
  <si>
    <t>MI-SB-H-ET-BE-6</t>
  </si>
  <si>
    <t>7 in / Buddhas Eyes</t>
  </si>
  <si>
    <t>MI-SB-H-ET-BE-7</t>
  </si>
  <si>
    <t>8 in / Buddhas Eyes</t>
  </si>
  <si>
    <t>MI-SB-H-ET-BE-8</t>
  </si>
  <si>
    <t>Buddhas Eyes / 9 in</t>
  </si>
  <si>
    <t>MI-SB-H-ET-BE-9</t>
  </si>
  <si>
    <t>10 in / Chakras</t>
  </si>
  <si>
    <t>MI-SB-H-ET-C-10</t>
  </si>
  <si>
    <t>Chakras / 11 in</t>
  </si>
  <si>
    <t>MI-SB-H-ET-C-11</t>
  </si>
  <si>
    <t>12 in / Chakras</t>
  </si>
  <si>
    <t>MI-SB-H-ET-C-12</t>
  </si>
  <si>
    <t>6 in / Chakras</t>
  </si>
  <si>
    <t>MI-SB-H-ET-C-6</t>
  </si>
  <si>
    <t>7 in / Chakras</t>
  </si>
  <si>
    <t>MI-SB-H-ET-C-7</t>
  </si>
  <si>
    <t>8 in / Chakras</t>
  </si>
  <si>
    <t>MI-SB-H-ET-C-8</t>
  </si>
  <si>
    <t>9 in / Chakras</t>
  </si>
  <si>
    <t>MI-SB-H-ET-C-9</t>
  </si>
  <si>
    <t>Dorje / 10 in</t>
  </si>
  <si>
    <t>MI-SB-H-ET-DJ-10</t>
  </si>
  <si>
    <t>Dorje / 11 in</t>
  </si>
  <si>
    <t>MI-SB-H-ET-DJ-11</t>
  </si>
  <si>
    <t>Dorje / 12 in</t>
  </si>
  <si>
    <t>MI-SB-H-ET-DJ-12</t>
  </si>
  <si>
    <t>Dorje / 6 in</t>
  </si>
  <si>
    <t>MI-SB-H-ET-DJ-6</t>
  </si>
  <si>
    <t>Dorje / 7 in</t>
  </si>
  <si>
    <t>MI-SB-H-ET-DJ-7</t>
  </si>
  <si>
    <t>8 in / Dorje</t>
  </si>
  <si>
    <t>MI-SB-H-ET-DJ-8</t>
  </si>
  <si>
    <t>Dorje / 9 in</t>
  </si>
  <si>
    <t>MI-SB-H-ET-DJ-9</t>
  </si>
  <si>
    <t>Flower of Life / 10 in</t>
  </si>
  <si>
    <t>MI-SB-H-ET-FL-10</t>
  </si>
  <si>
    <t>Flower of Life / 11 in</t>
  </si>
  <si>
    <t>MI-SB-H-ET-FL-11</t>
  </si>
  <si>
    <t>Flower of Life / 12 in</t>
  </si>
  <si>
    <t>MI-SB-H-ET-FL-12</t>
  </si>
  <si>
    <t>Flower of Life / 6 in</t>
  </si>
  <si>
    <t>MI-SB-H-ET-FL-6</t>
  </si>
  <si>
    <t>Flower of Life / 7 in</t>
  </si>
  <si>
    <t>MI-SB-H-ET-FL-7</t>
  </si>
  <si>
    <t>8 in / Flower of Life</t>
  </si>
  <si>
    <t>MI-SB-H-ET-FL-8</t>
  </si>
  <si>
    <t>Flower of Life / 9 in</t>
  </si>
  <si>
    <t>MI-SB-H-ET-FL-9</t>
  </si>
  <si>
    <t>10 in / Om</t>
  </si>
  <si>
    <t>MI-SB-H-ET-O-C-10</t>
  </si>
  <si>
    <t>Om / 11 in</t>
  </si>
  <si>
    <t>MI-SB-H-ET-O-C-11</t>
  </si>
  <si>
    <t>12 in / Om</t>
  </si>
  <si>
    <t>MI-SB-H-ET-O-C-12</t>
  </si>
  <si>
    <t>6 in / Om</t>
  </si>
  <si>
    <t>MI-SB-H-ET-O-C-6</t>
  </si>
  <si>
    <t>7 in / Om</t>
  </si>
  <si>
    <t>MI-SB-H-ET-O-C-7</t>
  </si>
  <si>
    <t>8 in / Om</t>
  </si>
  <si>
    <t>MI-SB-H-ET-O-C-8</t>
  </si>
  <si>
    <t>9 in / Om</t>
  </si>
  <si>
    <t>MI-SB-H-ET-O-C-9</t>
  </si>
  <si>
    <t>Tara / 10 in</t>
  </si>
  <si>
    <t>MI-SB-H-ET-T-10</t>
  </si>
  <si>
    <t>Tara / 11 in</t>
  </si>
  <si>
    <t>MI-SB-H-ET-T-11</t>
  </si>
  <si>
    <t>Tara / 12 in</t>
  </si>
  <si>
    <t>MI-SB-H-ET-T-12</t>
  </si>
  <si>
    <t>Tara / 6 in</t>
  </si>
  <si>
    <t>MI-SB-H-ET-T-6</t>
  </si>
  <si>
    <t>Tara / 7 in</t>
  </si>
  <si>
    <t>MI-SB-H-ET-T-7</t>
  </si>
  <si>
    <t>8 in / Tara</t>
  </si>
  <si>
    <t>MI-SB-H-ET-T-8</t>
  </si>
  <si>
    <t>Tara / 9 in</t>
  </si>
  <si>
    <t>MI-SB-H-ET-T-9</t>
  </si>
  <si>
    <t>Yin Yang / 6 in</t>
  </si>
  <si>
    <t>MI-SB-H-ET-YY-6</t>
  </si>
  <si>
    <t>Yin Yang / 7 in</t>
  </si>
  <si>
    <t>MI-SB-H-ET-YY-7</t>
  </si>
  <si>
    <t>8 in / Yin Yang</t>
  </si>
  <si>
    <t>MI-SB-H-ET-YY-8</t>
  </si>
  <si>
    <t>Yin Yang / 9 in</t>
  </si>
  <si>
    <t>MI-SB-H-ET-YY-9</t>
  </si>
  <si>
    <t>Yin Yang / 10 in</t>
  </si>
  <si>
    <t>MI-SB-H-ET-YY-10</t>
  </si>
  <si>
    <t>Yin Yang / 11 in</t>
  </si>
  <si>
    <t>MI-SB-H-ET-YY-11</t>
  </si>
  <si>
    <t>Yin Yang / 12 in</t>
  </si>
  <si>
    <t>MI-SB-H-ET-YY-12</t>
  </si>
  <si>
    <t>6 in / Mantra</t>
  </si>
  <si>
    <t>MI-SB-H-ET-M-6</t>
  </si>
  <si>
    <t>7 in / Mantra</t>
  </si>
  <si>
    <t>MI-SB-H-ET-M-7</t>
  </si>
  <si>
    <t>8 in / Mantra</t>
  </si>
  <si>
    <t>MI-SB-H-ET-M-8</t>
  </si>
  <si>
    <t>9 in / Mantra</t>
  </si>
  <si>
    <t>MI-SB-H-ET-M-9</t>
  </si>
  <si>
    <t>10 in / Mantra</t>
  </si>
  <si>
    <t>MI-SB-H-ET-M-10</t>
  </si>
  <si>
    <t>Mantra / 11 in</t>
  </si>
  <si>
    <t>MI-SB-H-ET-M-11</t>
  </si>
  <si>
    <t>12 in / Mantra</t>
  </si>
  <si>
    <t>MI-SB-H-ET-M-12</t>
  </si>
  <si>
    <t>MI-SB-H-ET-DO-6</t>
  </si>
  <si>
    <t>Etched Plain/Wind Gong</t>
  </si>
  <si>
    <t>7 Chakras / 14 in</t>
  </si>
  <si>
    <t>MI-G-ET-7C-14</t>
  </si>
  <si>
    <t>7 Chakras / 16 in</t>
  </si>
  <si>
    <t>MI-G-ET-7C-16</t>
  </si>
  <si>
    <t>7 Chakras/18 in</t>
  </si>
  <si>
    <t>MI-G-ET-7C-18</t>
  </si>
  <si>
    <t>7 Chakras / 20 in</t>
  </si>
  <si>
    <t>MI-G-ET-7C-20</t>
  </si>
  <si>
    <t>7 Chakras / 22 in</t>
  </si>
  <si>
    <t>MI-G-ET-7C-22</t>
  </si>
  <si>
    <t>7 Chakras / 24 in</t>
  </si>
  <si>
    <t>MI-G-ET-7C-24</t>
  </si>
  <si>
    <t>7 Chakras / 26 in</t>
  </si>
  <si>
    <t>MI-G-ET-7C-26</t>
  </si>
  <si>
    <t>7 Chakras / 28 in</t>
  </si>
  <si>
    <t>MI-G-ET-7C-28</t>
  </si>
  <si>
    <t>Flower of Life / 14 in</t>
  </si>
  <si>
    <t>MI-G-ET-FOL-14</t>
  </si>
  <si>
    <t>Flower of Life / 16 in</t>
  </si>
  <si>
    <t>MI-G-ET-FOL-16</t>
  </si>
  <si>
    <t>Flower of Life/18 In</t>
  </si>
  <si>
    <t>MI-G-ET-FOL-18</t>
  </si>
  <si>
    <t>Flower of Life / 20 in</t>
  </si>
  <si>
    <t>MI-G-ET-FOL-20</t>
  </si>
  <si>
    <t>Flower of Life / 22 in</t>
  </si>
  <si>
    <t>MI-G-ET-FOL-22</t>
  </si>
  <si>
    <t>Flower of Life / 24 in</t>
  </si>
  <si>
    <t>MI-G-ET-FOL-24</t>
  </si>
  <si>
    <t>14 in / Om</t>
  </si>
  <si>
    <t>MI-G-ET-F-OM-14</t>
  </si>
  <si>
    <t>16 in / Om</t>
  </si>
  <si>
    <t>MI-G-ET-F-OM-16</t>
  </si>
  <si>
    <t>18 in / Om</t>
  </si>
  <si>
    <t>MI-G-ET-F-OM-18</t>
  </si>
  <si>
    <t>20 in / Om</t>
  </si>
  <si>
    <t>MI-G-ET-F-OM-20</t>
  </si>
  <si>
    <t>22 in / Om</t>
  </si>
  <si>
    <t>MI-G-ET-F-OM-22</t>
  </si>
  <si>
    <t>24 in / Om</t>
  </si>
  <si>
    <t>MI-G-ET-F-OM-24</t>
  </si>
  <si>
    <t>26 in / Om</t>
  </si>
  <si>
    <t>MI-G-ET-F-OM-26</t>
  </si>
  <si>
    <t>28 in / Om</t>
  </si>
  <si>
    <t>MI-G-ET-F-OM-28</t>
  </si>
  <si>
    <t>Mandala / 14 in</t>
  </si>
  <si>
    <t>MI-G-ET-M-14</t>
  </si>
  <si>
    <t>Mandala / 16 in</t>
  </si>
  <si>
    <t>MI-G-ET-M-16</t>
  </si>
  <si>
    <t>18 in / Mandala</t>
  </si>
  <si>
    <t>MI-G-ET-M-18</t>
  </si>
  <si>
    <t>Mandala / 20 in</t>
  </si>
  <si>
    <t>MI-G-ET-M-20</t>
  </si>
  <si>
    <t>22 in / Mandala</t>
  </si>
  <si>
    <t>MI-G-ET-M-22</t>
  </si>
  <si>
    <t>24 in / Mandala</t>
  </si>
  <si>
    <t>MI-G-ET-M-24</t>
  </si>
  <si>
    <t>Mandala / 26 in</t>
  </si>
  <si>
    <t>MI-G-ET-M-26</t>
  </si>
  <si>
    <t>28 in / Mandala</t>
  </si>
  <si>
    <t>MI-G-ET-M-28</t>
  </si>
  <si>
    <t>Shakti Chakra / 14 in</t>
  </si>
  <si>
    <t>MI-G-ET-SC-14</t>
  </si>
  <si>
    <t>Shakti Chakra / 16 in</t>
  </si>
  <si>
    <t>MI-G-ET-SC-16</t>
  </si>
  <si>
    <t>18 in / Shakti Chakra</t>
  </si>
  <si>
    <t>MI-G-ET-SC-18</t>
  </si>
  <si>
    <t>Shakti Chakra / 20 in</t>
  </si>
  <si>
    <t>MI-G-ET-SC-20</t>
  </si>
  <si>
    <t>Shakti Chakra / 22 in</t>
  </si>
  <si>
    <t>MI-G-ET-SC-22</t>
  </si>
  <si>
    <t>Shakti Chakra / 24 in</t>
  </si>
  <si>
    <t>MI-G-ET-SC-24</t>
  </si>
  <si>
    <t>Shakti Chakra / 26 in</t>
  </si>
  <si>
    <t>MI-G-ET-SC-26</t>
  </si>
  <si>
    <t>Shakti Chakra / 28 in</t>
  </si>
  <si>
    <t>MI-G-ET-SC-28</t>
  </si>
  <si>
    <t>Dorje / 14 in</t>
  </si>
  <si>
    <t>MI-SB-H-ET-DJ-14</t>
  </si>
  <si>
    <t>Dorje / 16 in</t>
  </si>
  <si>
    <t>MI-SB-H-ET-DJ-16</t>
  </si>
  <si>
    <t>18 in / Dorje</t>
  </si>
  <si>
    <t>MI-SB-H-ET-DJ-18</t>
  </si>
  <si>
    <t>Dorje / 20 in</t>
  </si>
  <si>
    <t>MI-SB-H-ET-DJ-20</t>
  </si>
  <si>
    <t>Dorje / 22 in</t>
  </si>
  <si>
    <t>MI-SB-H-ET-DJ-22</t>
  </si>
  <si>
    <t>Dorje / 24 in</t>
  </si>
  <si>
    <t>MI-SB-H-ET-DJ-24</t>
  </si>
  <si>
    <t>Dorje / 26 in</t>
  </si>
  <si>
    <t>MI-SB-H-ET-DJ-26</t>
  </si>
  <si>
    <t>Dorje / 28 in</t>
  </si>
  <si>
    <t>MI-SB-H-ET-DJ-28</t>
  </si>
  <si>
    <t>Tara / 14 in</t>
  </si>
  <si>
    <t>MI-SB-H-ET-TR-14</t>
  </si>
  <si>
    <t>Tara / 16 in</t>
  </si>
  <si>
    <t>MI-SB-H-ET-TR-16</t>
  </si>
  <si>
    <t>18 in / Tara</t>
  </si>
  <si>
    <t>MI-SB-H-ET-TR-18</t>
  </si>
  <si>
    <t>Tara / 20 in</t>
  </si>
  <si>
    <t>MI-SB-H-ET-TR-20</t>
  </si>
  <si>
    <t>Tara / 22 in</t>
  </si>
  <si>
    <t>MI-SB-H-ET-TR-22</t>
  </si>
  <si>
    <t>Tara / 24 in</t>
  </si>
  <si>
    <t>MI-SB-H-ET-TR-24</t>
  </si>
  <si>
    <t>Tara / 26 in</t>
  </si>
  <si>
    <t>MI-SB-H-ET-TR-26</t>
  </si>
  <si>
    <t>Tara / 28 in</t>
  </si>
  <si>
    <t>MI-SB-H-ET-TR-28</t>
  </si>
  <si>
    <t>14 in / Flower of Life-Center</t>
  </si>
  <si>
    <t>MI-EPWGON-14-FLO</t>
  </si>
  <si>
    <t>16 in / Flower of Life-Center</t>
  </si>
  <si>
    <t>MI-EPWGON-16-FLO</t>
  </si>
  <si>
    <t>18 in / Flower of Life-Center</t>
  </si>
  <si>
    <t>MI-EPWGON-18-FLO</t>
  </si>
  <si>
    <t>Flower of Life-Center / 20 in</t>
  </si>
  <si>
    <t>MI-EPWGON-FLO-2-2</t>
  </si>
  <si>
    <t>22 in / Flower of Life-Center</t>
  </si>
  <si>
    <t>MI-EPWGON-22-FLO</t>
  </si>
  <si>
    <t>24 in / Flower of Life-Center</t>
  </si>
  <si>
    <t>MI-EPWGON-24-FLO</t>
  </si>
  <si>
    <t>Flower of Life-Center / 26 in</t>
  </si>
  <si>
    <t>MI-EPWGON-FLO-26</t>
  </si>
  <si>
    <t>28 in / Flower of Life-Center</t>
  </si>
  <si>
    <t>MI-EPWGON-28-FLO</t>
  </si>
  <si>
    <t>Extra Large Meridian Singing Bowls</t>
  </si>
  <si>
    <t>18 in / Etched</t>
  </si>
  <si>
    <t>Mi-SB-MD-E-18</t>
  </si>
  <si>
    <t>20 in / Etched</t>
  </si>
  <si>
    <t>Mi-SB-MD-E-20</t>
  </si>
  <si>
    <t>22 in / Etched</t>
  </si>
  <si>
    <t>Mi-SB-MD-E-22</t>
  </si>
  <si>
    <t>24 in / Etched</t>
  </si>
  <si>
    <t>Mi-SB-MD-E-24</t>
  </si>
  <si>
    <t>23 In / Etched</t>
  </si>
  <si>
    <t>Mi-SB-MD-E-26</t>
  </si>
  <si>
    <t>Plain / 18 in</t>
  </si>
  <si>
    <t>Mi-SB-MD-P-18</t>
  </si>
  <si>
    <t>Plain / 20 in</t>
  </si>
  <si>
    <t>Mi-SB-MD-P-20</t>
  </si>
  <si>
    <t>Plain / 22 in</t>
  </si>
  <si>
    <t>Mi-SB-MD-P-22</t>
  </si>
  <si>
    <t>Plain / 24 in</t>
  </si>
  <si>
    <t>Mi-SB-MD-P-24</t>
  </si>
  <si>
    <t>Plain / 23 In</t>
  </si>
  <si>
    <t>Mi-SB-MD-P-26</t>
  </si>
  <si>
    <t>Flower of Life with Sacred Symbols Singing Bowls</t>
  </si>
  <si>
    <t>8 in / Blue</t>
  </si>
  <si>
    <t>MI-SB-RFL-B-8</t>
  </si>
  <si>
    <t>10.5 in / Blue</t>
  </si>
  <si>
    <t>MI-SB-RFL-B-10.5</t>
  </si>
  <si>
    <t>Blue / 9 in</t>
  </si>
  <si>
    <t>MI-SB-RFL-B-9</t>
  </si>
  <si>
    <t>10.5 in / Brown</t>
  </si>
  <si>
    <t>MI-SB-RFL-BR-10.5</t>
  </si>
  <si>
    <t>8 in / Brown</t>
  </si>
  <si>
    <t>MI-SB-RFL-BR-8</t>
  </si>
  <si>
    <t>Brown / 9 in</t>
  </si>
  <si>
    <t>MI-SB-RFL-BR-9</t>
  </si>
  <si>
    <t>10.5 in / Green</t>
  </si>
  <si>
    <t>MI-SB-RFL-G-10.5</t>
  </si>
  <si>
    <t>8 in / Green</t>
  </si>
  <si>
    <t>MI-SB-RFL-G-8</t>
  </si>
  <si>
    <t>9 in / Green</t>
  </si>
  <si>
    <t>MI-SB-RFL-G-9</t>
  </si>
  <si>
    <t>10.5 in / Olive green</t>
  </si>
  <si>
    <t>MI-SB-RFL-O-10.5</t>
  </si>
  <si>
    <t>8 in / Olive green</t>
  </si>
  <si>
    <t>MI-SB-RFL-O-8</t>
  </si>
  <si>
    <t>Olive green / 9 in</t>
  </si>
  <si>
    <t>MI-SB-RFL-O-9</t>
  </si>
  <si>
    <t>Full Moon Singing Bowls - All Sizes</t>
  </si>
  <si>
    <t>5 Inches</t>
  </si>
  <si>
    <t>MI-SB-H-FM-5</t>
  </si>
  <si>
    <t>10 inches</t>
  </si>
  <si>
    <t>MI-SB-H-FM-10</t>
  </si>
  <si>
    <t>11 Inches</t>
  </si>
  <si>
    <t>MI-SB-H-FM-11</t>
  </si>
  <si>
    <t>12 inches</t>
  </si>
  <si>
    <t>MI-SB-H-FM-12</t>
  </si>
  <si>
    <t>13 Inches</t>
  </si>
  <si>
    <t>MI-SB-H-FM-13</t>
  </si>
  <si>
    <t>MI-SB-H-FM-6</t>
  </si>
  <si>
    <t>MI-SB-H-FM-7</t>
  </si>
  <si>
    <t>8 inches</t>
  </si>
  <si>
    <t>MI-SB-H-FM-8</t>
  </si>
  <si>
    <t>9 Inches</t>
  </si>
  <si>
    <t>MI-SB-H-FM-9</t>
  </si>
  <si>
    <t>Gong Bags</t>
  </si>
  <si>
    <t>MI-Gg-Bag-S</t>
  </si>
  <si>
    <t>MI-Gg-Bag-L</t>
  </si>
  <si>
    <t>Gong Stand</t>
  </si>
  <si>
    <t>Light / Small</t>
  </si>
  <si>
    <t>Mi-Gg-ST-L-S</t>
  </si>
  <si>
    <t>Small / Dark</t>
  </si>
  <si>
    <t>Light / Medium</t>
  </si>
  <si>
    <t>Mi-Gg-ST-L-M</t>
  </si>
  <si>
    <t>Medium / Dark</t>
  </si>
  <si>
    <t>Large / Light</t>
  </si>
  <si>
    <t>Mi-Gg-ST-L-L</t>
  </si>
  <si>
    <t>Large / Dark</t>
  </si>
  <si>
    <t>Mi-Gg-ST-D-L</t>
  </si>
  <si>
    <t>Extra Large / Light</t>
  </si>
  <si>
    <t>Mi-Gg-ST-L-EL</t>
  </si>
  <si>
    <t>Extra Large / Dark</t>
  </si>
  <si>
    <t>Mi-Gg-ST-D-EL</t>
  </si>
  <si>
    <t>Handcrafted Set of 7 Bowls for Sound Therapy</t>
  </si>
  <si>
    <t>Full Moon / Large-Octave 2</t>
  </si>
  <si>
    <t>MI-SB-7C Set-L-FM</t>
  </si>
  <si>
    <t>Chakra Etching / Large-Octave 2</t>
  </si>
  <si>
    <t>MI-SB-7C Set-L-EC</t>
  </si>
  <si>
    <t>Large-Octave 2 / Matte</t>
  </si>
  <si>
    <t>MI-SB-7C Set-L-M</t>
  </si>
  <si>
    <t>Chakra Etching / Standard-Octave 3</t>
  </si>
  <si>
    <t>MI-SB-7C Set-S-EC</t>
  </si>
  <si>
    <t>Full Moon / Standard-Octave 3</t>
  </si>
  <si>
    <t>MI-SB-7C Set-S-FM</t>
  </si>
  <si>
    <t>Standard-Octave 3 / Matte</t>
  </si>
  <si>
    <t>MI-SB-7C Set-S-M</t>
  </si>
  <si>
    <t>Handmade Singing Bowls - All Sizes</t>
  </si>
  <si>
    <t>Matte / 5 in</t>
  </si>
  <si>
    <t>Mi-SB-H-P-5</t>
  </si>
  <si>
    <t>Mi-SB-H-M-5</t>
  </si>
  <si>
    <t>Matte / 6 in</t>
  </si>
  <si>
    <t>MI-HSBA-M-6</t>
  </si>
  <si>
    <t>Matte / 7 in</t>
  </si>
  <si>
    <t>MI-HSBA-M-7</t>
  </si>
  <si>
    <t>Matte / 8in</t>
  </si>
  <si>
    <t>Mi-SB-H-M-8</t>
  </si>
  <si>
    <t>Matte / 9 in</t>
  </si>
  <si>
    <t>Mi-SB-H-M-9</t>
  </si>
  <si>
    <t>Matte / 10 in</t>
  </si>
  <si>
    <t>Mi-SB-H-M-10</t>
  </si>
  <si>
    <t>Matte / 11 in</t>
  </si>
  <si>
    <t>Mi-SB-H-M-11</t>
  </si>
  <si>
    <t>Matte / 12 in</t>
  </si>
  <si>
    <t>Mi-SB-H-M-12</t>
  </si>
  <si>
    <t>Matte / 13in</t>
  </si>
  <si>
    <t>Mi-SB-H-M-13</t>
  </si>
  <si>
    <t>6 in / Polished</t>
  </si>
  <si>
    <t>Mi-SB-H-P-6</t>
  </si>
  <si>
    <t>7 in / Polished</t>
  </si>
  <si>
    <t>Mi-SB-H-P-7</t>
  </si>
  <si>
    <t>8 in / Polished</t>
  </si>
  <si>
    <t>Mi-SB-H-P-8</t>
  </si>
  <si>
    <t>9 in / Polished</t>
  </si>
  <si>
    <t>Mi-SB-H-P-9</t>
  </si>
  <si>
    <t>10 in / Polished</t>
  </si>
  <si>
    <t>Mi-SB-H-P-10</t>
  </si>
  <si>
    <t>11in / Polished</t>
  </si>
  <si>
    <t>Mi-SB-H-P-11</t>
  </si>
  <si>
    <t>12 in / Polished</t>
  </si>
  <si>
    <t>Mi-SB-H-P-12</t>
  </si>
  <si>
    <t>13 in / Polished</t>
  </si>
  <si>
    <t>Mi-SB-H-P-13</t>
  </si>
  <si>
    <t>Handmade Universal Bowl for Sound Healing</t>
  </si>
  <si>
    <t>MI-SB-HM-UN</t>
  </si>
  <si>
    <t>Handpan Stand</t>
  </si>
  <si>
    <t>Stand</t>
  </si>
  <si>
    <t>MI-HS-S</t>
  </si>
  <si>
    <t>Hanging Bowls/Zen Drops</t>
  </si>
  <si>
    <t>Single</t>
  </si>
  <si>
    <t>MI-HBZD-SI</t>
  </si>
  <si>
    <t>Set of 3</t>
  </si>
  <si>
    <t>MI-HBZD-SE</t>
  </si>
  <si>
    <t>Harmonium</t>
  </si>
  <si>
    <t>Professional</t>
  </si>
  <si>
    <t>MI-HA-P</t>
  </si>
  <si>
    <t>Compact</t>
  </si>
  <si>
    <t>MI-HA-C</t>
  </si>
  <si>
    <t>Heart Chakra Singing Bowl</t>
  </si>
  <si>
    <t>MI-HCSB-S</t>
  </si>
  <si>
    <t>Joint Bowl or Knee Cut Bowl</t>
  </si>
  <si>
    <t>MI-JB-8</t>
  </si>
  <si>
    <t>10 inch</t>
  </si>
  <si>
    <t>MI-JB-10</t>
  </si>
  <si>
    <t>Kenari Bracelet</t>
  </si>
  <si>
    <t>MI-KR-BT</t>
  </si>
  <si>
    <t>Kenari Chimes - Small &amp; Large</t>
  </si>
  <si>
    <t>MI-KC-S</t>
  </si>
  <si>
    <t>MI-KC-L</t>
  </si>
  <si>
    <t>YO-YMA-M-T</t>
  </si>
  <si>
    <t>YO-YMA-M-O</t>
  </si>
  <si>
    <t>YO-YMA-M-Y</t>
  </si>
  <si>
    <t>YO-YMA-M-P</t>
  </si>
  <si>
    <t>YO-YMA-T-S</t>
  </si>
  <si>
    <t>YO-YMA-O-S</t>
  </si>
  <si>
    <t>YO-YMA-Y-S</t>
  </si>
  <si>
    <t>YO-YMA-P-S</t>
  </si>
  <si>
    <t>Mayura Morchang Set</t>
  </si>
  <si>
    <t>Sharp</t>
  </si>
  <si>
    <t>MI-MM-S</t>
  </si>
  <si>
    <t>Middle</t>
  </si>
  <si>
    <t>MI-MM-M</t>
  </si>
  <si>
    <t>Bass</t>
  </si>
  <si>
    <t>MI-MM-B</t>
  </si>
  <si>
    <t>Full Set</t>
  </si>
  <si>
    <t>MI-MM-F</t>
  </si>
  <si>
    <t xml:space="preserve">Classic Morchang </t>
  </si>
  <si>
    <t>MI-CM-S</t>
  </si>
  <si>
    <t>MI-CM-M</t>
  </si>
  <si>
    <t>MI-CM-B</t>
  </si>
  <si>
    <t>MI-CM-ST</t>
  </si>
  <si>
    <t xml:space="preserve">7 Chakra Morchang </t>
  </si>
  <si>
    <t>C Tune</t>
  </si>
  <si>
    <t>MI-MO-C</t>
  </si>
  <si>
    <t>D Tune</t>
  </si>
  <si>
    <t>MI-MO-D</t>
  </si>
  <si>
    <t>E Tune</t>
  </si>
  <si>
    <t>MI-MO-E</t>
  </si>
  <si>
    <t>F Tune</t>
  </si>
  <si>
    <t>MI-MO-F</t>
  </si>
  <si>
    <t>G Tune</t>
  </si>
  <si>
    <t>MI-MO-G</t>
  </si>
  <si>
    <t>A Tune</t>
  </si>
  <si>
    <t>MI-MO-A</t>
  </si>
  <si>
    <t>B Tune</t>
  </si>
  <si>
    <t>MI-MO-B</t>
  </si>
  <si>
    <t>MI-MO-ST</t>
  </si>
  <si>
    <t>Mini Coconut Shakers - 3 Types</t>
  </si>
  <si>
    <t>Round Shaped</t>
  </si>
  <si>
    <t>MI-CS-R</t>
  </si>
  <si>
    <t>All 3</t>
  </si>
  <si>
    <t>CO-MI-CS-SRE</t>
  </si>
  <si>
    <t>Eye Shaped</t>
  </si>
  <si>
    <t>MI-CS-E</t>
  </si>
  <si>
    <t>Square Shaped</t>
  </si>
  <si>
    <t>MI-CS-S</t>
  </si>
  <si>
    <t>9506 00 90</t>
  </si>
  <si>
    <t>Musical Wooden Frog</t>
  </si>
  <si>
    <t>MI-WF-S</t>
  </si>
  <si>
    <t>MI-WF-L</t>
  </si>
  <si>
    <t>9507 00 90</t>
  </si>
  <si>
    <t>Native American Flute - Triple</t>
  </si>
  <si>
    <t>Triple</t>
  </si>
  <si>
    <t>MI-NAF-T</t>
  </si>
  <si>
    <t>Native American Flute - Double</t>
  </si>
  <si>
    <t>Double</t>
  </si>
  <si>
    <t>MI-NAF-D</t>
  </si>
  <si>
    <t>Native American Flute - Single Large</t>
  </si>
  <si>
    <t>Single Large</t>
  </si>
  <si>
    <t>MI-NAF-SL</t>
  </si>
  <si>
    <t>Native American Flute - Single Medium</t>
  </si>
  <si>
    <t>Single Medium</t>
  </si>
  <si>
    <t>MI-NAF-SM</t>
  </si>
  <si>
    <t>Native American Flute - Single Small</t>
  </si>
  <si>
    <t>Single Small</t>
  </si>
  <si>
    <t>MI-NAF-SS</t>
  </si>
  <si>
    <t>Ocarina - Small</t>
  </si>
  <si>
    <t>MI-OC-S</t>
  </si>
  <si>
    <t>Ocarina - Big</t>
  </si>
  <si>
    <t>Big</t>
  </si>
  <si>
    <t>MI-OC-B</t>
  </si>
  <si>
    <t xml:space="preserve">Swing Flute/Harmonic </t>
  </si>
  <si>
    <t>MI-SFH</t>
  </si>
  <si>
    <t xml:space="preserve">Clay Whistle </t>
  </si>
  <si>
    <t>MI-CW</t>
  </si>
  <si>
    <t>Overtone Flute</t>
  </si>
  <si>
    <t>MI-OF</t>
  </si>
  <si>
    <t>Natural Lavender Scented Eye Pillows</t>
  </si>
  <si>
    <t>Yo-P-E-RE</t>
  </si>
  <si>
    <t>Yo-P-E-DG</t>
  </si>
  <si>
    <t>Yo-P-E-GY</t>
  </si>
  <si>
    <t>Yo-P-E-NB</t>
  </si>
  <si>
    <t>Yo-P-E-SE</t>
  </si>
  <si>
    <t>Ocean Drums</t>
  </si>
  <si>
    <t>Plain / 30 cms</t>
  </si>
  <si>
    <t>MI-OD-P-30</t>
  </si>
  <si>
    <t>Dream Catcher / 30 cms</t>
  </si>
  <si>
    <t>MI-OD-D-30</t>
  </si>
  <si>
    <t>Dream Catcher / 35 cms</t>
  </si>
  <si>
    <t>MI-OD-D-35</t>
  </si>
  <si>
    <t>40 cms / Dream Catcher</t>
  </si>
  <si>
    <t>MI-OD-D-40</t>
  </si>
  <si>
    <t>Plain / 35 cms</t>
  </si>
  <si>
    <t>MI-OD-P-35</t>
  </si>
  <si>
    <t>Plain / 40 cms</t>
  </si>
  <si>
    <t>MI-OD-P-40</t>
  </si>
  <si>
    <t>Flower of Life / 30 cms</t>
  </si>
  <si>
    <t>MI-OD-F-30</t>
  </si>
  <si>
    <t>Flower of Life / 35 cms</t>
  </si>
  <si>
    <t>MI-OD-F-35</t>
  </si>
  <si>
    <t>40 cms / Flower of Life</t>
  </si>
  <si>
    <t>MI-OD-F-40</t>
  </si>
  <si>
    <t>Painted Egg Shakers</t>
  </si>
  <si>
    <t>Red Dotted</t>
  </si>
  <si>
    <t>MI-ES-P-R</t>
  </si>
  <si>
    <t>Artistically Designed</t>
  </si>
  <si>
    <t>MI-ES-P-A</t>
  </si>
  <si>
    <t>Blue Dotted</t>
  </si>
  <si>
    <t>MI-ES-P-B</t>
  </si>
  <si>
    <t>Pangi Seed Shell Rattle</t>
  </si>
  <si>
    <t>MI-PS</t>
  </si>
  <si>
    <t>Pulse Tubes</t>
  </si>
  <si>
    <t>MI-PT-B</t>
  </si>
  <si>
    <t>MI-PT-M</t>
  </si>
  <si>
    <t>MI-PT-S</t>
  </si>
  <si>
    <t>Root Chakra Singing Bowl</t>
  </si>
  <si>
    <t>MI-RCSB-S</t>
  </si>
  <si>
    <t>S-Shaped Didgeridoo</t>
  </si>
  <si>
    <t>MI-DG-S-G</t>
  </si>
  <si>
    <t>MI-DG-S-B</t>
  </si>
  <si>
    <t>MI-DG-S-R</t>
  </si>
  <si>
    <t>Sacred Symbols Singing Bowls</t>
  </si>
  <si>
    <t>3.5 in / Green</t>
  </si>
  <si>
    <t>MI-SB-P-SS-G-3.5</t>
  </si>
  <si>
    <t>Blue / 3.5 in</t>
  </si>
  <si>
    <t>MI-SB-P-SS-B-3.5</t>
  </si>
  <si>
    <t>Blue / 4 in</t>
  </si>
  <si>
    <t>MI-SB-P-SS-B-4</t>
  </si>
  <si>
    <t>Blue / 5.5 in</t>
  </si>
  <si>
    <t>MI-SB-P-SS-B-5.5</t>
  </si>
  <si>
    <t>Black / 3.5 in</t>
  </si>
  <si>
    <t>MI-SB-P-SS-BK-3.5</t>
  </si>
  <si>
    <t>Black / 4 in</t>
  </si>
  <si>
    <t>MI-SB-P-SS-BK-4</t>
  </si>
  <si>
    <t>Black / 5.5 in</t>
  </si>
  <si>
    <t>MI-SB-P-SS-BK-5.5</t>
  </si>
  <si>
    <t>4 in / Green</t>
  </si>
  <si>
    <t>MI-SB-P-SS-G-4</t>
  </si>
  <si>
    <t>5.5 in / Green</t>
  </si>
  <si>
    <t>MI-SB-P-SS-G-5.5</t>
  </si>
  <si>
    <t>Red / 3.5 in</t>
  </si>
  <si>
    <t>MI-SB-P-SS-R-3.5</t>
  </si>
  <si>
    <t>Red / 4 in</t>
  </si>
  <si>
    <t>MI-SB-P-SS-R-4</t>
  </si>
  <si>
    <t>Red / 5.5 in</t>
  </si>
  <si>
    <t>MI-SB-P-SS-R-5.5</t>
  </si>
  <si>
    <t>Yellow / 3.5 in</t>
  </si>
  <si>
    <t>MI-SB-P-SS-Y-3.5</t>
  </si>
  <si>
    <t>Yellow / 4 in</t>
  </si>
  <si>
    <t>MI-SB-P-SS-Y-4</t>
  </si>
  <si>
    <t>Yellow / 5.5 in</t>
  </si>
  <si>
    <t>MI-SB-P-SS-Y-5.5</t>
  </si>
  <si>
    <t>Shamanic Drum</t>
  </si>
  <si>
    <t>MI-SD-P-30</t>
  </si>
  <si>
    <t>30 cms / Butterfly</t>
  </si>
  <si>
    <t>MI-SD-B-30</t>
  </si>
  <si>
    <t>40 cms / Butterfly</t>
  </si>
  <si>
    <t>MI-SD-B-40</t>
  </si>
  <si>
    <t>45 cms / Butterfly</t>
  </si>
  <si>
    <t>MI-SD-B-45</t>
  </si>
  <si>
    <t>MI-SD-P-40</t>
  </si>
  <si>
    <t>Plain / 45 cms</t>
  </si>
  <si>
    <t>MI-SD-P-45</t>
  </si>
  <si>
    <t>30 cms / Tree of Life</t>
  </si>
  <si>
    <t>MI-SD-30-T</t>
  </si>
  <si>
    <t>40 cms / Tree of Life</t>
  </si>
  <si>
    <t>MI-SD-40-T</t>
  </si>
  <si>
    <t>45 cms / Tree of Life</t>
  </si>
  <si>
    <t>MI-SD-45-T</t>
  </si>
  <si>
    <t>Shamanic Drum Bags/Ocean Drum Bags</t>
  </si>
  <si>
    <t>MI-SDBO-S</t>
  </si>
  <si>
    <t>MI-SDBO-L</t>
  </si>
  <si>
    <t>MI-SDBO-M</t>
  </si>
  <si>
    <t>Shankh/Conch</t>
  </si>
  <si>
    <t>MI-SH-S</t>
  </si>
  <si>
    <t>0508 00 20</t>
  </si>
  <si>
    <t>MI-SH-M</t>
  </si>
  <si>
    <t>MI-SH-L</t>
  </si>
  <si>
    <t>Shruthi Thali/Gong Plates</t>
  </si>
  <si>
    <t>B Plate</t>
  </si>
  <si>
    <t>MI-STGP-BP</t>
  </si>
  <si>
    <t>A Plate</t>
  </si>
  <si>
    <t>MI-STGP-AP</t>
  </si>
  <si>
    <t>G Plate</t>
  </si>
  <si>
    <t>MI-STGP-GP</t>
  </si>
  <si>
    <t>F Plate</t>
  </si>
  <si>
    <t>MI-STGP-FP</t>
  </si>
  <si>
    <t>E Plate</t>
  </si>
  <si>
    <t>MI-STGP-EP</t>
  </si>
  <si>
    <t>D Plate</t>
  </si>
  <si>
    <t>MI-STGP-DP</t>
  </si>
  <si>
    <t>C Plate</t>
  </si>
  <si>
    <t>MI-STGP-CP</t>
  </si>
  <si>
    <t>MI-STGP-FU</t>
  </si>
  <si>
    <t>Shruti Box</t>
  </si>
  <si>
    <t>1 Octave</t>
  </si>
  <si>
    <t>MI-SB-1</t>
  </si>
  <si>
    <t>2 Octaves</t>
  </si>
  <si>
    <t>MI-SB-2</t>
  </si>
  <si>
    <t>3 Octaves</t>
  </si>
  <si>
    <t>MI-SB-3</t>
  </si>
  <si>
    <t>Singing Bowl Bags</t>
  </si>
  <si>
    <t>MI-SB-Bag-S</t>
  </si>
  <si>
    <t>MI-SB-Bag-L</t>
  </si>
  <si>
    <t>MI-SB-Bag-M</t>
  </si>
  <si>
    <t>Singing Bowl with Handle</t>
  </si>
  <si>
    <t>MI-SBH-S</t>
  </si>
  <si>
    <t>Singing Bowls Silk Ring Cushion Accessories</t>
  </si>
  <si>
    <t>10 cms / Green</t>
  </si>
  <si>
    <t>MI-SB-C-G-10</t>
  </si>
  <si>
    <t>10 cms / Blue</t>
  </si>
  <si>
    <t>MI-SB-C-B-10</t>
  </si>
  <si>
    <t>MI-SB-C-G-12</t>
  </si>
  <si>
    <t>10 cms / Navy Blue</t>
  </si>
  <si>
    <t>MI-SB-C-NB-10</t>
  </si>
  <si>
    <t>10 cms / Black</t>
  </si>
  <si>
    <t>MI-SB-C-BK-10</t>
  </si>
  <si>
    <t>10 cms / Red</t>
  </si>
  <si>
    <t>MI-SB-C-R-10</t>
  </si>
  <si>
    <t>10 cms / Brown</t>
  </si>
  <si>
    <t>MI-SB-C-Bn-10</t>
  </si>
  <si>
    <t>10 cms / Orange</t>
  </si>
  <si>
    <t>MI-SB-C-O-10</t>
  </si>
  <si>
    <t>10 cms / Yellow</t>
  </si>
  <si>
    <t>MI-SB-C-Y-10</t>
  </si>
  <si>
    <t>10 cms / Pink</t>
  </si>
  <si>
    <t>MI-SB-C-PK-10</t>
  </si>
  <si>
    <t>Blue / 12 cms</t>
  </si>
  <si>
    <t>MI-SB-C-B-12</t>
  </si>
  <si>
    <t>Black / 12 cms</t>
  </si>
  <si>
    <t>MI-SB-C-BK-12</t>
  </si>
  <si>
    <t>Brown / 12 cms</t>
  </si>
  <si>
    <t>MI-SB-C-Bn-12</t>
  </si>
  <si>
    <t>Red / 12 cms</t>
  </si>
  <si>
    <t>MI-SB-C-R-12</t>
  </si>
  <si>
    <t>Pink / 12 cms</t>
  </si>
  <si>
    <t>MI-SB-C-PK-12</t>
  </si>
  <si>
    <t>Orange / 12 cms</t>
  </si>
  <si>
    <t>MI-SB-C-O-12</t>
  </si>
  <si>
    <t>Yellow / 12 cms</t>
  </si>
  <si>
    <t>MI-SB-C-Y-12</t>
  </si>
  <si>
    <t>Navy Blue / 12 cms</t>
  </si>
  <si>
    <t>MI-SB-C-NB-12</t>
  </si>
  <si>
    <t>Blue / 14 cms</t>
  </si>
  <si>
    <t>MI-SB-C-B-14</t>
  </si>
  <si>
    <t>14 cms / Green</t>
  </si>
  <si>
    <t>MI-SB-C-G-14</t>
  </si>
  <si>
    <t>Navy Blue / 14 cms</t>
  </si>
  <si>
    <t>MI-SB-C-NB-14</t>
  </si>
  <si>
    <t>Orange / 14 cms</t>
  </si>
  <si>
    <t>MI-SB-C-O-14</t>
  </si>
  <si>
    <t>Black / 14 cms</t>
  </si>
  <si>
    <t>MI-SB-C-BK-14</t>
  </si>
  <si>
    <t>Red / 14 cms</t>
  </si>
  <si>
    <t>MI-SB-C-R-14</t>
  </si>
  <si>
    <t>Brown / 14 cms</t>
  </si>
  <si>
    <t>MI-SB-C-Bn-14</t>
  </si>
  <si>
    <t>Pink / 14 cms</t>
  </si>
  <si>
    <t>MI-SB-C-PK-14</t>
  </si>
  <si>
    <t>Yellow / 14 cms</t>
  </si>
  <si>
    <t>MI-SB-C-Y-14</t>
  </si>
  <si>
    <t>16 cms / Blue</t>
  </si>
  <si>
    <t>MI-SB-C-B-16</t>
  </si>
  <si>
    <t>Black / 16 cms</t>
  </si>
  <si>
    <t>MI-SB-C-BK-16</t>
  </si>
  <si>
    <t>Brown / 16 cms</t>
  </si>
  <si>
    <t>MI-SB-C-Bn-16</t>
  </si>
  <si>
    <t>Orange / 16 cms</t>
  </si>
  <si>
    <t>MI-SB-C-O-16</t>
  </si>
  <si>
    <t>16 cms / Navy Blue</t>
  </si>
  <si>
    <t>MI-SB-C-NB-16</t>
  </si>
  <si>
    <t>16 cms / Green</t>
  </si>
  <si>
    <t>MI-SB-C-G-16</t>
  </si>
  <si>
    <t>Red / 16 cms</t>
  </si>
  <si>
    <t>MI-SB-C-R-16</t>
  </si>
  <si>
    <t>Yellow / 16 cms</t>
  </si>
  <si>
    <t>MI-SB-C-Y-16</t>
  </si>
  <si>
    <t>16 cms / Pink</t>
  </si>
  <si>
    <t>MI-SB-C-PK-16</t>
  </si>
  <si>
    <t>18 cms / Blue</t>
  </si>
  <si>
    <t>MI-SB-C-B-18</t>
  </si>
  <si>
    <t>Black / 18 cms</t>
  </si>
  <si>
    <t>MI-SB-C-BK-18</t>
  </si>
  <si>
    <t>18 cms / Green</t>
  </si>
  <si>
    <t>MI-SB-C-G-18</t>
  </si>
  <si>
    <t>Brown / 18 cms</t>
  </si>
  <si>
    <t>MI-SB-C-Bn-18</t>
  </si>
  <si>
    <t>18 cms / Navy Blue</t>
  </si>
  <si>
    <t>MI-SB-C-NB-18</t>
  </si>
  <si>
    <t>Yellow / 18 cms</t>
  </si>
  <si>
    <t>MI-SB-C-Y-18</t>
  </si>
  <si>
    <t>18 cms / Pink</t>
  </si>
  <si>
    <t>MI-SB-C-PK-18</t>
  </si>
  <si>
    <t>Red / 18 cms</t>
  </si>
  <si>
    <t>MI-SB-C-R-18</t>
  </si>
  <si>
    <t>Orange / 18 cms</t>
  </si>
  <si>
    <t>MI-SB-C-O-18</t>
  </si>
  <si>
    <t>20 cms / Blue</t>
  </si>
  <si>
    <t>MI-SB-C-B-20</t>
  </si>
  <si>
    <t>Brown / 20 cms</t>
  </si>
  <si>
    <t>MI-SB-C-Bn-20</t>
  </si>
  <si>
    <t>20 cms / Navy Blue</t>
  </si>
  <si>
    <t>MI-SB-C-NB-20</t>
  </si>
  <si>
    <t>Black / 20 cms</t>
  </si>
  <si>
    <t>MI-SB-C-BK-20</t>
  </si>
  <si>
    <t>Orange / 20 cms</t>
  </si>
  <si>
    <t>MI-SB-C-O-20</t>
  </si>
  <si>
    <t>Yellow / 20 cms</t>
  </si>
  <si>
    <t>MI-SB-C-Y-20</t>
  </si>
  <si>
    <t>20 cms / Green</t>
  </si>
  <si>
    <t>MI-SB-C-G-20</t>
  </si>
  <si>
    <t>Red / 20 cms</t>
  </si>
  <si>
    <t>MI-SB-C-R-20</t>
  </si>
  <si>
    <t>20 cms / Pink</t>
  </si>
  <si>
    <t>MI-SB-C-PK-20</t>
  </si>
  <si>
    <t>22 cms / Blue</t>
  </si>
  <si>
    <t>MI-SB-C-B-22</t>
  </si>
  <si>
    <t>Black / 22 cms</t>
  </si>
  <si>
    <t>MI-SB-C-BK-22</t>
  </si>
  <si>
    <t>Brown / 22 cms</t>
  </si>
  <si>
    <t>MI-SB-C-Bn-22</t>
  </si>
  <si>
    <t>22 cms / Green</t>
  </si>
  <si>
    <t>MI-SB-C-G-22</t>
  </si>
  <si>
    <t>22 cms / Navy Blue</t>
  </si>
  <si>
    <t>MI-SB-C-NB-22</t>
  </si>
  <si>
    <t>Orange / 22 cms</t>
  </si>
  <si>
    <t>MI-SB-C-O-22</t>
  </si>
  <si>
    <t>22 cms / Pink</t>
  </si>
  <si>
    <t>MI-SB-C-PK-22</t>
  </si>
  <si>
    <t>Red / 22 cms</t>
  </si>
  <si>
    <t>MI-SB-C-R-22</t>
  </si>
  <si>
    <t>Yellow / 22 cms</t>
  </si>
  <si>
    <t>MI-SB-C-Y-22</t>
  </si>
  <si>
    <t>Combo of 3</t>
  </si>
  <si>
    <t>MI-SB-C-CO-3</t>
  </si>
  <si>
    <t>Combo of 5</t>
  </si>
  <si>
    <t>MI-SB-C-CO-5</t>
  </si>
  <si>
    <t>Combo of 7</t>
  </si>
  <si>
    <t>MI-SB-C-CO-7</t>
  </si>
  <si>
    <t>Singing Bowls with Sacred Mantra Printed</t>
  </si>
  <si>
    <t>3.5 Inches / Blue</t>
  </si>
  <si>
    <t>MI-SB-P-B-3.5</t>
  </si>
  <si>
    <t>3.5 Inches / Black</t>
  </si>
  <si>
    <t>MI-SB-P-BK-3.5</t>
  </si>
  <si>
    <t>3.5 Inches / Green</t>
  </si>
  <si>
    <t>MI-SB-P-G-3.5</t>
  </si>
  <si>
    <t>3.5 Inches / Red</t>
  </si>
  <si>
    <t>MI-SB-P-R-3.5</t>
  </si>
  <si>
    <t>3.5 Inches / Gold</t>
  </si>
  <si>
    <t>MI-SB-P-W-3.5</t>
  </si>
  <si>
    <t>4 Inches / Blue</t>
  </si>
  <si>
    <t>MI-SB-P-B-4</t>
  </si>
  <si>
    <t>Black / 4 Inches</t>
  </si>
  <si>
    <t>MI-SB-P-BK-4</t>
  </si>
  <si>
    <t>4 Inches / Green</t>
  </si>
  <si>
    <t>MI-SB-P-G-4</t>
  </si>
  <si>
    <t>Red / 4 Inches</t>
  </si>
  <si>
    <t>MI-SB-P-R-4</t>
  </si>
  <si>
    <t>4 Inches / Gold</t>
  </si>
  <si>
    <t>MI-SB-P-W-4</t>
  </si>
  <si>
    <t>Blue / 5.5 Inches</t>
  </si>
  <si>
    <t>MI-SB-P-B-5.5</t>
  </si>
  <si>
    <t>Black / 5.5 Inches</t>
  </si>
  <si>
    <t>MI-SB-P-BK-5.5</t>
  </si>
  <si>
    <t>5.5 Inches / Green</t>
  </si>
  <si>
    <t>MI-SB-P-G-5.5</t>
  </si>
  <si>
    <t>Red / 5.5 Inches</t>
  </si>
  <si>
    <t>MI-SB-P-R-5.5</t>
  </si>
  <si>
    <t>Gold / 5.5 Inches</t>
  </si>
  <si>
    <t>MI-SB-P-W-5.5</t>
  </si>
  <si>
    <t>Spin/Twist Drum or Den Den Daiko</t>
  </si>
  <si>
    <t>Large 3.5 in</t>
  </si>
  <si>
    <t>MI-TD-YY</t>
  </si>
  <si>
    <t>Small 3 in</t>
  </si>
  <si>
    <t>MI-TD-RB</t>
  </si>
  <si>
    <t>Spiral/Snake Didgeridoo</t>
  </si>
  <si>
    <t>MI-DG-SP-G</t>
  </si>
  <si>
    <t>MI-DG-SP-R</t>
  </si>
  <si>
    <t>Stainless Steel Straws</t>
  </si>
  <si>
    <t>SSS-2</t>
  </si>
  <si>
    <t>SSS-4</t>
  </si>
  <si>
    <t>Swinging Chimes</t>
  </si>
  <si>
    <t>6 Bars</t>
  </si>
  <si>
    <t>MI-SC-6</t>
  </si>
  <si>
    <t>9 Bars</t>
  </si>
  <si>
    <t>MI-SC-9</t>
  </si>
  <si>
    <t>Teak Wood - Stainless Steel Xylophone</t>
  </si>
  <si>
    <t>8 Keys</t>
  </si>
  <si>
    <t>MI-TW-SS-XP-8</t>
  </si>
  <si>
    <t>15 Keys</t>
  </si>
  <si>
    <t>MI-TW-SS-XP-15</t>
  </si>
  <si>
    <t>The Four Bowl Set - Root, Heart, Third Eye and Universal</t>
  </si>
  <si>
    <t>MI-FBRH-S</t>
  </si>
  <si>
    <t>The Head Bowl</t>
  </si>
  <si>
    <t>MI-HB-S</t>
  </si>
  <si>
    <t>The Three Bowl Set - Root, Heart and Third Eye</t>
  </si>
  <si>
    <t>MI-TBS-RHT-S</t>
  </si>
  <si>
    <t>Third Eye Chakra Singing Bowl</t>
  </si>
  <si>
    <t>MI-TECS-S</t>
  </si>
  <si>
    <t>Thunder Tube - Basic Edition</t>
  </si>
  <si>
    <t>20cms</t>
  </si>
  <si>
    <t>MI-TTBE-20</t>
  </si>
  <si>
    <t>25cms</t>
  </si>
  <si>
    <t>MI-TTBE-25</t>
  </si>
  <si>
    <t>30cms</t>
  </si>
  <si>
    <t>MI-TTBE-30</t>
  </si>
  <si>
    <t>Tibetan Buddhist Bell</t>
  </si>
  <si>
    <t>MI-BB-2</t>
  </si>
  <si>
    <t>MI-BB-3</t>
  </si>
  <si>
    <t>MI-BB-3.5</t>
  </si>
  <si>
    <t>Extra Large</t>
  </si>
  <si>
    <t>MI-TBB-E</t>
  </si>
  <si>
    <t>Tingsha Bell</t>
  </si>
  <si>
    <t>Plain / Small</t>
  </si>
  <si>
    <t>MI-TB-P-SM</t>
  </si>
  <si>
    <t>Plain /Standard</t>
  </si>
  <si>
    <t>MI-TB-P-ST</t>
  </si>
  <si>
    <t>Dark / Small</t>
  </si>
  <si>
    <t>MI-TB-D-SM</t>
  </si>
  <si>
    <t>Dark / Standard</t>
  </si>
  <si>
    <t>MI-TB-D-ST</t>
  </si>
  <si>
    <t>Etched /Small</t>
  </si>
  <si>
    <t>MI-TB-E-SM</t>
  </si>
  <si>
    <t>Etched / Standard</t>
  </si>
  <si>
    <t>MI-TB-E-ST</t>
  </si>
  <si>
    <t>Tuning Fork - Single Weighted &amp; Unweighted</t>
  </si>
  <si>
    <t>Weighted / 128 Hz</t>
  </si>
  <si>
    <t>MI-TF-W-128</t>
  </si>
  <si>
    <t>Weighted / 256 Hz</t>
  </si>
  <si>
    <t>MI-TF-W-256</t>
  </si>
  <si>
    <t>Weighted / 432 Hz</t>
  </si>
  <si>
    <t>MI-TF-W-432</t>
  </si>
  <si>
    <t>Weighted / 68.05 Hz</t>
  </si>
  <si>
    <t>MI-TF-W-68</t>
  </si>
  <si>
    <t>Weighted / 64 Hz</t>
  </si>
  <si>
    <t>MI-TFSW-W-64</t>
  </si>
  <si>
    <t>Weighted / 440 Hz</t>
  </si>
  <si>
    <t>MI-TFSW-W-440</t>
  </si>
  <si>
    <t>Weighted / 93.96 Hz</t>
  </si>
  <si>
    <t>MI-TFSW-W-9396</t>
  </si>
  <si>
    <t>Weighted / 136.10 Hz</t>
  </si>
  <si>
    <t>MI-TFSW-W-13610</t>
  </si>
  <si>
    <t>Weighted / 528 Hz</t>
  </si>
  <si>
    <t>MI-TFSW-W-528</t>
  </si>
  <si>
    <t>Unweighted / 68.05 Hz</t>
  </si>
  <si>
    <t>MI-TFSW-U-6805</t>
  </si>
  <si>
    <t xml:space="preserve">Unweighted / 64 Hz </t>
  </si>
  <si>
    <t>MI-TFSW-U-64</t>
  </si>
  <si>
    <t>Unweighted /440Hz</t>
  </si>
  <si>
    <t>MI-TFSW-U-440</t>
  </si>
  <si>
    <t>Unweighted / 93.96 Hz</t>
  </si>
  <si>
    <t>MI-TFSW-U-9396</t>
  </si>
  <si>
    <t>Unweighted / 128 Hz</t>
  </si>
  <si>
    <t>MI-TFSW-U-128</t>
  </si>
  <si>
    <t>Unweighted / 136.10 Hz</t>
  </si>
  <si>
    <t>MI-TFSW-U-13610</t>
  </si>
  <si>
    <t>Unweighted / 256 Hz</t>
  </si>
  <si>
    <t>MI-TFSW-U-256</t>
  </si>
  <si>
    <t>Unweighted / 432 Hz</t>
  </si>
  <si>
    <t>MI-TFSW-U-432</t>
  </si>
  <si>
    <t>Unweighted / 528 Hz</t>
  </si>
  <si>
    <t>MI-TFSW-U-528</t>
  </si>
  <si>
    <t>Angel Tuning Forks</t>
  </si>
  <si>
    <t>4096 Hz</t>
  </si>
  <si>
    <t>Mi-TF-AG-4096</t>
  </si>
  <si>
    <t>4160 Hz</t>
  </si>
  <si>
    <t>Mi-TF-AG-4160</t>
  </si>
  <si>
    <t>4225 Hz</t>
  </si>
  <si>
    <t>Mi-TF-AG-4225</t>
  </si>
  <si>
    <t>Set</t>
  </si>
  <si>
    <t>MI-TF-AG-3</t>
  </si>
  <si>
    <t>C&amp;G Tuning Forks</t>
  </si>
  <si>
    <t>Weighted</t>
  </si>
  <si>
    <t>MI-TF-CG-W</t>
  </si>
  <si>
    <t>Unweighted</t>
  </si>
  <si>
    <t>Tuning Fork Activators</t>
  </si>
  <si>
    <t>Activator</t>
  </si>
  <si>
    <t>MI-TFA-AC</t>
  </si>
  <si>
    <t>Mallet</t>
  </si>
  <si>
    <t>MI-TFA-MA</t>
  </si>
  <si>
    <t>Activator &amp; Mallet</t>
  </si>
  <si>
    <t>MI-TFA-AC-MA</t>
  </si>
  <si>
    <t>Tuning Fork Extensions</t>
  </si>
  <si>
    <t>Extender</t>
  </si>
  <si>
    <t>MI-TFE-E</t>
  </si>
  <si>
    <t>Circuit Boot</t>
  </si>
  <si>
    <t>MI-TFE-C</t>
  </si>
  <si>
    <t>Massage Boot</t>
  </si>
  <si>
    <t>MI-TFE-M</t>
  </si>
  <si>
    <t>Tuning Forks 7 Chakra Set</t>
  </si>
  <si>
    <t>Weighted / With Gem Foot</t>
  </si>
  <si>
    <t>MI-TF-7C-WE-GF</t>
  </si>
  <si>
    <t>Weighted / Without Gem Foot</t>
  </si>
  <si>
    <t>MI-TF-7C-WE-NGF</t>
  </si>
  <si>
    <t>Colour Weighted / With Gem Foot</t>
  </si>
  <si>
    <t>MI-TF-7C-CWE-GF</t>
  </si>
  <si>
    <t>Colour Weighted / Without Gem Foot</t>
  </si>
  <si>
    <t>MI-TF-7C-CWE-NGF</t>
  </si>
  <si>
    <t>Unweighted / With Gem Foot</t>
  </si>
  <si>
    <t>MI-TF-7C-UW-GF</t>
  </si>
  <si>
    <t>Unweighted / Without Gem Foot</t>
  </si>
  <si>
    <t>MI-TF-7C-UW-NGF</t>
  </si>
  <si>
    <t>Colour Unweighted / With Gem Foot</t>
  </si>
  <si>
    <t>MI-TF-7C-CUW-GF</t>
  </si>
  <si>
    <t>Colour Unweighted / Without Gem Foot</t>
  </si>
  <si>
    <t>MI-TF-7C-CUW-NGF</t>
  </si>
  <si>
    <t>Tuning Forks Gem Feet</t>
  </si>
  <si>
    <t>MI-TFGF-M</t>
  </si>
  <si>
    <t>Yellow</t>
  </si>
  <si>
    <t>MI-TFGF-Y</t>
  </si>
  <si>
    <t>Violet</t>
  </si>
  <si>
    <t>MI-TFGF-V</t>
  </si>
  <si>
    <t>MI-TFGF-B</t>
  </si>
  <si>
    <t>MI-TFGF-G</t>
  </si>
  <si>
    <t>Dark Blue</t>
  </si>
  <si>
    <t>MI-TFGF-D</t>
  </si>
  <si>
    <t>MI-TFGF-R</t>
  </si>
  <si>
    <t>MI-TFGF-F</t>
  </si>
  <si>
    <t>Tuning Forks Solfeggio Set</t>
  </si>
  <si>
    <t>MI-TFS-W</t>
  </si>
  <si>
    <t>MI-TFS-U</t>
  </si>
  <si>
    <t>Wooden Stand for Tuning Forks</t>
  </si>
  <si>
    <t>Three</t>
  </si>
  <si>
    <t>MI-WSTF-T</t>
  </si>
  <si>
    <t>Five</t>
  </si>
  <si>
    <t>MI-WSTF-F</t>
  </si>
  <si>
    <t>Seven</t>
  </si>
  <si>
    <t>MI-WSTF-S</t>
  </si>
  <si>
    <t>Nine</t>
  </si>
  <si>
    <t>MI-WSTF-N</t>
  </si>
  <si>
    <t>Vibroacoustic Therapy Bowls - Universal, Belly and Head</t>
  </si>
  <si>
    <t>Universal Bowl</t>
  </si>
  <si>
    <t>Mi-SB-Z-8</t>
  </si>
  <si>
    <t>Head Bowl</t>
  </si>
  <si>
    <t>Mi-SB-Z-10</t>
  </si>
  <si>
    <t>Belly Bowl</t>
  </si>
  <si>
    <t>Mi-SB-Z-9</t>
  </si>
  <si>
    <t>MI-SB-Z-S3</t>
  </si>
  <si>
    <t>Wooden Mallets for Singing Bowls</t>
  </si>
  <si>
    <t>Red / Long Firm-Standard</t>
  </si>
  <si>
    <t>MI-SB-M-L-F-ST</t>
  </si>
  <si>
    <t>Red / Long Firm-Small</t>
  </si>
  <si>
    <t>MI-SB-M-L-F-S</t>
  </si>
  <si>
    <t>White / Long Firm-Standard</t>
  </si>
  <si>
    <t>MI-SB-M-W-L-F-ST</t>
  </si>
  <si>
    <t>White / Long Firm-Small</t>
  </si>
  <si>
    <t>MI-SB-M-W-L-F-S</t>
  </si>
  <si>
    <t>Red / Long Soft-13"</t>
  </si>
  <si>
    <t>MI-SB-M-L-R-13</t>
  </si>
  <si>
    <t>Red / Long Soft-11"</t>
  </si>
  <si>
    <t>MI-SB-M-L-R-11</t>
  </si>
  <si>
    <t>Red / Long Soft-9"</t>
  </si>
  <si>
    <t>MI-SB-M-L-R-9</t>
  </si>
  <si>
    <t>White / Long Soft-13"</t>
  </si>
  <si>
    <t>MI-SB-M-L-W-13</t>
  </si>
  <si>
    <t>White / Long Soft-11"</t>
  </si>
  <si>
    <t>MI-SB-M-L-W-11</t>
  </si>
  <si>
    <t>White / Long Soft-9"</t>
  </si>
  <si>
    <t>MI-SB-M-L-W-9</t>
  </si>
  <si>
    <t>Black / Curved</t>
  </si>
  <si>
    <t>MI-SB-M-B-C</t>
  </si>
  <si>
    <t>Black / Thick Wide</t>
  </si>
  <si>
    <t>MI-SB-M-TW-B</t>
  </si>
  <si>
    <t>Red / Thick Wide</t>
  </si>
  <si>
    <t>MI-SB-M-TW-R</t>
  </si>
  <si>
    <t>Black / Standard Wide</t>
  </si>
  <si>
    <t>MI-SB-M-ST-B</t>
  </si>
  <si>
    <t>Red / Standard Wide</t>
  </si>
  <si>
    <t>MI-SB-M-ST-R</t>
  </si>
  <si>
    <t>Black / Straight</t>
  </si>
  <si>
    <t>MI-SB-M-B-S</t>
  </si>
  <si>
    <t>Red / Straight</t>
  </si>
  <si>
    <t>MI-SB-M-R-S</t>
  </si>
  <si>
    <t>Wooden Maracas Shakers | Plain &amp; Dot Painted</t>
  </si>
  <si>
    <t>MI-WMS-P</t>
  </si>
  <si>
    <t>MI-WMS-D</t>
  </si>
  <si>
    <t>Wooden Tambourines</t>
  </si>
  <si>
    <t>Half-Moon</t>
  </si>
  <si>
    <t>MI-WT-H-M</t>
  </si>
  <si>
    <t>Circular</t>
  </si>
  <si>
    <t>MI-WT-C</t>
  </si>
  <si>
    <t>Bamboo Rainstick with Bag</t>
  </si>
  <si>
    <t>MI-BR-WB</t>
  </si>
  <si>
    <t>Wind chimes</t>
  </si>
  <si>
    <t>Gold-Small</t>
  </si>
  <si>
    <t>MI-WC-GO-S</t>
  </si>
  <si>
    <t>Gold-Large</t>
  </si>
  <si>
    <t>MI-WC-GO-L</t>
  </si>
  <si>
    <t>Green-Small</t>
  </si>
  <si>
    <t>MI-WC-GR-S</t>
  </si>
  <si>
    <t>Green-Large</t>
  </si>
  <si>
    <t>MI-WC-GR-L</t>
  </si>
  <si>
    <t>Yellow-Small</t>
  </si>
  <si>
    <t>MI-WC-YE-S</t>
  </si>
  <si>
    <t>Yellow-Large</t>
  </si>
  <si>
    <t>MI-WC-YE-L</t>
  </si>
  <si>
    <t>Silver-Small</t>
  </si>
  <si>
    <t>MI-WC-SI-S</t>
  </si>
  <si>
    <t>Silver-Large</t>
  </si>
  <si>
    <t>MI-WC-SI-L</t>
  </si>
  <si>
    <t>Antique Copper-Small</t>
  </si>
  <si>
    <t>MI-WC-A-C-S</t>
  </si>
  <si>
    <t>Antique Copper-Large</t>
  </si>
  <si>
    <t>MI-WC-A-C-L</t>
  </si>
  <si>
    <t>Tuned Pipes</t>
  </si>
  <si>
    <t>285 Hz</t>
  </si>
  <si>
    <t>MI-TP-285</t>
  </si>
  <si>
    <t>432 Hz</t>
  </si>
  <si>
    <t>MI-TP-432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</si>
</sst>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/>
    <font>
      <color theme="1"/>
      <name val="Calibri"/>
      <scheme val="minor"/>
    </font>
    <font>
      <color rgb="FF000000"/>
      <name val="Calibri"/>
      <scheme val="minor"/>
    </font>
    <font>
      <sz val="11.0"/>
      <color rgb="FFFF0000"/>
      <name val="Calibri"/>
    </font>
    <font>
      <u/>
      <sz val="11.0"/>
      <color rgb="FF0000FF"/>
      <name val="Calibri"/>
    </font>
    <font>
      <sz val="11.0"/>
      <color theme="5"/>
      <name val="Calibri"/>
    </font>
    <font>
      <sz val="12.0"/>
      <color theme="1"/>
      <name val="Calibri"/>
    </font>
    <font>
      <sz val="11.0"/>
      <color rgb="FF000D1E"/>
      <name val="Calibri"/>
    </font>
    <font>
      <sz val="11.0"/>
      <color rgb="FFE97132"/>
      <name val="Calibri"/>
    </font>
    <font>
      <sz val="12.0"/>
      <color rgb="FF000000"/>
      <name val="Aptos Narrow"/>
    </font>
  </fonts>
  <fills count="1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1E4F5"/>
        <bgColor rgb="FFC1E4F5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9900FF"/>
        <bgColor rgb="FF9900FF"/>
      </patternFill>
    </fill>
    <fill>
      <patternFill patternType="solid">
        <fgColor rgb="FFCC0000"/>
        <bgColor rgb="FFCC0000"/>
      </patternFill>
    </fill>
    <fill>
      <patternFill patternType="solid">
        <fgColor rgb="FFB7E1CD"/>
        <bgColor rgb="FFB7E1CD"/>
      </patternFill>
    </fill>
    <fill>
      <patternFill patternType="solid">
        <fgColor rgb="FF3D85C6"/>
        <bgColor rgb="FF3D85C6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1" numFmtId="0" xfId="0" applyBorder="1" applyFill="1" applyFont="1"/>
    <xf borderId="0" fillId="3" fontId="3" numFmtId="0" xfId="0" applyFill="1" applyFont="1"/>
    <xf borderId="2" fillId="3" fontId="3" numFmtId="0" xfId="0" applyBorder="1" applyFont="1"/>
    <xf borderId="3" fillId="4" fontId="2" numFmtId="1" xfId="0" applyAlignment="1" applyBorder="1" applyFill="1" applyFont="1" applyNumberForma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1" numFmtId="0" xfId="0" applyAlignment="1" applyFont="1">
      <alignment horizontal="center"/>
    </xf>
    <xf borderId="1" fillId="5" fontId="1" numFmtId="1" xfId="0" applyBorder="1" applyFill="1" applyFont="1" applyNumberFormat="1"/>
    <xf borderId="0" fillId="0" fontId="1" numFmtId="164" xfId="0" applyFont="1" applyNumberFormat="1"/>
    <xf borderId="0" fillId="3" fontId="1" numFmtId="1" xfId="0" applyAlignment="1" applyFont="1" applyNumberFormat="1">
      <alignment horizontal="center"/>
    </xf>
    <xf borderId="2" fillId="3" fontId="1" numFmtId="1" xfId="0" applyAlignment="1" applyBorder="1" applyFont="1" applyNumberFormat="1">
      <alignment horizontal="center"/>
    </xf>
    <xf borderId="3" fillId="4" fontId="1" numFmtId="1" xfId="0" applyAlignment="1" applyBorder="1" applyFont="1" applyNumberFormat="1">
      <alignment horizontal="center"/>
    </xf>
    <xf borderId="2" fillId="3" fontId="3" numFmtId="0" xfId="0" applyAlignment="1" applyBorder="1" applyFont="1">
      <alignment horizontal="center"/>
    </xf>
    <xf borderId="2" fillId="6" fontId="3" numFmtId="0" xfId="0" applyAlignment="1" applyBorder="1" applyFill="1" applyFont="1">
      <alignment horizontal="center"/>
    </xf>
    <xf borderId="2" fillId="7" fontId="3" numFmtId="0" xfId="0" applyAlignment="1" applyBorder="1" applyFill="1" applyFont="1">
      <alignment horizontal="center"/>
    </xf>
    <xf borderId="2" fillId="8" fontId="3" numFmtId="0" xfId="0" applyAlignment="1" applyBorder="1" applyFill="1" applyFont="1">
      <alignment horizontal="center"/>
    </xf>
    <xf borderId="2" fillId="9" fontId="3" numFmtId="0" xfId="0" applyAlignment="1" applyBorder="1" applyFill="1" applyFont="1">
      <alignment horizontal="center"/>
    </xf>
    <xf borderId="3" fillId="10" fontId="2" numFmtId="164" xfId="0" applyAlignment="1" applyBorder="1" applyFill="1" applyFont="1" applyNumberFormat="1">
      <alignment horizontal="left"/>
    </xf>
    <xf borderId="3" fillId="11" fontId="2" numFmtId="164" xfId="0" applyAlignment="1" applyBorder="1" applyFill="1" applyFont="1" applyNumberFormat="1">
      <alignment horizontal="center"/>
    </xf>
    <xf borderId="3" fillId="12" fontId="2" numFmtId="164" xfId="0" applyAlignment="1" applyBorder="1" applyFill="1" applyFont="1" applyNumberForma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1" fillId="2" fontId="2" numFmtId="0" xfId="0" applyBorder="1" applyFont="1"/>
    <xf borderId="1" fillId="2" fontId="2" numFmtId="164" xfId="0" applyBorder="1" applyFont="1" applyNumberFormat="1"/>
    <xf borderId="1" fillId="5" fontId="2" numFmtId="1" xfId="0" applyBorder="1" applyFont="1" applyNumberFormat="1"/>
    <xf borderId="0" fillId="0" fontId="2" numFmtId="164" xfId="0" applyFont="1" applyNumberFormat="1"/>
    <xf borderId="0" fillId="3" fontId="2" numFmtId="1" xfId="0" applyAlignment="1" applyFont="1" applyNumberFormat="1">
      <alignment horizontal="center" readingOrder="0"/>
    </xf>
    <xf borderId="2" fillId="3" fontId="2" numFmtId="1" xfId="0" applyAlignment="1" applyBorder="1" applyFont="1" applyNumberFormat="1">
      <alignment horizontal="center"/>
    </xf>
    <xf borderId="2" fillId="4" fontId="2" numFmtId="1" xfId="0" applyBorder="1" applyFont="1" applyNumberFormat="1"/>
    <xf borderId="2" fillId="4" fontId="2" numFmtId="1" xfId="0" applyAlignment="1" applyBorder="1" applyFont="1" applyNumberFormat="1">
      <alignment readingOrder="0"/>
    </xf>
    <xf borderId="2" fillId="3" fontId="2" numFmtId="1" xfId="0" applyAlignment="1" applyBorder="1" applyFont="1" applyNumberFormat="1">
      <alignment horizontal="center" readingOrder="0"/>
    </xf>
    <xf borderId="2" fillId="6" fontId="2" numFmtId="1" xfId="0" applyAlignment="1" applyBorder="1" applyFont="1" applyNumberFormat="1">
      <alignment horizontal="center" readingOrder="0"/>
    </xf>
    <xf borderId="2" fillId="7" fontId="1" numFmtId="1" xfId="0" applyAlignment="1" applyBorder="1" applyFont="1" applyNumberFormat="1">
      <alignment horizontal="center"/>
    </xf>
    <xf borderId="2" fillId="8" fontId="2" numFmtId="1" xfId="0" applyAlignment="1" applyBorder="1" applyFont="1" applyNumberFormat="1">
      <alignment horizontal="center"/>
    </xf>
    <xf borderId="2" fillId="9" fontId="2" numFmtId="1" xfId="0" applyAlignment="1" applyBorder="1" applyFont="1" applyNumberFormat="1">
      <alignment horizontal="center"/>
    </xf>
    <xf borderId="2" fillId="10" fontId="2" numFmtId="164" xfId="0" applyAlignment="1" applyBorder="1" applyFont="1" applyNumberFormat="1">
      <alignment horizontal="left"/>
    </xf>
    <xf borderId="2" fillId="11" fontId="2" numFmtId="164" xfId="0" applyBorder="1" applyFont="1" applyNumberFormat="1"/>
    <xf borderId="2" fillId="12" fontId="2" numFmtId="164" xfId="0" applyBorder="1" applyFont="1" applyNumberFormat="1"/>
    <xf borderId="0" fillId="13" fontId="1" numFmtId="0" xfId="0" applyFill="1" applyFont="1"/>
    <xf borderId="0" fillId="13" fontId="1" numFmtId="0" xfId="0" applyAlignment="1" applyFont="1">
      <alignment horizontal="center" readingOrder="0"/>
    </xf>
    <xf borderId="0" fillId="13" fontId="1" numFmtId="0" xfId="0" applyAlignment="1" applyFont="1">
      <alignment readingOrder="0"/>
    </xf>
    <xf borderId="0" fillId="13" fontId="1" numFmtId="0" xfId="0" applyAlignment="1" applyFont="1">
      <alignment horizontal="center"/>
    </xf>
    <xf borderId="0" fillId="13" fontId="1" numFmtId="9" xfId="0" applyAlignment="1" applyFont="1" applyNumberFormat="1">
      <alignment horizontal="center"/>
    </xf>
    <xf borderId="0" fillId="13" fontId="5" numFmtId="0" xfId="0" applyFont="1"/>
    <xf borderId="1" fillId="13" fontId="1" numFmtId="0" xfId="0" applyBorder="1" applyFont="1"/>
    <xf borderId="0" fillId="13" fontId="1" numFmtId="164" xfId="0" applyFont="1" applyNumberFormat="1"/>
    <xf borderId="1" fillId="13" fontId="1" numFmtId="164" xfId="0" applyBorder="1" applyFont="1" applyNumberFormat="1"/>
    <xf borderId="1" fillId="13" fontId="1" numFmtId="1" xfId="0" applyBorder="1" applyFont="1" applyNumberFormat="1"/>
    <xf borderId="0" fillId="13" fontId="1" numFmtId="1" xfId="0" applyFont="1" applyNumberFormat="1"/>
    <xf borderId="2" fillId="13" fontId="1" numFmtId="1" xfId="0" applyBorder="1" applyFont="1" applyNumberFormat="1"/>
    <xf borderId="2" fillId="13" fontId="1" numFmtId="1" xfId="0" applyAlignment="1" applyBorder="1" applyFont="1" applyNumberFormat="1">
      <alignment readingOrder="0"/>
    </xf>
    <xf borderId="2" fillId="13" fontId="1" numFmtId="1" xfId="0" applyAlignment="1" applyBorder="1" applyFont="1" applyNumberFormat="1">
      <alignment horizontal="center"/>
    </xf>
    <xf borderId="2" fillId="13" fontId="1" numFmtId="2" xfId="0" applyAlignment="1" applyBorder="1" applyFont="1" applyNumberFormat="1">
      <alignment horizontal="center"/>
    </xf>
    <xf borderId="2" fillId="13" fontId="1" numFmtId="164" xfId="0" applyAlignment="1" applyBorder="1" applyFont="1" applyNumberFormat="1">
      <alignment horizontal="left"/>
    </xf>
    <xf borderId="2" fillId="13" fontId="1" numFmtId="164" xfId="0" applyBorder="1" applyFont="1" applyNumberFormat="1"/>
    <xf borderId="0" fillId="0" fontId="1" numFmtId="9" xfId="0" applyAlignment="1" applyFont="1" applyNumberFormat="1">
      <alignment horizontal="center"/>
    </xf>
    <xf borderId="1" fillId="2" fontId="1" numFmtId="164" xfId="0" applyBorder="1" applyFont="1" applyNumberFormat="1"/>
    <xf borderId="0" fillId="0" fontId="5" numFmtId="0" xfId="0" applyFont="1"/>
    <xf borderId="0" fillId="10" fontId="1" numFmtId="1" xfId="0" applyFont="1" applyNumberFormat="1"/>
    <xf borderId="2" fillId="3" fontId="1" numFmtId="1" xfId="0" applyBorder="1" applyFont="1" applyNumberFormat="1"/>
    <xf borderId="2" fillId="4" fontId="1" numFmtId="1" xfId="0" applyBorder="1" applyFont="1" applyNumberFormat="1"/>
    <xf borderId="2" fillId="4" fontId="1" numFmtId="1" xfId="0" applyAlignment="1" applyBorder="1" applyFont="1" applyNumberFormat="1">
      <alignment readingOrder="0"/>
    </xf>
    <xf borderId="2" fillId="10" fontId="1" numFmtId="1" xfId="0" applyAlignment="1" applyBorder="1" applyFont="1" applyNumberFormat="1">
      <alignment horizontal="center"/>
    </xf>
    <xf borderId="2" fillId="6" fontId="1" numFmtId="1" xfId="0" applyAlignment="1" applyBorder="1" applyFont="1" applyNumberFormat="1">
      <alignment horizontal="center"/>
    </xf>
    <xf borderId="2" fillId="7" fontId="1" numFmtId="2" xfId="0" applyAlignment="1" applyBorder="1" applyFont="1" applyNumberFormat="1">
      <alignment horizontal="center"/>
    </xf>
    <xf borderId="2" fillId="8" fontId="1" numFmtId="1" xfId="0" applyAlignment="1" applyBorder="1" applyFont="1" applyNumberFormat="1">
      <alignment horizontal="center"/>
    </xf>
    <xf borderId="2" fillId="9" fontId="1" numFmtId="1" xfId="0" applyAlignment="1" applyBorder="1" applyFont="1" applyNumberFormat="1">
      <alignment horizontal="center"/>
    </xf>
    <xf borderId="2" fillId="10" fontId="1" numFmtId="164" xfId="0" applyAlignment="1" applyBorder="1" applyFont="1" applyNumberFormat="1">
      <alignment horizontal="left"/>
    </xf>
    <xf borderId="2" fillId="11" fontId="1" numFmtId="164" xfId="0" applyBorder="1" applyFont="1" applyNumberFormat="1"/>
    <xf borderId="2" fillId="12" fontId="1" numFmtId="164" xfId="0" applyBorder="1" applyFont="1" applyNumberFormat="1"/>
    <xf borderId="1" fillId="13" fontId="1" numFmtId="0" xfId="0" applyAlignment="1" applyBorder="1" applyFont="1">
      <alignment horizontal="center"/>
    </xf>
    <xf borderId="0" fillId="0" fontId="6" numFmtId="0" xfId="0" applyAlignment="1" applyFont="1">
      <alignment horizontal="left" readingOrder="0" vertical="bottom"/>
    </xf>
    <xf borderId="0" fillId="0" fontId="5" numFmtId="0" xfId="0" applyAlignment="1" applyFont="1">
      <alignment readingOrder="0"/>
    </xf>
    <xf borderId="0" fillId="3" fontId="1" numFmtId="0" xfId="0" applyFont="1"/>
    <xf borderId="0" fillId="3" fontId="1" numFmtId="0" xfId="0" applyAlignment="1" applyFont="1">
      <alignment horizontal="center"/>
    </xf>
    <xf borderId="0" fillId="3" fontId="5" numFmtId="0" xfId="0" applyFont="1"/>
    <xf borderId="0" fillId="3" fontId="1" numFmtId="0" xfId="0" applyAlignment="1" applyFont="1">
      <alignment readingOrder="0"/>
    </xf>
    <xf borderId="0" fillId="3" fontId="1" numFmtId="9" xfId="0" applyAlignment="1" applyFont="1" applyNumberFormat="1">
      <alignment horizontal="center"/>
    </xf>
    <xf borderId="1" fillId="3" fontId="1" numFmtId="0" xfId="0" applyBorder="1" applyFont="1"/>
    <xf borderId="0" fillId="3" fontId="1" numFmtId="164" xfId="0" applyFont="1" applyNumberFormat="1"/>
    <xf borderId="1" fillId="3" fontId="1" numFmtId="164" xfId="0" applyBorder="1" applyFont="1" applyNumberFormat="1"/>
    <xf borderId="1" fillId="3" fontId="1" numFmtId="1" xfId="0" applyBorder="1" applyFont="1" applyNumberFormat="1"/>
    <xf borderId="0" fillId="3" fontId="1" numFmtId="1" xfId="0" applyFont="1" applyNumberFormat="1"/>
    <xf borderId="2" fillId="3" fontId="1" numFmtId="2" xfId="0" applyAlignment="1" applyBorder="1" applyFont="1" applyNumberFormat="1">
      <alignment horizontal="center"/>
    </xf>
    <xf borderId="2" fillId="3" fontId="1" numFmtId="164" xfId="0" applyAlignment="1" applyBorder="1" applyFont="1" applyNumberFormat="1">
      <alignment horizontal="left"/>
    </xf>
    <xf borderId="2" fillId="3" fontId="1" numFmtId="164" xfId="0" applyBorder="1" applyFont="1" applyNumberFormat="1"/>
    <xf borderId="2" fillId="3" fontId="1" numFmtId="1" xfId="0" applyAlignment="1" applyBorder="1" applyFont="1" applyNumberFormat="1">
      <alignment readingOrder="0"/>
    </xf>
    <xf borderId="0" fillId="3" fontId="5" numFmtId="0" xfId="0" applyAlignment="1" applyFont="1">
      <alignment readingOrder="0"/>
    </xf>
    <xf borderId="0" fillId="3" fontId="6" numFmtId="0" xfId="0" applyAlignment="1" applyFont="1">
      <alignment horizontal="left" readingOrder="0" vertical="bottom"/>
    </xf>
    <xf borderId="0" fillId="13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13" fontId="6" numFmtId="0" xfId="0" applyAlignment="1" applyFont="1">
      <alignment horizontal="left" readingOrder="0" vertical="bottom"/>
    </xf>
    <xf borderId="0" fillId="13" fontId="3" numFmtId="0" xfId="0" applyAlignment="1" applyFont="1">
      <alignment horizontal="center" readingOrder="0"/>
    </xf>
    <xf borderId="0" fillId="13" fontId="5" numFmtId="0" xfId="0" applyAlignment="1" applyFont="1">
      <alignment readingOrder="0"/>
    </xf>
    <xf borderId="0" fillId="13" fontId="3" numFmtId="0" xfId="0" applyAlignment="1" applyFont="1">
      <alignment horizontal="center"/>
    </xf>
    <xf borderId="0" fillId="13" fontId="1" numFmtId="9" xfId="0" applyAlignment="1" applyFont="1" applyNumberFormat="1">
      <alignment horizontal="center" readingOrder="0"/>
    </xf>
    <xf borderId="0" fillId="13" fontId="1" numFmtId="1" xfId="0" applyAlignment="1" applyFont="1" applyNumberFormat="1">
      <alignment readingOrder="0"/>
    </xf>
    <xf borderId="0" fillId="13" fontId="7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13" fontId="8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" xfId="0" applyBorder="1" applyFont="1" applyNumberFormat="1"/>
    <xf borderId="0" fillId="0" fontId="1" numFmtId="1" xfId="0" applyFont="1" applyNumberFormat="1"/>
    <xf borderId="2" fillId="0" fontId="1" numFmtId="1" xfId="0" applyBorder="1" applyFont="1" applyNumberFormat="1"/>
    <xf borderId="2" fillId="0" fontId="1" numFmtId="1" xfId="0" applyAlignment="1" applyBorder="1" applyFont="1" applyNumberFormat="1">
      <alignment horizontal="center"/>
    </xf>
    <xf borderId="2" fillId="0" fontId="1" numFmtId="2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left"/>
    </xf>
    <xf borderId="2" fillId="0" fontId="1" numFmtId="164" xfId="0" applyBorder="1" applyFont="1" applyNumberFormat="1"/>
    <xf borderId="2" fillId="0" fontId="1" numFmtId="1" xfId="0" applyAlignment="1" applyBorder="1" applyFont="1" applyNumberFormat="1">
      <alignment readingOrder="0"/>
    </xf>
    <xf borderId="0" fillId="0" fontId="9" numFmtId="0" xfId="0" applyFont="1"/>
    <xf borderId="0" fillId="0" fontId="10" numFmtId="2" xfId="0" applyAlignment="1" applyFont="1" applyNumberFormat="1">
      <alignment horizontal="center"/>
    </xf>
    <xf borderId="1" fillId="2" fontId="1" numFmtId="2" xfId="0" applyBorder="1" applyFont="1" applyNumberFormat="1"/>
    <xf borderId="0" fillId="13" fontId="3" numFmtId="0" xfId="0" applyFont="1"/>
    <xf borderId="0" fillId="13" fontId="6" numFmtId="0" xfId="0" applyFont="1"/>
    <xf borderId="0" fillId="13" fontId="3" numFmtId="9" xfId="0" applyAlignment="1" applyFont="1" applyNumberFormat="1">
      <alignment horizontal="center"/>
    </xf>
    <xf borderId="1" fillId="13" fontId="3" numFmtId="0" xfId="0" applyBorder="1" applyFont="1"/>
    <xf borderId="0" fillId="13" fontId="3" numFmtId="164" xfId="0" applyFont="1" applyNumberFormat="1"/>
    <xf borderId="1" fillId="13" fontId="3" numFmtId="164" xfId="0" applyBorder="1" applyFont="1" applyNumberFormat="1"/>
    <xf borderId="1" fillId="13" fontId="3" numFmtId="1" xfId="0" applyBorder="1" applyFont="1" applyNumberFormat="1"/>
    <xf borderId="0" fillId="13" fontId="3" numFmtId="1" xfId="0" applyFont="1" applyNumberFormat="1"/>
    <xf borderId="2" fillId="13" fontId="3" numFmtId="1" xfId="0" applyBorder="1" applyFont="1" applyNumberFormat="1"/>
    <xf borderId="2" fillId="13" fontId="3" numFmtId="1" xfId="0" applyAlignment="1" applyBorder="1" applyFont="1" applyNumberFormat="1">
      <alignment readingOrder="0"/>
    </xf>
    <xf borderId="2" fillId="13" fontId="3" numFmtId="1" xfId="0" applyAlignment="1" applyBorder="1" applyFont="1" applyNumberFormat="1">
      <alignment horizontal="center"/>
    </xf>
    <xf borderId="2" fillId="13" fontId="3" numFmtId="2" xfId="0" applyAlignment="1" applyBorder="1" applyFont="1" applyNumberFormat="1">
      <alignment horizontal="center"/>
    </xf>
    <xf borderId="2" fillId="13" fontId="3" numFmtId="164" xfId="0" applyAlignment="1" applyBorder="1" applyFont="1" applyNumberFormat="1">
      <alignment horizontal="left"/>
    </xf>
    <xf borderId="2" fillId="13" fontId="3" numFmtId="164" xfId="0" applyBorder="1" applyFont="1" applyNumberFormat="1"/>
    <xf borderId="0" fillId="0" fontId="11" numFmtId="0" xfId="0" applyAlignment="1" applyFont="1">
      <alignment horizontal="center"/>
    </xf>
    <xf borderId="0" fillId="0" fontId="11" numFmtId="9" xfId="0" applyAlignment="1" applyFont="1" applyNumberFormat="1">
      <alignment horizontal="center"/>
    </xf>
    <xf borderId="0" fillId="0" fontId="3" numFmtId="0" xfId="0" applyFont="1"/>
    <xf borderId="0" fillId="13" fontId="10" numFmtId="2" xfId="0" applyAlignment="1" applyFont="1" applyNumberFormat="1">
      <alignment horizontal="center"/>
    </xf>
    <xf borderId="0" fillId="13" fontId="11" numFmtId="0" xfId="0" applyAlignment="1" applyFont="1">
      <alignment horizontal="center"/>
    </xf>
    <xf borderId="0" fillId="13" fontId="11" numFmtId="9" xfId="0" applyAlignment="1" applyFont="1" applyNumberFormat="1">
      <alignment horizontal="center"/>
    </xf>
    <xf borderId="1" fillId="13" fontId="1" numFmtId="2" xfId="0" applyBorder="1" applyFont="1" applyNumberFormat="1"/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13" fontId="12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3" numFmtId="2" xfId="0" applyAlignment="1" applyFont="1" applyNumberFormat="1">
      <alignment horizontal="center"/>
    </xf>
    <xf borderId="0" fillId="3" fontId="7" numFmtId="0" xfId="0" applyAlignment="1" applyFont="1">
      <alignment readingOrder="0"/>
    </xf>
    <xf borderId="1" fillId="3" fontId="1" numFmtId="2" xfId="0" applyBorder="1" applyFont="1" applyNumberFormat="1"/>
    <xf borderId="0" fillId="3" fontId="6" numFmtId="2" xfId="0" applyAlignment="1" applyFont="1" applyNumberFormat="1">
      <alignment horizontal="left" readingOrder="0" vertical="bottom"/>
    </xf>
    <xf borderId="0" fillId="14" fontId="3" numFmtId="0" xfId="0" applyFill="1" applyFont="1"/>
    <xf borderId="0" fillId="14" fontId="6" numFmtId="0" xfId="0" applyAlignment="1" applyFont="1">
      <alignment horizontal="left" readingOrder="0" vertical="bottom"/>
    </xf>
    <xf borderId="0" fillId="14" fontId="3" numFmtId="2" xfId="0" applyAlignment="1" applyFont="1" applyNumberFormat="1">
      <alignment horizontal="center"/>
    </xf>
    <xf borderId="0" fillId="14" fontId="1" numFmtId="0" xfId="0" applyAlignment="1" applyFont="1">
      <alignment readingOrder="0"/>
    </xf>
    <xf borderId="0" fillId="14" fontId="1" numFmtId="0" xfId="0" applyAlignment="1" applyFont="1">
      <alignment horizontal="center"/>
    </xf>
    <xf borderId="0" fillId="14" fontId="1" numFmtId="9" xfId="0" applyAlignment="1" applyFont="1" applyNumberFormat="1">
      <alignment horizontal="center"/>
    </xf>
    <xf borderId="0" fillId="14" fontId="1" numFmtId="0" xfId="0" applyFont="1"/>
    <xf borderId="0" fillId="14" fontId="5" numFmtId="0" xfId="0" applyFont="1"/>
    <xf borderId="0" fillId="14" fontId="7" numFmtId="0" xfId="0" applyAlignment="1" applyFont="1">
      <alignment readingOrder="0"/>
    </xf>
    <xf borderId="1" fillId="14" fontId="1" numFmtId="2" xfId="0" applyBorder="1" applyFont="1" applyNumberFormat="1"/>
    <xf borderId="0" fillId="14" fontId="1" numFmtId="164" xfId="0" applyFont="1" applyNumberFormat="1"/>
    <xf borderId="1" fillId="14" fontId="1" numFmtId="164" xfId="0" applyBorder="1" applyFont="1" applyNumberFormat="1"/>
    <xf borderId="1" fillId="14" fontId="1" numFmtId="1" xfId="0" applyBorder="1" applyFont="1" applyNumberFormat="1"/>
    <xf borderId="0" fillId="14" fontId="1" numFmtId="1" xfId="0" applyFont="1" applyNumberFormat="1"/>
    <xf borderId="2" fillId="14" fontId="1" numFmtId="1" xfId="0" applyBorder="1" applyFont="1" applyNumberFormat="1"/>
    <xf borderId="2" fillId="14" fontId="1" numFmtId="1" xfId="0" applyAlignment="1" applyBorder="1" applyFont="1" applyNumberFormat="1">
      <alignment horizontal="center"/>
    </xf>
    <xf borderId="2" fillId="14" fontId="1" numFmtId="2" xfId="0" applyAlignment="1" applyBorder="1" applyFont="1" applyNumberFormat="1">
      <alignment horizontal="center"/>
    </xf>
    <xf borderId="2" fillId="14" fontId="1" numFmtId="164" xfId="0" applyAlignment="1" applyBorder="1" applyFont="1" applyNumberFormat="1">
      <alignment horizontal="left"/>
    </xf>
    <xf borderId="2" fillId="14" fontId="1" numFmtId="164" xfId="0" applyBorder="1" applyFont="1" applyNumberFormat="1"/>
    <xf borderId="0" fillId="15" fontId="3" numFmtId="0" xfId="0" applyFill="1" applyFont="1"/>
    <xf borderId="0" fillId="15" fontId="6" numFmtId="0" xfId="0" applyAlignment="1" applyFont="1">
      <alignment horizontal="left" readingOrder="0" vertical="bottom"/>
    </xf>
    <xf borderId="0" fillId="15" fontId="3" numFmtId="2" xfId="0" applyAlignment="1" applyFont="1" applyNumberFormat="1">
      <alignment horizontal="center"/>
    </xf>
    <xf borderId="0" fillId="15" fontId="1" numFmtId="0" xfId="0" applyAlignment="1" applyFont="1">
      <alignment readingOrder="0"/>
    </xf>
    <xf borderId="0" fillId="15" fontId="1" numFmtId="0" xfId="0" applyAlignment="1" applyFont="1">
      <alignment horizontal="center"/>
    </xf>
    <xf borderId="0" fillId="15" fontId="1" numFmtId="9" xfId="0" applyAlignment="1" applyFont="1" applyNumberFormat="1">
      <alignment horizontal="center"/>
    </xf>
    <xf borderId="0" fillId="15" fontId="1" numFmtId="0" xfId="0" applyFont="1"/>
    <xf borderId="0" fillId="15" fontId="5" numFmtId="0" xfId="0" applyFont="1"/>
    <xf borderId="0" fillId="15" fontId="7" numFmtId="0" xfId="0" applyAlignment="1" applyFont="1">
      <alignment readingOrder="0"/>
    </xf>
    <xf borderId="1" fillId="15" fontId="1" numFmtId="2" xfId="0" applyBorder="1" applyFont="1" applyNumberFormat="1"/>
    <xf borderId="0" fillId="15" fontId="1" numFmtId="164" xfId="0" applyFont="1" applyNumberFormat="1"/>
    <xf borderId="1" fillId="15" fontId="1" numFmtId="164" xfId="0" applyBorder="1" applyFont="1" applyNumberFormat="1"/>
    <xf borderId="1" fillId="15" fontId="1" numFmtId="1" xfId="0" applyBorder="1" applyFont="1" applyNumberFormat="1"/>
    <xf borderId="0" fillId="15" fontId="1" numFmtId="1" xfId="0" applyFont="1" applyNumberFormat="1"/>
    <xf borderId="2" fillId="15" fontId="1" numFmtId="1" xfId="0" applyBorder="1" applyFont="1" applyNumberFormat="1"/>
    <xf borderId="2" fillId="15" fontId="1" numFmtId="1" xfId="0" applyAlignment="1" applyBorder="1" applyFont="1" applyNumberFormat="1">
      <alignment readingOrder="0"/>
    </xf>
    <xf borderId="2" fillId="15" fontId="1" numFmtId="1" xfId="0" applyAlignment="1" applyBorder="1" applyFont="1" applyNumberFormat="1">
      <alignment horizontal="center"/>
    </xf>
    <xf borderId="2" fillId="15" fontId="1" numFmtId="2" xfId="0" applyAlignment="1" applyBorder="1" applyFont="1" applyNumberFormat="1">
      <alignment horizontal="center"/>
    </xf>
    <xf borderId="2" fillId="15" fontId="1" numFmtId="164" xfId="0" applyAlignment="1" applyBorder="1" applyFont="1" applyNumberFormat="1">
      <alignment horizontal="left"/>
    </xf>
    <xf borderId="2" fillId="15" fontId="1" numFmtId="164" xfId="0" applyBorder="1" applyFont="1" applyNumberFormat="1"/>
    <xf borderId="0" fillId="0" fontId="3" numFmtId="2" xfId="0" applyAlignment="1" applyFont="1" applyNumberFormat="1">
      <alignment horizontal="center"/>
    </xf>
    <xf borderId="0" fillId="16" fontId="1" numFmtId="0" xfId="0" applyFill="1" applyFont="1"/>
    <xf borderId="0" fillId="16" fontId="3" numFmtId="2" xfId="0" applyAlignment="1" applyFont="1" applyNumberFormat="1">
      <alignment horizontal="center"/>
    </xf>
    <xf borderId="0" fillId="16" fontId="1" numFmtId="0" xfId="0" applyAlignment="1" applyFont="1">
      <alignment readingOrder="0"/>
    </xf>
    <xf borderId="0" fillId="16" fontId="1" numFmtId="0" xfId="0" applyAlignment="1" applyFont="1">
      <alignment horizontal="center"/>
    </xf>
    <xf borderId="0" fillId="16" fontId="1" numFmtId="9" xfId="0" applyAlignment="1" applyFont="1" applyNumberFormat="1">
      <alignment horizontal="center"/>
    </xf>
    <xf borderId="0" fillId="16" fontId="5" numFmtId="0" xfId="0" applyFont="1"/>
    <xf borderId="0" fillId="16" fontId="3" numFmtId="0" xfId="0" applyAlignment="1" applyFont="1">
      <alignment readingOrder="0"/>
    </xf>
    <xf borderId="1" fillId="16" fontId="1" numFmtId="2" xfId="0" applyBorder="1" applyFont="1" applyNumberFormat="1"/>
    <xf borderId="0" fillId="16" fontId="1" numFmtId="164" xfId="0" applyFont="1" applyNumberFormat="1"/>
    <xf borderId="1" fillId="16" fontId="1" numFmtId="164" xfId="0" applyBorder="1" applyFont="1" applyNumberFormat="1"/>
    <xf borderId="1" fillId="16" fontId="1" numFmtId="1" xfId="0" applyBorder="1" applyFont="1" applyNumberFormat="1"/>
    <xf borderId="0" fillId="16" fontId="1" numFmtId="1" xfId="0" applyFont="1" applyNumberFormat="1"/>
    <xf borderId="2" fillId="16" fontId="1" numFmtId="1" xfId="0" applyBorder="1" applyFont="1" applyNumberFormat="1"/>
    <xf borderId="2" fillId="16" fontId="1" numFmtId="1" xfId="0" applyAlignment="1" applyBorder="1" applyFont="1" applyNumberFormat="1">
      <alignment horizontal="center"/>
    </xf>
    <xf borderId="2" fillId="16" fontId="1" numFmtId="2" xfId="0" applyAlignment="1" applyBorder="1" applyFont="1" applyNumberFormat="1">
      <alignment horizontal="center"/>
    </xf>
    <xf borderId="2" fillId="16" fontId="1" numFmtId="164" xfId="0" applyAlignment="1" applyBorder="1" applyFont="1" applyNumberFormat="1">
      <alignment horizontal="left"/>
    </xf>
    <xf borderId="2" fillId="16" fontId="1" numFmtId="164" xfId="0" applyBorder="1" applyFont="1" applyNumberFormat="1"/>
    <xf borderId="0" fillId="0" fontId="13" numFmtId="2" xfId="0" applyAlignment="1" applyFont="1" applyNumberFormat="1">
      <alignment horizontal="center"/>
    </xf>
    <xf borderId="0" fillId="3" fontId="13" numFmtId="2" xfId="0" applyAlignment="1" applyFont="1" applyNumberFormat="1">
      <alignment horizontal="center"/>
    </xf>
    <xf borderId="0" fillId="16" fontId="13" numFmtId="2" xfId="0" applyAlignment="1" applyFont="1" applyNumberFormat="1">
      <alignment horizontal="center"/>
    </xf>
    <xf borderId="2" fillId="16" fontId="1" numFmtId="1" xfId="0" applyAlignment="1" applyBorder="1" applyFont="1" applyNumberFormat="1">
      <alignment readingOrder="0"/>
    </xf>
    <xf borderId="0" fillId="16" fontId="6" numFmtId="0" xfId="0" applyAlignment="1" applyFont="1">
      <alignment horizontal="left" readingOrder="0" vertical="bottom"/>
    </xf>
    <xf borderId="0" fillId="0" fontId="3" numFmtId="2" xfId="0" applyAlignment="1" applyFont="1" applyNumberFormat="1">
      <alignment horizontal="center" shrinkToFit="0" wrapText="1"/>
    </xf>
    <xf borderId="0" fillId="11" fontId="1" numFmtId="0" xfId="0" applyAlignment="1" applyFont="1">
      <alignment readingOrder="0"/>
    </xf>
    <xf borderId="0" fillId="11" fontId="6" numFmtId="0" xfId="0" applyAlignment="1" applyFont="1">
      <alignment horizontal="left" readingOrder="0" vertical="bottom"/>
    </xf>
    <xf borderId="0" fillId="11" fontId="1" numFmtId="0" xfId="0" applyAlignment="1" applyFont="1">
      <alignment horizontal="center" readingOrder="0"/>
    </xf>
    <xf borderId="0" fillId="11" fontId="5" numFmtId="0" xfId="0" applyFont="1"/>
    <xf borderId="0" fillId="11" fontId="1" numFmtId="0" xfId="0" applyAlignment="1" applyFont="1">
      <alignment horizontal="center"/>
    </xf>
    <xf borderId="0" fillId="11" fontId="1" numFmtId="9" xfId="0" applyAlignment="1" applyFont="1" applyNumberFormat="1">
      <alignment horizontal="center" readingOrder="0"/>
    </xf>
    <xf borderId="0" fillId="11" fontId="1" numFmtId="0" xfId="0" applyFont="1"/>
    <xf borderId="1" fillId="11" fontId="1" numFmtId="0" xfId="0" applyBorder="1" applyFont="1"/>
    <xf borderId="0" fillId="11" fontId="1" numFmtId="164" xfId="0" applyFont="1" applyNumberFormat="1"/>
    <xf borderId="1" fillId="11" fontId="1" numFmtId="164" xfId="0" applyBorder="1" applyFont="1" applyNumberFormat="1"/>
    <xf borderId="1" fillId="11" fontId="1" numFmtId="1" xfId="0" applyBorder="1" applyFont="1" applyNumberFormat="1"/>
    <xf borderId="0" fillId="11" fontId="1" numFmtId="164" xfId="0" applyAlignment="1" applyFont="1" applyNumberFormat="1">
      <alignment readingOrder="0"/>
    </xf>
    <xf borderId="0" fillId="11" fontId="1" numFmtId="1" xfId="0" applyFont="1" applyNumberFormat="1"/>
    <xf borderId="2" fillId="11" fontId="1" numFmtId="1" xfId="0" applyBorder="1" applyFont="1" applyNumberFormat="1"/>
    <xf borderId="2" fillId="11" fontId="1" numFmtId="1" xfId="0" applyAlignment="1" applyBorder="1" applyFont="1" applyNumberFormat="1">
      <alignment horizontal="center"/>
    </xf>
    <xf borderId="2" fillId="11" fontId="1" numFmtId="2" xfId="0" applyAlignment="1" applyBorder="1" applyFont="1" applyNumberFormat="1">
      <alignment horizontal="center"/>
    </xf>
    <xf borderId="2" fillId="11" fontId="1" numFmtId="164" xfId="0" applyAlignment="1" applyBorder="1" applyFont="1" applyNumberFormat="1">
      <alignment horizontal="left"/>
    </xf>
    <xf borderId="2" fillId="11" fontId="1" numFmtId="1" xfId="0" applyAlignment="1" applyBorder="1" applyFont="1" applyNumberFormat="1">
      <alignment readingOrder="0"/>
    </xf>
    <xf borderId="0" fillId="13" fontId="7" numFmtId="0" xfId="0" applyAlignment="1" applyFont="1">
      <alignment horizontal="center"/>
    </xf>
    <xf borderId="1" fillId="17" fontId="1" numFmtId="9" xfId="0" applyAlignment="1" applyBorder="1" applyFill="1" applyFont="1" applyNumberFormat="1">
      <alignment horizontal="center"/>
    </xf>
    <xf borderId="0" fillId="18" fontId="1" numFmtId="0" xfId="0" applyFill="1" applyFont="1"/>
    <xf borderId="0" fillId="18" fontId="7" numFmtId="0" xfId="0" applyAlignment="1" applyFont="1">
      <alignment horizontal="center" readingOrder="0"/>
    </xf>
    <xf borderId="0" fillId="18" fontId="5" numFmtId="0" xfId="0" applyAlignment="1" applyFont="1">
      <alignment readingOrder="0"/>
    </xf>
    <xf borderId="0" fillId="18" fontId="1" numFmtId="0" xfId="0" applyAlignment="1" applyFont="1">
      <alignment readingOrder="0"/>
    </xf>
    <xf borderId="0" fillId="18" fontId="1" numFmtId="0" xfId="0" applyAlignment="1" applyFont="1">
      <alignment horizontal="center"/>
    </xf>
    <xf borderId="0" fillId="18" fontId="1" numFmtId="9" xfId="0" applyAlignment="1" applyFont="1" applyNumberFormat="1">
      <alignment horizontal="center"/>
    </xf>
    <xf borderId="1" fillId="18" fontId="1" numFmtId="0" xfId="0" applyBorder="1" applyFont="1"/>
    <xf borderId="0" fillId="18" fontId="1" numFmtId="164" xfId="0" applyFont="1" applyNumberFormat="1"/>
    <xf borderId="1" fillId="18" fontId="1" numFmtId="164" xfId="0" applyBorder="1" applyFont="1" applyNumberFormat="1"/>
    <xf borderId="1" fillId="18" fontId="1" numFmtId="1" xfId="0" applyBorder="1" applyFont="1" applyNumberFormat="1"/>
    <xf borderId="0" fillId="18" fontId="5" numFmtId="0" xfId="0" applyFont="1"/>
    <xf borderId="0" fillId="18" fontId="1" numFmtId="1" xfId="0" applyFont="1" applyNumberFormat="1"/>
    <xf borderId="2" fillId="18" fontId="1" numFmtId="1" xfId="0" applyBorder="1" applyFont="1" applyNumberFormat="1"/>
    <xf borderId="2" fillId="18" fontId="1" numFmtId="1" xfId="0" applyAlignment="1" applyBorder="1" applyFont="1" applyNumberFormat="1">
      <alignment readingOrder="0"/>
    </xf>
    <xf borderId="2" fillId="18" fontId="1" numFmtId="1" xfId="0" applyAlignment="1" applyBorder="1" applyFont="1" applyNumberFormat="1">
      <alignment horizontal="center"/>
    </xf>
    <xf borderId="2" fillId="18" fontId="1" numFmtId="2" xfId="0" applyAlignment="1" applyBorder="1" applyFont="1" applyNumberFormat="1">
      <alignment horizontal="center"/>
    </xf>
    <xf borderId="2" fillId="18" fontId="1" numFmtId="164" xfId="0" applyAlignment="1" applyBorder="1" applyFont="1" applyNumberFormat="1">
      <alignment horizontal="left"/>
    </xf>
    <xf borderId="2" fillId="18" fontId="1" numFmtId="164" xfId="0" applyBorder="1" applyFont="1" applyNumberFormat="1"/>
    <xf borderId="0" fillId="18" fontId="6" numFmtId="0" xfId="0" applyAlignment="1" applyFont="1">
      <alignment horizontal="left" readingOrder="0" vertical="bottom"/>
    </xf>
    <xf borderId="0" fillId="18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2" fillId="0" fontId="3" numFmtId="0" xfId="0" applyAlignment="1" applyBorder="1" applyFont="1">
      <alignment readingOrder="0"/>
    </xf>
    <xf borderId="0" fillId="0" fontId="1" numFmtId="9" xfId="0" applyAlignment="1" applyFont="1" applyNumberFormat="1">
      <alignment horizontal="center" readingOrder="0"/>
    </xf>
    <xf borderId="2" fillId="13" fontId="3" numFmtId="0" xfId="0" applyAlignment="1" applyBorder="1" applyFont="1">
      <alignment horizontal="center"/>
    </xf>
    <xf borderId="2" fillId="13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ervices.gst.gov.in/services/" TargetMode="External"/><Relationship Id="rId3" Type="http://schemas.openxmlformats.org/officeDocument/2006/relationships/hyperlink" Target="https://services.gst.gov.in/services/" TargetMode="External"/><Relationship Id="rId4" Type="http://schemas.openxmlformats.org/officeDocument/2006/relationships/hyperlink" Target="https://services.gst.gov.in/services/" TargetMode="External"/><Relationship Id="rId5" Type="http://schemas.openxmlformats.org/officeDocument/2006/relationships/hyperlink" Target="https://services.gst.gov.in/services/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4.29"/>
    <col customWidth="1" min="2" max="2" width="66.14"/>
    <col customWidth="1" min="3" max="3" width="31.71"/>
    <col customWidth="1" min="4" max="4" width="25.0"/>
    <col customWidth="1" min="5" max="5" width="21.14"/>
    <col customWidth="1" min="6" max="6" width="9.57"/>
    <col customWidth="1" min="7" max="7" width="9.71"/>
    <col customWidth="1" min="8" max="8" width="36.0"/>
    <col customWidth="1" min="9" max="9" width="10.29"/>
    <col customWidth="1" min="10" max="10" width="22.14"/>
    <col customWidth="1" min="11" max="11" width="8.29"/>
    <col customWidth="1" min="12" max="12" width="29.29"/>
    <col customWidth="1" min="13" max="17" width="18.0"/>
    <col customWidth="1" min="18" max="18" width="16.71"/>
    <col customWidth="1" min="19" max="22" width="18.0"/>
    <col customWidth="1" min="23" max="27" width="17.43"/>
    <col customWidth="1" min="28" max="28" width="22.0"/>
    <col customWidth="1" min="29" max="29" width="18.86"/>
    <col customWidth="1" min="30" max="30" width="11.29"/>
    <col customWidth="1" min="31" max="31" width="14.57"/>
    <col customWidth="1" min="32" max="32" width="12.57"/>
    <col customWidth="1" min="33" max="33" width="16.14"/>
    <col customWidth="1" hidden="1" min="34" max="34" width="6.86"/>
    <col customWidth="1" hidden="1" min="35" max="35" width="10.0"/>
    <col customWidth="1" min="36" max="36" width="14.71"/>
    <col customWidth="1" min="37" max="38" width="17.86"/>
    <col customWidth="1" min="39" max="39" width="14.0"/>
    <col customWidth="1" min="40" max="40" width="14.14"/>
    <col customWidth="1" min="41" max="41" width="17.0"/>
    <col customWidth="1" min="42" max="42" width="12.29"/>
    <col customWidth="1" min="43" max="43" width="10.0"/>
    <col customWidth="1" min="44" max="45" width="11.71"/>
    <col customWidth="1" min="46" max="46" width="8.14"/>
    <col customWidth="1" min="47" max="47" width="10.43"/>
    <col customWidth="1" min="48" max="49" width="12.43"/>
    <col customWidth="1" min="50" max="51" width="8.43"/>
  </cols>
  <sheetData>
    <row r="1" ht="15.0" customHeight="1">
      <c r="A1" s="1" t="s">
        <v>0</v>
      </c>
      <c r="B1" s="2"/>
      <c r="C1" s="2"/>
      <c r="D1" s="3" t="s">
        <v>1</v>
      </c>
      <c r="L1" s="4"/>
      <c r="M1" s="3" t="s">
        <v>2</v>
      </c>
      <c r="T1" s="4"/>
      <c r="U1" s="3" t="s">
        <v>3</v>
      </c>
      <c r="Y1" s="2"/>
      <c r="Z1" s="4"/>
      <c r="AG1" s="5"/>
      <c r="AH1" s="6"/>
      <c r="AI1" s="7" t="s">
        <v>4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9"/>
    </row>
    <row r="2" ht="15.0" customHeight="1">
      <c r="A2" s="2"/>
      <c r="B2" s="2"/>
      <c r="C2" s="2"/>
      <c r="D2" s="10"/>
      <c r="E2" s="2"/>
      <c r="F2" s="2"/>
      <c r="G2" s="10"/>
      <c r="H2" s="10"/>
      <c r="I2" s="2"/>
      <c r="J2" s="2"/>
      <c r="K2" s="2"/>
      <c r="L2" s="4"/>
      <c r="M2" s="2"/>
      <c r="N2" s="2"/>
      <c r="O2" s="2"/>
      <c r="P2" s="2"/>
      <c r="Q2" s="2"/>
      <c r="R2" s="2"/>
      <c r="S2" s="2"/>
      <c r="T2" s="4"/>
      <c r="U2" s="2"/>
      <c r="V2" s="2"/>
      <c r="W2" s="2"/>
      <c r="X2" s="2"/>
      <c r="Y2" s="2"/>
      <c r="Z2" s="4"/>
      <c r="AA2" s="11"/>
      <c r="AD2" s="12"/>
      <c r="AE2" s="12"/>
      <c r="AG2" s="13"/>
      <c r="AH2" s="14"/>
      <c r="AI2" s="15" t="s">
        <v>5</v>
      </c>
      <c r="AJ2" s="9"/>
      <c r="AK2" s="16"/>
      <c r="AL2" s="16"/>
      <c r="AM2" s="16"/>
      <c r="AN2" s="17"/>
      <c r="AO2" s="18"/>
      <c r="AP2" s="19"/>
      <c r="AQ2" s="20"/>
      <c r="AR2" s="21" t="s">
        <v>6</v>
      </c>
      <c r="AS2" s="9"/>
      <c r="AT2" s="22" t="s">
        <v>7</v>
      </c>
      <c r="AU2" s="9"/>
      <c r="AV2" s="23" t="s">
        <v>8</v>
      </c>
      <c r="AW2" s="9"/>
      <c r="AX2" s="2" t="s">
        <v>9</v>
      </c>
      <c r="AY2" s="2" t="s">
        <v>10</v>
      </c>
    </row>
    <row r="3" ht="42.75" customHeight="1">
      <c r="A3" s="24" t="s">
        <v>11</v>
      </c>
      <c r="B3" s="24" t="s">
        <v>12</v>
      </c>
      <c r="C3" s="24" t="s">
        <v>13</v>
      </c>
      <c r="D3" s="3" t="s">
        <v>14</v>
      </c>
      <c r="E3" s="25" t="s">
        <v>15</v>
      </c>
      <c r="F3" s="25" t="s">
        <v>16</v>
      </c>
      <c r="G3" s="3" t="s">
        <v>17</v>
      </c>
      <c r="H3" s="3" t="s">
        <v>18</v>
      </c>
      <c r="I3" s="24" t="s">
        <v>9</v>
      </c>
      <c r="J3" s="24" t="s">
        <v>19</v>
      </c>
      <c r="K3" s="24" t="s">
        <v>20</v>
      </c>
      <c r="L3" s="26" t="s">
        <v>21</v>
      </c>
      <c r="M3" s="24" t="s">
        <v>22</v>
      </c>
      <c r="N3" s="24" t="s">
        <v>23</v>
      </c>
      <c r="O3" s="24" t="s">
        <v>24</v>
      </c>
      <c r="P3" s="24" t="s">
        <v>25</v>
      </c>
      <c r="Q3" s="24" t="s">
        <v>26</v>
      </c>
      <c r="R3" s="24" t="s">
        <v>27</v>
      </c>
      <c r="S3" s="24" t="s">
        <v>28</v>
      </c>
      <c r="T3" s="26" t="s">
        <v>29</v>
      </c>
      <c r="U3" s="24" t="s">
        <v>30</v>
      </c>
      <c r="V3" s="25" t="s">
        <v>31</v>
      </c>
      <c r="W3" s="24" t="s">
        <v>32</v>
      </c>
      <c r="X3" s="24" t="s">
        <v>33</v>
      </c>
      <c r="Y3" s="24" t="s">
        <v>34</v>
      </c>
      <c r="Z3" s="27" t="s">
        <v>35</v>
      </c>
      <c r="AA3" s="28" t="s">
        <v>36</v>
      </c>
      <c r="AB3" s="24" t="s">
        <v>37</v>
      </c>
      <c r="AC3" s="24" t="s">
        <v>38</v>
      </c>
      <c r="AD3" s="29" t="s">
        <v>39</v>
      </c>
      <c r="AE3" s="29" t="s">
        <v>40</v>
      </c>
      <c r="AF3" s="24" t="s">
        <v>41</v>
      </c>
      <c r="AG3" s="30" t="s">
        <v>42</v>
      </c>
      <c r="AH3" s="31" t="s">
        <v>43</v>
      </c>
      <c r="AI3" s="32" t="s">
        <v>44</v>
      </c>
      <c r="AJ3" s="33" t="s">
        <v>45</v>
      </c>
      <c r="AK3" s="34" t="s">
        <v>46</v>
      </c>
      <c r="AL3" s="34" t="s">
        <v>47</v>
      </c>
      <c r="AM3" s="31" t="s">
        <v>48</v>
      </c>
      <c r="AN3" s="35" t="s">
        <v>49</v>
      </c>
      <c r="AO3" s="36" t="s">
        <v>50</v>
      </c>
      <c r="AP3" s="37" t="s">
        <v>51</v>
      </c>
      <c r="AQ3" s="38" t="s">
        <v>52</v>
      </c>
      <c r="AR3" s="39" t="s">
        <v>44</v>
      </c>
      <c r="AS3" s="39" t="s">
        <v>53</v>
      </c>
      <c r="AT3" s="40" t="s">
        <v>44</v>
      </c>
      <c r="AU3" s="40" t="s">
        <v>53</v>
      </c>
      <c r="AV3" s="41" t="s">
        <v>44</v>
      </c>
      <c r="AW3" s="41" t="s">
        <v>53</v>
      </c>
      <c r="AX3" s="24"/>
      <c r="AY3" s="24"/>
    </row>
    <row r="4">
      <c r="A4" s="42"/>
      <c r="B4" s="42" t="s">
        <v>54</v>
      </c>
      <c r="C4" s="42" t="s">
        <v>55</v>
      </c>
      <c r="D4" s="43">
        <v>2800.0</v>
      </c>
      <c r="E4" s="42">
        <v>0.0</v>
      </c>
      <c r="F4" s="44">
        <v>75.0</v>
      </c>
      <c r="G4" s="45">
        <v>9.206E7</v>
      </c>
      <c r="H4" s="46">
        <v>0.18</v>
      </c>
      <c r="I4" s="42">
        <f t="shared" ref="I4:I207" si="4">D4*H4</f>
        <v>504</v>
      </c>
      <c r="J4" s="47"/>
      <c r="K4" s="44">
        <v>200.0</v>
      </c>
      <c r="L4" s="48">
        <f t="shared" ref="L4:L285" si="5">K4+J4+I4+F4+E4+D4</f>
        <v>3579</v>
      </c>
      <c r="M4" s="42">
        <f t="shared" ref="M4:M207" si="6">D4*1%</f>
        <v>28</v>
      </c>
      <c r="N4" s="49">
        <f t="shared" ref="N4:N207" si="7">L4*8%</f>
        <v>286.32</v>
      </c>
      <c r="O4" s="49">
        <f t="shared" ref="O4:O207" si="8">L4*10%</f>
        <v>357.9</v>
      </c>
      <c r="P4" s="49">
        <f t="shared" ref="P4:P207" si="9">L4*5%</f>
        <v>178.95</v>
      </c>
      <c r="Q4" s="49">
        <f t="shared" ref="Q4:Q207" si="10">L4*2%</f>
        <v>71.58</v>
      </c>
      <c r="R4" s="49">
        <f t="shared" ref="R4:R7" si="11">AC4*0.5%</f>
        <v>29.4</v>
      </c>
      <c r="S4" s="49">
        <f t="shared" ref="S4:S207" si="12">L4*1%</f>
        <v>35.79</v>
      </c>
      <c r="T4" s="50">
        <f t="shared" ref="T4:T207" si="13">S4+Q4+P4+O4+N4+M4</f>
        <v>958.54</v>
      </c>
      <c r="U4" s="42">
        <f t="shared" ref="U4:U207" si="14">AC4*1%</f>
        <v>58.8</v>
      </c>
      <c r="V4" s="42">
        <f t="shared" ref="V4:V838" si="15">AC4*5%</f>
        <v>294</v>
      </c>
      <c r="W4" s="42">
        <f t="shared" ref="W4:W207" si="16">AC4*1%</f>
        <v>58.8</v>
      </c>
      <c r="X4" s="42">
        <f t="shared" ref="X4:X207" si="17">AC4*8%</f>
        <v>470.4</v>
      </c>
      <c r="Y4" s="42">
        <f t="shared" ref="Y4:Y207" si="18">U4+V4+W4+X4</f>
        <v>882</v>
      </c>
      <c r="Z4" s="50">
        <f t="shared" ref="Z4:Z207" si="19">Y4+T4+L4</f>
        <v>5419.54</v>
      </c>
      <c r="AA4" s="51">
        <f t="shared" ref="AA4:AA207" si="20">Z4*20%</f>
        <v>1083.908</v>
      </c>
      <c r="AB4" s="49">
        <f t="shared" ref="AB4:AB7" si="21">Z4+AA4</f>
        <v>6503.448</v>
      </c>
      <c r="AC4" s="42">
        <f t="shared" ref="AC4:AC207" si="22">D4*2.1</f>
        <v>5880</v>
      </c>
      <c r="AD4" s="49">
        <f t="shared" ref="AD4:AD207" si="23">AB4-AC4</f>
        <v>623.448</v>
      </c>
      <c r="AE4" s="49">
        <f t="shared" ref="AE4:AE207" si="24">AD4/AB4*100</f>
        <v>9.586422464</v>
      </c>
      <c r="AF4" s="47">
        <v>5850.0</v>
      </c>
      <c r="AG4" s="52">
        <f t="shared" ref="AG4:AG285" si="25">((AF4-L4)/L4)*100</f>
        <v>63.45347863</v>
      </c>
      <c r="AH4" s="53">
        <f t="shared" ref="AH4:AH207" si="26">AJ4-AF4</f>
        <v>-200</v>
      </c>
      <c r="AI4" s="54">
        <v>6690.0</v>
      </c>
      <c r="AJ4" s="54">
        <v>5650.0</v>
      </c>
      <c r="AK4" s="55">
        <f t="shared" ref="AK4:AK285" si="27">(AJ4-L4)/L4*100</f>
        <v>57.86532551</v>
      </c>
      <c r="AL4" s="55"/>
      <c r="AM4" s="55">
        <f t="shared" ref="AM4:AM11" si="28">(AH4/AJ4)*100</f>
        <v>-3.539823009</v>
      </c>
      <c r="AN4" s="55">
        <f t="shared" ref="AN4:AN207" si="29">AK4-AG4</f>
        <v>-5.588153115</v>
      </c>
      <c r="AO4" s="56">
        <f t="shared" ref="AO4:AO207" si="30">AJ4/L4</f>
        <v>1.578653255</v>
      </c>
      <c r="AP4" s="55">
        <f t="shared" ref="AP4:AP207" si="31">(AJ4-AB4)/100</f>
        <v>-8.53448</v>
      </c>
      <c r="AQ4" s="55">
        <f t="shared" ref="AQ4:AQ207" si="32">(AJ4-AC4)/100</f>
        <v>-2.3</v>
      </c>
      <c r="AR4" s="57">
        <f t="shared" ref="AR4:AS4" si="1">AI4/94</f>
        <v>71.17021277</v>
      </c>
      <c r="AS4" s="57">
        <f t="shared" si="1"/>
        <v>60.10638298</v>
      </c>
      <c r="AT4" s="58">
        <f t="shared" ref="AT4:AU4" si="2">AI4/24</f>
        <v>278.75</v>
      </c>
      <c r="AU4" s="58">
        <f t="shared" si="2"/>
        <v>235.4166667</v>
      </c>
      <c r="AV4" s="58">
        <f t="shared" ref="AV4:AW4" si="3">AI4/125</f>
        <v>53.52</v>
      </c>
      <c r="AW4" s="58">
        <f t="shared" si="3"/>
        <v>45.2</v>
      </c>
      <c r="AX4" s="47"/>
      <c r="AY4" s="47"/>
    </row>
    <row r="5">
      <c r="A5" s="42"/>
      <c r="B5" s="42" t="s">
        <v>56</v>
      </c>
      <c r="C5" s="42" t="s">
        <v>57</v>
      </c>
      <c r="D5" s="43">
        <v>2800.0</v>
      </c>
      <c r="E5" s="42">
        <v>0.0</v>
      </c>
      <c r="F5" s="44">
        <v>75.0</v>
      </c>
      <c r="G5" s="45">
        <v>9.206E7</v>
      </c>
      <c r="H5" s="46">
        <v>0.18</v>
      </c>
      <c r="I5" s="42">
        <f t="shared" si="4"/>
        <v>504</v>
      </c>
      <c r="J5" s="47"/>
      <c r="K5" s="44">
        <v>200.0</v>
      </c>
      <c r="L5" s="48">
        <f t="shared" si="5"/>
        <v>3579</v>
      </c>
      <c r="M5" s="42">
        <f t="shared" si="6"/>
        <v>28</v>
      </c>
      <c r="N5" s="49">
        <f t="shared" si="7"/>
        <v>286.32</v>
      </c>
      <c r="O5" s="49">
        <f t="shared" si="8"/>
        <v>357.9</v>
      </c>
      <c r="P5" s="49">
        <f t="shared" si="9"/>
        <v>178.95</v>
      </c>
      <c r="Q5" s="49">
        <f t="shared" si="10"/>
        <v>71.58</v>
      </c>
      <c r="R5" s="49">
        <f t="shared" si="11"/>
        <v>29.4</v>
      </c>
      <c r="S5" s="49">
        <f t="shared" si="12"/>
        <v>35.79</v>
      </c>
      <c r="T5" s="50">
        <f t="shared" si="13"/>
        <v>958.54</v>
      </c>
      <c r="U5" s="42">
        <f t="shared" si="14"/>
        <v>58.8</v>
      </c>
      <c r="V5" s="42">
        <f t="shared" si="15"/>
        <v>294</v>
      </c>
      <c r="W5" s="42">
        <f t="shared" si="16"/>
        <v>58.8</v>
      </c>
      <c r="X5" s="42">
        <f t="shared" si="17"/>
        <v>470.4</v>
      </c>
      <c r="Y5" s="42">
        <f t="shared" si="18"/>
        <v>882</v>
      </c>
      <c r="Z5" s="50">
        <f t="shared" si="19"/>
        <v>5419.54</v>
      </c>
      <c r="AA5" s="51">
        <f t="shared" si="20"/>
        <v>1083.908</v>
      </c>
      <c r="AB5" s="49">
        <f t="shared" si="21"/>
        <v>6503.448</v>
      </c>
      <c r="AC5" s="42">
        <f t="shared" si="22"/>
        <v>5880</v>
      </c>
      <c r="AD5" s="49">
        <f t="shared" si="23"/>
        <v>623.448</v>
      </c>
      <c r="AE5" s="49">
        <f t="shared" si="24"/>
        <v>9.586422464</v>
      </c>
      <c r="AF5" s="47">
        <v>5850.0</v>
      </c>
      <c r="AG5" s="52">
        <f t="shared" si="25"/>
        <v>63.45347863</v>
      </c>
      <c r="AH5" s="53">
        <f t="shared" si="26"/>
        <v>-200</v>
      </c>
      <c r="AI5" s="53">
        <f>AB5</f>
        <v>6503.448</v>
      </c>
      <c r="AJ5" s="54">
        <v>5650.0</v>
      </c>
      <c r="AK5" s="55">
        <f t="shared" si="27"/>
        <v>57.86532551</v>
      </c>
      <c r="AL5" s="55"/>
      <c r="AM5" s="55">
        <f t="shared" si="28"/>
        <v>-3.539823009</v>
      </c>
      <c r="AN5" s="55">
        <f t="shared" si="29"/>
        <v>-5.588153115</v>
      </c>
      <c r="AO5" s="56">
        <f t="shared" si="30"/>
        <v>1.578653255</v>
      </c>
      <c r="AP5" s="55">
        <f t="shared" si="31"/>
        <v>-8.53448</v>
      </c>
      <c r="AQ5" s="55">
        <f t="shared" si="32"/>
        <v>-2.3</v>
      </c>
      <c r="AR5" s="57">
        <f t="shared" ref="AR5:AS5" si="33">AI5/94</f>
        <v>69.18561702</v>
      </c>
      <c r="AS5" s="57">
        <f t="shared" si="33"/>
        <v>60.10638298</v>
      </c>
      <c r="AT5" s="58">
        <f t="shared" ref="AT5:AU5" si="34">AI5/24</f>
        <v>270.977</v>
      </c>
      <c r="AU5" s="58">
        <f t="shared" si="34"/>
        <v>235.4166667</v>
      </c>
      <c r="AV5" s="58">
        <f t="shared" ref="AV5:AW5" si="35">AI5/125</f>
        <v>52.027584</v>
      </c>
      <c r="AW5" s="58">
        <f t="shared" si="35"/>
        <v>45.2</v>
      </c>
      <c r="AX5" s="47"/>
      <c r="AY5" s="47"/>
    </row>
    <row r="6">
      <c r="A6" s="42"/>
      <c r="B6" s="42" t="s">
        <v>58</v>
      </c>
      <c r="C6" s="42" t="s">
        <v>59</v>
      </c>
      <c r="D6" s="43">
        <v>3800.0</v>
      </c>
      <c r="E6" s="42">
        <v>0.0</v>
      </c>
      <c r="F6" s="44">
        <v>75.0</v>
      </c>
      <c r="G6" s="45">
        <v>9.206E7</v>
      </c>
      <c r="H6" s="46">
        <v>0.18</v>
      </c>
      <c r="I6" s="42">
        <f t="shared" si="4"/>
        <v>684</v>
      </c>
      <c r="J6" s="47"/>
      <c r="K6" s="44">
        <v>200.0</v>
      </c>
      <c r="L6" s="48">
        <f t="shared" si="5"/>
        <v>4759</v>
      </c>
      <c r="M6" s="42">
        <f t="shared" si="6"/>
        <v>38</v>
      </c>
      <c r="N6" s="49">
        <f t="shared" si="7"/>
        <v>380.72</v>
      </c>
      <c r="O6" s="49">
        <f t="shared" si="8"/>
        <v>475.9</v>
      </c>
      <c r="P6" s="49">
        <f t="shared" si="9"/>
        <v>237.95</v>
      </c>
      <c r="Q6" s="49">
        <f t="shared" si="10"/>
        <v>95.18</v>
      </c>
      <c r="R6" s="49">
        <f t="shared" si="11"/>
        <v>39.9</v>
      </c>
      <c r="S6" s="49">
        <f t="shared" si="12"/>
        <v>47.59</v>
      </c>
      <c r="T6" s="50">
        <f t="shared" si="13"/>
        <v>1275.34</v>
      </c>
      <c r="U6" s="42">
        <f t="shared" si="14"/>
        <v>79.8</v>
      </c>
      <c r="V6" s="42">
        <f t="shared" si="15"/>
        <v>399</v>
      </c>
      <c r="W6" s="42">
        <f t="shared" si="16"/>
        <v>79.8</v>
      </c>
      <c r="X6" s="42">
        <f t="shared" si="17"/>
        <v>638.4</v>
      </c>
      <c r="Y6" s="42">
        <f t="shared" si="18"/>
        <v>1197</v>
      </c>
      <c r="Z6" s="50">
        <f t="shared" si="19"/>
        <v>7231.34</v>
      </c>
      <c r="AA6" s="51">
        <f t="shared" si="20"/>
        <v>1446.268</v>
      </c>
      <c r="AB6" s="49">
        <f t="shared" si="21"/>
        <v>8677.608</v>
      </c>
      <c r="AC6" s="42">
        <f t="shared" si="22"/>
        <v>7980</v>
      </c>
      <c r="AD6" s="49">
        <f t="shared" si="23"/>
        <v>697.608</v>
      </c>
      <c r="AE6" s="49">
        <f t="shared" si="24"/>
        <v>8.039173929</v>
      </c>
      <c r="AF6" s="47">
        <v>6750.0</v>
      </c>
      <c r="AG6" s="52">
        <f t="shared" si="25"/>
        <v>41.83652028</v>
      </c>
      <c r="AH6" s="53">
        <f t="shared" si="26"/>
        <v>200</v>
      </c>
      <c r="AI6" s="54">
        <v>7990.0</v>
      </c>
      <c r="AJ6" s="54">
        <v>6950.0</v>
      </c>
      <c r="AK6" s="55">
        <f t="shared" si="27"/>
        <v>46.03908384</v>
      </c>
      <c r="AL6" s="55"/>
      <c r="AM6" s="55">
        <f t="shared" si="28"/>
        <v>2.877697842</v>
      </c>
      <c r="AN6" s="55">
        <f t="shared" si="29"/>
        <v>4.202563564</v>
      </c>
      <c r="AO6" s="56">
        <f t="shared" si="30"/>
        <v>1.460390838</v>
      </c>
      <c r="AP6" s="55">
        <f t="shared" si="31"/>
        <v>-17.27608</v>
      </c>
      <c r="AQ6" s="55">
        <f t="shared" si="32"/>
        <v>-10.3</v>
      </c>
      <c r="AR6" s="57">
        <f t="shared" ref="AR6:AS6" si="36">AI6/94</f>
        <v>85</v>
      </c>
      <c r="AS6" s="57">
        <f t="shared" si="36"/>
        <v>73.93617021</v>
      </c>
      <c r="AT6" s="58">
        <f t="shared" ref="AT6:AU6" si="37">AI6/24</f>
        <v>332.9166667</v>
      </c>
      <c r="AU6" s="58">
        <f t="shared" si="37"/>
        <v>289.5833333</v>
      </c>
      <c r="AV6" s="58">
        <f t="shared" ref="AV6:AW6" si="38">AI6/125</f>
        <v>63.92</v>
      </c>
      <c r="AW6" s="58">
        <f t="shared" si="38"/>
        <v>55.6</v>
      </c>
      <c r="AX6" s="47"/>
      <c r="AY6" s="47"/>
    </row>
    <row r="7">
      <c r="A7" s="42"/>
      <c r="B7" s="42" t="s">
        <v>60</v>
      </c>
      <c r="C7" s="42" t="s">
        <v>61</v>
      </c>
      <c r="D7" s="43">
        <v>3800.0</v>
      </c>
      <c r="E7" s="42">
        <v>0.0</v>
      </c>
      <c r="F7" s="44">
        <v>75.0</v>
      </c>
      <c r="G7" s="45">
        <v>9.206E7</v>
      </c>
      <c r="H7" s="46">
        <v>0.18</v>
      </c>
      <c r="I7" s="42">
        <f t="shared" si="4"/>
        <v>684</v>
      </c>
      <c r="J7" s="47"/>
      <c r="K7" s="44">
        <v>200.0</v>
      </c>
      <c r="L7" s="48">
        <f t="shared" si="5"/>
        <v>4759</v>
      </c>
      <c r="M7" s="42">
        <f t="shared" si="6"/>
        <v>38</v>
      </c>
      <c r="N7" s="49">
        <f t="shared" si="7"/>
        <v>380.72</v>
      </c>
      <c r="O7" s="49">
        <f t="shared" si="8"/>
        <v>475.9</v>
      </c>
      <c r="P7" s="49">
        <f t="shared" si="9"/>
        <v>237.95</v>
      </c>
      <c r="Q7" s="49">
        <f t="shared" si="10"/>
        <v>95.18</v>
      </c>
      <c r="R7" s="49">
        <f t="shared" si="11"/>
        <v>39.9</v>
      </c>
      <c r="S7" s="49">
        <f t="shared" si="12"/>
        <v>47.59</v>
      </c>
      <c r="T7" s="50">
        <f t="shared" si="13"/>
        <v>1275.34</v>
      </c>
      <c r="U7" s="42">
        <f t="shared" si="14"/>
        <v>79.8</v>
      </c>
      <c r="V7" s="42">
        <f t="shared" si="15"/>
        <v>399</v>
      </c>
      <c r="W7" s="42">
        <f t="shared" si="16"/>
        <v>79.8</v>
      </c>
      <c r="X7" s="42">
        <f t="shared" si="17"/>
        <v>638.4</v>
      </c>
      <c r="Y7" s="42">
        <f t="shared" si="18"/>
        <v>1197</v>
      </c>
      <c r="Z7" s="50">
        <f t="shared" si="19"/>
        <v>7231.34</v>
      </c>
      <c r="AA7" s="51">
        <f t="shared" si="20"/>
        <v>1446.268</v>
      </c>
      <c r="AB7" s="49">
        <f t="shared" si="21"/>
        <v>8677.608</v>
      </c>
      <c r="AC7" s="42">
        <f t="shared" si="22"/>
        <v>7980</v>
      </c>
      <c r="AD7" s="49">
        <f t="shared" si="23"/>
        <v>697.608</v>
      </c>
      <c r="AE7" s="49">
        <f t="shared" si="24"/>
        <v>8.039173929</v>
      </c>
      <c r="AF7" s="47">
        <v>6750.0</v>
      </c>
      <c r="AG7" s="52">
        <f t="shared" si="25"/>
        <v>41.83652028</v>
      </c>
      <c r="AH7" s="53">
        <f t="shared" si="26"/>
        <v>200</v>
      </c>
      <c r="AI7" s="54">
        <v>9990.0</v>
      </c>
      <c r="AJ7" s="54">
        <v>6950.0</v>
      </c>
      <c r="AK7" s="55">
        <f t="shared" si="27"/>
        <v>46.03908384</v>
      </c>
      <c r="AL7" s="55"/>
      <c r="AM7" s="55">
        <f t="shared" si="28"/>
        <v>2.877697842</v>
      </c>
      <c r="AN7" s="55">
        <f t="shared" si="29"/>
        <v>4.202563564</v>
      </c>
      <c r="AO7" s="56">
        <f t="shared" si="30"/>
        <v>1.460390838</v>
      </c>
      <c r="AP7" s="55">
        <f t="shared" si="31"/>
        <v>-17.27608</v>
      </c>
      <c r="AQ7" s="55">
        <f t="shared" si="32"/>
        <v>-10.3</v>
      </c>
      <c r="AR7" s="57">
        <f t="shared" ref="AR7:AS7" si="39">AI7/94</f>
        <v>106.2765957</v>
      </c>
      <c r="AS7" s="57">
        <f t="shared" si="39"/>
        <v>73.93617021</v>
      </c>
      <c r="AT7" s="58">
        <f t="shared" ref="AT7:AU7" si="40">AI7/24</f>
        <v>416.25</v>
      </c>
      <c r="AU7" s="58">
        <f t="shared" si="40"/>
        <v>289.5833333</v>
      </c>
      <c r="AV7" s="58">
        <f t="shared" ref="AV7:AW7" si="41">AI7/125</f>
        <v>79.92</v>
      </c>
      <c r="AW7" s="58">
        <f t="shared" si="41"/>
        <v>55.6</v>
      </c>
      <c r="AX7" s="47"/>
      <c r="AY7" s="47"/>
    </row>
    <row r="8" ht="15.0" customHeight="1">
      <c r="A8" s="42" t="s">
        <v>62</v>
      </c>
      <c r="B8" s="42" t="s">
        <v>63</v>
      </c>
      <c r="C8" s="42" t="s">
        <v>64</v>
      </c>
      <c r="D8" s="43">
        <v>4200.0</v>
      </c>
      <c r="E8" s="42">
        <v>0.0</v>
      </c>
      <c r="F8" s="44">
        <v>75.0</v>
      </c>
      <c r="G8" s="45">
        <v>9.206E7</v>
      </c>
      <c r="H8" s="46">
        <v>0.18</v>
      </c>
      <c r="I8" s="42">
        <f t="shared" si="4"/>
        <v>756</v>
      </c>
      <c r="J8" s="42"/>
      <c r="K8" s="44">
        <v>200.0</v>
      </c>
      <c r="L8" s="48">
        <f t="shared" si="5"/>
        <v>5231</v>
      </c>
      <c r="M8" s="42">
        <f t="shared" si="6"/>
        <v>42</v>
      </c>
      <c r="N8" s="49">
        <f t="shared" si="7"/>
        <v>418.48</v>
      </c>
      <c r="O8" s="49">
        <f t="shared" si="8"/>
        <v>523.1</v>
      </c>
      <c r="P8" s="49">
        <f t="shared" si="9"/>
        <v>261.55</v>
      </c>
      <c r="Q8" s="49">
        <f t="shared" si="10"/>
        <v>104.62</v>
      </c>
      <c r="R8" s="49">
        <f>0.5%*AF8</f>
        <v>36.75</v>
      </c>
      <c r="S8" s="49">
        <f t="shared" si="12"/>
        <v>52.31</v>
      </c>
      <c r="T8" s="50">
        <f t="shared" si="13"/>
        <v>1402.06</v>
      </c>
      <c r="U8" s="42">
        <f t="shared" si="14"/>
        <v>88.2</v>
      </c>
      <c r="V8" s="42">
        <f t="shared" si="15"/>
        <v>441</v>
      </c>
      <c r="W8" s="42">
        <f t="shared" si="16"/>
        <v>88.2</v>
      </c>
      <c r="X8" s="42">
        <f t="shared" si="17"/>
        <v>705.6</v>
      </c>
      <c r="Y8" s="42">
        <f t="shared" si="18"/>
        <v>1323</v>
      </c>
      <c r="Z8" s="50">
        <f t="shared" si="19"/>
        <v>7956.06</v>
      </c>
      <c r="AA8" s="51">
        <f t="shared" si="20"/>
        <v>1591.212</v>
      </c>
      <c r="AB8" s="42">
        <v>8900.0</v>
      </c>
      <c r="AC8" s="42">
        <f t="shared" si="22"/>
        <v>8820</v>
      </c>
      <c r="AD8" s="49">
        <f t="shared" si="23"/>
        <v>80</v>
      </c>
      <c r="AE8" s="49">
        <f t="shared" si="24"/>
        <v>0.8988764045</v>
      </c>
      <c r="AF8" s="47">
        <v>7350.0</v>
      </c>
      <c r="AG8" s="52">
        <f t="shared" si="25"/>
        <v>40.50850698</v>
      </c>
      <c r="AH8" s="53">
        <f t="shared" si="26"/>
        <v>300</v>
      </c>
      <c r="AI8" s="53">
        <f>AB8</f>
        <v>8900</v>
      </c>
      <c r="AJ8" s="54">
        <v>7650.0</v>
      </c>
      <c r="AK8" s="55">
        <f t="shared" si="27"/>
        <v>46.24354808</v>
      </c>
      <c r="AL8" s="55"/>
      <c r="AM8" s="55">
        <f t="shared" si="28"/>
        <v>3.921568627</v>
      </c>
      <c r="AN8" s="55">
        <f t="shared" si="29"/>
        <v>5.735041101</v>
      </c>
      <c r="AO8" s="56">
        <f t="shared" si="30"/>
        <v>1.462435481</v>
      </c>
      <c r="AP8" s="55">
        <f t="shared" si="31"/>
        <v>-12.5</v>
      </c>
      <c r="AQ8" s="55">
        <f t="shared" si="32"/>
        <v>-11.7</v>
      </c>
      <c r="AR8" s="57">
        <f t="shared" ref="AR8:AS8" si="42">AI8/94</f>
        <v>94.68085106</v>
      </c>
      <c r="AS8" s="57">
        <f t="shared" si="42"/>
        <v>81.38297872</v>
      </c>
      <c r="AT8" s="58">
        <f t="shared" ref="AT8:AU8" si="43">AI8/24</f>
        <v>370.8333333</v>
      </c>
      <c r="AU8" s="58">
        <f t="shared" si="43"/>
        <v>318.75</v>
      </c>
      <c r="AV8" s="58">
        <f t="shared" ref="AV8:AW8" si="44">AI8/125</f>
        <v>71.2</v>
      </c>
      <c r="AW8" s="58">
        <f t="shared" si="44"/>
        <v>61.2</v>
      </c>
      <c r="AX8" s="47"/>
      <c r="AY8" s="47"/>
    </row>
    <row r="9">
      <c r="A9" s="42"/>
      <c r="B9" s="42" t="s">
        <v>65</v>
      </c>
      <c r="C9" s="42" t="s">
        <v>66</v>
      </c>
      <c r="D9" s="43">
        <v>4200.0</v>
      </c>
      <c r="E9" s="42">
        <v>0.0</v>
      </c>
      <c r="F9" s="44">
        <v>75.0</v>
      </c>
      <c r="G9" s="45">
        <v>9.206E7</v>
      </c>
      <c r="H9" s="46">
        <v>0.18</v>
      </c>
      <c r="I9" s="42">
        <f t="shared" si="4"/>
        <v>756</v>
      </c>
      <c r="J9" s="47"/>
      <c r="K9" s="44">
        <v>200.0</v>
      </c>
      <c r="L9" s="48">
        <f t="shared" si="5"/>
        <v>5231</v>
      </c>
      <c r="M9" s="42">
        <f t="shared" si="6"/>
        <v>42</v>
      </c>
      <c r="N9" s="49">
        <f t="shared" si="7"/>
        <v>418.48</v>
      </c>
      <c r="O9" s="49">
        <f t="shared" si="8"/>
        <v>523.1</v>
      </c>
      <c r="P9" s="49">
        <f t="shared" si="9"/>
        <v>261.55</v>
      </c>
      <c r="Q9" s="49">
        <f t="shared" si="10"/>
        <v>104.62</v>
      </c>
      <c r="R9" s="49">
        <f t="shared" ref="R9:R207" si="48">AC9*0.5%</f>
        <v>44.1</v>
      </c>
      <c r="S9" s="49">
        <f t="shared" si="12"/>
        <v>52.31</v>
      </c>
      <c r="T9" s="50">
        <f t="shared" si="13"/>
        <v>1402.06</v>
      </c>
      <c r="U9" s="42">
        <f t="shared" si="14"/>
        <v>88.2</v>
      </c>
      <c r="V9" s="42">
        <f t="shared" si="15"/>
        <v>441</v>
      </c>
      <c r="W9" s="42">
        <f t="shared" si="16"/>
        <v>88.2</v>
      </c>
      <c r="X9" s="42">
        <f t="shared" si="17"/>
        <v>705.6</v>
      </c>
      <c r="Y9" s="42">
        <f t="shared" si="18"/>
        <v>1323</v>
      </c>
      <c r="Z9" s="50">
        <f t="shared" si="19"/>
        <v>7956.06</v>
      </c>
      <c r="AA9" s="51">
        <f t="shared" si="20"/>
        <v>1591.212</v>
      </c>
      <c r="AB9" s="49">
        <f t="shared" ref="AB9:AB207" si="49">Z9+AA9</f>
        <v>9547.272</v>
      </c>
      <c r="AC9" s="42">
        <f t="shared" si="22"/>
        <v>8820</v>
      </c>
      <c r="AD9" s="49">
        <f t="shared" si="23"/>
        <v>727.272</v>
      </c>
      <c r="AE9" s="49">
        <f t="shared" si="24"/>
        <v>7.617589611</v>
      </c>
      <c r="AF9" s="47">
        <v>7350.0</v>
      </c>
      <c r="AG9" s="52">
        <f t="shared" si="25"/>
        <v>40.50850698</v>
      </c>
      <c r="AH9" s="53">
        <f t="shared" si="26"/>
        <v>300</v>
      </c>
      <c r="AI9" s="54">
        <v>9990.0</v>
      </c>
      <c r="AJ9" s="54">
        <v>7650.0</v>
      </c>
      <c r="AK9" s="55">
        <f t="shared" si="27"/>
        <v>46.24354808</v>
      </c>
      <c r="AL9" s="55"/>
      <c r="AM9" s="55">
        <f t="shared" si="28"/>
        <v>3.921568627</v>
      </c>
      <c r="AN9" s="55">
        <f t="shared" si="29"/>
        <v>5.735041101</v>
      </c>
      <c r="AO9" s="56">
        <f t="shared" si="30"/>
        <v>1.462435481</v>
      </c>
      <c r="AP9" s="55">
        <f t="shared" si="31"/>
        <v>-18.97272</v>
      </c>
      <c r="AQ9" s="55">
        <f t="shared" si="32"/>
        <v>-11.7</v>
      </c>
      <c r="AR9" s="57">
        <f t="shared" ref="AR9:AS9" si="45">AI9/94</f>
        <v>106.2765957</v>
      </c>
      <c r="AS9" s="57">
        <f t="shared" si="45"/>
        <v>81.38297872</v>
      </c>
      <c r="AT9" s="58">
        <f t="shared" ref="AT9:AU9" si="46">AI9/24</f>
        <v>416.25</v>
      </c>
      <c r="AU9" s="58">
        <f t="shared" si="46"/>
        <v>318.75</v>
      </c>
      <c r="AV9" s="58">
        <f t="shared" ref="AV9:AW9" si="47">AI9/125</f>
        <v>79.92</v>
      </c>
      <c r="AW9" s="58">
        <f t="shared" si="47"/>
        <v>61.2</v>
      </c>
      <c r="AX9" s="47"/>
      <c r="AY9" s="47"/>
    </row>
    <row r="10" ht="16.5" customHeight="1">
      <c r="A10" s="47"/>
      <c r="B10" s="42" t="s">
        <v>67</v>
      </c>
      <c r="C10" s="42" t="s">
        <v>68</v>
      </c>
      <c r="D10" s="43">
        <v>4700.0</v>
      </c>
      <c r="E10" s="42">
        <v>0.0</v>
      </c>
      <c r="F10" s="44">
        <v>75.0</v>
      </c>
      <c r="G10" s="45">
        <v>9.206E7</v>
      </c>
      <c r="H10" s="46">
        <v>0.18</v>
      </c>
      <c r="I10" s="42">
        <f t="shared" si="4"/>
        <v>846</v>
      </c>
      <c r="J10" s="47"/>
      <c r="K10" s="44">
        <v>200.0</v>
      </c>
      <c r="L10" s="48">
        <f t="shared" si="5"/>
        <v>5821</v>
      </c>
      <c r="M10" s="42">
        <f t="shared" si="6"/>
        <v>47</v>
      </c>
      <c r="N10" s="49">
        <f t="shared" si="7"/>
        <v>465.68</v>
      </c>
      <c r="O10" s="49">
        <f t="shared" si="8"/>
        <v>582.1</v>
      </c>
      <c r="P10" s="49">
        <f t="shared" si="9"/>
        <v>291.05</v>
      </c>
      <c r="Q10" s="49">
        <f t="shared" si="10"/>
        <v>116.42</v>
      </c>
      <c r="R10" s="49">
        <f t="shared" si="48"/>
        <v>49.35</v>
      </c>
      <c r="S10" s="49">
        <f t="shared" si="12"/>
        <v>58.21</v>
      </c>
      <c r="T10" s="50">
        <f t="shared" si="13"/>
        <v>1560.46</v>
      </c>
      <c r="U10" s="42">
        <f t="shared" si="14"/>
        <v>98.7</v>
      </c>
      <c r="V10" s="42">
        <f t="shared" si="15"/>
        <v>493.5</v>
      </c>
      <c r="W10" s="42">
        <f t="shared" si="16"/>
        <v>98.7</v>
      </c>
      <c r="X10" s="42">
        <f t="shared" si="17"/>
        <v>789.6</v>
      </c>
      <c r="Y10" s="42">
        <f t="shared" si="18"/>
        <v>1480.5</v>
      </c>
      <c r="Z10" s="50">
        <f t="shared" si="19"/>
        <v>8861.96</v>
      </c>
      <c r="AA10" s="51">
        <f t="shared" si="20"/>
        <v>1772.392</v>
      </c>
      <c r="AB10" s="49">
        <f t="shared" si="49"/>
        <v>10634.352</v>
      </c>
      <c r="AC10" s="42">
        <f t="shared" si="22"/>
        <v>9870</v>
      </c>
      <c r="AD10" s="49">
        <f t="shared" si="23"/>
        <v>764.352</v>
      </c>
      <c r="AE10" s="49">
        <f t="shared" si="24"/>
        <v>7.187574758</v>
      </c>
      <c r="AF10" s="47">
        <v>7850.0</v>
      </c>
      <c r="AG10" s="52">
        <f t="shared" si="25"/>
        <v>34.85655386</v>
      </c>
      <c r="AH10" s="53">
        <f t="shared" si="26"/>
        <v>700</v>
      </c>
      <c r="AI10" s="54">
        <v>9990.0</v>
      </c>
      <c r="AJ10" s="54">
        <v>8550.0</v>
      </c>
      <c r="AK10" s="55">
        <f t="shared" si="27"/>
        <v>46.88197904</v>
      </c>
      <c r="AL10" s="55"/>
      <c r="AM10" s="55">
        <f t="shared" si="28"/>
        <v>8.187134503</v>
      </c>
      <c r="AN10" s="55">
        <f t="shared" si="29"/>
        <v>12.02542518</v>
      </c>
      <c r="AO10" s="56">
        <f t="shared" si="30"/>
        <v>1.46881979</v>
      </c>
      <c r="AP10" s="55">
        <f t="shared" si="31"/>
        <v>-20.84352</v>
      </c>
      <c r="AQ10" s="55">
        <f t="shared" si="32"/>
        <v>-13.2</v>
      </c>
      <c r="AR10" s="57">
        <f t="shared" ref="AR10:AS10" si="50">AI10/94</f>
        <v>106.2765957</v>
      </c>
      <c r="AS10" s="57">
        <f t="shared" si="50"/>
        <v>90.95744681</v>
      </c>
      <c r="AT10" s="58">
        <f t="shared" ref="AT10:AU10" si="51">AI10/24</f>
        <v>416.25</v>
      </c>
      <c r="AU10" s="58">
        <f t="shared" si="51"/>
        <v>356.25</v>
      </c>
      <c r="AV10" s="58">
        <f t="shared" ref="AV10:AW10" si="52">AI10/125</f>
        <v>79.92</v>
      </c>
      <c r="AW10" s="58">
        <f t="shared" si="52"/>
        <v>68.4</v>
      </c>
      <c r="AX10" s="47"/>
      <c r="AY10" s="47"/>
    </row>
    <row r="11">
      <c r="A11" s="42"/>
      <c r="B11" s="42" t="s">
        <v>69</v>
      </c>
      <c r="C11" s="42" t="s">
        <v>70</v>
      </c>
      <c r="D11" s="43">
        <v>4700.0</v>
      </c>
      <c r="E11" s="42">
        <v>0.0</v>
      </c>
      <c r="F11" s="44">
        <v>75.0</v>
      </c>
      <c r="G11" s="45">
        <v>9.206E7</v>
      </c>
      <c r="H11" s="46">
        <v>0.18</v>
      </c>
      <c r="I11" s="42">
        <f t="shared" si="4"/>
        <v>846</v>
      </c>
      <c r="J11" s="47"/>
      <c r="K11" s="44">
        <v>200.0</v>
      </c>
      <c r="L11" s="48">
        <f t="shared" si="5"/>
        <v>5821</v>
      </c>
      <c r="M11" s="42">
        <f t="shared" si="6"/>
        <v>47</v>
      </c>
      <c r="N11" s="49">
        <f t="shared" si="7"/>
        <v>465.68</v>
      </c>
      <c r="O11" s="49">
        <f t="shared" si="8"/>
        <v>582.1</v>
      </c>
      <c r="P11" s="49">
        <f t="shared" si="9"/>
        <v>291.05</v>
      </c>
      <c r="Q11" s="49">
        <f t="shared" si="10"/>
        <v>116.42</v>
      </c>
      <c r="R11" s="49">
        <f t="shared" si="48"/>
        <v>49.35</v>
      </c>
      <c r="S11" s="49">
        <f t="shared" si="12"/>
        <v>58.21</v>
      </c>
      <c r="T11" s="50">
        <f t="shared" si="13"/>
        <v>1560.46</v>
      </c>
      <c r="U11" s="42">
        <f t="shared" si="14"/>
        <v>98.7</v>
      </c>
      <c r="V11" s="42">
        <f t="shared" si="15"/>
        <v>493.5</v>
      </c>
      <c r="W11" s="42">
        <f t="shared" si="16"/>
        <v>98.7</v>
      </c>
      <c r="X11" s="42">
        <f t="shared" si="17"/>
        <v>789.6</v>
      </c>
      <c r="Y11" s="42">
        <f t="shared" si="18"/>
        <v>1480.5</v>
      </c>
      <c r="Z11" s="50">
        <f t="shared" si="19"/>
        <v>8861.96</v>
      </c>
      <c r="AA11" s="51">
        <f t="shared" si="20"/>
        <v>1772.392</v>
      </c>
      <c r="AB11" s="49">
        <f t="shared" si="49"/>
        <v>10634.352</v>
      </c>
      <c r="AC11" s="42">
        <f t="shared" si="22"/>
        <v>9870</v>
      </c>
      <c r="AD11" s="49">
        <f t="shared" si="23"/>
        <v>764.352</v>
      </c>
      <c r="AE11" s="49">
        <f t="shared" si="24"/>
        <v>7.187574758</v>
      </c>
      <c r="AF11" s="47">
        <v>7850.0</v>
      </c>
      <c r="AG11" s="52">
        <f t="shared" si="25"/>
        <v>34.85655386</v>
      </c>
      <c r="AH11" s="53">
        <f t="shared" si="26"/>
        <v>700</v>
      </c>
      <c r="AI11" s="54">
        <v>10990.0</v>
      </c>
      <c r="AJ11" s="54">
        <v>8550.0</v>
      </c>
      <c r="AK11" s="55">
        <f t="shared" si="27"/>
        <v>46.88197904</v>
      </c>
      <c r="AL11" s="55"/>
      <c r="AM11" s="55">
        <f t="shared" si="28"/>
        <v>8.187134503</v>
      </c>
      <c r="AN11" s="55">
        <f t="shared" si="29"/>
        <v>12.02542518</v>
      </c>
      <c r="AO11" s="56">
        <f t="shared" si="30"/>
        <v>1.46881979</v>
      </c>
      <c r="AP11" s="55">
        <f t="shared" si="31"/>
        <v>-20.84352</v>
      </c>
      <c r="AQ11" s="55">
        <f t="shared" si="32"/>
        <v>-13.2</v>
      </c>
      <c r="AR11" s="57">
        <f t="shared" ref="AR11:AS11" si="53">AI11/94</f>
        <v>116.9148936</v>
      </c>
      <c r="AS11" s="57">
        <f t="shared" si="53"/>
        <v>90.95744681</v>
      </c>
      <c r="AT11" s="58">
        <f t="shared" ref="AT11:AU11" si="54">AI11/24</f>
        <v>457.9166667</v>
      </c>
      <c r="AU11" s="58">
        <f t="shared" si="54"/>
        <v>356.25</v>
      </c>
      <c r="AV11" s="58">
        <f t="shared" ref="AV11:AW11" si="55">AI11/125</f>
        <v>87.92</v>
      </c>
      <c r="AW11" s="58">
        <f t="shared" si="55"/>
        <v>68.4</v>
      </c>
      <c r="AX11" s="47"/>
      <c r="AY11" s="47"/>
    </row>
    <row r="12" ht="15.0" customHeight="1">
      <c r="A12" s="2" t="s">
        <v>71</v>
      </c>
      <c r="B12" s="1" t="s">
        <v>72</v>
      </c>
      <c r="C12" s="2" t="s">
        <v>73</v>
      </c>
      <c r="D12" s="10">
        <v>60.0</v>
      </c>
      <c r="F12" s="1">
        <v>60.0</v>
      </c>
      <c r="G12" s="10">
        <v>6.9091E7</v>
      </c>
      <c r="H12" s="59">
        <v>0.18</v>
      </c>
      <c r="I12" s="2">
        <f t="shared" si="4"/>
        <v>10.8</v>
      </c>
      <c r="K12" s="1">
        <v>20.0</v>
      </c>
      <c r="L12" s="4">
        <f t="shared" si="5"/>
        <v>150.8</v>
      </c>
      <c r="M12" s="2">
        <f t="shared" si="6"/>
        <v>0.6</v>
      </c>
      <c r="N12" s="12">
        <f t="shared" si="7"/>
        <v>12.064</v>
      </c>
      <c r="O12" s="12">
        <f t="shared" si="8"/>
        <v>15.08</v>
      </c>
      <c r="P12" s="12">
        <f t="shared" si="9"/>
        <v>7.54</v>
      </c>
      <c r="Q12" s="12">
        <f t="shared" si="10"/>
        <v>3.016</v>
      </c>
      <c r="R12" s="12">
        <f t="shared" si="48"/>
        <v>0.63</v>
      </c>
      <c r="S12" s="12">
        <f t="shared" si="12"/>
        <v>1.508</v>
      </c>
      <c r="T12" s="60">
        <f t="shared" si="13"/>
        <v>39.808</v>
      </c>
      <c r="U12" s="2">
        <f t="shared" si="14"/>
        <v>1.26</v>
      </c>
      <c r="V12" s="42">
        <f t="shared" si="15"/>
        <v>6.3</v>
      </c>
      <c r="W12" s="2">
        <f t="shared" si="16"/>
        <v>1.26</v>
      </c>
      <c r="X12" s="2">
        <f t="shared" si="17"/>
        <v>10.08</v>
      </c>
      <c r="Y12" s="2">
        <f t="shared" si="18"/>
        <v>18.9</v>
      </c>
      <c r="Z12" s="60">
        <f t="shared" si="19"/>
        <v>209.508</v>
      </c>
      <c r="AA12" s="11">
        <f t="shared" si="20"/>
        <v>41.9016</v>
      </c>
      <c r="AB12" s="12">
        <f t="shared" si="49"/>
        <v>251.4096</v>
      </c>
      <c r="AC12" s="2">
        <f t="shared" si="22"/>
        <v>126</v>
      </c>
      <c r="AD12" s="12">
        <f t="shared" si="23"/>
        <v>125.4096</v>
      </c>
      <c r="AE12" s="12">
        <f t="shared" si="24"/>
        <v>49.88258205</v>
      </c>
      <c r="AF12" s="61">
        <v>245.0</v>
      </c>
      <c r="AG12" s="62">
        <f t="shared" si="25"/>
        <v>62.4668435</v>
      </c>
      <c r="AH12" s="63">
        <f t="shared" si="26"/>
        <v>30</v>
      </c>
      <c r="AI12" s="64">
        <f t="shared" ref="AI12:AI16" si="59">AB12</f>
        <v>251.4096</v>
      </c>
      <c r="AJ12" s="65">
        <v>275.0</v>
      </c>
      <c r="AK12" s="66">
        <f t="shared" si="27"/>
        <v>82.36074271</v>
      </c>
      <c r="AL12" s="66"/>
      <c r="AM12" s="14">
        <f t="shared" ref="AM12:AM19" si="60">AH12/AJ12%</f>
        <v>10.90909091</v>
      </c>
      <c r="AN12" s="67">
        <f t="shared" si="29"/>
        <v>19.8938992</v>
      </c>
      <c r="AO12" s="68">
        <f t="shared" si="30"/>
        <v>1.823607427</v>
      </c>
      <c r="AP12" s="69">
        <f t="shared" si="31"/>
        <v>0.235904</v>
      </c>
      <c r="AQ12" s="70">
        <f t="shared" si="32"/>
        <v>1.49</v>
      </c>
      <c r="AR12" s="71">
        <f t="shared" ref="AR12:AS12" si="56">AI12/94</f>
        <v>2.674570213</v>
      </c>
      <c r="AS12" s="71">
        <f t="shared" si="56"/>
        <v>2.925531915</v>
      </c>
      <c r="AT12" s="72">
        <f t="shared" ref="AT12:AU12" si="57">AI12/24</f>
        <v>10.4754</v>
      </c>
      <c r="AU12" s="72">
        <f t="shared" si="57"/>
        <v>11.45833333</v>
      </c>
      <c r="AV12" s="73">
        <f t="shared" ref="AV12:AW12" si="58">AI12/125</f>
        <v>2.0112768</v>
      </c>
      <c r="AW12" s="73">
        <f t="shared" si="58"/>
        <v>2.2</v>
      </c>
    </row>
    <row r="13" ht="15.75" customHeight="1">
      <c r="A13" s="2"/>
      <c r="B13" s="2" t="s">
        <v>74</v>
      </c>
      <c r="C13" s="2" t="s">
        <v>75</v>
      </c>
      <c r="D13" s="10">
        <v>60.0</v>
      </c>
      <c r="F13" s="1">
        <v>60.0</v>
      </c>
      <c r="G13" s="10">
        <v>6.9091E7</v>
      </c>
      <c r="H13" s="59">
        <v>0.18</v>
      </c>
      <c r="I13" s="2">
        <f t="shared" si="4"/>
        <v>10.8</v>
      </c>
      <c r="K13" s="1">
        <v>20.0</v>
      </c>
      <c r="L13" s="4">
        <f t="shared" si="5"/>
        <v>150.8</v>
      </c>
      <c r="M13" s="2">
        <f t="shared" si="6"/>
        <v>0.6</v>
      </c>
      <c r="N13" s="12">
        <f t="shared" si="7"/>
        <v>12.064</v>
      </c>
      <c r="O13" s="12">
        <f t="shared" si="8"/>
        <v>15.08</v>
      </c>
      <c r="P13" s="12">
        <f t="shared" si="9"/>
        <v>7.54</v>
      </c>
      <c r="Q13" s="12">
        <f t="shared" si="10"/>
        <v>3.016</v>
      </c>
      <c r="R13" s="12">
        <f t="shared" si="48"/>
        <v>0.63</v>
      </c>
      <c r="S13" s="12">
        <f t="shared" si="12"/>
        <v>1.508</v>
      </c>
      <c r="T13" s="60">
        <f t="shared" si="13"/>
        <v>39.808</v>
      </c>
      <c r="U13" s="2">
        <f t="shared" si="14"/>
        <v>1.26</v>
      </c>
      <c r="V13" s="42">
        <f t="shared" si="15"/>
        <v>6.3</v>
      </c>
      <c r="W13" s="2">
        <f t="shared" si="16"/>
        <v>1.26</v>
      </c>
      <c r="X13" s="2">
        <f t="shared" si="17"/>
        <v>10.08</v>
      </c>
      <c r="Y13" s="2">
        <f t="shared" si="18"/>
        <v>18.9</v>
      </c>
      <c r="Z13" s="60">
        <f t="shared" si="19"/>
        <v>209.508</v>
      </c>
      <c r="AA13" s="11">
        <f t="shared" si="20"/>
        <v>41.9016</v>
      </c>
      <c r="AB13" s="12">
        <f t="shared" si="49"/>
        <v>251.4096</v>
      </c>
      <c r="AC13" s="2">
        <f t="shared" si="22"/>
        <v>126</v>
      </c>
      <c r="AD13" s="12">
        <f t="shared" si="23"/>
        <v>125.4096</v>
      </c>
      <c r="AE13" s="12">
        <f t="shared" si="24"/>
        <v>49.88258205</v>
      </c>
      <c r="AF13" s="61">
        <v>245.0</v>
      </c>
      <c r="AG13" s="62">
        <f t="shared" si="25"/>
        <v>62.4668435</v>
      </c>
      <c r="AH13" s="63">
        <f t="shared" si="26"/>
        <v>30</v>
      </c>
      <c r="AI13" s="64">
        <f t="shared" si="59"/>
        <v>251.4096</v>
      </c>
      <c r="AJ13" s="65">
        <v>275.0</v>
      </c>
      <c r="AK13" s="66">
        <f t="shared" si="27"/>
        <v>82.36074271</v>
      </c>
      <c r="AL13" s="66"/>
      <c r="AM13" s="14">
        <f t="shared" si="60"/>
        <v>10.90909091</v>
      </c>
      <c r="AN13" s="67">
        <f t="shared" si="29"/>
        <v>19.8938992</v>
      </c>
      <c r="AO13" s="68">
        <f t="shared" si="30"/>
        <v>1.823607427</v>
      </c>
      <c r="AP13" s="69">
        <f t="shared" si="31"/>
        <v>0.235904</v>
      </c>
      <c r="AQ13" s="70">
        <f t="shared" si="32"/>
        <v>1.49</v>
      </c>
      <c r="AR13" s="71">
        <f t="shared" ref="AR13:AS13" si="61">AI13/94</f>
        <v>2.674570213</v>
      </c>
      <c r="AS13" s="71">
        <f t="shared" si="61"/>
        <v>2.925531915</v>
      </c>
      <c r="AT13" s="72">
        <f t="shared" ref="AT13:AU13" si="62">AI13/24</f>
        <v>10.4754</v>
      </c>
      <c r="AU13" s="72">
        <f t="shared" si="62"/>
        <v>11.45833333</v>
      </c>
      <c r="AV13" s="73">
        <f t="shared" ref="AV13:AW13" si="63">AI13/125</f>
        <v>2.0112768</v>
      </c>
      <c r="AW13" s="73">
        <f t="shared" si="63"/>
        <v>2.2</v>
      </c>
    </row>
    <row r="14" ht="15.75" customHeight="1">
      <c r="A14" s="2"/>
      <c r="B14" s="2" t="s">
        <v>76</v>
      </c>
      <c r="C14" s="2" t="s">
        <v>77</v>
      </c>
      <c r="D14" s="10">
        <v>60.0</v>
      </c>
      <c r="F14" s="1">
        <v>60.0</v>
      </c>
      <c r="G14" s="10">
        <v>6.9091E7</v>
      </c>
      <c r="H14" s="59">
        <v>0.18</v>
      </c>
      <c r="I14" s="2">
        <f t="shared" si="4"/>
        <v>10.8</v>
      </c>
      <c r="K14" s="1">
        <v>20.0</v>
      </c>
      <c r="L14" s="4">
        <f t="shared" si="5"/>
        <v>150.8</v>
      </c>
      <c r="M14" s="2">
        <f t="shared" si="6"/>
        <v>0.6</v>
      </c>
      <c r="N14" s="12">
        <f t="shared" si="7"/>
        <v>12.064</v>
      </c>
      <c r="O14" s="12">
        <f t="shared" si="8"/>
        <v>15.08</v>
      </c>
      <c r="P14" s="12">
        <f t="shared" si="9"/>
        <v>7.54</v>
      </c>
      <c r="Q14" s="12">
        <f t="shared" si="10"/>
        <v>3.016</v>
      </c>
      <c r="R14" s="12">
        <f t="shared" si="48"/>
        <v>0.63</v>
      </c>
      <c r="S14" s="12">
        <f t="shared" si="12"/>
        <v>1.508</v>
      </c>
      <c r="T14" s="60">
        <f t="shared" si="13"/>
        <v>39.808</v>
      </c>
      <c r="U14" s="2">
        <f t="shared" si="14"/>
        <v>1.26</v>
      </c>
      <c r="V14" s="42">
        <f t="shared" si="15"/>
        <v>6.3</v>
      </c>
      <c r="W14" s="2">
        <f t="shared" si="16"/>
        <v>1.26</v>
      </c>
      <c r="X14" s="2">
        <f t="shared" si="17"/>
        <v>10.08</v>
      </c>
      <c r="Y14" s="2">
        <f t="shared" si="18"/>
        <v>18.9</v>
      </c>
      <c r="Z14" s="60">
        <f t="shared" si="19"/>
        <v>209.508</v>
      </c>
      <c r="AA14" s="11">
        <f t="shared" si="20"/>
        <v>41.9016</v>
      </c>
      <c r="AB14" s="12">
        <f t="shared" si="49"/>
        <v>251.4096</v>
      </c>
      <c r="AC14" s="2">
        <f t="shared" si="22"/>
        <v>126</v>
      </c>
      <c r="AD14" s="12">
        <f t="shared" si="23"/>
        <v>125.4096</v>
      </c>
      <c r="AE14" s="12">
        <f t="shared" si="24"/>
        <v>49.88258205</v>
      </c>
      <c r="AF14" s="61">
        <v>245.0</v>
      </c>
      <c r="AG14" s="62">
        <f t="shared" si="25"/>
        <v>62.4668435</v>
      </c>
      <c r="AH14" s="63">
        <f t="shared" si="26"/>
        <v>30</v>
      </c>
      <c r="AI14" s="64">
        <f t="shared" si="59"/>
        <v>251.4096</v>
      </c>
      <c r="AJ14" s="65">
        <v>275.0</v>
      </c>
      <c r="AK14" s="66">
        <f t="shared" si="27"/>
        <v>82.36074271</v>
      </c>
      <c r="AL14" s="66"/>
      <c r="AM14" s="14">
        <f t="shared" si="60"/>
        <v>10.90909091</v>
      </c>
      <c r="AN14" s="67">
        <f t="shared" si="29"/>
        <v>19.8938992</v>
      </c>
      <c r="AO14" s="68">
        <f t="shared" si="30"/>
        <v>1.823607427</v>
      </c>
      <c r="AP14" s="69">
        <f t="shared" si="31"/>
        <v>0.235904</v>
      </c>
      <c r="AQ14" s="70">
        <f t="shared" si="32"/>
        <v>1.49</v>
      </c>
      <c r="AR14" s="71">
        <f t="shared" ref="AR14:AS14" si="64">AI14/94</f>
        <v>2.674570213</v>
      </c>
      <c r="AS14" s="71">
        <f t="shared" si="64"/>
        <v>2.925531915</v>
      </c>
      <c r="AT14" s="72">
        <f t="shared" ref="AT14:AU14" si="65">AI14/24</f>
        <v>10.4754</v>
      </c>
      <c r="AU14" s="72">
        <f t="shared" si="65"/>
        <v>11.45833333</v>
      </c>
      <c r="AV14" s="73">
        <f t="shared" ref="AV14:AW14" si="66">AI14/125</f>
        <v>2.0112768</v>
      </c>
      <c r="AW14" s="73">
        <f t="shared" si="66"/>
        <v>2.2</v>
      </c>
    </row>
    <row r="15" ht="15.75" customHeight="1">
      <c r="A15" s="2"/>
      <c r="B15" s="2" t="s">
        <v>78</v>
      </c>
      <c r="C15" s="2" t="s">
        <v>79</v>
      </c>
      <c r="D15" s="10">
        <v>60.0</v>
      </c>
      <c r="F15" s="1">
        <v>60.0</v>
      </c>
      <c r="G15" s="10">
        <v>6.9091E7</v>
      </c>
      <c r="H15" s="59">
        <v>0.18</v>
      </c>
      <c r="I15" s="2">
        <f t="shared" si="4"/>
        <v>10.8</v>
      </c>
      <c r="K15" s="1">
        <v>20.0</v>
      </c>
      <c r="L15" s="4">
        <f t="shared" si="5"/>
        <v>150.8</v>
      </c>
      <c r="M15" s="2">
        <f t="shared" si="6"/>
        <v>0.6</v>
      </c>
      <c r="N15" s="12">
        <f t="shared" si="7"/>
        <v>12.064</v>
      </c>
      <c r="O15" s="12">
        <f t="shared" si="8"/>
        <v>15.08</v>
      </c>
      <c r="P15" s="12">
        <f t="shared" si="9"/>
        <v>7.54</v>
      </c>
      <c r="Q15" s="12">
        <f t="shared" si="10"/>
        <v>3.016</v>
      </c>
      <c r="R15" s="12">
        <f t="shared" si="48"/>
        <v>0.63</v>
      </c>
      <c r="S15" s="12">
        <f t="shared" si="12"/>
        <v>1.508</v>
      </c>
      <c r="T15" s="60">
        <f t="shared" si="13"/>
        <v>39.808</v>
      </c>
      <c r="U15" s="2">
        <f t="shared" si="14"/>
        <v>1.26</v>
      </c>
      <c r="V15" s="42">
        <f t="shared" si="15"/>
        <v>6.3</v>
      </c>
      <c r="W15" s="2">
        <f t="shared" si="16"/>
        <v>1.26</v>
      </c>
      <c r="X15" s="2">
        <f t="shared" si="17"/>
        <v>10.08</v>
      </c>
      <c r="Y15" s="2">
        <f t="shared" si="18"/>
        <v>18.9</v>
      </c>
      <c r="Z15" s="60">
        <f t="shared" si="19"/>
        <v>209.508</v>
      </c>
      <c r="AA15" s="11">
        <f t="shared" si="20"/>
        <v>41.9016</v>
      </c>
      <c r="AB15" s="12">
        <f t="shared" si="49"/>
        <v>251.4096</v>
      </c>
      <c r="AC15" s="2">
        <f t="shared" si="22"/>
        <v>126</v>
      </c>
      <c r="AD15" s="12">
        <f t="shared" si="23"/>
        <v>125.4096</v>
      </c>
      <c r="AE15" s="12">
        <f t="shared" si="24"/>
        <v>49.88258205</v>
      </c>
      <c r="AF15" s="61">
        <v>245.0</v>
      </c>
      <c r="AG15" s="62">
        <f t="shared" si="25"/>
        <v>62.4668435</v>
      </c>
      <c r="AH15" s="63">
        <f t="shared" si="26"/>
        <v>30</v>
      </c>
      <c r="AI15" s="64">
        <f t="shared" si="59"/>
        <v>251.4096</v>
      </c>
      <c r="AJ15" s="65">
        <v>275.0</v>
      </c>
      <c r="AK15" s="66">
        <f t="shared" si="27"/>
        <v>82.36074271</v>
      </c>
      <c r="AL15" s="66"/>
      <c r="AM15" s="14">
        <f t="shared" si="60"/>
        <v>10.90909091</v>
      </c>
      <c r="AN15" s="67">
        <f t="shared" si="29"/>
        <v>19.8938992</v>
      </c>
      <c r="AO15" s="68">
        <f t="shared" si="30"/>
        <v>1.823607427</v>
      </c>
      <c r="AP15" s="69">
        <f t="shared" si="31"/>
        <v>0.235904</v>
      </c>
      <c r="AQ15" s="70">
        <f t="shared" si="32"/>
        <v>1.49</v>
      </c>
      <c r="AR15" s="71">
        <f t="shared" ref="AR15:AS15" si="67">AI15/94</f>
        <v>2.674570213</v>
      </c>
      <c r="AS15" s="71">
        <f t="shared" si="67"/>
        <v>2.925531915</v>
      </c>
      <c r="AT15" s="72">
        <f t="shared" ref="AT15:AU15" si="68">AI15/24</f>
        <v>10.4754</v>
      </c>
      <c r="AU15" s="72">
        <f t="shared" si="68"/>
        <v>11.45833333</v>
      </c>
      <c r="AV15" s="73">
        <f t="shared" ref="AV15:AW15" si="69">AI15/125</f>
        <v>2.0112768</v>
      </c>
      <c r="AW15" s="73">
        <f t="shared" si="69"/>
        <v>2.2</v>
      </c>
    </row>
    <row r="16" ht="15.75" customHeight="1">
      <c r="A16" s="2"/>
      <c r="B16" s="2" t="s">
        <v>80</v>
      </c>
      <c r="C16" s="2" t="s">
        <v>81</v>
      </c>
      <c r="D16" s="10">
        <v>60.0</v>
      </c>
      <c r="F16" s="1">
        <v>60.0</v>
      </c>
      <c r="G16" s="10">
        <v>6.9091E7</v>
      </c>
      <c r="H16" s="59">
        <v>0.18</v>
      </c>
      <c r="I16" s="2">
        <f t="shared" si="4"/>
        <v>10.8</v>
      </c>
      <c r="K16" s="1">
        <v>20.0</v>
      </c>
      <c r="L16" s="4">
        <f t="shared" si="5"/>
        <v>150.8</v>
      </c>
      <c r="M16" s="2">
        <f t="shared" si="6"/>
        <v>0.6</v>
      </c>
      <c r="N16" s="12">
        <f t="shared" si="7"/>
        <v>12.064</v>
      </c>
      <c r="O16" s="12">
        <f t="shared" si="8"/>
        <v>15.08</v>
      </c>
      <c r="P16" s="12">
        <f t="shared" si="9"/>
        <v>7.54</v>
      </c>
      <c r="Q16" s="12">
        <f t="shared" si="10"/>
        <v>3.016</v>
      </c>
      <c r="R16" s="12">
        <f t="shared" si="48"/>
        <v>0.63</v>
      </c>
      <c r="S16" s="12">
        <f t="shared" si="12"/>
        <v>1.508</v>
      </c>
      <c r="T16" s="60">
        <f t="shared" si="13"/>
        <v>39.808</v>
      </c>
      <c r="U16" s="2">
        <f t="shared" si="14"/>
        <v>1.26</v>
      </c>
      <c r="V16" s="42">
        <f t="shared" si="15"/>
        <v>6.3</v>
      </c>
      <c r="W16" s="2">
        <f t="shared" si="16"/>
        <v>1.26</v>
      </c>
      <c r="X16" s="2">
        <f t="shared" si="17"/>
        <v>10.08</v>
      </c>
      <c r="Y16" s="2">
        <f t="shared" si="18"/>
        <v>18.9</v>
      </c>
      <c r="Z16" s="60">
        <f t="shared" si="19"/>
        <v>209.508</v>
      </c>
      <c r="AA16" s="11">
        <f t="shared" si="20"/>
        <v>41.9016</v>
      </c>
      <c r="AB16" s="12">
        <f t="shared" si="49"/>
        <v>251.4096</v>
      </c>
      <c r="AC16" s="2">
        <f t="shared" si="22"/>
        <v>126</v>
      </c>
      <c r="AD16" s="12">
        <f t="shared" si="23"/>
        <v>125.4096</v>
      </c>
      <c r="AE16" s="12">
        <f t="shared" si="24"/>
        <v>49.88258205</v>
      </c>
      <c r="AF16" s="61">
        <v>245.0</v>
      </c>
      <c r="AG16" s="62">
        <f t="shared" si="25"/>
        <v>62.4668435</v>
      </c>
      <c r="AH16" s="63">
        <f t="shared" si="26"/>
        <v>30</v>
      </c>
      <c r="AI16" s="64">
        <f t="shared" si="59"/>
        <v>251.4096</v>
      </c>
      <c r="AJ16" s="65">
        <v>275.0</v>
      </c>
      <c r="AK16" s="66">
        <f t="shared" si="27"/>
        <v>82.36074271</v>
      </c>
      <c r="AL16" s="66"/>
      <c r="AM16" s="14">
        <f t="shared" si="60"/>
        <v>10.90909091</v>
      </c>
      <c r="AN16" s="67">
        <f t="shared" si="29"/>
        <v>19.8938992</v>
      </c>
      <c r="AO16" s="68">
        <f t="shared" si="30"/>
        <v>1.823607427</v>
      </c>
      <c r="AP16" s="69">
        <f t="shared" si="31"/>
        <v>0.235904</v>
      </c>
      <c r="AQ16" s="70">
        <f t="shared" si="32"/>
        <v>1.49</v>
      </c>
      <c r="AR16" s="71">
        <f t="shared" ref="AR16:AS16" si="70">AI16/94</f>
        <v>2.674570213</v>
      </c>
      <c r="AS16" s="71">
        <f t="shared" si="70"/>
        <v>2.925531915</v>
      </c>
      <c r="AT16" s="72">
        <f t="shared" ref="AT16:AU16" si="71">AI16/24</f>
        <v>10.4754</v>
      </c>
      <c r="AU16" s="72">
        <f t="shared" si="71"/>
        <v>11.45833333</v>
      </c>
      <c r="AV16" s="73">
        <f t="shared" ref="AV16:AW16" si="72">AI16/125</f>
        <v>2.0112768</v>
      </c>
      <c r="AW16" s="73">
        <f t="shared" si="72"/>
        <v>2.2</v>
      </c>
    </row>
    <row r="17" ht="15.75" customHeight="1">
      <c r="A17" s="2" t="s">
        <v>82</v>
      </c>
      <c r="B17" s="2" t="s">
        <v>83</v>
      </c>
      <c r="C17" s="2" t="s">
        <v>84</v>
      </c>
      <c r="D17" s="10">
        <v>49.0</v>
      </c>
      <c r="F17" s="1">
        <v>30.0</v>
      </c>
      <c r="G17" s="74">
        <v>4.909009E7</v>
      </c>
      <c r="H17" s="59">
        <v>0.05</v>
      </c>
      <c r="I17" s="2">
        <f t="shared" si="4"/>
        <v>2.45</v>
      </c>
      <c r="K17" s="1">
        <v>2.0</v>
      </c>
      <c r="L17" s="4">
        <f t="shared" si="5"/>
        <v>83.45</v>
      </c>
      <c r="M17" s="2">
        <f t="shared" si="6"/>
        <v>0.49</v>
      </c>
      <c r="N17" s="12">
        <f t="shared" si="7"/>
        <v>6.676</v>
      </c>
      <c r="O17" s="12">
        <f t="shared" si="8"/>
        <v>8.345</v>
      </c>
      <c r="P17" s="12">
        <f t="shared" si="9"/>
        <v>4.1725</v>
      </c>
      <c r="Q17" s="12">
        <f t="shared" si="10"/>
        <v>1.669</v>
      </c>
      <c r="R17" s="12">
        <f t="shared" si="48"/>
        <v>0.5145</v>
      </c>
      <c r="S17" s="12">
        <f t="shared" si="12"/>
        <v>0.8345</v>
      </c>
      <c r="T17" s="60">
        <f t="shared" si="13"/>
        <v>22.187</v>
      </c>
      <c r="U17" s="2">
        <f t="shared" si="14"/>
        <v>1.029</v>
      </c>
      <c r="V17" s="42">
        <f t="shared" si="15"/>
        <v>5.145</v>
      </c>
      <c r="W17" s="2">
        <f t="shared" si="16"/>
        <v>1.029</v>
      </c>
      <c r="X17" s="2">
        <f t="shared" si="17"/>
        <v>8.232</v>
      </c>
      <c r="Y17" s="2">
        <f t="shared" si="18"/>
        <v>15.435</v>
      </c>
      <c r="Z17" s="60">
        <f t="shared" si="19"/>
        <v>121.072</v>
      </c>
      <c r="AA17" s="11">
        <f t="shared" si="20"/>
        <v>24.2144</v>
      </c>
      <c r="AB17" s="12">
        <f t="shared" si="49"/>
        <v>145.2864</v>
      </c>
      <c r="AC17" s="2">
        <f t="shared" si="22"/>
        <v>102.9</v>
      </c>
      <c r="AD17" s="12">
        <f t="shared" si="23"/>
        <v>42.3864</v>
      </c>
      <c r="AE17" s="12">
        <f t="shared" si="24"/>
        <v>29.17437558</v>
      </c>
      <c r="AF17" s="61">
        <v>165.0</v>
      </c>
      <c r="AG17" s="62">
        <f t="shared" si="25"/>
        <v>97.72318754</v>
      </c>
      <c r="AH17" s="63">
        <f t="shared" si="26"/>
        <v>0</v>
      </c>
      <c r="AI17" s="64">
        <v>210.0</v>
      </c>
      <c r="AJ17" s="61">
        <v>165.0</v>
      </c>
      <c r="AK17" s="66">
        <f t="shared" si="27"/>
        <v>97.72318754</v>
      </c>
      <c r="AL17" s="66"/>
      <c r="AM17" s="14">
        <f t="shared" si="60"/>
        <v>0</v>
      </c>
      <c r="AN17" s="67">
        <f t="shared" si="29"/>
        <v>0</v>
      </c>
      <c r="AO17" s="68">
        <f t="shared" si="30"/>
        <v>1.977231875</v>
      </c>
      <c r="AP17" s="69">
        <f t="shared" si="31"/>
        <v>0.197136</v>
      </c>
      <c r="AQ17" s="70">
        <f t="shared" si="32"/>
        <v>0.621</v>
      </c>
      <c r="AR17" s="71">
        <f t="shared" ref="AR17:AS17" si="73">AI17/94</f>
        <v>2.234042553</v>
      </c>
      <c r="AS17" s="71">
        <f t="shared" si="73"/>
        <v>1.755319149</v>
      </c>
      <c r="AT17" s="72">
        <f t="shared" ref="AT17:AU17" si="74">AI17/24</f>
        <v>8.75</v>
      </c>
      <c r="AU17" s="72">
        <f t="shared" si="74"/>
        <v>6.875</v>
      </c>
      <c r="AV17" s="73">
        <f t="shared" ref="AV17:AW17" si="75">AI17/125</f>
        <v>1.68</v>
      </c>
      <c r="AW17" s="73">
        <f t="shared" si="75"/>
        <v>1.32</v>
      </c>
    </row>
    <row r="18" ht="15.75" customHeight="1">
      <c r="A18" s="2"/>
      <c r="B18" s="2" t="s">
        <v>85</v>
      </c>
      <c r="C18" s="2" t="s">
        <v>86</v>
      </c>
      <c r="D18" s="10">
        <v>98.0</v>
      </c>
      <c r="F18" s="1">
        <v>30.0</v>
      </c>
      <c r="G18" s="74">
        <v>4.909009E7</v>
      </c>
      <c r="H18" s="59">
        <v>0.05</v>
      </c>
      <c r="I18" s="2">
        <f t="shared" si="4"/>
        <v>4.9</v>
      </c>
      <c r="K18" s="1">
        <v>2.0</v>
      </c>
      <c r="L18" s="4">
        <f t="shared" si="5"/>
        <v>134.9</v>
      </c>
      <c r="M18" s="2">
        <f t="shared" si="6"/>
        <v>0.98</v>
      </c>
      <c r="N18" s="12">
        <f t="shared" si="7"/>
        <v>10.792</v>
      </c>
      <c r="O18" s="12">
        <f t="shared" si="8"/>
        <v>13.49</v>
      </c>
      <c r="P18" s="12">
        <f t="shared" si="9"/>
        <v>6.745</v>
      </c>
      <c r="Q18" s="12">
        <f t="shared" si="10"/>
        <v>2.698</v>
      </c>
      <c r="R18" s="12">
        <f t="shared" si="48"/>
        <v>1.029</v>
      </c>
      <c r="S18" s="12">
        <f t="shared" si="12"/>
        <v>1.349</v>
      </c>
      <c r="T18" s="60">
        <f t="shared" si="13"/>
        <v>36.054</v>
      </c>
      <c r="U18" s="2">
        <f t="shared" si="14"/>
        <v>2.058</v>
      </c>
      <c r="V18" s="42">
        <f t="shared" si="15"/>
        <v>10.29</v>
      </c>
      <c r="W18" s="2">
        <f t="shared" si="16"/>
        <v>2.058</v>
      </c>
      <c r="X18" s="2">
        <f t="shared" si="17"/>
        <v>16.464</v>
      </c>
      <c r="Y18" s="2">
        <f t="shared" si="18"/>
        <v>30.87</v>
      </c>
      <c r="Z18" s="60">
        <f t="shared" si="19"/>
        <v>201.824</v>
      </c>
      <c r="AA18" s="11">
        <f t="shared" si="20"/>
        <v>40.3648</v>
      </c>
      <c r="AB18" s="12">
        <f t="shared" si="49"/>
        <v>242.1888</v>
      </c>
      <c r="AC18" s="2">
        <f t="shared" si="22"/>
        <v>205.8</v>
      </c>
      <c r="AD18" s="12">
        <f t="shared" si="23"/>
        <v>36.3888</v>
      </c>
      <c r="AE18" s="12">
        <f t="shared" si="24"/>
        <v>15.02497225</v>
      </c>
      <c r="AF18" s="61">
        <v>265.0</v>
      </c>
      <c r="AG18" s="62">
        <f t="shared" si="25"/>
        <v>96.44180875</v>
      </c>
      <c r="AH18" s="63">
        <f t="shared" si="26"/>
        <v>0</v>
      </c>
      <c r="AI18" s="64">
        <v>340.0</v>
      </c>
      <c r="AJ18" s="61">
        <v>265.0</v>
      </c>
      <c r="AK18" s="66">
        <f t="shared" si="27"/>
        <v>96.44180875</v>
      </c>
      <c r="AL18" s="66"/>
      <c r="AM18" s="14">
        <f t="shared" si="60"/>
        <v>0</v>
      </c>
      <c r="AN18" s="67">
        <f t="shared" si="29"/>
        <v>0</v>
      </c>
      <c r="AO18" s="68">
        <f t="shared" si="30"/>
        <v>1.964418087</v>
      </c>
      <c r="AP18" s="69">
        <f t="shared" si="31"/>
        <v>0.228112</v>
      </c>
      <c r="AQ18" s="70">
        <f t="shared" si="32"/>
        <v>0.592</v>
      </c>
      <c r="AR18" s="71">
        <f t="shared" ref="AR18:AS18" si="76">AI18/94</f>
        <v>3.617021277</v>
      </c>
      <c r="AS18" s="71">
        <f t="shared" si="76"/>
        <v>2.819148936</v>
      </c>
      <c r="AT18" s="72">
        <f t="shared" ref="AT18:AU18" si="77">AI18/24</f>
        <v>14.16666667</v>
      </c>
      <c r="AU18" s="72">
        <f t="shared" si="77"/>
        <v>11.04166667</v>
      </c>
      <c r="AV18" s="73">
        <f t="shared" ref="AV18:AW18" si="78">AI18/125</f>
        <v>2.72</v>
      </c>
      <c r="AW18" s="73">
        <f t="shared" si="78"/>
        <v>2.12</v>
      </c>
    </row>
    <row r="19" ht="15.75" customHeight="1">
      <c r="A19" s="2"/>
      <c r="B19" s="2" t="s">
        <v>87</v>
      </c>
      <c r="C19" s="2" t="s">
        <v>88</v>
      </c>
      <c r="D19" s="10">
        <v>196.0</v>
      </c>
      <c r="F19" s="1">
        <v>30.0</v>
      </c>
      <c r="G19" s="74">
        <v>4.909009E7</v>
      </c>
      <c r="H19" s="59">
        <v>0.05</v>
      </c>
      <c r="I19" s="2">
        <f t="shared" si="4"/>
        <v>9.8</v>
      </c>
      <c r="K19" s="1">
        <v>2.0</v>
      </c>
      <c r="L19" s="4">
        <f t="shared" si="5"/>
        <v>237.8</v>
      </c>
      <c r="M19" s="2">
        <f t="shared" si="6"/>
        <v>1.96</v>
      </c>
      <c r="N19" s="12">
        <f t="shared" si="7"/>
        <v>19.024</v>
      </c>
      <c r="O19" s="12">
        <f t="shared" si="8"/>
        <v>23.78</v>
      </c>
      <c r="P19" s="12">
        <f t="shared" si="9"/>
        <v>11.89</v>
      </c>
      <c r="Q19" s="12">
        <f t="shared" si="10"/>
        <v>4.756</v>
      </c>
      <c r="R19" s="12">
        <f t="shared" si="48"/>
        <v>2.058</v>
      </c>
      <c r="S19" s="12">
        <f t="shared" si="12"/>
        <v>2.378</v>
      </c>
      <c r="T19" s="60">
        <f t="shared" si="13"/>
        <v>63.788</v>
      </c>
      <c r="U19" s="2">
        <f t="shared" si="14"/>
        <v>4.116</v>
      </c>
      <c r="V19" s="42">
        <f t="shared" si="15"/>
        <v>20.58</v>
      </c>
      <c r="W19" s="2">
        <f t="shared" si="16"/>
        <v>4.116</v>
      </c>
      <c r="X19" s="2">
        <f t="shared" si="17"/>
        <v>32.928</v>
      </c>
      <c r="Y19" s="2">
        <f t="shared" si="18"/>
        <v>61.74</v>
      </c>
      <c r="Z19" s="60">
        <f t="shared" si="19"/>
        <v>363.328</v>
      </c>
      <c r="AA19" s="11">
        <f t="shared" si="20"/>
        <v>72.6656</v>
      </c>
      <c r="AB19" s="12">
        <f t="shared" si="49"/>
        <v>435.9936</v>
      </c>
      <c r="AC19" s="2">
        <f t="shared" si="22"/>
        <v>411.6</v>
      </c>
      <c r="AD19" s="12">
        <f t="shared" si="23"/>
        <v>24.3936</v>
      </c>
      <c r="AE19" s="12">
        <f t="shared" si="24"/>
        <v>5.594944513</v>
      </c>
      <c r="AF19" s="61">
        <v>395.0</v>
      </c>
      <c r="AG19" s="62">
        <f t="shared" si="25"/>
        <v>66.1059714</v>
      </c>
      <c r="AH19" s="63">
        <f t="shared" si="26"/>
        <v>0</v>
      </c>
      <c r="AI19" s="64">
        <f>AB19</f>
        <v>435.9936</v>
      </c>
      <c r="AJ19" s="61">
        <v>395.0</v>
      </c>
      <c r="AK19" s="66">
        <f t="shared" si="27"/>
        <v>66.1059714</v>
      </c>
      <c r="AL19" s="66"/>
      <c r="AM19" s="14">
        <f t="shared" si="60"/>
        <v>0</v>
      </c>
      <c r="AN19" s="67">
        <f t="shared" si="29"/>
        <v>0</v>
      </c>
      <c r="AO19" s="68">
        <f t="shared" si="30"/>
        <v>1.661059714</v>
      </c>
      <c r="AP19" s="69">
        <f t="shared" si="31"/>
        <v>-0.409936</v>
      </c>
      <c r="AQ19" s="70">
        <f t="shared" si="32"/>
        <v>-0.166</v>
      </c>
      <c r="AR19" s="71">
        <f t="shared" ref="AR19:AS19" si="79">AI19/94</f>
        <v>4.638229787</v>
      </c>
      <c r="AS19" s="71">
        <f t="shared" si="79"/>
        <v>4.20212766</v>
      </c>
      <c r="AT19" s="72">
        <f t="shared" ref="AT19:AU19" si="80">AI19/24</f>
        <v>18.1664</v>
      </c>
      <c r="AU19" s="72">
        <f t="shared" si="80"/>
        <v>16.45833333</v>
      </c>
      <c r="AV19" s="73">
        <f t="shared" ref="AV19:AW19" si="81">AI19/125</f>
        <v>3.4879488</v>
      </c>
      <c r="AW19" s="73">
        <f t="shared" si="81"/>
        <v>3.16</v>
      </c>
    </row>
    <row r="20" ht="15.0" customHeight="1">
      <c r="A20" s="2" t="s">
        <v>89</v>
      </c>
      <c r="B20" s="2" t="s">
        <v>90</v>
      </c>
      <c r="C20" s="2" t="s">
        <v>91</v>
      </c>
      <c r="D20" s="10">
        <v>390.0</v>
      </c>
      <c r="E20" s="2">
        <v>50.0</v>
      </c>
      <c r="F20" s="1">
        <v>85.0</v>
      </c>
      <c r="G20" s="10">
        <v>741810.0</v>
      </c>
      <c r="H20" s="59">
        <v>0.05</v>
      </c>
      <c r="I20" s="2">
        <f t="shared" si="4"/>
        <v>19.5</v>
      </c>
      <c r="J20" s="2">
        <v>0.0</v>
      </c>
      <c r="K20" s="1">
        <v>20.0</v>
      </c>
      <c r="L20" s="4">
        <f t="shared" si="5"/>
        <v>564.5</v>
      </c>
      <c r="M20" s="2">
        <f t="shared" si="6"/>
        <v>3.9</v>
      </c>
      <c r="N20" s="12">
        <f t="shared" si="7"/>
        <v>45.16</v>
      </c>
      <c r="O20" s="12">
        <f t="shared" si="8"/>
        <v>56.45</v>
      </c>
      <c r="P20" s="12">
        <f t="shared" si="9"/>
        <v>28.225</v>
      </c>
      <c r="Q20" s="12">
        <f t="shared" si="10"/>
        <v>11.29</v>
      </c>
      <c r="R20" s="12">
        <f t="shared" si="48"/>
        <v>4.095</v>
      </c>
      <c r="S20" s="12">
        <f t="shared" si="12"/>
        <v>5.645</v>
      </c>
      <c r="T20" s="60">
        <f t="shared" si="13"/>
        <v>150.67</v>
      </c>
      <c r="U20" s="2">
        <f t="shared" si="14"/>
        <v>8.19</v>
      </c>
      <c r="V20" s="42">
        <f t="shared" si="15"/>
        <v>40.95</v>
      </c>
      <c r="W20" s="2">
        <f t="shared" si="16"/>
        <v>8.19</v>
      </c>
      <c r="X20" s="2">
        <f t="shared" si="17"/>
        <v>65.52</v>
      </c>
      <c r="Y20" s="2">
        <f t="shared" si="18"/>
        <v>122.85</v>
      </c>
      <c r="Z20" s="60">
        <f t="shared" si="19"/>
        <v>838.02</v>
      </c>
      <c r="AA20" s="11">
        <f t="shared" si="20"/>
        <v>167.604</v>
      </c>
      <c r="AB20" s="12">
        <f t="shared" si="49"/>
        <v>1005.624</v>
      </c>
      <c r="AC20" s="2">
        <f t="shared" si="22"/>
        <v>819</v>
      </c>
      <c r="AD20" s="12">
        <f t="shared" si="23"/>
        <v>186.624</v>
      </c>
      <c r="AE20" s="12">
        <f t="shared" si="24"/>
        <v>18.55802964</v>
      </c>
      <c r="AF20" s="12">
        <v>995.0</v>
      </c>
      <c r="AG20" s="62">
        <f t="shared" si="25"/>
        <v>76.26217892</v>
      </c>
      <c r="AH20" s="63">
        <f t="shared" si="26"/>
        <v>-5</v>
      </c>
      <c r="AI20" s="64">
        <v>1090.0</v>
      </c>
      <c r="AJ20" s="64">
        <v>990.0</v>
      </c>
      <c r="AK20" s="66">
        <f t="shared" si="27"/>
        <v>75.37643933</v>
      </c>
      <c r="AL20" s="66"/>
      <c r="AM20" s="14">
        <f t="shared" ref="AM20:AM31" si="85">(AH20/AJ20)*100</f>
        <v>-0.5050505051</v>
      </c>
      <c r="AN20" s="67">
        <f t="shared" si="29"/>
        <v>-0.8857395926</v>
      </c>
      <c r="AO20" s="68">
        <f t="shared" si="30"/>
        <v>1.753764393</v>
      </c>
      <c r="AP20" s="69">
        <f t="shared" si="31"/>
        <v>-0.15624</v>
      </c>
      <c r="AQ20" s="70">
        <f t="shared" si="32"/>
        <v>1.71</v>
      </c>
      <c r="AR20" s="71">
        <f t="shared" ref="AR20:AS20" si="82">AI20/94</f>
        <v>11.59574468</v>
      </c>
      <c r="AS20" s="71">
        <f t="shared" si="82"/>
        <v>10.53191489</v>
      </c>
      <c r="AT20" s="72">
        <f t="shared" ref="AT20:AU20" si="83">AI20/24</f>
        <v>45.41666667</v>
      </c>
      <c r="AU20" s="72">
        <f t="shared" si="83"/>
        <v>41.25</v>
      </c>
      <c r="AV20" s="73">
        <f t="shared" ref="AV20:AW20" si="84">AI20/125</f>
        <v>8.72</v>
      </c>
      <c r="AW20" s="73">
        <f t="shared" si="84"/>
        <v>7.92</v>
      </c>
    </row>
    <row r="21" ht="15.75" customHeight="1">
      <c r="A21" s="2"/>
      <c r="B21" s="2" t="s">
        <v>92</v>
      </c>
      <c r="C21" s="2" t="s">
        <v>93</v>
      </c>
      <c r="D21" s="10">
        <v>510.0</v>
      </c>
      <c r="F21" s="1">
        <v>85.0</v>
      </c>
      <c r="G21" s="10">
        <v>741810.0</v>
      </c>
      <c r="H21" s="59">
        <v>0.05</v>
      </c>
      <c r="I21" s="2">
        <f t="shared" si="4"/>
        <v>25.5</v>
      </c>
      <c r="K21" s="1">
        <v>20.0</v>
      </c>
      <c r="L21" s="4">
        <f t="shared" si="5"/>
        <v>640.5</v>
      </c>
      <c r="M21" s="2">
        <f t="shared" si="6"/>
        <v>5.1</v>
      </c>
      <c r="N21" s="12">
        <f t="shared" si="7"/>
        <v>51.24</v>
      </c>
      <c r="O21" s="12">
        <f t="shared" si="8"/>
        <v>64.05</v>
      </c>
      <c r="P21" s="12">
        <f t="shared" si="9"/>
        <v>32.025</v>
      </c>
      <c r="Q21" s="12">
        <f t="shared" si="10"/>
        <v>12.81</v>
      </c>
      <c r="R21" s="12">
        <f t="shared" si="48"/>
        <v>5.355</v>
      </c>
      <c r="S21" s="12">
        <f t="shared" si="12"/>
        <v>6.405</v>
      </c>
      <c r="T21" s="60">
        <f t="shared" si="13"/>
        <v>171.63</v>
      </c>
      <c r="U21" s="2">
        <f t="shared" si="14"/>
        <v>10.71</v>
      </c>
      <c r="V21" s="42">
        <f t="shared" si="15"/>
        <v>53.55</v>
      </c>
      <c r="W21" s="2">
        <f t="shared" si="16"/>
        <v>10.71</v>
      </c>
      <c r="X21" s="2">
        <f t="shared" si="17"/>
        <v>85.68</v>
      </c>
      <c r="Y21" s="2">
        <f t="shared" si="18"/>
        <v>160.65</v>
      </c>
      <c r="Z21" s="60">
        <f t="shared" si="19"/>
        <v>972.78</v>
      </c>
      <c r="AA21" s="11">
        <f t="shared" si="20"/>
        <v>194.556</v>
      </c>
      <c r="AB21" s="12">
        <f t="shared" si="49"/>
        <v>1167.336</v>
      </c>
      <c r="AC21" s="2">
        <f t="shared" si="22"/>
        <v>1071</v>
      </c>
      <c r="AD21" s="12">
        <f t="shared" si="23"/>
        <v>96.336</v>
      </c>
      <c r="AE21" s="12">
        <f t="shared" si="24"/>
        <v>8.252636773</v>
      </c>
      <c r="AF21" s="61">
        <v>1245.0</v>
      </c>
      <c r="AG21" s="62">
        <f t="shared" si="25"/>
        <v>94.3793911</v>
      </c>
      <c r="AH21" s="63">
        <f t="shared" si="26"/>
        <v>-5</v>
      </c>
      <c r="AI21" s="64">
        <v>1390.0</v>
      </c>
      <c r="AJ21" s="64">
        <v>1240.0</v>
      </c>
      <c r="AK21" s="66">
        <f t="shared" si="27"/>
        <v>93.59875098</v>
      </c>
      <c r="AL21" s="66"/>
      <c r="AM21" s="14">
        <f t="shared" si="85"/>
        <v>-0.4032258065</v>
      </c>
      <c r="AN21" s="67">
        <f t="shared" si="29"/>
        <v>-0.7806401249</v>
      </c>
      <c r="AO21" s="68">
        <f t="shared" si="30"/>
        <v>1.93598751</v>
      </c>
      <c r="AP21" s="69">
        <f t="shared" si="31"/>
        <v>0.72664</v>
      </c>
      <c r="AQ21" s="70">
        <f t="shared" si="32"/>
        <v>1.69</v>
      </c>
      <c r="AR21" s="71">
        <f t="shared" ref="AR21:AS21" si="86">AI21/94</f>
        <v>14.78723404</v>
      </c>
      <c r="AS21" s="71">
        <f t="shared" si="86"/>
        <v>13.19148936</v>
      </c>
      <c r="AT21" s="72">
        <f t="shared" ref="AT21:AU21" si="87">AI21/24</f>
        <v>57.91666667</v>
      </c>
      <c r="AU21" s="72">
        <f t="shared" si="87"/>
        <v>51.66666667</v>
      </c>
      <c r="AV21" s="73">
        <f t="shared" ref="AV21:AW21" si="88">AI21/125</f>
        <v>11.12</v>
      </c>
      <c r="AW21" s="73">
        <f t="shared" si="88"/>
        <v>9.92</v>
      </c>
    </row>
    <row r="22" ht="15.75" customHeight="1">
      <c r="A22" s="2"/>
      <c r="B22" s="2" t="s">
        <v>94</v>
      </c>
      <c r="C22" s="2" t="s">
        <v>95</v>
      </c>
      <c r="D22" s="10">
        <v>390.0</v>
      </c>
      <c r="E22" s="2"/>
      <c r="F22" s="1">
        <v>85.0</v>
      </c>
      <c r="G22" s="10">
        <v>741810.0</v>
      </c>
      <c r="H22" s="59">
        <v>0.05</v>
      </c>
      <c r="I22" s="2">
        <f t="shared" si="4"/>
        <v>19.5</v>
      </c>
      <c r="K22" s="1">
        <v>20.0</v>
      </c>
      <c r="L22" s="4">
        <f t="shared" si="5"/>
        <v>514.5</v>
      </c>
      <c r="M22" s="2">
        <f t="shared" si="6"/>
        <v>3.9</v>
      </c>
      <c r="N22" s="12">
        <f t="shared" si="7"/>
        <v>41.16</v>
      </c>
      <c r="O22" s="12">
        <f t="shared" si="8"/>
        <v>51.45</v>
      </c>
      <c r="P22" s="12">
        <f t="shared" si="9"/>
        <v>25.725</v>
      </c>
      <c r="Q22" s="12">
        <f t="shared" si="10"/>
        <v>10.29</v>
      </c>
      <c r="R22" s="12">
        <f t="shared" si="48"/>
        <v>4.095</v>
      </c>
      <c r="S22" s="12">
        <f t="shared" si="12"/>
        <v>5.145</v>
      </c>
      <c r="T22" s="60">
        <f t="shared" si="13"/>
        <v>137.67</v>
      </c>
      <c r="U22" s="2">
        <f t="shared" si="14"/>
        <v>8.19</v>
      </c>
      <c r="V22" s="42">
        <f t="shared" si="15"/>
        <v>40.95</v>
      </c>
      <c r="W22" s="2">
        <f t="shared" si="16"/>
        <v>8.19</v>
      </c>
      <c r="X22" s="2">
        <f t="shared" si="17"/>
        <v>65.52</v>
      </c>
      <c r="Y22" s="2">
        <f t="shared" si="18"/>
        <v>122.85</v>
      </c>
      <c r="Z22" s="60">
        <f t="shared" si="19"/>
        <v>775.02</v>
      </c>
      <c r="AA22" s="11">
        <f t="shared" si="20"/>
        <v>155.004</v>
      </c>
      <c r="AB22" s="12">
        <f t="shared" si="49"/>
        <v>930.024</v>
      </c>
      <c r="AC22" s="2">
        <f t="shared" si="22"/>
        <v>819</v>
      </c>
      <c r="AD22" s="12">
        <f t="shared" si="23"/>
        <v>111.024</v>
      </c>
      <c r="AE22" s="12">
        <f t="shared" si="24"/>
        <v>11.93775644</v>
      </c>
      <c r="AF22" s="61">
        <v>925.0</v>
      </c>
      <c r="AG22" s="62">
        <f t="shared" si="25"/>
        <v>79.78620019</v>
      </c>
      <c r="AH22" s="63">
        <f t="shared" si="26"/>
        <v>65</v>
      </c>
      <c r="AI22" s="64">
        <v>1190.0</v>
      </c>
      <c r="AJ22" s="64">
        <v>990.0</v>
      </c>
      <c r="AK22" s="66">
        <f t="shared" si="27"/>
        <v>92.41982507</v>
      </c>
      <c r="AL22" s="66"/>
      <c r="AM22" s="14">
        <f t="shared" si="85"/>
        <v>6.565656566</v>
      </c>
      <c r="AN22" s="67">
        <f t="shared" si="29"/>
        <v>12.63362488</v>
      </c>
      <c r="AO22" s="68">
        <f t="shared" si="30"/>
        <v>1.924198251</v>
      </c>
      <c r="AP22" s="69">
        <f t="shared" si="31"/>
        <v>0.59976</v>
      </c>
      <c r="AQ22" s="70">
        <f t="shared" si="32"/>
        <v>1.71</v>
      </c>
      <c r="AR22" s="71">
        <f t="shared" ref="AR22:AS22" si="89">AI22/94</f>
        <v>12.65957447</v>
      </c>
      <c r="AS22" s="71">
        <f t="shared" si="89"/>
        <v>10.53191489</v>
      </c>
      <c r="AT22" s="72">
        <f t="shared" ref="AT22:AU22" si="90">AI22/24</f>
        <v>49.58333333</v>
      </c>
      <c r="AU22" s="72">
        <f t="shared" si="90"/>
        <v>41.25</v>
      </c>
      <c r="AV22" s="73">
        <f t="shared" ref="AV22:AW22" si="91">AI22/125</f>
        <v>9.52</v>
      </c>
      <c r="AW22" s="73">
        <f t="shared" si="91"/>
        <v>7.92</v>
      </c>
    </row>
    <row r="23" ht="15.75" customHeight="1">
      <c r="A23" s="2"/>
      <c r="B23" s="2" t="s">
        <v>96</v>
      </c>
      <c r="C23" s="2" t="s">
        <v>97</v>
      </c>
      <c r="D23" s="10">
        <v>510.0</v>
      </c>
      <c r="E23" s="2">
        <v>50.0</v>
      </c>
      <c r="F23" s="1">
        <v>85.0</v>
      </c>
      <c r="G23" s="10">
        <v>741810.0</v>
      </c>
      <c r="H23" s="59">
        <v>0.05</v>
      </c>
      <c r="I23" s="2">
        <f t="shared" si="4"/>
        <v>25.5</v>
      </c>
      <c r="K23" s="1">
        <v>20.0</v>
      </c>
      <c r="L23" s="4">
        <f t="shared" si="5"/>
        <v>690.5</v>
      </c>
      <c r="M23" s="2">
        <f t="shared" si="6"/>
        <v>5.1</v>
      </c>
      <c r="N23" s="12">
        <f t="shared" si="7"/>
        <v>55.24</v>
      </c>
      <c r="O23" s="12">
        <f t="shared" si="8"/>
        <v>69.05</v>
      </c>
      <c r="P23" s="12">
        <f t="shared" si="9"/>
        <v>34.525</v>
      </c>
      <c r="Q23" s="12">
        <f t="shared" si="10"/>
        <v>13.81</v>
      </c>
      <c r="R23" s="12">
        <f t="shared" si="48"/>
        <v>5.355</v>
      </c>
      <c r="S23" s="12">
        <f t="shared" si="12"/>
        <v>6.905</v>
      </c>
      <c r="T23" s="60">
        <f t="shared" si="13"/>
        <v>184.63</v>
      </c>
      <c r="U23" s="2">
        <f t="shared" si="14"/>
        <v>10.71</v>
      </c>
      <c r="V23" s="42">
        <f t="shared" si="15"/>
        <v>53.55</v>
      </c>
      <c r="W23" s="2">
        <f t="shared" si="16"/>
        <v>10.71</v>
      </c>
      <c r="X23" s="2">
        <f t="shared" si="17"/>
        <v>85.68</v>
      </c>
      <c r="Y23" s="2">
        <f t="shared" si="18"/>
        <v>160.65</v>
      </c>
      <c r="Z23" s="60">
        <f t="shared" si="19"/>
        <v>1035.78</v>
      </c>
      <c r="AA23" s="11">
        <f t="shared" si="20"/>
        <v>207.156</v>
      </c>
      <c r="AB23" s="12">
        <f t="shared" si="49"/>
        <v>1242.936</v>
      </c>
      <c r="AC23" s="2">
        <f t="shared" si="22"/>
        <v>1071</v>
      </c>
      <c r="AD23" s="12">
        <f t="shared" si="23"/>
        <v>171.936</v>
      </c>
      <c r="AE23" s="12">
        <f t="shared" si="24"/>
        <v>13.83305335</v>
      </c>
      <c r="AF23" s="61">
        <v>1345.0</v>
      </c>
      <c r="AG23" s="62">
        <f t="shared" si="25"/>
        <v>94.78638668</v>
      </c>
      <c r="AH23" s="63">
        <f t="shared" si="26"/>
        <v>5</v>
      </c>
      <c r="AI23" s="64">
        <v>1490.0</v>
      </c>
      <c r="AJ23" s="64">
        <v>1350.0</v>
      </c>
      <c r="AK23" s="66">
        <f t="shared" si="27"/>
        <v>95.51049964</v>
      </c>
      <c r="AL23" s="66"/>
      <c r="AM23" s="14">
        <f t="shared" si="85"/>
        <v>0.3703703704</v>
      </c>
      <c r="AN23" s="67">
        <f t="shared" si="29"/>
        <v>0.7241129616</v>
      </c>
      <c r="AO23" s="68">
        <f t="shared" si="30"/>
        <v>1.955104996</v>
      </c>
      <c r="AP23" s="69">
        <f t="shared" si="31"/>
        <v>1.07064</v>
      </c>
      <c r="AQ23" s="70">
        <f t="shared" si="32"/>
        <v>2.79</v>
      </c>
      <c r="AR23" s="71">
        <f t="shared" ref="AR23:AS23" si="92">AI23/94</f>
        <v>15.85106383</v>
      </c>
      <c r="AS23" s="71">
        <f t="shared" si="92"/>
        <v>14.36170213</v>
      </c>
      <c r="AT23" s="72">
        <f t="shared" ref="AT23:AU23" si="93">AI23/24</f>
        <v>62.08333333</v>
      </c>
      <c r="AU23" s="72">
        <f t="shared" si="93"/>
        <v>56.25</v>
      </c>
      <c r="AV23" s="73">
        <f t="shared" ref="AV23:AW23" si="94">AI23/125</f>
        <v>11.92</v>
      </c>
      <c r="AW23" s="73">
        <f t="shared" si="94"/>
        <v>10.8</v>
      </c>
    </row>
    <row r="24" ht="15.75" customHeight="1">
      <c r="A24" s="2"/>
      <c r="B24" s="2" t="s">
        <v>98</v>
      </c>
      <c r="C24" s="2" t="s">
        <v>99</v>
      </c>
      <c r="D24" s="10">
        <v>520.0</v>
      </c>
      <c r="F24" s="1">
        <v>85.0</v>
      </c>
      <c r="G24" s="10">
        <v>741810.0</v>
      </c>
      <c r="H24" s="59">
        <v>0.05</v>
      </c>
      <c r="I24" s="2">
        <f t="shared" si="4"/>
        <v>26</v>
      </c>
      <c r="K24" s="1">
        <v>20.0</v>
      </c>
      <c r="L24" s="4">
        <f t="shared" si="5"/>
        <v>651</v>
      </c>
      <c r="M24" s="2">
        <f t="shared" si="6"/>
        <v>5.2</v>
      </c>
      <c r="N24" s="12">
        <f t="shared" si="7"/>
        <v>52.08</v>
      </c>
      <c r="O24" s="12">
        <f t="shared" si="8"/>
        <v>65.1</v>
      </c>
      <c r="P24" s="12">
        <f t="shared" si="9"/>
        <v>32.55</v>
      </c>
      <c r="Q24" s="12">
        <f t="shared" si="10"/>
        <v>13.02</v>
      </c>
      <c r="R24" s="12">
        <f t="shared" si="48"/>
        <v>5.46</v>
      </c>
      <c r="S24" s="12">
        <f t="shared" si="12"/>
        <v>6.51</v>
      </c>
      <c r="T24" s="60">
        <f t="shared" si="13"/>
        <v>174.46</v>
      </c>
      <c r="U24" s="2">
        <f t="shared" si="14"/>
        <v>10.92</v>
      </c>
      <c r="V24" s="42">
        <f t="shared" si="15"/>
        <v>54.6</v>
      </c>
      <c r="W24" s="2">
        <f t="shared" si="16"/>
        <v>10.92</v>
      </c>
      <c r="X24" s="2">
        <f t="shared" si="17"/>
        <v>87.36</v>
      </c>
      <c r="Y24" s="2">
        <f t="shared" si="18"/>
        <v>163.8</v>
      </c>
      <c r="Z24" s="60">
        <f t="shared" si="19"/>
        <v>989.26</v>
      </c>
      <c r="AA24" s="11">
        <f t="shared" si="20"/>
        <v>197.852</v>
      </c>
      <c r="AB24" s="12">
        <f t="shared" si="49"/>
        <v>1187.112</v>
      </c>
      <c r="AC24" s="2">
        <f t="shared" si="22"/>
        <v>1092</v>
      </c>
      <c r="AD24" s="12">
        <f t="shared" si="23"/>
        <v>95.112</v>
      </c>
      <c r="AE24" s="12">
        <f t="shared" si="24"/>
        <v>8.012049411</v>
      </c>
      <c r="AF24" s="61">
        <v>1245.0</v>
      </c>
      <c r="AG24" s="62">
        <f t="shared" si="25"/>
        <v>91.24423963</v>
      </c>
      <c r="AH24" s="63">
        <f t="shared" si="26"/>
        <v>45</v>
      </c>
      <c r="AI24" s="64">
        <v>1390.0</v>
      </c>
      <c r="AJ24" s="64">
        <v>1290.0</v>
      </c>
      <c r="AK24" s="66">
        <f t="shared" si="27"/>
        <v>98.15668203</v>
      </c>
      <c r="AL24" s="66"/>
      <c r="AM24" s="14">
        <f t="shared" si="85"/>
        <v>3.488372093</v>
      </c>
      <c r="AN24" s="67">
        <f t="shared" si="29"/>
        <v>6.912442396</v>
      </c>
      <c r="AO24" s="68">
        <f t="shared" si="30"/>
        <v>1.98156682</v>
      </c>
      <c r="AP24" s="69">
        <f t="shared" si="31"/>
        <v>1.02888</v>
      </c>
      <c r="AQ24" s="70">
        <f t="shared" si="32"/>
        <v>1.98</v>
      </c>
      <c r="AR24" s="71">
        <f t="shared" ref="AR24:AS24" si="95">AI24/94</f>
        <v>14.78723404</v>
      </c>
      <c r="AS24" s="71">
        <f t="shared" si="95"/>
        <v>13.72340426</v>
      </c>
      <c r="AT24" s="72">
        <f t="shared" ref="AT24:AU24" si="96">AI24/24</f>
        <v>57.91666667</v>
      </c>
      <c r="AU24" s="72">
        <f t="shared" si="96"/>
        <v>53.75</v>
      </c>
      <c r="AV24" s="73">
        <f t="shared" ref="AV24:AW24" si="97">AI24/125</f>
        <v>11.12</v>
      </c>
      <c r="AW24" s="73">
        <f t="shared" si="97"/>
        <v>10.32</v>
      </c>
    </row>
    <row r="25" ht="15.75" customHeight="1">
      <c r="A25" s="2"/>
      <c r="B25" s="2" t="s">
        <v>100</v>
      </c>
      <c r="C25" s="2" t="s">
        <v>101</v>
      </c>
      <c r="D25" s="10">
        <v>550.0</v>
      </c>
      <c r="F25" s="1">
        <v>85.0</v>
      </c>
      <c r="G25" s="10">
        <v>741810.0</v>
      </c>
      <c r="H25" s="59">
        <v>0.05</v>
      </c>
      <c r="I25" s="2">
        <f t="shared" si="4"/>
        <v>27.5</v>
      </c>
      <c r="K25" s="1">
        <v>20.0</v>
      </c>
      <c r="L25" s="4">
        <f t="shared" si="5"/>
        <v>682.5</v>
      </c>
      <c r="M25" s="2">
        <f t="shared" si="6"/>
        <v>5.5</v>
      </c>
      <c r="N25" s="12">
        <f t="shared" si="7"/>
        <v>54.6</v>
      </c>
      <c r="O25" s="12">
        <f t="shared" si="8"/>
        <v>68.25</v>
      </c>
      <c r="P25" s="12">
        <f t="shared" si="9"/>
        <v>34.125</v>
      </c>
      <c r="Q25" s="12">
        <f t="shared" si="10"/>
        <v>13.65</v>
      </c>
      <c r="R25" s="12">
        <f t="shared" si="48"/>
        <v>5.775</v>
      </c>
      <c r="S25" s="12">
        <f t="shared" si="12"/>
        <v>6.825</v>
      </c>
      <c r="T25" s="60">
        <f t="shared" si="13"/>
        <v>182.95</v>
      </c>
      <c r="U25" s="2">
        <f t="shared" si="14"/>
        <v>11.55</v>
      </c>
      <c r="V25" s="42">
        <f t="shared" si="15"/>
        <v>57.75</v>
      </c>
      <c r="W25" s="2">
        <f t="shared" si="16"/>
        <v>11.55</v>
      </c>
      <c r="X25" s="2">
        <f t="shared" si="17"/>
        <v>92.4</v>
      </c>
      <c r="Y25" s="2">
        <f t="shared" si="18"/>
        <v>173.25</v>
      </c>
      <c r="Z25" s="60">
        <f t="shared" si="19"/>
        <v>1038.7</v>
      </c>
      <c r="AA25" s="11">
        <f t="shared" si="20"/>
        <v>207.74</v>
      </c>
      <c r="AB25" s="12">
        <f t="shared" si="49"/>
        <v>1246.44</v>
      </c>
      <c r="AC25" s="2">
        <f t="shared" si="22"/>
        <v>1155</v>
      </c>
      <c r="AD25" s="12">
        <f t="shared" si="23"/>
        <v>91.44</v>
      </c>
      <c r="AE25" s="12">
        <f t="shared" si="24"/>
        <v>7.336093193</v>
      </c>
      <c r="AF25" s="61">
        <v>925.0</v>
      </c>
      <c r="AG25" s="62">
        <f t="shared" si="25"/>
        <v>35.53113553</v>
      </c>
      <c r="AH25" s="63">
        <f t="shared" si="26"/>
        <v>165</v>
      </c>
      <c r="AI25" s="64">
        <v>1190.0</v>
      </c>
      <c r="AJ25" s="64">
        <v>1090.0</v>
      </c>
      <c r="AK25" s="66">
        <f t="shared" si="27"/>
        <v>59.70695971</v>
      </c>
      <c r="AL25" s="66"/>
      <c r="AM25" s="14">
        <f t="shared" si="85"/>
        <v>15.13761468</v>
      </c>
      <c r="AN25" s="67">
        <f t="shared" si="29"/>
        <v>24.17582418</v>
      </c>
      <c r="AO25" s="68">
        <f t="shared" si="30"/>
        <v>1.597069597</v>
      </c>
      <c r="AP25" s="69">
        <f t="shared" si="31"/>
        <v>-1.5644</v>
      </c>
      <c r="AQ25" s="70">
        <f t="shared" si="32"/>
        <v>-0.65</v>
      </c>
      <c r="AR25" s="71">
        <f t="shared" ref="AR25:AS25" si="98">AI25/94</f>
        <v>12.65957447</v>
      </c>
      <c r="AS25" s="71">
        <f t="shared" si="98"/>
        <v>11.59574468</v>
      </c>
      <c r="AT25" s="72">
        <f t="shared" ref="AT25:AU25" si="99">AI25/24</f>
        <v>49.58333333</v>
      </c>
      <c r="AU25" s="72">
        <f t="shared" si="99"/>
        <v>45.41666667</v>
      </c>
      <c r="AV25" s="73">
        <f t="shared" ref="AV25:AW25" si="100">AI25/125</f>
        <v>9.52</v>
      </c>
      <c r="AW25" s="73">
        <f t="shared" si="100"/>
        <v>8.72</v>
      </c>
    </row>
    <row r="26" ht="15.75" customHeight="1">
      <c r="A26" s="2"/>
      <c r="B26" s="2" t="s">
        <v>102</v>
      </c>
      <c r="C26" s="2" t="s">
        <v>103</v>
      </c>
      <c r="D26" s="10">
        <v>520.0</v>
      </c>
      <c r="E26" s="2">
        <v>50.0</v>
      </c>
      <c r="F26" s="1">
        <v>85.0</v>
      </c>
      <c r="G26" s="10">
        <v>741810.0</v>
      </c>
      <c r="H26" s="59">
        <v>0.05</v>
      </c>
      <c r="I26" s="2">
        <f t="shared" si="4"/>
        <v>26</v>
      </c>
      <c r="K26" s="1">
        <v>20.0</v>
      </c>
      <c r="L26" s="4">
        <f t="shared" si="5"/>
        <v>701</v>
      </c>
      <c r="M26" s="2">
        <f t="shared" si="6"/>
        <v>5.2</v>
      </c>
      <c r="N26" s="12">
        <f t="shared" si="7"/>
        <v>56.08</v>
      </c>
      <c r="O26" s="12">
        <f t="shared" si="8"/>
        <v>70.1</v>
      </c>
      <c r="P26" s="12">
        <f t="shared" si="9"/>
        <v>35.05</v>
      </c>
      <c r="Q26" s="12">
        <f t="shared" si="10"/>
        <v>14.02</v>
      </c>
      <c r="R26" s="12">
        <f t="shared" si="48"/>
        <v>5.46</v>
      </c>
      <c r="S26" s="12">
        <f t="shared" si="12"/>
        <v>7.01</v>
      </c>
      <c r="T26" s="60">
        <f t="shared" si="13"/>
        <v>187.46</v>
      </c>
      <c r="U26" s="2">
        <f t="shared" si="14"/>
        <v>10.92</v>
      </c>
      <c r="V26" s="42">
        <f t="shared" si="15"/>
        <v>54.6</v>
      </c>
      <c r="W26" s="2">
        <f t="shared" si="16"/>
        <v>10.92</v>
      </c>
      <c r="X26" s="2">
        <f t="shared" si="17"/>
        <v>87.36</v>
      </c>
      <c r="Y26" s="2">
        <f t="shared" si="18"/>
        <v>163.8</v>
      </c>
      <c r="Z26" s="60">
        <f t="shared" si="19"/>
        <v>1052.26</v>
      </c>
      <c r="AA26" s="11">
        <f t="shared" si="20"/>
        <v>210.452</v>
      </c>
      <c r="AB26" s="12">
        <f t="shared" si="49"/>
        <v>1262.712</v>
      </c>
      <c r="AC26" s="2">
        <f t="shared" si="22"/>
        <v>1092</v>
      </c>
      <c r="AD26" s="12">
        <f t="shared" si="23"/>
        <v>170.712</v>
      </c>
      <c r="AE26" s="12">
        <f t="shared" si="24"/>
        <v>13.51947237</v>
      </c>
      <c r="AF26" s="61">
        <v>1345.0</v>
      </c>
      <c r="AG26" s="62">
        <f t="shared" si="25"/>
        <v>91.86875892</v>
      </c>
      <c r="AH26" s="63">
        <f t="shared" si="26"/>
        <v>45</v>
      </c>
      <c r="AI26" s="64">
        <v>1490.0</v>
      </c>
      <c r="AJ26" s="64">
        <v>1390.0</v>
      </c>
      <c r="AK26" s="66">
        <f t="shared" si="27"/>
        <v>98.28815977</v>
      </c>
      <c r="AL26" s="66"/>
      <c r="AM26" s="14">
        <f t="shared" si="85"/>
        <v>3.237410072</v>
      </c>
      <c r="AN26" s="67">
        <f t="shared" si="29"/>
        <v>6.419400856</v>
      </c>
      <c r="AO26" s="68">
        <f t="shared" si="30"/>
        <v>1.982881598</v>
      </c>
      <c r="AP26" s="69">
        <f t="shared" si="31"/>
        <v>1.27288</v>
      </c>
      <c r="AQ26" s="70">
        <f t="shared" si="32"/>
        <v>2.98</v>
      </c>
      <c r="AR26" s="71">
        <f t="shared" ref="AR26:AS26" si="101">AI26/94</f>
        <v>15.85106383</v>
      </c>
      <c r="AS26" s="71">
        <f t="shared" si="101"/>
        <v>14.78723404</v>
      </c>
      <c r="AT26" s="72">
        <f t="shared" ref="AT26:AU26" si="102">AI26/24</f>
        <v>62.08333333</v>
      </c>
      <c r="AU26" s="72">
        <f t="shared" si="102"/>
        <v>57.91666667</v>
      </c>
      <c r="AV26" s="73">
        <f t="shared" ref="AV26:AW26" si="103">AI26/125</f>
        <v>11.92</v>
      </c>
      <c r="AW26" s="73">
        <f t="shared" si="103"/>
        <v>11.12</v>
      </c>
    </row>
    <row r="27" ht="15.75" customHeight="1">
      <c r="A27" s="2"/>
      <c r="B27" s="2" t="s">
        <v>104</v>
      </c>
      <c r="C27" s="2" t="s">
        <v>105</v>
      </c>
      <c r="D27" s="10">
        <v>550.0</v>
      </c>
      <c r="E27" s="2">
        <v>50.0</v>
      </c>
      <c r="F27" s="1">
        <v>85.0</v>
      </c>
      <c r="G27" s="10">
        <v>741810.0</v>
      </c>
      <c r="H27" s="59">
        <v>0.05</v>
      </c>
      <c r="I27" s="2">
        <f t="shared" si="4"/>
        <v>27.5</v>
      </c>
      <c r="K27" s="1">
        <v>20.0</v>
      </c>
      <c r="L27" s="4">
        <f t="shared" si="5"/>
        <v>732.5</v>
      </c>
      <c r="M27" s="2">
        <f t="shared" si="6"/>
        <v>5.5</v>
      </c>
      <c r="N27" s="12">
        <f t="shared" si="7"/>
        <v>58.6</v>
      </c>
      <c r="O27" s="12">
        <f t="shared" si="8"/>
        <v>73.25</v>
      </c>
      <c r="P27" s="12">
        <f t="shared" si="9"/>
        <v>36.625</v>
      </c>
      <c r="Q27" s="12">
        <f t="shared" si="10"/>
        <v>14.65</v>
      </c>
      <c r="R27" s="12">
        <f t="shared" si="48"/>
        <v>5.775</v>
      </c>
      <c r="S27" s="12">
        <f t="shared" si="12"/>
        <v>7.325</v>
      </c>
      <c r="T27" s="60">
        <f t="shared" si="13"/>
        <v>195.95</v>
      </c>
      <c r="U27" s="2">
        <f t="shared" si="14"/>
        <v>11.55</v>
      </c>
      <c r="V27" s="42">
        <f t="shared" si="15"/>
        <v>57.75</v>
      </c>
      <c r="W27" s="2">
        <f t="shared" si="16"/>
        <v>11.55</v>
      </c>
      <c r="X27" s="2">
        <f t="shared" si="17"/>
        <v>92.4</v>
      </c>
      <c r="Y27" s="2">
        <f t="shared" si="18"/>
        <v>173.25</v>
      </c>
      <c r="Z27" s="60">
        <f t="shared" si="19"/>
        <v>1101.7</v>
      </c>
      <c r="AA27" s="11">
        <f t="shared" si="20"/>
        <v>220.34</v>
      </c>
      <c r="AB27" s="12">
        <f t="shared" si="49"/>
        <v>1322.04</v>
      </c>
      <c r="AC27" s="2">
        <f t="shared" si="22"/>
        <v>1155</v>
      </c>
      <c r="AD27" s="12">
        <f t="shared" si="23"/>
        <v>167.04</v>
      </c>
      <c r="AE27" s="12">
        <f t="shared" si="24"/>
        <v>12.63501861</v>
      </c>
      <c r="AF27" s="61">
        <v>995.0</v>
      </c>
      <c r="AG27" s="62">
        <f t="shared" si="25"/>
        <v>35.83617747</v>
      </c>
      <c r="AH27" s="63">
        <f t="shared" si="26"/>
        <v>95</v>
      </c>
      <c r="AI27" s="64">
        <v>1190.0</v>
      </c>
      <c r="AJ27" s="64">
        <v>1090.0</v>
      </c>
      <c r="AK27" s="66">
        <f t="shared" si="27"/>
        <v>48.80546075</v>
      </c>
      <c r="AL27" s="66"/>
      <c r="AM27" s="14">
        <f t="shared" si="85"/>
        <v>8.71559633</v>
      </c>
      <c r="AN27" s="67">
        <f t="shared" si="29"/>
        <v>12.96928328</v>
      </c>
      <c r="AO27" s="68">
        <f t="shared" si="30"/>
        <v>1.488054608</v>
      </c>
      <c r="AP27" s="69">
        <f t="shared" si="31"/>
        <v>-2.3204</v>
      </c>
      <c r="AQ27" s="70">
        <f t="shared" si="32"/>
        <v>-0.65</v>
      </c>
      <c r="AR27" s="71">
        <f t="shared" ref="AR27:AS27" si="104">AI27/94</f>
        <v>12.65957447</v>
      </c>
      <c r="AS27" s="71">
        <f t="shared" si="104"/>
        <v>11.59574468</v>
      </c>
      <c r="AT27" s="72">
        <f t="shared" ref="AT27:AU27" si="105">AI27/24</f>
        <v>49.58333333</v>
      </c>
      <c r="AU27" s="72">
        <f t="shared" si="105"/>
        <v>45.41666667</v>
      </c>
      <c r="AV27" s="73">
        <f t="shared" ref="AV27:AW27" si="106">AI27/125</f>
        <v>9.52</v>
      </c>
      <c r="AW27" s="73">
        <f t="shared" si="106"/>
        <v>8.72</v>
      </c>
    </row>
    <row r="28" ht="15.0" customHeight="1">
      <c r="A28" s="2" t="s">
        <v>106</v>
      </c>
      <c r="B28" s="2" t="s">
        <v>96</v>
      </c>
      <c r="C28" s="2" t="s">
        <v>107</v>
      </c>
      <c r="D28" s="10">
        <v>530.0</v>
      </c>
      <c r="E28" s="2">
        <v>50.0</v>
      </c>
      <c r="F28" s="1">
        <v>85.0</v>
      </c>
      <c r="G28" s="10">
        <v>741810.0</v>
      </c>
      <c r="H28" s="59">
        <v>0.05</v>
      </c>
      <c r="I28" s="2">
        <f t="shared" si="4"/>
        <v>26.5</v>
      </c>
      <c r="K28" s="1">
        <v>20.0</v>
      </c>
      <c r="L28" s="4">
        <f t="shared" si="5"/>
        <v>711.5</v>
      </c>
      <c r="M28" s="2">
        <f t="shared" si="6"/>
        <v>5.3</v>
      </c>
      <c r="N28" s="12">
        <f t="shared" si="7"/>
        <v>56.92</v>
      </c>
      <c r="O28" s="12">
        <f t="shared" si="8"/>
        <v>71.15</v>
      </c>
      <c r="P28" s="12">
        <f t="shared" si="9"/>
        <v>35.575</v>
      </c>
      <c r="Q28" s="12">
        <f t="shared" si="10"/>
        <v>14.23</v>
      </c>
      <c r="R28" s="12">
        <f t="shared" si="48"/>
        <v>5.565</v>
      </c>
      <c r="S28" s="12">
        <f t="shared" si="12"/>
        <v>7.115</v>
      </c>
      <c r="T28" s="60">
        <f t="shared" si="13"/>
        <v>190.29</v>
      </c>
      <c r="U28" s="2">
        <f t="shared" si="14"/>
        <v>11.13</v>
      </c>
      <c r="V28" s="42">
        <f t="shared" si="15"/>
        <v>55.65</v>
      </c>
      <c r="W28" s="2">
        <f t="shared" si="16"/>
        <v>11.13</v>
      </c>
      <c r="X28" s="2">
        <f t="shared" si="17"/>
        <v>89.04</v>
      </c>
      <c r="Y28" s="2">
        <f t="shared" si="18"/>
        <v>166.95</v>
      </c>
      <c r="Z28" s="60">
        <f t="shared" si="19"/>
        <v>1068.74</v>
      </c>
      <c r="AA28" s="11">
        <f t="shared" si="20"/>
        <v>213.748</v>
      </c>
      <c r="AB28" s="12">
        <f t="shared" si="49"/>
        <v>1282.488</v>
      </c>
      <c r="AC28" s="2">
        <f t="shared" si="22"/>
        <v>1113</v>
      </c>
      <c r="AD28" s="12">
        <f t="shared" si="23"/>
        <v>169.488</v>
      </c>
      <c r="AE28" s="12">
        <f t="shared" si="24"/>
        <v>13.21556225</v>
      </c>
      <c r="AF28" s="61">
        <v>1345.0</v>
      </c>
      <c r="AG28" s="62">
        <f t="shared" si="25"/>
        <v>89.03724526</v>
      </c>
      <c r="AH28" s="63">
        <f t="shared" si="26"/>
        <v>50</v>
      </c>
      <c r="AI28" s="64">
        <v>1500.0</v>
      </c>
      <c r="AJ28" s="64">
        <f>AI28-(AI28*7%)</f>
        <v>1395</v>
      </c>
      <c r="AK28" s="66">
        <f t="shared" si="27"/>
        <v>96.06465214</v>
      </c>
      <c r="AL28" s="66"/>
      <c r="AM28" s="14">
        <f t="shared" si="85"/>
        <v>3.584229391</v>
      </c>
      <c r="AN28" s="67">
        <f t="shared" si="29"/>
        <v>7.027406887</v>
      </c>
      <c r="AO28" s="68">
        <f t="shared" si="30"/>
        <v>1.960646521</v>
      </c>
      <c r="AP28" s="69">
        <f t="shared" si="31"/>
        <v>1.12512</v>
      </c>
      <c r="AQ28" s="70">
        <f t="shared" si="32"/>
        <v>2.82</v>
      </c>
      <c r="AR28" s="71">
        <f t="shared" ref="AR28:AS28" si="107">AI28/94</f>
        <v>15.95744681</v>
      </c>
      <c r="AS28" s="71">
        <f t="shared" si="107"/>
        <v>14.84042553</v>
      </c>
      <c r="AT28" s="72">
        <f t="shared" ref="AT28:AU28" si="108">AI28/24</f>
        <v>62.5</v>
      </c>
      <c r="AU28" s="72">
        <f t="shared" si="108"/>
        <v>58.125</v>
      </c>
      <c r="AV28" s="73">
        <f t="shared" ref="AV28:AW28" si="109">AI28/125</f>
        <v>12</v>
      </c>
      <c r="AW28" s="73">
        <f t="shared" si="109"/>
        <v>11.16</v>
      </c>
    </row>
    <row r="29" ht="15.75" customHeight="1">
      <c r="A29" s="2"/>
      <c r="B29" s="2" t="s">
        <v>92</v>
      </c>
      <c r="C29" s="2" t="s">
        <v>108</v>
      </c>
      <c r="D29" s="10">
        <v>530.0</v>
      </c>
      <c r="F29" s="1">
        <v>35.0</v>
      </c>
      <c r="G29" s="10">
        <v>741810.0</v>
      </c>
      <c r="H29" s="59">
        <v>0.05</v>
      </c>
      <c r="I29" s="2">
        <f t="shared" si="4"/>
        <v>26.5</v>
      </c>
      <c r="K29" s="1">
        <v>20.0</v>
      </c>
      <c r="L29" s="4">
        <f t="shared" si="5"/>
        <v>611.5</v>
      </c>
      <c r="M29" s="2">
        <f t="shared" si="6"/>
        <v>5.3</v>
      </c>
      <c r="N29" s="12">
        <f t="shared" si="7"/>
        <v>48.92</v>
      </c>
      <c r="O29" s="12">
        <f t="shared" si="8"/>
        <v>61.15</v>
      </c>
      <c r="P29" s="12">
        <f t="shared" si="9"/>
        <v>30.575</v>
      </c>
      <c r="Q29" s="12">
        <f t="shared" si="10"/>
        <v>12.23</v>
      </c>
      <c r="R29" s="12">
        <f t="shared" si="48"/>
        <v>5.565</v>
      </c>
      <c r="S29" s="12">
        <f t="shared" si="12"/>
        <v>6.115</v>
      </c>
      <c r="T29" s="60">
        <f t="shared" si="13"/>
        <v>164.29</v>
      </c>
      <c r="U29" s="2">
        <f t="shared" si="14"/>
        <v>11.13</v>
      </c>
      <c r="V29" s="42">
        <f t="shared" si="15"/>
        <v>55.65</v>
      </c>
      <c r="W29" s="2">
        <f t="shared" si="16"/>
        <v>11.13</v>
      </c>
      <c r="X29" s="2">
        <f t="shared" si="17"/>
        <v>89.04</v>
      </c>
      <c r="Y29" s="2">
        <f t="shared" si="18"/>
        <v>166.95</v>
      </c>
      <c r="Z29" s="60">
        <f t="shared" si="19"/>
        <v>942.74</v>
      </c>
      <c r="AA29" s="11">
        <f t="shared" si="20"/>
        <v>188.548</v>
      </c>
      <c r="AB29" s="12">
        <f t="shared" si="49"/>
        <v>1131.288</v>
      </c>
      <c r="AC29" s="2">
        <f t="shared" si="22"/>
        <v>1113</v>
      </c>
      <c r="AD29" s="12">
        <f t="shared" si="23"/>
        <v>18.288</v>
      </c>
      <c r="AE29" s="12">
        <f t="shared" si="24"/>
        <v>1.616564482</v>
      </c>
      <c r="AF29" s="61">
        <v>1245.0</v>
      </c>
      <c r="AG29" s="62">
        <f t="shared" si="25"/>
        <v>103.5977105</v>
      </c>
      <c r="AH29" s="63">
        <f t="shared" si="26"/>
        <v>45</v>
      </c>
      <c r="AI29" s="64">
        <v>1390.0</v>
      </c>
      <c r="AJ29" s="64">
        <v>1290.0</v>
      </c>
      <c r="AK29" s="66">
        <f t="shared" si="27"/>
        <v>110.9566639</v>
      </c>
      <c r="AL29" s="66"/>
      <c r="AM29" s="14">
        <f t="shared" si="85"/>
        <v>3.488372093</v>
      </c>
      <c r="AN29" s="67">
        <f t="shared" si="29"/>
        <v>7.358953393</v>
      </c>
      <c r="AO29" s="68">
        <f t="shared" si="30"/>
        <v>2.109566639</v>
      </c>
      <c r="AP29" s="69">
        <f t="shared" si="31"/>
        <v>1.58712</v>
      </c>
      <c r="AQ29" s="70">
        <f t="shared" si="32"/>
        <v>1.77</v>
      </c>
      <c r="AR29" s="71">
        <f t="shared" ref="AR29:AS29" si="110">AI29/94</f>
        <v>14.78723404</v>
      </c>
      <c r="AS29" s="71">
        <f t="shared" si="110"/>
        <v>13.72340426</v>
      </c>
      <c r="AT29" s="72">
        <f t="shared" ref="AT29:AU29" si="111">AI29/24</f>
        <v>57.91666667</v>
      </c>
      <c r="AU29" s="72">
        <f t="shared" si="111"/>
        <v>53.75</v>
      </c>
      <c r="AV29" s="73">
        <f t="shared" ref="AV29:AW29" si="112">AI29/125</f>
        <v>11.12</v>
      </c>
      <c r="AW29" s="73">
        <f t="shared" si="112"/>
        <v>10.32</v>
      </c>
    </row>
    <row r="30" ht="15.75" customHeight="1">
      <c r="A30" s="2"/>
      <c r="B30" s="2" t="s">
        <v>98</v>
      </c>
      <c r="C30" s="2" t="s">
        <v>109</v>
      </c>
      <c r="D30" s="10">
        <v>540.0</v>
      </c>
      <c r="F30" s="1">
        <v>35.0</v>
      </c>
      <c r="G30" s="10">
        <v>741810.0</v>
      </c>
      <c r="H30" s="59">
        <v>0.05</v>
      </c>
      <c r="I30" s="2">
        <f t="shared" si="4"/>
        <v>27</v>
      </c>
      <c r="K30" s="1">
        <v>20.0</v>
      </c>
      <c r="L30" s="4">
        <f t="shared" si="5"/>
        <v>622</v>
      </c>
      <c r="M30" s="2">
        <f t="shared" si="6"/>
        <v>5.4</v>
      </c>
      <c r="N30" s="12">
        <f t="shared" si="7"/>
        <v>49.76</v>
      </c>
      <c r="O30" s="12">
        <f t="shared" si="8"/>
        <v>62.2</v>
      </c>
      <c r="P30" s="12">
        <f t="shared" si="9"/>
        <v>31.1</v>
      </c>
      <c r="Q30" s="12">
        <f t="shared" si="10"/>
        <v>12.44</v>
      </c>
      <c r="R30" s="12">
        <f t="shared" si="48"/>
        <v>5.67</v>
      </c>
      <c r="S30" s="12">
        <f t="shared" si="12"/>
        <v>6.22</v>
      </c>
      <c r="T30" s="60">
        <f t="shared" si="13"/>
        <v>167.12</v>
      </c>
      <c r="U30" s="2">
        <f t="shared" si="14"/>
        <v>11.34</v>
      </c>
      <c r="V30" s="42">
        <f t="shared" si="15"/>
        <v>56.7</v>
      </c>
      <c r="W30" s="2">
        <f t="shared" si="16"/>
        <v>11.34</v>
      </c>
      <c r="X30" s="2">
        <f t="shared" si="17"/>
        <v>90.72</v>
      </c>
      <c r="Y30" s="2">
        <f t="shared" si="18"/>
        <v>170.1</v>
      </c>
      <c r="Z30" s="60">
        <f t="shared" si="19"/>
        <v>959.22</v>
      </c>
      <c r="AA30" s="11">
        <f t="shared" si="20"/>
        <v>191.844</v>
      </c>
      <c r="AB30" s="12">
        <f t="shared" si="49"/>
        <v>1151.064</v>
      </c>
      <c r="AC30" s="2">
        <f t="shared" si="22"/>
        <v>1134</v>
      </c>
      <c r="AD30" s="12">
        <f t="shared" si="23"/>
        <v>17.064</v>
      </c>
      <c r="AE30" s="12">
        <f t="shared" si="24"/>
        <v>1.482454494</v>
      </c>
      <c r="AF30" s="61">
        <v>1245.0</v>
      </c>
      <c r="AG30" s="62">
        <f t="shared" si="25"/>
        <v>100.1607717</v>
      </c>
      <c r="AH30" s="63">
        <f t="shared" si="26"/>
        <v>45</v>
      </c>
      <c r="AI30" s="64">
        <v>1390.0</v>
      </c>
      <c r="AJ30" s="64">
        <v>1290.0</v>
      </c>
      <c r="AK30" s="66">
        <f t="shared" si="27"/>
        <v>107.3954984</v>
      </c>
      <c r="AL30" s="66"/>
      <c r="AM30" s="14">
        <f t="shared" si="85"/>
        <v>3.488372093</v>
      </c>
      <c r="AN30" s="67">
        <f t="shared" si="29"/>
        <v>7.234726688</v>
      </c>
      <c r="AO30" s="68">
        <f t="shared" si="30"/>
        <v>2.073954984</v>
      </c>
      <c r="AP30" s="69">
        <f t="shared" si="31"/>
        <v>1.38936</v>
      </c>
      <c r="AQ30" s="70">
        <f t="shared" si="32"/>
        <v>1.56</v>
      </c>
      <c r="AR30" s="71">
        <f t="shared" ref="AR30:AS30" si="113">AI30/94</f>
        <v>14.78723404</v>
      </c>
      <c r="AS30" s="71">
        <f t="shared" si="113"/>
        <v>13.72340426</v>
      </c>
      <c r="AT30" s="72">
        <f t="shared" ref="AT30:AU30" si="114">AI30/24</f>
        <v>57.91666667</v>
      </c>
      <c r="AU30" s="72">
        <f t="shared" si="114"/>
        <v>53.75</v>
      </c>
      <c r="AV30" s="73">
        <f t="shared" ref="AV30:AW30" si="115">AI30/125</f>
        <v>11.12</v>
      </c>
      <c r="AW30" s="73">
        <f t="shared" si="115"/>
        <v>10.32</v>
      </c>
    </row>
    <row r="31" ht="15.75" customHeight="1">
      <c r="A31" s="2"/>
      <c r="B31" s="2" t="s">
        <v>102</v>
      </c>
      <c r="C31" s="2" t="s">
        <v>110</v>
      </c>
      <c r="D31" s="10">
        <v>540.0</v>
      </c>
      <c r="E31" s="2">
        <v>50.0</v>
      </c>
      <c r="F31" s="1">
        <v>35.0</v>
      </c>
      <c r="G31" s="10">
        <v>741810.0</v>
      </c>
      <c r="H31" s="59">
        <v>0.05</v>
      </c>
      <c r="I31" s="2">
        <f t="shared" si="4"/>
        <v>27</v>
      </c>
      <c r="K31" s="1">
        <v>20.0</v>
      </c>
      <c r="L31" s="4">
        <f t="shared" si="5"/>
        <v>672</v>
      </c>
      <c r="M31" s="2">
        <f t="shared" si="6"/>
        <v>5.4</v>
      </c>
      <c r="N31" s="12">
        <f t="shared" si="7"/>
        <v>53.76</v>
      </c>
      <c r="O31" s="12">
        <f t="shared" si="8"/>
        <v>67.2</v>
      </c>
      <c r="P31" s="12">
        <f t="shared" si="9"/>
        <v>33.6</v>
      </c>
      <c r="Q31" s="12">
        <f t="shared" si="10"/>
        <v>13.44</v>
      </c>
      <c r="R31" s="12">
        <f t="shared" si="48"/>
        <v>5.67</v>
      </c>
      <c r="S31" s="12">
        <f t="shared" si="12"/>
        <v>6.72</v>
      </c>
      <c r="T31" s="60">
        <f t="shared" si="13"/>
        <v>180.12</v>
      </c>
      <c r="U31" s="2">
        <f t="shared" si="14"/>
        <v>11.34</v>
      </c>
      <c r="V31" s="42">
        <f t="shared" si="15"/>
        <v>56.7</v>
      </c>
      <c r="W31" s="2">
        <f t="shared" si="16"/>
        <v>11.34</v>
      </c>
      <c r="X31" s="2">
        <f t="shared" si="17"/>
        <v>90.72</v>
      </c>
      <c r="Y31" s="2">
        <f t="shared" si="18"/>
        <v>170.1</v>
      </c>
      <c r="Z31" s="60">
        <f t="shared" si="19"/>
        <v>1022.22</v>
      </c>
      <c r="AA31" s="11">
        <f t="shared" si="20"/>
        <v>204.444</v>
      </c>
      <c r="AB31" s="12">
        <f t="shared" si="49"/>
        <v>1226.664</v>
      </c>
      <c r="AC31" s="2">
        <f t="shared" si="22"/>
        <v>1134</v>
      </c>
      <c r="AD31" s="12">
        <f t="shared" si="23"/>
        <v>92.664</v>
      </c>
      <c r="AE31" s="12">
        <f t="shared" si="24"/>
        <v>7.554146857</v>
      </c>
      <c r="AF31" s="61">
        <v>1345.0</v>
      </c>
      <c r="AG31" s="62">
        <f t="shared" si="25"/>
        <v>100.1488095</v>
      </c>
      <c r="AH31" s="63">
        <f t="shared" si="26"/>
        <v>50</v>
      </c>
      <c r="AI31" s="64">
        <v>1500.0</v>
      </c>
      <c r="AJ31" s="64">
        <f>AI31-(AI31*7%)</f>
        <v>1395</v>
      </c>
      <c r="AK31" s="66">
        <f t="shared" si="27"/>
        <v>107.5892857</v>
      </c>
      <c r="AL31" s="66"/>
      <c r="AM31" s="14">
        <f t="shared" si="85"/>
        <v>3.584229391</v>
      </c>
      <c r="AN31" s="67">
        <f t="shared" si="29"/>
        <v>7.44047619</v>
      </c>
      <c r="AO31" s="68">
        <f t="shared" si="30"/>
        <v>2.075892857</v>
      </c>
      <c r="AP31" s="69">
        <f t="shared" si="31"/>
        <v>1.68336</v>
      </c>
      <c r="AQ31" s="70">
        <f t="shared" si="32"/>
        <v>2.61</v>
      </c>
      <c r="AR31" s="71">
        <f t="shared" ref="AR31:AS31" si="116">AI31/94</f>
        <v>15.95744681</v>
      </c>
      <c r="AS31" s="71">
        <f t="shared" si="116"/>
        <v>14.84042553</v>
      </c>
      <c r="AT31" s="72">
        <f t="shared" ref="AT31:AU31" si="117">AI31/24</f>
        <v>62.5</v>
      </c>
      <c r="AU31" s="72">
        <f t="shared" si="117"/>
        <v>58.125</v>
      </c>
      <c r="AV31" s="73">
        <f t="shared" ref="AV31:AW31" si="118">AI31/125</f>
        <v>12</v>
      </c>
      <c r="AW31" s="73">
        <f t="shared" si="118"/>
        <v>11.16</v>
      </c>
    </row>
    <row r="32" ht="15.0" customHeight="1">
      <c r="A32" s="42" t="s">
        <v>111</v>
      </c>
      <c r="B32" s="42" t="s">
        <v>112</v>
      </c>
      <c r="C32" s="42" t="s">
        <v>113</v>
      </c>
      <c r="D32" s="43">
        <v>510.0</v>
      </c>
      <c r="E32" s="42">
        <v>50.0</v>
      </c>
      <c r="F32" s="44">
        <v>85.0</v>
      </c>
      <c r="G32" s="45">
        <v>741810.0</v>
      </c>
      <c r="H32" s="46">
        <v>0.05</v>
      </c>
      <c r="I32" s="42">
        <f t="shared" si="4"/>
        <v>25.5</v>
      </c>
      <c r="J32" s="47"/>
      <c r="K32" s="44">
        <v>20.0</v>
      </c>
      <c r="L32" s="48">
        <f t="shared" si="5"/>
        <v>690.5</v>
      </c>
      <c r="M32" s="42">
        <f t="shared" si="6"/>
        <v>5.1</v>
      </c>
      <c r="N32" s="49">
        <f t="shared" si="7"/>
        <v>55.24</v>
      </c>
      <c r="O32" s="49">
        <f t="shared" si="8"/>
        <v>69.05</v>
      </c>
      <c r="P32" s="49">
        <f t="shared" si="9"/>
        <v>34.525</v>
      </c>
      <c r="Q32" s="49">
        <f t="shared" si="10"/>
        <v>13.81</v>
      </c>
      <c r="R32" s="49">
        <f t="shared" si="48"/>
        <v>5.355</v>
      </c>
      <c r="S32" s="49">
        <f t="shared" si="12"/>
        <v>6.905</v>
      </c>
      <c r="T32" s="50">
        <f t="shared" si="13"/>
        <v>184.63</v>
      </c>
      <c r="U32" s="42">
        <f t="shared" si="14"/>
        <v>10.71</v>
      </c>
      <c r="V32" s="42">
        <f t="shared" si="15"/>
        <v>53.55</v>
      </c>
      <c r="W32" s="42">
        <f t="shared" si="16"/>
        <v>10.71</v>
      </c>
      <c r="X32" s="42">
        <f t="shared" si="17"/>
        <v>85.68</v>
      </c>
      <c r="Y32" s="42">
        <f t="shared" si="18"/>
        <v>160.65</v>
      </c>
      <c r="Z32" s="50">
        <f t="shared" si="19"/>
        <v>1035.78</v>
      </c>
      <c r="AA32" s="51">
        <f t="shared" si="20"/>
        <v>207.156</v>
      </c>
      <c r="AB32" s="49">
        <f t="shared" si="49"/>
        <v>1242.936</v>
      </c>
      <c r="AC32" s="42">
        <f t="shared" si="22"/>
        <v>1071</v>
      </c>
      <c r="AD32" s="49">
        <f t="shared" si="23"/>
        <v>171.936</v>
      </c>
      <c r="AE32" s="49">
        <f t="shared" si="24"/>
        <v>13.83305335</v>
      </c>
      <c r="AF32" s="47">
        <v>1199.0</v>
      </c>
      <c r="AG32" s="52">
        <f t="shared" si="25"/>
        <v>73.6422882</v>
      </c>
      <c r="AH32" s="53">
        <f t="shared" si="26"/>
        <v>0</v>
      </c>
      <c r="AI32" s="53">
        <f t="shared" ref="AI32:AI39" si="122">AB32</f>
        <v>1242.936</v>
      </c>
      <c r="AJ32" s="47">
        <v>1199.0</v>
      </c>
      <c r="AK32" s="55">
        <f t="shared" si="27"/>
        <v>73.6422882</v>
      </c>
      <c r="AL32" s="55"/>
      <c r="AM32" s="55">
        <f t="shared" ref="AM32:AM69" si="123">AH32/AJ32%</f>
        <v>0</v>
      </c>
      <c r="AN32" s="55">
        <f t="shared" si="29"/>
        <v>0</v>
      </c>
      <c r="AO32" s="56">
        <f t="shared" si="30"/>
        <v>1.736422882</v>
      </c>
      <c r="AP32" s="55">
        <f t="shared" si="31"/>
        <v>-0.43936</v>
      </c>
      <c r="AQ32" s="55">
        <f t="shared" si="32"/>
        <v>1.28</v>
      </c>
      <c r="AR32" s="57">
        <f t="shared" ref="AR32:AS32" si="119">AI32/94</f>
        <v>13.2227234</v>
      </c>
      <c r="AS32" s="57">
        <f t="shared" si="119"/>
        <v>12.75531915</v>
      </c>
      <c r="AT32" s="58">
        <f t="shared" ref="AT32:AU32" si="120">AI32/24</f>
        <v>51.789</v>
      </c>
      <c r="AU32" s="58">
        <f t="shared" si="120"/>
        <v>49.95833333</v>
      </c>
      <c r="AV32" s="58">
        <f t="shared" ref="AV32:AW32" si="121">AI32/125</f>
        <v>9.943488</v>
      </c>
      <c r="AW32" s="58">
        <f t="shared" si="121"/>
        <v>9.592</v>
      </c>
      <c r="AX32" s="47"/>
      <c r="AY32" s="47"/>
    </row>
    <row r="33" ht="15.75" customHeight="1">
      <c r="A33" s="42"/>
      <c r="B33" s="42" t="s">
        <v>114</v>
      </c>
      <c r="C33" s="42" t="s">
        <v>115</v>
      </c>
      <c r="D33" s="43">
        <v>510.0</v>
      </c>
      <c r="E33" s="47"/>
      <c r="F33" s="44">
        <v>85.0</v>
      </c>
      <c r="G33" s="45">
        <v>741810.0</v>
      </c>
      <c r="H33" s="46">
        <v>0.05</v>
      </c>
      <c r="I33" s="42">
        <f t="shared" si="4"/>
        <v>25.5</v>
      </c>
      <c r="J33" s="47"/>
      <c r="K33" s="44">
        <v>20.0</v>
      </c>
      <c r="L33" s="48">
        <f t="shared" si="5"/>
        <v>640.5</v>
      </c>
      <c r="M33" s="42">
        <f t="shared" si="6"/>
        <v>5.1</v>
      </c>
      <c r="N33" s="49">
        <f t="shared" si="7"/>
        <v>51.24</v>
      </c>
      <c r="O33" s="49">
        <f t="shared" si="8"/>
        <v>64.05</v>
      </c>
      <c r="P33" s="49">
        <f t="shared" si="9"/>
        <v>32.025</v>
      </c>
      <c r="Q33" s="49">
        <f t="shared" si="10"/>
        <v>12.81</v>
      </c>
      <c r="R33" s="49">
        <f t="shared" si="48"/>
        <v>5.355</v>
      </c>
      <c r="S33" s="49">
        <f t="shared" si="12"/>
        <v>6.405</v>
      </c>
      <c r="T33" s="50">
        <f t="shared" si="13"/>
        <v>171.63</v>
      </c>
      <c r="U33" s="42">
        <f t="shared" si="14"/>
        <v>10.71</v>
      </c>
      <c r="V33" s="42">
        <f t="shared" si="15"/>
        <v>53.55</v>
      </c>
      <c r="W33" s="42">
        <f t="shared" si="16"/>
        <v>10.71</v>
      </c>
      <c r="X33" s="42">
        <f t="shared" si="17"/>
        <v>85.68</v>
      </c>
      <c r="Y33" s="42">
        <f t="shared" si="18"/>
        <v>160.65</v>
      </c>
      <c r="Z33" s="50">
        <f t="shared" si="19"/>
        <v>972.78</v>
      </c>
      <c r="AA33" s="51">
        <f t="shared" si="20"/>
        <v>194.556</v>
      </c>
      <c r="AB33" s="49">
        <f t="shared" si="49"/>
        <v>1167.336</v>
      </c>
      <c r="AC33" s="42">
        <f t="shared" si="22"/>
        <v>1071</v>
      </c>
      <c r="AD33" s="49">
        <f t="shared" si="23"/>
        <v>96.336</v>
      </c>
      <c r="AE33" s="49">
        <f t="shared" si="24"/>
        <v>8.252636773</v>
      </c>
      <c r="AF33" s="47">
        <v>1099.0</v>
      </c>
      <c r="AG33" s="52">
        <f t="shared" si="25"/>
        <v>71.58469945</v>
      </c>
      <c r="AH33" s="53">
        <f t="shared" si="26"/>
        <v>0</v>
      </c>
      <c r="AI33" s="53">
        <f t="shared" si="122"/>
        <v>1167.336</v>
      </c>
      <c r="AJ33" s="47">
        <v>1099.0</v>
      </c>
      <c r="AK33" s="55">
        <f t="shared" si="27"/>
        <v>71.58469945</v>
      </c>
      <c r="AL33" s="55"/>
      <c r="AM33" s="55">
        <f t="shared" si="123"/>
        <v>0</v>
      </c>
      <c r="AN33" s="55">
        <f t="shared" si="29"/>
        <v>0</v>
      </c>
      <c r="AO33" s="56">
        <f t="shared" si="30"/>
        <v>1.715846995</v>
      </c>
      <c r="AP33" s="55">
        <f t="shared" si="31"/>
        <v>-0.68336</v>
      </c>
      <c r="AQ33" s="55">
        <f t="shared" si="32"/>
        <v>0.28</v>
      </c>
      <c r="AR33" s="57">
        <f t="shared" ref="AR33:AS33" si="124">AI33/94</f>
        <v>12.41846809</v>
      </c>
      <c r="AS33" s="57">
        <f t="shared" si="124"/>
        <v>11.69148936</v>
      </c>
      <c r="AT33" s="58">
        <f t="shared" ref="AT33:AU33" si="125">AI33/24</f>
        <v>48.639</v>
      </c>
      <c r="AU33" s="58">
        <f t="shared" si="125"/>
        <v>45.79166667</v>
      </c>
      <c r="AV33" s="58">
        <f t="shared" ref="AV33:AW33" si="126">AI33/125</f>
        <v>9.338688</v>
      </c>
      <c r="AW33" s="58">
        <f t="shared" si="126"/>
        <v>8.792</v>
      </c>
      <c r="AX33" s="47"/>
      <c r="AY33" s="47"/>
    </row>
    <row r="34" ht="15.75" customHeight="1">
      <c r="A34" s="42"/>
      <c r="B34" s="42" t="s">
        <v>116</v>
      </c>
      <c r="C34" s="42" t="s">
        <v>117</v>
      </c>
      <c r="D34" s="43">
        <v>510.0</v>
      </c>
      <c r="E34" s="42">
        <v>50.0</v>
      </c>
      <c r="F34" s="44">
        <v>85.0</v>
      </c>
      <c r="G34" s="45">
        <v>741810.0</v>
      </c>
      <c r="H34" s="46">
        <v>0.05</v>
      </c>
      <c r="I34" s="42">
        <f t="shared" si="4"/>
        <v>25.5</v>
      </c>
      <c r="J34" s="47"/>
      <c r="K34" s="44">
        <v>20.0</v>
      </c>
      <c r="L34" s="48">
        <f t="shared" si="5"/>
        <v>690.5</v>
      </c>
      <c r="M34" s="42">
        <f t="shared" si="6"/>
        <v>5.1</v>
      </c>
      <c r="N34" s="49">
        <f t="shared" si="7"/>
        <v>55.24</v>
      </c>
      <c r="O34" s="49">
        <f t="shared" si="8"/>
        <v>69.05</v>
      </c>
      <c r="P34" s="49">
        <f t="shared" si="9"/>
        <v>34.525</v>
      </c>
      <c r="Q34" s="49">
        <f t="shared" si="10"/>
        <v>13.81</v>
      </c>
      <c r="R34" s="49">
        <f t="shared" si="48"/>
        <v>5.355</v>
      </c>
      <c r="S34" s="49">
        <f t="shared" si="12"/>
        <v>6.905</v>
      </c>
      <c r="T34" s="50">
        <f t="shared" si="13"/>
        <v>184.63</v>
      </c>
      <c r="U34" s="42">
        <f t="shared" si="14"/>
        <v>10.71</v>
      </c>
      <c r="V34" s="42">
        <f t="shared" si="15"/>
        <v>53.55</v>
      </c>
      <c r="W34" s="42">
        <f t="shared" si="16"/>
        <v>10.71</v>
      </c>
      <c r="X34" s="42">
        <f t="shared" si="17"/>
        <v>85.68</v>
      </c>
      <c r="Y34" s="42">
        <f t="shared" si="18"/>
        <v>160.65</v>
      </c>
      <c r="Z34" s="50">
        <f t="shared" si="19"/>
        <v>1035.78</v>
      </c>
      <c r="AA34" s="51">
        <f t="shared" si="20"/>
        <v>207.156</v>
      </c>
      <c r="AB34" s="49">
        <f t="shared" si="49"/>
        <v>1242.936</v>
      </c>
      <c r="AC34" s="42">
        <f t="shared" si="22"/>
        <v>1071</v>
      </c>
      <c r="AD34" s="49">
        <f t="shared" si="23"/>
        <v>171.936</v>
      </c>
      <c r="AE34" s="49">
        <f t="shared" si="24"/>
        <v>13.83305335</v>
      </c>
      <c r="AF34" s="47">
        <v>1199.0</v>
      </c>
      <c r="AG34" s="52">
        <f t="shared" si="25"/>
        <v>73.6422882</v>
      </c>
      <c r="AH34" s="53">
        <f t="shared" si="26"/>
        <v>0</v>
      </c>
      <c r="AI34" s="53">
        <f t="shared" si="122"/>
        <v>1242.936</v>
      </c>
      <c r="AJ34" s="47">
        <v>1199.0</v>
      </c>
      <c r="AK34" s="55">
        <f t="shared" si="27"/>
        <v>73.6422882</v>
      </c>
      <c r="AL34" s="55"/>
      <c r="AM34" s="55">
        <f t="shared" si="123"/>
        <v>0</v>
      </c>
      <c r="AN34" s="55">
        <f t="shared" si="29"/>
        <v>0</v>
      </c>
      <c r="AO34" s="56">
        <f t="shared" si="30"/>
        <v>1.736422882</v>
      </c>
      <c r="AP34" s="55">
        <f t="shared" si="31"/>
        <v>-0.43936</v>
      </c>
      <c r="AQ34" s="55">
        <f t="shared" si="32"/>
        <v>1.28</v>
      </c>
      <c r="AR34" s="57">
        <f t="shared" ref="AR34:AS34" si="127">AI34/94</f>
        <v>13.2227234</v>
      </c>
      <c r="AS34" s="57">
        <f t="shared" si="127"/>
        <v>12.75531915</v>
      </c>
      <c r="AT34" s="58">
        <f t="shared" ref="AT34:AU34" si="128">AI34/24</f>
        <v>51.789</v>
      </c>
      <c r="AU34" s="58">
        <f t="shared" si="128"/>
        <v>49.95833333</v>
      </c>
      <c r="AV34" s="58">
        <f t="shared" ref="AV34:AW34" si="129">AI34/125</f>
        <v>9.943488</v>
      </c>
      <c r="AW34" s="58">
        <f t="shared" si="129"/>
        <v>9.592</v>
      </c>
      <c r="AX34" s="47"/>
      <c r="AY34" s="47"/>
    </row>
    <row r="35" ht="15.75" customHeight="1">
      <c r="A35" s="42"/>
      <c r="B35" s="42" t="s">
        <v>118</v>
      </c>
      <c r="C35" s="42" t="s">
        <v>119</v>
      </c>
      <c r="D35" s="43">
        <v>510.0</v>
      </c>
      <c r="E35" s="47"/>
      <c r="F35" s="44">
        <v>85.0</v>
      </c>
      <c r="G35" s="45">
        <v>741810.0</v>
      </c>
      <c r="H35" s="46">
        <v>0.05</v>
      </c>
      <c r="I35" s="42">
        <f t="shared" si="4"/>
        <v>25.5</v>
      </c>
      <c r="J35" s="47"/>
      <c r="K35" s="44">
        <v>20.0</v>
      </c>
      <c r="L35" s="48">
        <f t="shared" si="5"/>
        <v>640.5</v>
      </c>
      <c r="M35" s="42">
        <f t="shared" si="6"/>
        <v>5.1</v>
      </c>
      <c r="N35" s="49">
        <f t="shared" si="7"/>
        <v>51.24</v>
      </c>
      <c r="O35" s="49">
        <f t="shared" si="8"/>
        <v>64.05</v>
      </c>
      <c r="P35" s="49">
        <f t="shared" si="9"/>
        <v>32.025</v>
      </c>
      <c r="Q35" s="49">
        <f t="shared" si="10"/>
        <v>12.81</v>
      </c>
      <c r="R35" s="49">
        <f t="shared" si="48"/>
        <v>5.355</v>
      </c>
      <c r="S35" s="49">
        <f t="shared" si="12"/>
        <v>6.405</v>
      </c>
      <c r="T35" s="50">
        <f t="shared" si="13"/>
        <v>171.63</v>
      </c>
      <c r="U35" s="42">
        <f t="shared" si="14"/>
        <v>10.71</v>
      </c>
      <c r="V35" s="42">
        <f t="shared" si="15"/>
        <v>53.55</v>
      </c>
      <c r="W35" s="42">
        <f t="shared" si="16"/>
        <v>10.71</v>
      </c>
      <c r="X35" s="42">
        <f t="shared" si="17"/>
        <v>85.68</v>
      </c>
      <c r="Y35" s="42">
        <f t="shared" si="18"/>
        <v>160.65</v>
      </c>
      <c r="Z35" s="50">
        <f t="shared" si="19"/>
        <v>972.78</v>
      </c>
      <c r="AA35" s="51">
        <f t="shared" si="20"/>
        <v>194.556</v>
      </c>
      <c r="AB35" s="49">
        <f t="shared" si="49"/>
        <v>1167.336</v>
      </c>
      <c r="AC35" s="42">
        <f t="shared" si="22"/>
        <v>1071</v>
      </c>
      <c r="AD35" s="49">
        <f t="shared" si="23"/>
        <v>96.336</v>
      </c>
      <c r="AE35" s="49">
        <f t="shared" si="24"/>
        <v>8.252636773</v>
      </c>
      <c r="AF35" s="47">
        <v>1099.0</v>
      </c>
      <c r="AG35" s="52">
        <f t="shared" si="25"/>
        <v>71.58469945</v>
      </c>
      <c r="AH35" s="53">
        <f t="shared" si="26"/>
        <v>0</v>
      </c>
      <c r="AI35" s="53">
        <f t="shared" si="122"/>
        <v>1167.336</v>
      </c>
      <c r="AJ35" s="47">
        <v>1099.0</v>
      </c>
      <c r="AK35" s="55">
        <f t="shared" si="27"/>
        <v>71.58469945</v>
      </c>
      <c r="AL35" s="55"/>
      <c r="AM35" s="55">
        <f t="shared" si="123"/>
        <v>0</v>
      </c>
      <c r="AN35" s="55">
        <f t="shared" si="29"/>
        <v>0</v>
      </c>
      <c r="AO35" s="56">
        <f t="shared" si="30"/>
        <v>1.715846995</v>
      </c>
      <c r="AP35" s="55">
        <f t="shared" si="31"/>
        <v>-0.68336</v>
      </c>
      <c r="AQ35" s="55">
        <f t="shared" si="32"/>
        <v>0.28</v>
      </c>
      <c r="AR35" s="57">
        <f t="shared" ref="AR35:AS35" si="130">AI35/94</f>
        <v>12.41846809</v>
      </c>
      <c r="AS35" s="57">
        <f t="shared" si="130"/>
        <v>11.69148936</v>
      </c>
      <c r="AT35" s="58">
        <f t="shared" ref="AT35:AU35" si="131">AI35/24</f>
        <v>48.639</v>
      </c>
      <c r="AU35" s="58">
        <f t="shared" si="131"/>
        <v>45.79166667</v>
      </c>
      <c r="AV35" s="58">
        <f t="shared" ref="AV35:AW35" si="132">AI35/125</f>
        <v>9.338688</v>
      </c>
      <c r="AW35" s="58">
        <f t="shared" si="132"/>
        <v>8.792</v>
      </c>
      <c r="AX35" s="47"/>
      <c r="AY35" s="47"/>
    </row>
    <row r="36" ht="15.75" customHeight="1">
      <c r="A36" s="42" t="s">
        <v>120</v>
      </c>
      <c r="B36" s="42" t="s">
        <v>121</v>
      </c>
      <c r="C36" s="42" t="s">
        <v>122</v>
      </c>
      <c r="D36" s="43">
        <v>510.0</v>
      </c>
      <c r="E36" s="47"/>
      <c r="F36" s="44">
        <v>85.0</v>
      </c>
      <c r="G36" s="45">
        <v>741810.0</v>
      </c>
      <c r="H36" s="46">
        <v>0.05</v>
      </c>
      <c r="I36" s="42">
        <f t="shared" si="4"/>
        <v>25.5</v>
      </c>
      <c r="J36" s="47"/>
      <c r="K36" s="44">
        <v>20.0</v>
      </c>
      <c r="L36" s="48">
        <f t="shared" si="5"/>
        <v>640.5</v>
      </c>
      <c r="M36" s="42">
        <f t="shared" si="6"/>
        <v>5.1</v>
      </c>
      <c r="N36" s="49">
        <f t="shared" si="7"/>
        <v>51.24</v>
      </c>
      <c r="O36" s="49">
        <f t="shared" si="8"/>
        <v>64.05</v>
      </c>
      <c r="P36" s="49">
        <f t="shared" si="9"/>
        <v>32.025</v>
      </c>
      <c r="Q36" s="49">
        <f t="shared" si="10"/>
        <v>12.81</v>
      </c>
      <c r="R36" s="49">
        <f t="shared" si="48"/>
        <v>5.355</v>
      </c>
      <c r="S36" s="49">
        <f t="shared" si="12"/>
        <v>6.405</v>
      </c>
      <c r="T36" s="50">
        <f t="shared" si="13"/>
        <v>171.63</v>
      </c>
      <c r="U36" s="42">
        <f t="shared" si="14"/>
        <v>10.71</v>
      </c>
      <c r="V36" s="42">
        <f t="shared" si="15"/>
        <v>53.55</v>
      </c>
      <c r="W36" s="42">
        <f t="shared" si="16"/>
        <v>10.71</v>
      </c>
      <c r="X36" s="42">
        <f t="shared" si="17"/>
        <v>85.68</v>
      </c>
      <c r="Y36" s="42">
        <f t="shared" si="18"/>
        <v>160.65</v>
      </c>
      <c r="Z36" s="50">
        <f t="shared" si="19"/>
        <v>972.78</v>
      </c>
      <c r="AA36" s="51">
        <f t="shared" si="20"/>
        <v>194.556</v>
      </c>
      <c r="AB36" s="49">
        <f t="shared" si="49"/>
        <v>1167.336</v>
      </c>
      <c r="AC36" s="42">
        <f t="shared" si="22"/>
        <v>1071</v>
      </c>
      <c r="AD36" s="49">
        <f t="shared" si="23"/>
        <v>96.336</v>
      </c>
      <c r="AE36" s="49">
        <f t="shared" si="24"/>
        <v>8.252636773</v>
      </c>
      <c r="AF36" s="47">
        <v>1099.0</v>
      </c>
      <c r="AG36" s="52">
        <f t="shared" si="25"/>
        <v>71.58469945</v>
      </c>
      <c r="AH36" s="53">
        <f t="shared" si="26"/>
        <v>0</v>
      </c>
      <c r="AI36" s="53">
        <f t="shared" si="122"/>
        <v>1167.336</v>
      </c>
      <c r="AJ36" s="47">
        <v>1099.0</v>
      </c>
      <c r="AK36" s="55">
        <f t="shared" si="27"/>
        <v>71.58469945</v>
      </c>
      <c r="AL36" s="55"/>
      <c r="AM36" s="55">
        <f t="shared" si="123"/>
        <v>0</v>
      </c>
      <c r="AN36" s="55">
        <f t="shared" si="29"/>
        <v>0</v>
      </c>
      <c r="AO36" s="56">
        <f t="shared" si="30"/>
        <v>1.715846995</v>
      </c>
      <c r="AP36" s="55">
        <f t="shared" si="31"/>
        <v>-0.68336</v>
      </c>
      <c r="AQ36" s="55">
        <f t="shared" si="32"/>
        <v>0.28</v>
      </c>
      <c r="AR36" s="57">
        <f t="shared" ref="AR36:AS36" si="133">AI36/94</f>
        <v>12.41846809</v>
      </c>
      <c r="AS36" s="57">
        <f t="shared" si="133"/>
        <v>11.69148936</v>
      </c>
      <c r="AT36" s="58">
        <f t="shared" ref="AT36:AU36" si="134">AI36/24</f>
        <v>48.639</v>
      </c>
      <c r="AU36" s="58">
        <f t="shared" si="134"/>
        <v>45.79166667</v>
      </c>
      <c r="AV36" s="58">
        <f t="shared" ref="AV36:AW36" si="135">AI36/125</f>
        <v>9.338688</v>
      </c>
      <c r="AW36" s="58">
        <f t="shared" si="135"/>
        <v>8.792</v>
      </c>
      <c r="AX36" s="47"/>
      <c r="AY36" s="47"/>
    </row>
    <row r="37" ht="15.75" customHeight="1">
      <c r="A37" s="42"/>
      <c r="B37" s="42" t="s">
        <v>123</v>
      </c>
      <c r="C37" s="42" t="s">
        <v>124</v>
      </c>
      <c r="D37" s="43">
        <v>510.0</v>
      </c>
      <c r="E37" s="47"/>
      <c r="F37" s="44">
        <v>85.0</v>
      </c>
      <c r="G37" s="45">
        <v>741810.0</v>
      </c>
      <c r="H37" s="46">
        <v>0.05</v>
      </c>
      <c r="I37" s="42">
        <f t="shared" si="4"/>
        <v>25.5</v>
      </c>
      <c r="J37" s="47"/>
      <c r="K37" s="44">
        <v>20.0</v>
      </c>
      <c r="L37" s="48">
        <f t="shared" si="5"/>
        <v>640.5</v>
      </c>
      <c r="M37" s="42">
        <f t="shared" si="6"/>
        <v>5.1</v>
      </c>
      <c r="N37" s="49">
        <f t="shared" si="7"/>
        <v>51.24</v>
      </c>
      <c r="O37" s="49">
        <f t="shared" si="8"/>
        <v>64.05</v>
      </c>
      <c r="P37" s="49">
        <f t="shared" si="9"/>
        <v>32.025</v>
      </c>
      <c r="Q37" s="49">
        <f t="shared" si="10"/>
        <v>12.81</v>
      </c>
      <c r="R37" s="49">
        <f t="shared" si="48"/>
        <v>5.355</v>
      </c>
      <c r="S37" s="49">
        <f t="shared" si="12"/>
        <v>6.405</v>
      </c>
      <c r="T37" s="50">
        <f t="shared" si="13"/>
        <v>171.63</v>
      </c>
      <c r="U37" s="42">
        <f t="shared" si="14"/>
        <v>10.71</v>
      </c>
      <c r="V37" s="42">
        <f t="shared" si="15"/>
        <v>53.55</v>
      </c>
      <c r="W37" s="42">
        <f t="shared" si="16"/>
        <v>10.71</v>
      </c>
      <c r="X37" s="42">
        <f t="shared" si="17"/>
        <v>85.68</v>
      </c>
      <c r="Y37" s="42">
        <f t="shared" si="18"/>
        <v>160.65</v>
      </c>
      <c r="Z37" s="50">
        <f t="shared" si="19"/>
        <v>972.78</v>
      </c>
      <c r="AA37" s="51">
        <f t="shared" si="20"/>
        <v>194.556</v>
      </c>
      <c r="AB37" s="49">
        <f t="shared" si="49"/>
        <v>1167.336</v>
      </c>
      <c r="AC37" s="42">
        <f t="shared" si="22"/>
        <v>1071</v>
      </c>
      <c r="AD37" s="49">
        <f t="shared" si="23"/>
        <v>96.336</v>
      </c>
      <c r="AE37" s="49">
        <f t="shared" si="24"/>
        <v>8.252636773</v>
      </c>
      <c r="AF37" s="47">
        <v>1099.0</v>
      </c>
      <c r="AG37" s="52">
        <f t="shared" si="25"/>
        <v>71.58469945</v>
      </c>
      <c r="AH37" s="53">
        <f t="shared" si="26"/>
        <v>0</v>
      </c>
      <c r="AI37" s="53">
        <f t="shared" si="122"/>
        <v>1167.336</v>
      </c>
      <c r="AJ37" s="47">
        <v>1099.0</v>
      </c>
      <c r="AK37" s="55">
        <f t="shared" si="27"/>
        <v>71.58469945</v>
      </c>
      <c r="AL37" s="55"/>
      <c r="AM37" s="55">
        <f t="shared" si="123"/>
        <v>0</v>
      </c>
      <c r="AN37" s="55">
        <f t="shared" si="29"/>
        <v>0</v>
      </c>
      <c r="AO37" s="56">
        <f t="shared" si="30"/>
        <v>1.715846995</v>
      </c>
      <c r="AP37" s="55">
        <f t="shared" si="31"/>
        <v>-0.68336</v>
      </c>
      <c r="AQ37" s="55">
        <f t="shared" si="32"/>
        <v>0.28</v>
      </c>
      <c r="AR37" s="57">
        <f t="shared" ref="AR37:AS37" si="136">AI37/94</f>
        <v>12.41846809</v>
      </c>
      <c r="AS37" s="57">
        <f t="shared" si="136"/>
        <v>11.69148936</v>
      </c>
      <c r="AT37" s="58">
        <f t="shared" ref="AT37:AU37" si="137">AI37/24</f>
        <v>48.639</v>
      </c>
      <c r="AU37" s="58">
        <f t="shared" si="137"/>
        <v>45.79166667</v>
      </c>
      <c r="AV37" s="58">
        <f t="shared" ref="AV37:AW37" si="138">AI37/125</f>
        <v>9.338688</v>
      </c>
      <c r="AW37" s="58">
        <f t="shared" si="138"/>
        <v>8.792</v>
      </c>
      <c r="AX37" s="47"/>
      <c r="AY37" s="47"/>
    </row>
    <row r="38" ht="15.0" customHeight="1">
      <c r="A38" s="42" t="s">
        <v>125</v>
      </c>
      <c r="B38" s="42" t="s">
        <v>126</v>
      </c>
      <c r="C38" s="42" t="s">
        <v>127</v>
      </c>
      <c r="D38" s="43">
        <v>510.0</v>
      </c>
      <c r="E38" s="42">
        <v>50.0</v>
      </c>
      <c r="F38" s="44">
        <v>85.0</v>
      </c>
      <c r="G38" s="45">
        <v>741810.0</v>
      </c>
      <c r="H38" s="46">
        <v>0.05</v>
      </c>
      <c r="I38" s="42">
        <f t="shared" si="4"/>
        <v>25.5</v>
      </c>
      <c r="J38" s="47"/>
      <c r="K38" s="44">
        <v>20.0</v>
      </c>
      <c r="L38" s="48">
        <f t="shared" si="5"/>
        <v>690.5</v>
      </c>
      <c r="M38" s="42">
        <f t="shared" si="6"/>
        <v>5.1</v>
      </c>
      <c r="N38" s="49">
        <f t="shared" si="7"/>
        <v>55.24</v>
      </c>
      <c r="O38" s="49">
        <f t="shared" si="8"/>
        <v>69.05</v>
      </c>
      <c r="P38" s="49">
        <f t="shared" si="9"/>
        <v>34.525</v>
      </c>
      <c r="Q38" s="49">
        <f t="shared" si="10"/>
        <v>13.81</v>
      </c>
      <c r="R38" s="49">
        <f t="shared" si="48"/>
        <v>5.355</v>
      </c>
      <c r="S38" s="49">
        <f t="shared" si="12"/>
        <v>6.905</v>
      </c>
      <c r="T38" s="50">
        <f t="shared" si="13"/>
        <v>184.63</v>
      </c>
      <c r="U38" s="42">
        <f t="shared" si="14"/>
        <v>10.71</v>
      </c>
      <c r="V38" s="42">
        <f t="shared" si="15"/>
        <v>53.55</v>
      </c>
      <c r="W38" s="42">
        <f t="shared" si="16"/>
        <v>10.71</v>
      </c>
      <c r="X38" s="42">
        <f t="shared" si="17"/>
        <v>85.68</v>
      </c>
      <c r="Y38" s="42">
        <f t="shared" si="18"/>
        <v>160.65</v>
      </c>
      <c r="Z38" s="50">
        <f t="shared" si="19"/>
        <v>1035.78</v>
      </c>
      <c r="AA38" s="51">
        <f t="shared" si="20"/>
        <v>207.156</v>
      </c>
      <c r="AB38" s="49">
        <f t="shared" si="49"/>
        <v>1242.936</v>
      </c>
      <c r="AC38" s="42">
        <f t="shared" si="22"/>
        <v>1071</v>
      </c>
      <c r="AD38" s="49">
        <f t="shared" si="23"/>
        <v>171.936</v>
      </c>
      <c r="AE38" s="49">
        <f t="shared" si="24"/>
        <v>13.83305335</v>
      </c>
      <c r="AF38" s="47">
        <v>1199.0</v>
      </c>
      <c r="AG38" s="52">
        <f t="shared" si="25"/>
        <v>73.6422882</v>
      </c>
      <c r="AH38" s="53">
        <f t="shared" si="26"/>
        <v>0</v>
      </c>
      <c r="AI38" s="53">
        <f t="shared" si="122"/>
        <v>1242.936</v>
      </c>
      <c r="AJ38" s="47">
        <v>1199.0</v>
      </c>
      <c r="AK38" s="55">
        <f t="shared" si="27"/>
        <v>73.6422882</v>
      </c>
      <c r="AL38" s="55"/>
      <c r="AM38" s="55">
        <f t="shared" si="123"/>
        <v>0</v>
      </c>
      <c r="AN38" s="55">
        <f t="shared" si="29"/>
        <v>0</v>
      </c>
      <c r="AO38" s="56">
        <f t="shared" si="30"/>
        <v>1.736422882</v>
      </c>
      <c r="AP38" s="55">
        <f t="shared" si="31"/>
        <v>-0.43936</v>
      </c>
      <c r="AQ38" s="55">
        <f t="shared" si="32"/>
        <v>1.28</v>
      </c>
      <c r="AR38" s="57">
        <f t="shared" ref="AR38:AS38" si="139">AI38/94</f>
        <v>13.2227234</v>
      </c>
      <c r="AS38" s="57">
        <f t="shared" si="139"/>
        <v>12.75531915</v>
      </c>
      <c r="AT38" s="58">
        <f t="shared" ref="AT38:AU38" si="140">AI38/24</f>
        <v>51.789</v>
      </c>
      <c r="AU38" s="58">
        <f t="shared" si="140"/>
        <v>49.95833333</v>
      </c>
      <c r="AV38" s="58">
        <f t="shared" ref="AV38:AW38" si="141">AI38/125</f>
        <v>9.943488</v>
      </c>
      <c r="AW38" s="58">
        <f t="shared" si="141"/>
        <v>9.592</v>
      </c>
      <c r="AX38" s="47"/>
      <c r="AY38" s="47"/>
    </row>
    <row r="39" ht="15.75" customHeight="1">
      <c r="A39" s="42"/>
      <c r="B39" s="42" t="s">
        <v>128</v>
      </c>
      <c r="C39" s="42" t="s">
        <v>129</v>
      </c>
      <c r="D39" s="43">
        <v>510.0</v>
      </c>
      <c r="E39" s="47"/>
      <c r="F39" s="44">
        <v>85.0</v>
      </c>
      <c r="G39" s="45">
        <v>741810.0</v>
      </c>
      <c r="H39" s="46">
        <v>0.05</v>
      </c>
      <c r="I39" s="42">
        <f t="shared" si="4"/>
        <v>25.5</v>
      </c>
      <c r="J39" s="47"/>
      <c r="K39" s="44">
        <v>20.0</v>
      </c>
      <c r="L39" s="48">
        <f t="shared" si="5"/>
        <v>640.5</v>
      </c>
      <c r="M39" s="42">
        <f t="shared" si="6"/>
        <v>5.1</v>
      </c>
      <c r="N39" s="49">
        <f t="shared" si="7"/>
        <v>51.24</v>
      </c>
      <c r="O39" s="49">
        <f t="shared" si="8"/>
        <v>64.05</v>
      </c>
      <c r="P39" s="49">
        <f t="shared" si="9"/>
        <v>32.025</v>
      </c>
      <c r="Q39" s="49">
        <f t="shared" si="10"/>
        <v>12.81</v>
      </c>
      <c r="R39" s="49">
        <f t="shared" si="48"/>
        <v>5.355</v>
      </c>
      <c r="S39" s="49">
        <f t="shared" si="12"/>
        <v>6.405</v>
      </c>
      <c r="T39" s="50">
        <f t="shared" si="13"/>
        <v>171.63</v>
      </c>
      <c r="U39" s="42">
        <f t="shared" si="14"/>
        <v>10.71</v>
      </c>
      <c r="V39" s="42">
        <f t="shared" si="15"/>
        <v>53.55</v>
      </c>
      <c r="W39" s="42">
        <f t="shared" si="16"/>
        <v>10.71</v>
      </c>
      <c r="X39" s="42">
        <f t="shared" si="17"/>
        <v>85.68</v>
      </c>
      <c r="Y39" s="42">
        <f t="shared" si="18"/>
        <v>160.65</v>
      </c>
      <c r="Z39" s="50">
        <f t="shared" si="19"/>
        <v>972.78</v>
      </c>
      <c r="AA39" s="51">
        <f t="shared" si="20"/>
        <v>194.556</v>
      </c>
      <c r="AB39" s="49">
        <f t="shared" si="49"/>
        <v>1167.336</v>
      </c>
      <c r="AC39" s="42">
        <f t="shared" si="22"/>
        <v>1071</v>
      </c>
      <c r="AD39" s="49">
        <f t="shared" si="23"/>
        <v>96.336</v>
      </c>
      <c r="AE39" s="49">
        <f t="shared" si="24"/>
        <v>8.252636773</v>
      </c>
      <c r="AF39" s="47">
        <v>1099.0</v>
      </c>
      <c r="AG39" s="52">
        <f t="shared" si="25"/>
        <v>71.58469945</v>
      </c>
      <c r="AH39" s="53">
        <f t="shared" si="26"/>
        <v>0</v>
      </c>
      <c r="AI39" s="53">
        <f t="shared" si="122"/>
        <v>1167.336</v>
      </c>
      <c r="AJ39" s="47">
        <v>1099.0</v>
      </c>
      <c r="AK39" s="55">
        <f t="shared" si="27"/>
        <v>71.58469945</v>
      </c>
      <c r="AL39" s="55"/>
      <c r="AM39" s="55">
        <f t="shared" si="123"/>
        <v>0</v>
      </c>
      <c r="AN39" s="55">
        <f t="shared" si="29"/>
        <v>0</v>
      </c>
      <c r="AO39" s="56">
        <f t="shared" si="30"/>
        <v>1.715846995</v>
      </c>
      <c r="AP39" s="55">
        <f t="shared" si="31"/>
        <v>-0.68336</v>
      </c>
      <c r="AQ39" s="55">
        <f t="shared" si="32"/>
        <v>0.28</v>
      </c>
      <c r="AR39" s="57">
        <f t="shared" ref="AR39:AS39" si="142">AI39/94</f>
        <v>12.41846809</v>
      </c>
      <c r="AS39" s="57">
        <f t="shared" si="142"/>
        <v>11.69148936</v>
      </c>
      <c r="AT39" s="58">
        <f t="shared" ref="AT39:AU39" si="143">AI39/24</f>
        <v>48.639</v>
      </c>
      <c r="AU39" s="58">
        <f t="shared" si="143"/>
        <v>45.79166667</v>
      </c>
      <c r="AV39" s="58">
        <f t="shared" ref="AV39:AW39" si="144">AI39/125</f>
        <v>9.338688</v>
      </c>
      <c r="AW39" s="58">
        <f t="shared" si="144"/>
        <v>8.792</v>
      </c>
      <c r="AX39" s="47"/>
      <c r="AY39" s="47"/>
    </row>
    <row r="40" ht="15.0" customHeight="1">
      <c r="A40" s="2" t="s">
        <v>130</v>
      </c>
      <c r="B40" s="2" t="s">
        <v>131</v>
      </c>
      <c r="C40" s="2" t="s">
        <v>113</v>
      </c>
      <c r="D40" s="10">
        <v>510.0</v>
      </c>
      <c r="E40" s="2">
        <v>50.0</v>
      </c>
      <c r="F40" s="1">
        <v>85.0</v>
      </c>
      <c r="G40" s="10">
        <v>741810.0</v>
      </c>
      <c r="H40" s="59">
        <v>0.05</v>
      </c>
      <c r="I40" s="2">
        <f t="shared" si="4"/>
        <v>25.5</v>
      </c>
      <c r="K40" s="1">
        <v>20.0</v>
      </c>
      <c r="L40" s="4">
        <f t="shared" si="5"/>
        <v>690.5</v>
      </c>
      <c r="M40" s="2">
        <f t="shared" si="6"/>
        <v>5.1</v>
      </c>
      <c r="N40" s="12">
        <f t="shared" si="7"/>
        <v>55.24</v>
      </c>
      <c r="O40" s="12">
        <f t="shared" si="8"/>
        <v>69.05</v>
      </c>
      <c r="P40" s="12">
        <f t="shared" si="9"/>
        <v>34.525</v>
      </c>
      <c r="Q40" s="12">
        <f t="shared" si="10"/>
        <v>13.81</v>
      </c>
      <c r="R40" s="12">
        <f t="shared" si="48"/>
        <v>5.355</v>
      </c>
      <c r="S40" s="12">
        <f t="shared" si="12"/>
        <v>6.905</v>
      </c>
      <c r="T40" s="60">
        <f t="shared" si="13"/>
        <v>184.63</v>
      </c>
      <c r="U40" s="2">
        <f t="shared" si="14"/>
        <v>10.71</v>
      </c>
      <c r="V40" s="42">
        <f t="shared" si="15"/>
        <v>53.55</v>
      </c>
      <c r="W40" s="2">
        <f t="shared" si="16"/>
        <v>10.71</v>
      </c>
      <c r="X40" s="2">
        <f t="shared" si="17"/>
        <v>85.68</v>
      </c>
      <c r="Y40" s="2">
        <f t="shared" si="18"/>
        <v>160.65</v>
      </c>
      <c r="Z40" s="60">
        <f t="shared" si="19"/>
        <v>1035.78</v>
      </c>
      <c r="AA40" s="11">
        <f t="shared" si="20"/>
        <v>207.156</v>
      </c>
      <c r="AB40" s="12">
        <f t="shared" si="49"/>
        <v>1242.936</v>
      </c>
      <c r="AC40" s="2">
        <f t="shared" si="22"/>
        <v>1071</v>
      </c>
      <c r="AD40" s="12">
        <f t="shared" si="23"/>
        <v>171.936</v>
      </c>
      <c r="AE40" s="12">
        <f t="shared" si="24"/>
        <v>13.83305335</v>
      </c>
      <c r="AF40" s="61">
        <v>1199.0</v>
      </c>
      <c r="AG40" s="62">
        <f t="shared" si="25"/>
        <v>73.6422882</v>
      </c>
      <c r="AH40" s="63">
        <f t="shared" si="26"/>
        <v>50</v>
      </c>
      <c r="AI40" s="65">
        <v>1390.0</v>
      </c>
      <c r="AJ40" s="65">
        <v>1249.0</v>
      </c>
      <c r="AK40" s="66">
        <f t="shared" si="27"/>
        <v>80.88341781</v>
      </c>
      <c r="AL40" s="66"/>
      <c r="AM40" s="14">
        <f t="shared" si="123"/>
        <v>4.003202562</v>
      </c>
      <c r="AN40" s="67">
        <f t="shared" si="29"/>
        <v>7.241129616</v>
      </c>
      <c r="AO40" s="68">
        <f t="shared" si="30"/>
        <v>1.808834178</v>
      </c>
      <c r="AP40" s="69">
        <f t="shared" si="31"/>
        <v>0.06064</v>
      </c>
      <c r="AQ40" s="70">
        <f t="shared" si="32"/>
        <v>1.78</v>
      </c>
      <c r="AR40" s="71">
        <f t="shared" ref="AR40:AS40" si="145">AI40/94</f>
        <v>14.78723404</v>
      </c>
      <c r="AS40" s="71">
        <f t="shared" si="145"/>
        <v>13.28723404</v>
      </c>
      <c r="AT40" s="72">
        <f t="shared" ref="AT40:AU40" si="146">AI40/24</f>
        <v>57.91666667</v>
      </c>
      <c r="AU40" s="72">
        <f t="shared" si="146"/>
        <v>52.04166667</v>
      </c>
      <c r="AV40" s="73">
        <f t="shared" ref="AV40:AW40" si="147">AI40/125</f>
        <v>11.12</v>
      </c>
      <c r="AW40" s="73">
        <f t="shared" si="147"/>
        <v>9.992</v>
      </c>
    </row>
    <row r="41" ht="15.75" customHeight="1">
      <c r="A41" s="2"/>
      <c r="B41" s="2" t="s">
        <v>132</v>
      </c>
      <c r="C41" s="2" t="s">
        <v>122</v>
      </c>
      <c r="D41" s="10">
        <v>510.0</v>
      </c>
      <c r="F41" s="1">
        <v>85.0</v>
      </c>
      <c r="G41" s="10">
        <v>741810.0</v>
      </c>
      <c r="H41" s="59">
        <v>0.05</v>
      </c>
      <c r="I41" s="2">
        <f t="shared" si="4"/>
        <v>25.5</v>
      </c>
      <c r="K41" s="1">
        <v>20.0</v>
      </c>
      <c r="L41" s="4">
        <f t="shared" si="5"/>
        <v>640.5</v>
      </c>
      <c r="M41" s="2">
        <f t="shared" si="6"/>
        <v>5.1</v>
      </c>
      <c r="N41" s="12">
        <f t="shared" si="7"/>
        <v>51.24</v>
      </c>
      <c r="O41" s="12">
        <f t="shared" si="8"/>
        <v>64.05</v>
      </c>
      <c r="P41" s="12">
        <f t="shared" si="9"/>
        <v>32.025</v>
      </c>
      <c r="Q41" s="12">
        <f t="shared" si="10"/>
        <v>12.81</v>
      </c>
      <c r="R41" s="12">
        <f t="shared" si="48"/>
        <v>5.355</v>
      </c>
      <c r="S41" s="12">
        <f t="shared" si="12"/>
        <v>6.405</v>
      </c>
      <c r="T41" s="60">
        <f t="shared" si="13"/>
        <v>171.63</v>
      </c>
      <c r="U41" s="2">
        <f t="shared" si="14"/>
        <v>10.71</v>
      </c>
      <c r="V41" s="42">
        <f t="shared" si="15"/>
        <v>53.55</v>
      </c>
      <c r="W41" s="2">
        <f t="shared" si="16"/>
        <v>10.71</v>
      </c>
      <c r="X41" s="2">
        <f t="shared" si="17"/>
        <v>85.68</v>
      </c>
      <c r="Y41" s="2">
        <f t="shared" si="18"/>
        <v>160.65</v>
      </c>
      <c r="Z41" s="60">
        <f t="shared" si="19"/>
        <v>972.78</v>
      </c>
      <c r="AA41" s="11">
        <f t="shared" si="20"/>
        <v>194.556</v>
      </c>
      <c r="AB41" s="12">
        <f t="shared" si="49"/>
        <v>1167.336</v>
      </c>
      <c r="AC41" s="2">
        <f t="shared" si="22"/>
        <v>1071</v>
      </c>
      <c r="AD41" s="12">
        <f t="shared" si="23"/>
        <v>96.336</v>
      </c>
      <c r="AE41" s="12">
        <f t="shared" si="24"/>
        <v>8.252636773</v>
      </c>
      <c r="AF41" s="61">
        <v>1099.0</v>
      </c>
      <c r="AG41" s="62">
        <f t="shared" si="25"/>
        <v>71.58469945</v>
      </c>
      <c r="AH41" s="63">
        <f t="shared" si="26"/>
        <v>150</v>
      </c>
      <c r="AI41" s="65">
        <v>1390.0</v>
      </c>
      <c r="AJ41" s="65">
        <v>1249.0</v>
      </c>
      <c r="AK41" s="66">
        <f t="shared" si="27"/>
        <v>95.0039032</v>
      </c>
      <c r="AL41" s="66"/>
      <c r="AM41" s="14">
        <f t="shared" si="123"/>
        <v>12.00960769</v>
      </c>
      <c r="AN41" s="67">
        <f t="shared" si="29"/>
        <v>23.41920375</v>
      </c>
      <c r="AO41" s="68">
        <f t="shared" si="30"/>
        <v>1.950039032</v>
      </c>
      <c r="AP41" s="69">
        <f t="shared" si="31"/>
        <v>0.81664</v>
      </c>
      <c r="AQ41" s="70">
        <f t="shared" si="32"/>
        <v>1.78</v>
      </c>
      <c r="AR41" s="71">
        <f t="shared" ref="AR41:AS41" si="148">AI41/94</f>
        <v>14.78723404</v>
      </c>
      <c r="AS41" s="71">
        <f t="shared" si="148"/>
        <v>13.28723404</v>
      </c>
      <c r="AT41" s="72">
        <f t="shared" ref="AT41:AU41" si="149">AI41/24</f>
        <v>57.91666667</v>
      </c>
      <c r="AU41" s="72">
        <f t="shared" si="149"/>
        <v>52.04166667</v>
      </c>
      <c r="AV41" s="73">
        <f t="shared" ref="AV41:AW41" si="150">AI41/125</f>
        <v>11.12</v>
      </c>
      <c r="AW41" s="73">
        <f t="shared" si="150"/>
        <v>9.992</v>
      </c>
    </row>
    <row r="42" ht="15.75" customHeight="1">
      <c r="A42" s="2"/>
      <c r="B42" s="2" t="s">
        <v>133</v>
      </c>
      <c r="C42" s="2" t="s">
        <v>134</v>
      </c>
      <c r="D42" s="10">
        <v>510.0</v>
      </c>
      <c r="E42" s="2">
        <v>50.0</v>
      </c>
      <c r="F42" s="1">
        <v>85.0</v>
      </c>
      <c r="G42" s="10">
        <v>741810.0</v>
      </c>
      <c r="H42" s="59">
        <v>0.05</v>
      </c>
      <c r="I42" s="2">
        <f t="shared" si="4"/>
        <v>25.5</v>
      </c>
      <c r="K42" s="1">
        <v>20.0</v>
      </c>
      <c r="L42" s="4">
        <f t="shared" si="5"/>
        <v>690.5</v>
      </c>
      <c r="M42" s="2">
        <f t="shared" si="6"/>
        <v>5.1</v>
      </c>
      <c r="N42" s="12">
        <f t="shared" si="7"/>
        <v>55.24</v>
      </c>
      <c r="O42" s="12">
        <f t="shared" si="8"/>
        <v>69.05</v>
      </c>
      <c r="P42" s="12">
        <f t="shared" si="9"/>
        <v>34.525</v>
      </c>
      <c r="Q42" s="12">
        <f t="shared" si="10"/>
        <v>13.81</v>
      </c>
      <c r="R42" s="12">
        <f t="shared" si="48"/>
        <v>5.355</v>
      </c>
      <c r="S42" s="12">
        <f t="shared" si="12"/>
        <v>6.905</v>
      </c>
      <c r="T42" s="60">
        <f t="shared" si="13"/>
        <v>184.63</v>
      </c>
      <c r="U42" s="2">
        <f t="shared" si="14"/>
        <v>10.71</v>
      </c>
      <c r="V42" s="42">
        <f t="shared" si="15"/>
        <v>53.55</v>
      </c>
      <c r="W42" s="2">
        <f t="shared" si="16"/>
        <v>10.71</v>
      </c>
      <c r="X42" s="2">
        <f t="shared" si="17"/>
        <v>85.68</v>
      </c>
      <c r="Y42" s="2">
        <f t="shared" si="18"/>
        <v>160.65</v>
      </c>
      <c r="Z42" s="60">
        <f t="shared" si="19"/>
        <v>1035.78</v>
      </c>
      <c r="AA42" s="11">
        <f t="shared" si="20"/>
        <v>207.156</v>
      </c>
      <c r="AB42" s="12">
        <f t="shared" si="49"/>
        <v>1242.936</v>
      </c>
      <c r="AC42" s="2">
        <f t="shared" si="22"/>
        <v>1071</v>
      </c>
      <c r="AD42" s="12">
        <f t="shared" si="23"/>
        <v>171.936</v>
      </c>
      <c r="AE42" s="12">
        <f t="shared" si="24"/>
        <v>13.83305335</v>
      </c>
      <c r="AF42" s="61">
        <v>1199.0</v>
      </c>
      <c r="AG42" s="62">
        <f t="shared" si="25"/>
        <v>73.6422882</v>
      </c>
      <c r="AH42" s="63">
        <f t="shared" si="26"/>
        <v>50</v>
      </c>
      <c r="AI42" s="65">
        <v>1390.0</v>
      </c>
      <c r="AJ42" s="65">
        <v>1249.0</v>
      </c>
      <c r="AK42" s="66">
        <f t="shared" si="27"/>
        <v>80.88341781</v>
      </c>
      <c r="AL42" s="66"/>
      <c r="AM42" s="14">
        <f t="shared" si="123"/>
        <v>4.003202562</v>
      </c>
      <c r="AN42" s="67">
        <f t="shared" si="29"/>
        <v>7.241129616</v>
      </c>
      <c r="AO42" s="68">
        <f t="shared" si="30"/>
        <v>1.808834178</v>
      </c>
      <c r="AP42" s="69">
        <f t="shared" si="31"/>
        <v>0.06064</v>
      </c>
      <c r="AQ42" s="70">
        <f t="shared" si="32"/>
        <v>1.78</v>
      </c>
      <c r="AR42" s="71">
        <f t="shared" ref="AR42:AS42" si="151">AI42/94</f>
        <v>14.78723404</v>
      </c>
      <c r="AS42" s="71">
        <f t="shared" si="151"/>
        <v>13.28723404</v>
      </c>
      <c r="AT42" s="72">
        <f t="shared" ref="AT42:AU42" si="152">AI42/24</f>
        <v>57.91666667</v>
      </c>
      <c r="AU42" s="72">
        <f t="shared" si="152"/>
        <v>52.04166667</v>
      </c>
      <c r="AV42" s="73">
        <f t="shared" ref="AV42:AW42" si="153">AI42/125</f>
        <v>11.12</v>
      </c>
      <c r="AW42" s="73">
        <f t="shared" si="153"/>
        <v>9.992</v>
      </c>
    </row>
    <row r="43" ht="15.75" customHeight="1">
      <c r="A43" s="2"/>
      <c r="B43" s="2" t="s">
        <v>135</v>
      </c>
      <c r="C43" s="2" t="s">
        <v>115</v>
      </c>
      <c r="D43" s="10">
        <v>510.0</v>
      </c>
      <c r="F43" s="1">
        <v>85.0</v>
      </c>
      <c r="G43" s="10">
        <v>741810.0</v>
      </c>
      <c r="H43" s="59">
        <v>0.05</v>
      </c>
      <c r="I43" s="2">
        <f t="shared" si="4"/>
        <v>25.5</v>
      </c>
      <c r="K43" s="1">
        <v>20.0</v>
      </c>
      <c r="L43" s="4">
        <f t="shared" si="5"/>
        <v>640.5</v>
      </c>
      <c r="M43" s="2">
        <f t="shared" si="6"/>
        <v>5.1</v>
      </c>
      <c r="N43" s="12">
        <f t="shared" si="7"/>
        <v>51.24</v>
      </c>
      <c r="O43" s="12">
        <f t="shared" si="8"/>
        <v>64.05</v>
      </c>
      <c r="P43" s="12">
        <f t="shared" si="9"/>
        <v>32.025</v>
      </c>
      <c r="Q43" s="12">
        <f t="shared" si="10"/>
        <v>12.81</v>
      </c>
      <c r="R43" s="12">
        <f t="shared" si="48"/>
        <v>5.355</v>
      </c>
      <c r="S43" s="12">
        <f t="shared" si="12"/>
        <v>6.405</v>
      </c>
      <c r="T43" s="60">
        <f t="shared" si="13"/>
        <v>171.63</v>
      </c>
      <c r="U43" s="2">
        <f t="shared" si="14"/>
        <v>10.71</v>
      </c>
      <c r="V43" s="42">
        <f t="shared" si="15"/>
        <v>53.55</v>
      </c>
      <c r="W43" s="2">
        <f t="shared" si="16"/>
        <v>10.71</v>
      </c>
      <c r="X43" s="2">
        <f t="shared" si="17"/>
        <v>85.68</v>
      </c>
      <c r="Y43" s="2">
        <f t="shared" si="18"/>
        <v>160.65</v>
      </c>
      <c r="Z43" s="60">
        <f t="shared" si="19"/>
        <v>972.78</v>
      </c>
      <c r="AA43" s="11">
        <f t="shared" si="20"/>
        <v>194.556</v>
      </c>
      <c r="AB43" s="12">
        <f t="shared" si="49"/>
        <v>1167.336</v>
      </c>
      <c r="AC43" s="2">
        <f t="shared" si="22"/>
        <v>1071</v>
      </c>
      <c r="AD43" s="12">
        <f t="shared" si="23"/>
        <v>96.336</v>
      </c>
      <c r="AE43" s="12">
        <f t="shared" si="24"/>
        <v>8.252636773</v>
      </c>
      <c r="AF43" s="61">
        <v>1099.0</v>
      </c>
      <c r="AG43" s="62">
        <f t="shared" si="25"/>
        <v>71.58469945</v>
      </c>
      <c r="AH43" s="63">
        <f t="shared" si="26"/>
        <v>50</v>
      </c>
      <c r="AI43" s="65">
        <v>1290.0</v>
      </c>
      <c r="AJ43" s="65">
        <v>1149.0</v>
      </c>
      <c r="AK43" s="66">
        <f t="shared" si="27"/>
        <v>79.3911007</v>
      </c>
      <c r="AL43" s="66"/>
      <c r="AM43" s="14">
        <f t="shared" si="123"/>
        <v>4.351610096</v>
      </c>
      <c r="AN43" s="67">
        <f t="shared" si="29"/>
        <v>7.806401249</v>
      </c>
      <c r="AO43" s="68">
        <f t="shared" si="30"/>
        <v>1.793911007</v>
      </c>
      <c r="AP43" s="69">
        <f t="shared" si="31"/>
        <v>-0.18336</v>
      </c>
      <c r="AQ43" s="70">
        <f t="shared" si="32"/>
        <v>0.78</v>
      </c>
      <c r="AR43" s="71">
        <f t="shared" ref="AR43:AS43" si="154">AI43/94</f>
        <v>13.72340426</v>
      </c>
      <c r="AS43" s="71">
        <f t="shared" si="154"/>
        <v>12.22340426</v>
      </c>
      <c r="AT43" s="72">
        <f t="shared" ref="AT43:AU43" si="155">AI43/24</f>
        <v>53.75</v>
      </c>
      <c r="AU43" s="72">
        <f t="shared" si="155"/>
        <v>47.875</v>
      </c>
      <c r="AV43" s="73">
        <f t="shared" ref="AV43:AW43" si="156">AI43/125</f>
        <v>10.32</v>
      </c>
      <c r="AW43" s="73">
        <f t="shared" si="156"/>
        <v>9.192</v>
      </c>
    </row>
    <row r="44" ht="15.75" customHeight="1">
      <c r="A44" s="2"/>
      <c r="B44" s="2" t="s">
        <v>136</v>
      </c>
      <c r="C44" s="2" t="s">
        <v>137</v>
      </c>
      <c r="D44" s="10">
        <v>510.0</v>
      </c>
      <c r="F44" s="1">
        <v>85.0</v>
      </c>
      <c r="G44" s="10">
        <v>741810.0</v>
      </c>
      <c r="H44" s="59">
        <v>0.05</v>
      </c>
      <c r="I44" s="2">
        <f t="shared" si="4"/>
        <v>25.5</v>
      </c>
      <c r="K44" s="1">
        <v>20.0</v>
      </c>
      <c r="L44" s="4">
        <f t="shared" si="5"/>
        <v>640.5</v>
      </c>
      <c r="M44" s="2">
        <f t="shared" si="6"/>
        <v>5.1</v>
      </c>
      <c r="N44" s="12">
        <f t="shared" si="7"/>
        <v>51.24</v>
      </c>
      <c r="O44" s="12">
        <f t="shared" si="8"/>
        <v>64.05</v>
      </c>
      <c r="P44" s="12">
        <f t="shared" si="9"/>
        <v>32.025</v>
      </c>
      <c r="Q44" s="12">
        <f t="shared" si="10"/>
        <v>12.81</v>
      </c>
      <c r="R44" s="12">
        <f t="shared" si="48"/>
        <v>5.355</v>
      </c>
      <c r="S44" s="12">
        <f t="shared" si="12"/>
        <v>6.405</v>
      </c>
      <c r="T44" s="60">
        <f t="shared" si="13"/>
        <v>171.63</v>
      </c>
      <c r="U44" s="2">
        <f t="shared" si="14"/>
        <v>10.71</v>
      </c>
      <c r="V44" s="42">
        <f t="shared" si="15"/>
        <v>53.55</v>
      </c>
      <c r="W44" s="2">
        <f t="shared" si="16"/>
        <v>10.71</v>
      </c>
      <c r="X44" s="2">
        <f t="shared" si="17"/>
        <v>85.68</v>
      </c>
      <c r="Y44" s="2">
        <f t="shared" si="18"/>
        <v>160.65</v>
      </c>
      <c r="Z44" s="60">
        <f t="shared" si="19"/>
        <v>972.78</v>
      </c>
      <c r="AA44" s="11">
        <f t="shared" si="20"/>
        <v>194.556</v>
      </c>
      <c r="AB44" s="12">
        <f t="shared" si="49"/>
        <v>1167.336</v>
      </c>
      <c r="AC44" s="2">
        <f t="shared" si="22"/>
        <v>1071</v>
      </c>
      <c r="AD44" s="12">
        <f t="shared" si="23"/>
        <v>96.336</v>
      </c>
      <c r="AE44" s="12">
        <f t="shared" si="24"/>
        <v>8.252636773</v>
      </c>
      <c r="AF44" s="61">
        <v>1099.0</v>
      </c>
      <c r="AG44" s="62">
        <f t="shared" si="25"/>
        <v>71.58469945</v>
      </c>
      <c r="AH44" s="63">
        <f t="shared" si="26"/>
        <v>50</v>
      </c>
      <c r="AI44" s="65">
        <v>1290.0</v>
      </c>
      <c r="AJ44" s="65">
        <v>1149.0</v>
      </c>
      <c r="AK44" s="66">
        <f t="shared" si="27"/>
        <v>79.3911007</v>
      </c>
      <c r="AL44" s="66"/>
      <c r="AM44" s="14">
        <f t="shared" si="123"/>
        <v>4.351610096</v>
      </c>
      <c r="AN44" s="67">
        <f t="shared" si="29"/>
        <v>7.806401249</v>
      </c>
      <c r="AO44" s="68">
        <f t="shared" si="30"/>
        <v>1.793911007</v>
      </c>
      <c r="AP44" s="69">
        <f t="shared" si="31"/>
        <v>-0.18336</v>
      </c>
      <c r="AQ44" s="70">
        <f t="shared" si="32"/>
        <v>0.78</v>
      </c>
      <c r="AR44" s="71">
        <f t="shared" ref="AR44:AS44" si="157">AI44/94</f>
        <v>13.72340426</v>
      </c>
      <c r="AS44" s="71">
        <f t="shared" si="157"/>
        <v>12.22340426</v>
      </c>
      <c r="AT44" s="72">
        <f t="shared" ref="AT44:AU44" si="158">AI44/24</f>
        <v>53.75</v>
      </c>
      <c r="AU44" s="72">
        <f t="shared" si="158"/>
        <v>47.875</v>
      </c>
      <c r="AV44" s="73">
        <f t="shared" ref="AV44:AW44" si="159">AI44/125</f>
        <v>10.32</v>
      </c>
      <c r="AW44" s="73">
        <f t="shared" si="159"/>
        <v>9.192</v>
      </c>
    </row>
    <row r="45" ht="15.75" customHeight="1">
      <c r="A45" s="2"/>
      <c r="B45" s="2" t="s">
        <v>138</v>
      </c>
      <c r="C45" s="2" t="s">
        <v>139</v>
      </c>
      <c r="D45" s="10">
        <v>510.0</v>
      </c>
      <c r="E45" s="2">
        <v>50.0</v>
      </c>
      <c r="F45" s="1">
        <v>85.0</v>
      </c>
      <c r="G45" s="10">
        <v>741810.0</v>
      </c>
      <c r="H45" s="59">
        <v>0.05</v>
      </c>
      <c r="I45" s="2">
        <f t="shared" si="4"/>
        <v>25.5</v>
      </c>
      <c r="K45" s="1">
        <v>20.0</v>
      </c>
      <c r="L45" s="4">
        <f t="shared" si="5"/>
        <v>690.5</v>
      </c>
      <c r="M45" s="2">
        <f t="shared" si="6"/>
        <v>5.1</v>
      </c>
      <c r="N45" s="12">
        <f t="shared" si="7"/>
        <v>55.24</v>
      </c>
      <c r="O45" s="12">
        <f t="shared" si="8"/>
        <v>69.05</v>
      </c>
      <c r="P45" s="12">
        <f t="shared" si="9"/>
        <v>34.525</v>
      </c>
      <c r="Q45" s="12">
        <f t="shared" si="10"/>
        <v>13.81</v>
      </c>
      <c r="R45" s="12">
        <f t="shared" si="48"/>
        <v>5.355</v>
      </c>
      <c r="S45" s="12">
        <f t="shared" si="12"/>
        <v>6.905</v>
      </c>
      <c r="T45" s="60">
        <f t="shared" si="13"/>
        <v>184.63</v>
      </c>
      <c r="U45" s="2">
        <f t="shared" si="14"/>
        <v>10.71</v>
      </c>
      <c r="V45" s="42">
        <f t="shared" si="15"/>
        <v>53.55</v>
      </c>
      <c r="W45" s="2">
        <f t="shared" si="16"/>
        <v>10.71</v>
      </c>
      <c r="X45" s="2">
        <f t="shared" si="17"/>
        <v>85.68</v>
      </c>
      <c r="Y45" s="2">
        <f t="shared" si="18"/>
        <v>160.65</v>
      </c>
      <c r="Z45" s="60">
        <f t="shared" si="19"/>
        <v>1035.78</v>
      </c>
      <c r="AA45" s="11">
        <f t="shared" si="20"/>
        <v>207.156</v>
      </c>
      <c r="AB45" s="12">
        <f t="shared" si="49"/>
        <v>1242.936</v>
      </c>
      <c r="AC45" s="2">
        <f t="shared" si="22"/>
        <v>1071</v>
      </c>
      <c r="AD45" s="12">
        <f t="shared" si="23"/>
        <v>171.936</v>
      </c>
      <c r="AE45" s="12">
        <f t="shared" si="24"/>
        <v>13.83305335</v>
      </c>
      <c r="AF45" s="61">
        <v>1199.0</v>
      </c>
      <c r="AG45" s="62">
        <f t="shared" si="25"/>
        <v>73.6422882</v>
      </c>
      <c r="AH45" s="63">
        <f t="shared" si="26"/>
        <v>50</v>
      </c>
      <c r="AI45" s="65">
        <v>1390.0</v>
      </c>
      <c r="AJ45" s="65">
        <v>1249.0</v>
      </c>
      <c r="AK45" s="66">
        <f t="shared" si="27"/>
        <v>80.88341781</v>
      </c>
      <c r="AL45" s="66"/>
      <c r="AM45" s="14">
        <f t="shared" si="123"/>
        <v>4.003202562</v>
      </c>
      <c r="AN45" s="67">
        <f t="shared" si="29"/>
        <v>7.241129616</v>
      </c>
      <c r="AO45" s="68">
        <f t="shared" si="30"/>
        <v>1.808834178</v>
      </c>
      <c r="AP45" s="69">
        <f t="shared" si="31"/>
        <v>0.06064</v>
      </c>
      <c r="AQ45" s="70">
        <f t="shared" si="32"/>
        <v>1.78</v>
      </c>
      <c r="AR45" s="71">
        <f t="shared" ref="AR45:AS45" si="160">AI45/94</f>
        <v>14.78723404</v>
      </c>
      <c r="AS45" s="71">
        <f t="shared" si="160"/>
        <v>13.28723404</v>
      </c>
      <c r="AT45" s="72">
        <f t="shared" ref="AT45:AU45" si="161">AI45/24</f>
        <v>57.91666667</v>
      </c>
      <c r="AU45" s="72">
        <f t="shared" si="161"/>
        <v>52.04166667</v>
      </c>
      <c r="AV45" s="73">
        <f t="shared" ref="AV45:AW45" si="162">AI45/125</f>
        <v>11.12</v>
      </c>
      <c r="AW45" s="73">
        <f t="shared" si="162"/>
        <v>9.992</v>
      </c>
    </row>
    <row r="46" ht="15.75" customHeight="1">
      <c r="A46" s="2"/>
      <c r="B46" s="2" t="s">
        <v>140</v>
      </c>
      <c r="C46" s="2" t="s">
        <v>119</v>
      </c>
      <c r="D46" s="10">
        <v>520.0</v>
      </c>
      <c r="F46" s="1">
        <v>85.0</v>
      </c>
      <c r="G46" s="10">
        <v>741810.0</v>
      </c>
      <c r="H46" s="59">
        <v>0.05</v>
      </c>
      <c r="I46" s="2">
        <f t="shared" si="4"/>
        <v>26</v>
      </c>
      <c r="K46" s="1">
        <v>20.0</v>
      </c>
      <c r="L46" s="4">
        <f t="shared" si="5"/>
        <v>651</v>
      </c>
      <c r="M46" s="2">
        <f t="shared" si="6"/>
        <v>5.2</v>
      </c>
      <c r="N46" s="12">
        <f t="shared" si="7"/>
        <v>52.08</v>
      </c>
      <c r="O46" s="12">
        <f t="shared" si="8"/>
        <v>65.1</v>
      </c>
      <c r="P46" s="12">
        <f t="shared" si="9"/>
        <v>32.55</v>
      </c>
      <c r="Q46" s="12">
        <f t="shared" si="10"/>
        <v>13.02</v>
      </c>
      <c r="R46" s="12">
        <f t="shared" si="48"/>
        <v>5.46</v>
      </c>
      <c r="S46" s="12">
        <f t="shared" si="12"/>
        <v>6.51</v>
      </c>
      <c r="T46" s="60">
        <f t="shared" si="13"/>
        <v>174.46</v>
      </c>
      <c r="U46" s="2">
        <f t="shared" si="14"/>
        <v>10.92</v>
      </c>
      <c r="V46" s="42">
        <f t="shared" si="15"/>
        <v>54.6</v>
      </c>
      <c r="W46" s="2">
        <f t="shared" si="16"/>
        <v>10.92</v>
      </c>
      <c r="X46" s="2">
        <f t="shared" si="17"/>
        <v>87.36</v>
      </c>
      <c r="Y46" s="2">
        <f t="shared" si="18"/>
        <v>163.8</v>
      </c>
      <c r="Z46" s="60">
        <f t="shared" si="19"/>
        <v>989.26</v>
      </c>
      <c r="AA46" s="11">
        <f t="shared" si="20"/>
        <v>197.852</v>
      </c>
      <c r="AB46" s="12">
        <f t="shared" si="49"/>
        <v>1187.112</v>
      </c>
      <c r="AC46" s="2">
        <f t="shared" si="22"/>
        <v>1092</v>
      </c>
      <c r="AD46" s="12">
        <f t="shared" si="23"/>
        <v>95.112</v>
      </c>
      <c r="AE46" s="12">
        <f t="shared" si="24"/>
        <v>8.012049411</v>
      </c>
      <c r="AF46" s="61">
        <v>1099.0</v>
      </c>
      <c r="AG46" s="62">
        <f t="shared" si="25"/>
        <v>68.8172043</v>
      </c>
      <c r="AH46" s="63">
        <f t="shared" si="26"/>
        <v>50</v>
      </c>
      <c r="AI46" s="65">
        <v>1290.0</v>
      </c>
      <c r="AJ46" s="65">
        <v>1149.0</v>
      </c>
      <c r="AK46" s="66">
        <f t="shared" si="27"/>
        <v>76.49769585</v>
      </c>
      <c r="AL46" s="66"/>
      <c r="AM46" s="14">
        <f t="shared" si="123"/>
        <v>4.351610096</v>
      </c>
      <c r="AN46" s="67">
        <f t="shared" si="29"/>
        <v>7.680491551</v>
      </c>
      <c r="AO46" s="68">
        <f t="shared" si="30"/>
        <v>1.764976959</v>
      </c>
      <c r="AP46" s="69">
        <f t="shared" si="31"/>
        <v>-0.38112</v>
      </c>
      <c r="AQ46" s="70">
        <f t="shared" si="32"/>
        <v>0.57</v>
      </c>
      <c r="AR46" s="71">
        <f t="shared" ref="AR46:AS46" si="163">AI46/94</f>
        <v>13.72340426</v>
      </c>
      <c r="AS46" s="71">
        <f t="shared" si="163"/>
        <v>12.22340426</v>
      </c>
      <c r="AT46" s="72">
        <f t="shared" ref="AT46:AU46" si="164">AI46/24</f>
        <v>53.75</v>
      </c>
      <c r="AU46" s="72">
        <f t="shared" si="164"/>
        <v>47.875</v>
      </c>
      <c r="AV46" s="73">
        <f t="shared" ref="AV46:AW46" si="165">AI46/125</f>
        <v>10.32</v>
      </c>
      <c r="AW46" s="73">
        <f t="shared" si="165"/>
        <v>9.192</v>
      </c>
    </row>
    <row r="47" ht="15.75" customHeight="1">
      <c r="A47" s="2"/>
      <c r="B47" s="2" t="s">
        <v>140</v>
      </c>
      <c r="C47" s="2" t="s">
        <v>117</v>
      </c>
      <c r="D47" s="10">
        <v>520.0</v>
      </c>
      <c r="F47" s="1">
        <v>85.0</v>
      </c>
      <c r="G47" s="10">
        <v>741810.0</v>
      </c>
      <c r="H47" s="59">
        <v>0.05</v>
      </c>
      <c r="I47" s="2">
        <f t="shared" si="4"/>
        <v>26</v>
      </c>
      <c r="K47" s="1">
        <v>20.0</v>
      </c>
      <c r="L47" s="4">
        <f t="shared" si="5"/>
        <v>651</v>
      </c>
      <c r="M47" s="2">
        <f t="shared" si="6"/>
        <v>5.2</v>
      </c>
      <c r="N47" s="12">
        <f t="shared" si="7"/>
        <v>52.08</v>
      </c>
      <c r="O47" s="12">
        <f t="shared" si="8"/>
        <v>65.1</v>
      </c>
      <c r="P47" s="12">
        <f t="shared" si="9"/>
        <v>32.55</v>
      </c>
      <c r="Q47" s="12">
        <f t="shared" si="10"/>
        <v>13.02</v>
      </c>
      <c r="R47" s="12">
        <f t="shared" si="48"/>
        <v>5.46</v>
      </c>
      <c r="S47" s="12">
        <f t="shared" si="12"/>
        <v>6.51</v>
      </c>
      <c r="T47" s="60">
        <f t="shared" si="13"/>
        <v>174.46</v>
      </c>
      <c r="U47" s="2">
        <f t="shared" si="14"/>
        <v>10.92</v>
      </c>
      <c r="V47" s="42">
        <f t="shared" si="15"/>
        <v>54.6</v>
      </c>
      <c r="W47" s="2">
        <f t="shared" si="16"/>
        <v>10.92</v>
      </c>
      <c r="X47" s="2">
        <f t="shared" si="17"/>
        <v>87.36</v>
      </c>
      <c r="Y47" s="2">
        <f t="shared" si="18"/>
        <v>163.8</v>
      </c>
      <c r="Z47" s="60">
        <f t="shared" si="19"/>
        <v>989.26</v>
      </c>
      <c r="AA47" s="11">
        <f t="shared" si="20"/>
        <v>197.852</v>
      </c>
      <c r="AB47" s="12">
        <f t="shared" si="49"/>
        <v>1187.112</v>
      </c>
      <c r="AC47" s="2">
        <f t="shared" si="22"/>
        <v>1092</v>
      </c>
      <c r="AD47" s="12">
        <f t="shared" si="23"/>
        <v>95.112</v>
      </c>
      <c r="AE47" s="12">
        <f t="shared" si="24"/>
        <v>8.012049411</v>
      </c>
      <c r="AF47" s="61">
        <v>1199.0</v>
      </c>
      <c r="AG47" s="62">
        <f t="shared" si="25"/>
        <v>84.1781874</v>
      </c>
      <c r="AH47" s="63">
        <f t="shared" si="26"/>
        <v>50</v>
      </c>
      <c r="AI47" s="65">
        <v>1390.0</v>
      </c>
      <c r="AJ47" s="65">
        <v>1249.0</v>
      </c>
      <c r="AK47" s="66">
        <f t="shared" si="27"/>
        <v>91.85867896</v>
      </c>
      <c r="AL47" s="66"/>
      <c r="AM47" s="14">
        <f t="shared" si="123"/>
        <v>4.003202562</v>
      </c>
      <c r="AN47" s="67">
        <f t="shared" si="29"/>
        <v>7.680491551</v>
      </c>
      <c r="AO47" s="68">
        <f t="shared" si="30"/>
        <v>1.91858679</v>
      </c>
      <c r="AP47" s="69">
        <f t="shared" si="31"/>
        <v>0.61888</v>
      </c>
      <c r="AQ47" s="70">
        <f t="shared" si="32"/>
        <v>1.57</v>
      </c>
      <c r="AR47" s="71">
        <f t="shared" ref="AR47:AS47" si="166">AI47/94</f>
        <v>14.78723404</v>
      </c>
      <c r="AS47" s="71">
        <f t="shared" si="166"/>
        <v>13.28723404</v>
      </c>
      <c r="AT47" s="72">
        <f t="shared" ref="AT47:AU47" si="167">AI47/24</f>
        <v>57.91666667</v>
      </c>
      <c r="AU47" s="72">
        <f t="shared" si="167"/>
        <v>52.04166667</v>
      </c>
      <c r="AV47" s="73">
        <f t="shared" ref="AV47:AW47" si="168">AI47/125</f>
        <v>11.12</v>
      </c>
      <c r="AW47" s="73">
        <f t="shared" si="168"/>
        <v>9.992</v>
      </c>
    </row>
    <row r="48" ht="15.75" customHeight="1">
      <c r="A48" s="2"/>
      <c r="B48" s="2" t="s">
        <v>141</v>
      </c>
      <c r="C48" s="2" t="s">
        <v>124</v>
      </c>
      <c r="D48" s="10">
        <v>510.0</v>
      </c>
      <c r="F48" s="1">
        <v>85.0</v>
      </c>
      <c r="G48" s="10">
        <v>741810.0</v>
      </c>
      <c r="H48" s="59">
        <v>0.05</v>
      </c>
      <c r="I48" s="2">
        <f t="shared" si="4"/>
        <v>25.5</v>
      </c>
      <c r="K48" s="1">
        <v>20.0</v>
      </c>
      <c r="L48" s="4">
        <f t="shared" si="5"/>
        <v>640.5</v>
      </c>
      <c r="M48" s="2">
        <f t="shared" si="6"/>
        <v>5.1</v>
      </c>
      <c r="N48" s="12">
        <f t="shared" si="7"/>
        <v>51.24</v>
      </c>
      <c r="O48" s="12">
        <f t="shared" si="8"/>
        <v>64.05</v>
      </c>
      <c r="P48" s="12">
        <f t="shared" si="9"/>
        <v>32.025</v>
      </c>
      <c r="Q48" s="12">
        <f t="shared" si="10"/>
        <v>12.81</v>
      </c>
      <c r="R48" s="12">
        <f t="shared" si="48"/>
        <v>5.355</v>
      </c>
      <c r="S48" s="12">
        <f t="shared" si="12"/>
        <v>6.405</v>
      </c>
      <c r="T48" s="60">
        <f t="shared" si="13"/>
        <v>171.63</v>
      </c>
      <c r="U48" s="2">
        <f t="shared" si="14"/>
        <v>10.71</v>
      </c>
      <c r="V48" s="42">
        <f t="shared" si="15"/>
        <v>53.55</v>
      </c>
      <c r="W48" s="2">
        <f t="shared" si="16"/>
        <v>10.71</v>
      </c>
      <c r="X48" s="2">
        <f t="shared" si="17"/>
        <v>85.68</v>
      </c>
      <c r="Y48" s="2">
        <f t="shared" si="18"/>
        <v>160.65</v>
      </c>
      <c r="Z48" s="60">
        <f t="shared" si="19"/>
        <v>972.78</v>
      </c>
      <c r="AA48" s="11">
        <f t="shared" si="20"/>
        <v>194.556</v>
      </c>
      <c r="AB48" s="12">
        <f t="shared" si="49"/>
        <v>1167.336</v>
      </c>
      <c r="AC48" s="2">
        <f t="shared" si="22"/>
        <v>1071</v>
      </c>
      <c r="AD48" s="12">
        <f t="shared" si="23"/>
        <v>96.336</v>
      </c>
      <c r="AE48" s="12">
        <f t="shared" si="24"/>
        <v>8.252636773</v>
      </c>
      <c r="AF48" s="61">
        <v>1099.0</v>
      </c>
      <c r="AG48" s="62">
        <f t="shared" si="25"/>
        <v>71.58469945</v>
      </c>
      <c r="AH48" s="63">
        <f t="shared" si="26"/>
        <v>50</v>
      </c>
      <c r="AI48" s="65">
        <v>1290.0</v>
      </c>
      <c r="AJ48" s="65">
        <v>1149.0</v>
      </c>
      <c r="AK48" s="66">
        <f t="shared" si="27"/>
        <v>79.3911007</v>
      </c>
      <c r="AL48" s="66"/>
      <c r="AM48" s="14">
        <f t="shared" si="123"/>
        <v>4.351610096</v>
      </c>
      <c r="AN48" s="67">
        <f t="shared" si="29"/>
        <v>7.806401249</v>
      </c>
      <c r="AO48" s="68">
        <f t="shared" si="30"/>
        <v>1.793911007</v>
      </c>
      <c r="AP48" s="69">
        <f t="shared" si="31"/>
        <v>-0.18336</v>
      </c>
      <c r="AQ48" s="70">
        <f t="shared" si="32"/>
        <v>0.78</v>
      </c>
      <c r="AR48" s="71">
        <f t="shared" ref="AR48:AS48" si="169">AI48/94</f>
        <v>13.72340426</v>
      </c>
      <c r="AS48" s="71">
        <f t="shared" si="169"/>
        <v>12.22340426</v>
      </c>
      <c r="AT48" s="72">
        <f t="shared" ref="AT48:AU48" si="170">AI48/24</f>
        <v>53.75</v>
      </c>
      <c r="AU48" s="72">
        <f t="shared" si="170"/>
        <v>47.875</v>
      </c>
      <c r="AV48" s="73">
        <f t="shared" ref="AV48:AW48" si="171">AI48/125</f>
        <v>10.32</v>
      </c>
      <c r="AW48" s="73">
        <f t="shared" si="171"/>
        <v>9.192</v>
      </c>
    </row>
    <row r="49" ht="15.75" customHeight="1">
      <c r="A49" s="2"/>
      <c r="B49" s="2" t="s">
        <v>142</v>
      </c>
      <c r="C49" s="2" t="s">
        <v>143</v>
      </c>
      <c r="D49" s="10">
        <v>520.0</v>
      </c>
      <c r="E49" s="2">
        <v>50.0</v>
      </c>
      <c r="F49" s="1">
        <v>85.0</v>
      </c>
      <c r="G49" s="10">
        <v>741810.0</v>
      </c>
      <c r="H49" s="59">
        <v>0.05</v>
      </c>
      <c r="I49" s="2">
        <f t="shared" si="4"/>
        <v>26</v>
      </c>
      <c r="K49" s="1">
        <v>20.0</v>
      </c>
      <c r="L49" s="4">
        <f t="shared" si="5"/>
        <v>701</v>
      </c>
      <c r="M49" s="2">
        <f t="shared" si="6"/>
        <v>5.2</v>
      </c>
      <c r="N49" s="12">
        <f t="shared" si="7"/>
        <v>56.08</v>
      </c>
      <c r="O49" s="12">
        <f t="shared" si="8"/>
        <v>70.1</v>
      </c>
      <c r="P49" s="12">
        <f t="shared" si="9"/>
        <v>35.05</v>
      </c>
      <c r="Q49" s="12">
        <f t="shared" si="10"/>
        <v>14.02</v>
      </c>
      <c r="R49" s="12">
        <f t="shared" si="48"/>
        <v>5.46</v>
      </c>
      <c r="S49" s="12">
        <f t="shared" si="12"/>
        <v>7.01</v>
      </c>
      <c r="T49" s="60">
        <f t="shared" si="13"/>
        <v>187.46</v>
      </c>
      <c r="U49" s="2">
        <f t="shared" si="14"/>
        <v>10.92</v>
      </c>
      <c r="V49" s="42">
        <f t="shared" si="15"/>
        <v>54.6</v>
      </c>
      <c r="W49" s="2">
        <f t="shared" si="16"/>
        <v>10.92</v>
      </c>
      <c r="X49" s="2">
        <f t="shared" si="17"/>
        <v>87.36</v>
      </c>
      <c r="Y49" s="2">
        <f t="shared" si="18"/>
        <v>163.8</v>
      </c>
      <c r="Z49" s="60">
        <f t="shared" si="19"/>
        <v>1052.26</v>
      </c>
      <c r="AA49" s="11">
        <f t="shared" si="20"/>
        <v>210.452</v>
      </c>
      <c r="AB49" s="12">
        <f t="shared" si="49"/>
        <v>1262.712</v>
      </c>
      <c r="AC49" s="2">
        <f t="shared" si="22"/>
        <v>1092</v>
      </c>
      <c r="AD49" s="12">
        <f t="shared" si="23"/>
        <v>170.712</v>
      </c>
      <c r="AE49" s="12">
        <f t="shared" si="24"/>
        <v>13.51947237</v>
      </c>
      <c r="AF49" s="61">
        <v>1199.0</v>
      </c>
      <c r="AG49" s="62">
        <f t="shared" si="25"/>
        <v>71.04136947</v>
      </c>
      <c r="AH49" s="63">
        <f t="shared" si="26"/>
        <v>50</v>
      </c>
      <c r="AI49" s="65">
        <v>1390.0</v>
      </c>
      <c r="AJ49" s="65">
        <v>1249.0</v>
      </c>
      <c r="AK49" s="66">
        <f t="shared" si="27"/>
        <v>78.17403709</v>
      </c>
      <c r="AL49" s="66"/>
      <c r="AM49" s="14">
        <f t="shared" si="123"/>
        <v>4.003202562</v>
      </c>
      <c r="AN49" s="67">
        <f t="shared" si="29"/>
        <v>7.132667618</v>
      </c>
      <c r="AO49" s="68">
        <f t="shared" si="30"/>
        <v>1.781740371</v>
      </c>
      <c r="AP49" s="69">
        <f t="shared" si="31"/>
        <v>-0.13712</v>
      </c>
      <c r="AQ49" s="70">
        <f t="shared" si="32"/>
        <v>1.57</v>
      </c>
      <c r="AR49" s="71">
        <f t="shared" ref="AR49:AS49" si="172">AI49/94</f>
        <v>14.78723404</v>
      </c>
      <c r="AS49" s="71">
        <f t="shared" si="172"/>
        <v>13.28723404</v>
      </c>
      <c r="AT49" s="72">
        <f t="shared" ref="AT49:AU49" si="173">AI49/24</f>
        <v>57.91666667</v>
      </c>
      <c r="AU49" s="72">
        <f t="shared" si="173"/>
        <v>52.04166667</v>
      </c>
      <c r="AV49" s="73">
        <f t="shared" ref="AV49:AW49" si="174">AI49/125</f>
        <v>11.12</v>
      </c>
      <c r="AW49" s="73">
        <f t="shared" si="174"/>
        <v>9.992</v>
      </c>
    </row>
    <row r="50" ht="15.75" customHeight="1">
      <c r="A50" s="2"/>
      <c r="B50" s="2" t="s">
        <v>144</v>
      </c>
      <c r="C50" s="2" t="s">
        <v>129</v>
      </c>
      <c r="D50" s="10">
        <v>520.0</v>
      </c>
      <c r="F50" s="1">
        <v>85.0</v>
      </c>
      <c r="G50" s="10">
        <v>741810.0</v>
      </c>
      <c r="H50" s="59">
        <v>0.05</v>
      </c>
      <c r="I50" s="2">
        <f t="shared" si="4"/>
        <v>26</v>
      </c>
      <c r="K50" s="1">
        <v>20.0</v>
      </c>
      <c r="L50" s="4">
        <f t="shared" si="5"/>
        <v>651</v>
      </c>
      <c r="M50" s="2">
        <f t="shared" si="6"/>
        <v>5.2</v>
      </c>
      <c r="N50" s="12">
        <f t="shared" si="7"/>
        <v>52.08</v>
      </c>
      <c r="O50" s="12">
        <f t="shared" si="8"/>
        <v>65.1</v>
      </c>
      <c r="P50" s="12">
        <f t="shared" si="9"/>
        <v>32.55</v>
      </c>
      <c r="Q50" s="12">
        <f t="shared" si="10"/>
        <v>13.02</v>
      </c>
      <c r="R50" s="12">
        <f t="shared" si="48"/>
        <v>5.46</v>
      </c>
      <c r="S50" s="12">
        <f t="shared" si="12"/>
        <v>6.51</v>
      </c>
      <c r="T50" s="60">
        <f t="shared" si="13"/>
        <v>174.46</v>
      </c>
      <c r="U50" s="2">
        <f t="shared" si="14"/>
        <v>10.92</v>
      </c>
      <c r="V50" s="42">
        <f t="shared" si="15"/>
        <v>54.6</v>
      </c>
      <c r="W50" s="2">
        <f t="shared" si="16"/>
        <v>10.92</v>
      </c>
      <c r="X50" s="2">
        <f t="shared" si="17"/>
        <v>87.36</v>
      </c>
      <c r="Y50" s="2">
        <f t="shared" si="18"/>
        <v>163.8</v>
      </c>
      <c r="Z50" s="60">
        <f t="shared" si="19"/>
        <v>989.26</v>
      </c>
      <c r="AA50" s="11">
        <f t="shared" si="20"/>
        <v>197.852</v>
      </c>
      <c r="AB50" s="12">
        <f t="shared" si="49"/>
        <v>1187.112</v>
      </c>
      <c r="AC50" s="2">
        <f t="shared" si="22"/>
        <v>1092</v>
      </c>
      <c r="AD50" s="12">
        <f t="shared" si="23"/>
        <v>95.112</v>
      </c>
      <c r="AE50" s="12">
        <f t="shared" si="24"/>
        <v>8.012049411</v>
      </c>
      <c r="AF50" s="61">
        <v>1099.0</v>
      </c>
      <c r="AG50" s="62">
        <f t="shared" si="25"/>
        <v>68.8172043</v>
      </c>
      <c r="AH50" s="63">
        <f t="shared" si="26"/>
        <v>50</v>
      </c>
      <c r="AI50" s="65">
        <v>1290.0</v>
      </c>
      <c r="AJ50" s="65">
        <v>1149.0</v>
      </c>
      <c r="AK50" s="66">
        <f t="shared" si="27"/>
        <v>76.49769585</v>
      </c>
      <c r="AL50" s="66"/>
      <c r="AM50" s="14">
        <f t="shared" si="123"/>
        <v>4.351610096</v>
      </c>
      <c r="AN50" s="67">
        <f t="shared" si="29"/>
        <v>7.680491551</v>
      </c>
      <c r="AO50" s="68">
        <f t="shared" si="30"/>
        <v>1.764976959</v>
      </c>
      <c r="AP50" s="69">
        <f t="shared" si="31"/>
        <v>-0.38112</v>
      </c>
      <c r="AQ50" s="70">
        <f t="shared" si="32"/>
        <v>0.57</v>
      </c>
      <c r="AR50" s="71">
        <f t="shared" ref="AR50:AS50" si="175">AI50/94</f>
        <v>13.72340426</v>
      </c>
      <c r="AS50" s="71">
        <f t="shared" si="175"/>
        <v>12.22340426</v>
      </c>
      <c r="AT50" s="72">
        <f t="shared" ref="AT50:AU50" si="176">AI50/24</f>
        <v>53.75</v>
      </c>
      <c r="AU50" s="72">
        <f t="shared" si="176"/>
        <v>47.875</v>
      </c>
      <c r="AV50" s="73">
        <f t="shared" ref="AV50:AW50" si="177">AI50/125</f>
        <v>10.32</v>
      </c>
      <c r="AW50" s="73">
        <f t="shared" si="177"/>
        <v>9.192</v>
      </c>
    </row>
    <row r="51" ht="15.75" customHeight="1">
      <c r="A51" s="2"/>
      <c r="B51" s="2" t="s">
        <v>145</v>
      </c>
      <c r="C51" s="2" t="s">
        <v>127</v>
      </c>
      <c r="D51" s="10">
        <v>510.0</v>
      </c>
      <c r="F51" s="1">
        <v>85.0</v>
      </c>
      <c r="G51" s="10">
        <v>741810.0</v>
      </c>
      <c r="H51" s="59">
        <v>0.05</v>
      </c>
      <c r="I51" s="2">
        <f t="shared" si="4"/>
        <v>25.5</v>
      </c>
      <c r="K51" s="1">
        <v>20.0</v>
      </c>
      <c r="L51" s="4">
        <f t="shared" si="5"/>
        <v>640.5</v>
      </c>
      <c r="M51" s="2">
        <f t="shared" si="6"/>
        <v>5.1</v>
      </c>
      <c r="N51" s="12">
        <f t="shared" si="7"/>
        <v>51.24</v>
      </c>
      <c r="O51" s="12">
        <f t="shared" si="8"/>
        <v>64.05</v>
      </c>
      <c r="P51" s="12">
        <f t="shared" si="9"/>
        <v>32.025</v>
      </c>
      <c r="Q51" s="12">
        <f t="shared" si="10"/>
        <v>12.81</v>
      </c>
      <c r="R51" s="12">
        <f t="shared" si="48"/>
        <v>5.355</v>
      </c>
      <c r="S51" s="12">
        <f t="shared" si="12"/>
        <v>6.405</v>
      </c>
      <c r="T51" s="60">
        <f t="shared" si="13"/>
        <v>171.63</v>
      </c>
      <c r="U51" s="2">
        <f t="shared" si="14"/>
        <v>10.71</v>
      </c>
      <c r="V51" s="42">
        <f t="shared" si="15"/>
        <v>53.55</v>
      </c>
      <c r="W51" s="2">
        <f t="shared" si="16"/>
        <v>10.71</v>
      </c>
      <c r="X51" s="2">
        <f t="shared" si="17"/>
        <v>85.68</v>
      </c>
      <c r="Y51" s="2">
        <f t="shared" si="18"/>
        <v>160.65</v>
      </c>
      <c r="Z51" s="60">
        <f t="shared" si="19"/>
        <v>972.78</v>
      </c>
      <c r="AA51" s="11">
        <f t="shared" si="20"/>
        <v>194.556</v>
      </c>
      <c r="AB51" s="12">
        <f t="shared" si="49"/>
        <v>1167.336</v>
      </c>
      <c r="AC51" s="2">
        <f t="shared" si="22"/>
        <v>1071</v>
      </c>
      <c r="AD51" s="12">
        <f t="shared" si="23"/>
        <v>96.336</v>
      </c>
      <c r="AE51" s="12">
        <f t="shared" si="24"/>
        <v>8.252636773</v>
      </c>
      <c r="AF51" s="61">
        <v>1199.0</v>
      </c>
      <c r="AG51" s="62">
        <f t="shared" si="25"/>
        <v>87.19750195</v>
      </c>
      <c r="AH51" s="63">
        <f t="shared" si="26"/>
        <v>50</v>
      </c>
      <c r="AI51" s="65">
        <v>1390.0</v>
      </c>
      <c r="AJ51" s="65">
        <v>1249.0</v>
      </c>
      <c r="AK51" s="66">
        <f t="shared" si="27"/>
        <v>95.0039032</v>
      </c>
      <c r="AL51" s="66"/>
      <c r="AM51" s="14">
        <f t="shared" si="123"/>
        <v>4.003202562</v>
      </c>
      <c r="AN51" s="67">
        <f t="shared" si="29"/>
        <v>7.806401249</v>
      </c>
      <c r="AO51" s="68">
        <f t="shared" si="30"/>
        <v>1.950039032</v>
      </c>
      <c r="AP51" s="69">
        <f t="shared" si="31"/>
        <v>0.81664</v>
      </c>
      <c r="AQ51" s="70">
        <f t="shared" si="32"/>
        <v>1.78</v>
      </c>
      <c r="AR51" s="71">
        <f t="shared" ref="AR51:AS51" si="178">AI51/94</f>
        <v>14.78723404</v>
      </c>
      <c r="AS51" s="71">
        <f t="shared" si="178"/>
        <v>13.28723404</v>
      </c>
      <c r="AT51" s="72">
        <f t="shared" ref="AT51:AU51" si="179">AI51/24</f>
        <v>57.91666667</v>
      </c>
      <c r="AU51" s="72">
        <f t="shared" si="179"/>
        <v>52.04166667</v>
      </c>
      <c r="AV51" s="73">
        <f t="shared" ref="AV51:AW51" si="180">AI51/125</f>
        <v>11.12</v>
      </c>
      <c r="AW51" s="73">
        <f t="shared" si="180"/>
        <v>9.992</v>
      </c>
    </row>
    <row r="52" ht="15.0" customHeight="1">
      <c r="A52" s="2" t="s">
        <v>146</v>
      </c>
      <c r="B52" s="2" t="s">
        <v>147</v>
      </c>
      <c r="C52" s="75" t="s">
        <v>148</v>
      </c>
      <c r="D52" s="10">
        <v>510.0</v>
      </c>
      <c r="E52" s="2">
        <v>50.0</v>
      </c>
      <c r="F52" s="1">
        <v>85.0</v>
      </c>
      <c r="G52" s="10">
        <v>741810.0</v>
      </c>
      <c r="H52" s="59">
        <v>0.05</v>
      </c>
      <c r="I52" s="2">
        <f t="shared" si="4"/>
        <v>25.5</v>
      </c>
      <c r="K52" s="1">
        <v>20.0</v>
      </c>
      <c r="L52" s="4">
        <f t="shared" si="5"/>
        <v>690.5</v>
      </c>
      <c r="M52" s="2">
        <f t="shared" si="6"/>
        <v>5.1</v>
      </c>
      <c r="N52" s="12">
        <f t="shared" si="7"/>
        <v>55.24</v>
      </c>
      <c r="O52" s="12">
        <f t="shared" si="8"/>
        <v>69.05</v>
      </c>
      <c r="P52" s="12">
        <f t="shared" si="9"/>
        <v>34.525</v>
      </c>
      <c r="Q52" s="12">
        <f t="shared" si="10"/>
        <v>13.81</v>
      </c>
      <c r="R52" s="12">
        <f t="shared" si="48"/>
        <v>5.355</v>
      </c>
      <c r="S52" s="12">
        <f t="shared" si="12"/>
        <v>6.905</v>
      </c>
      <c r="T52" s="60">
        <f t="shared" si="13"/>
        <v>184.63</v>
      </c>
      <c r="U52" s="2">
        <f t="shared" si="14"/>
        <v>10.71</v>
      </c>
      <c r="V52" s="42">
        <f t="shared" si="15"/>
        <v>53.55</v>
      </c>
      <c r="W52" s="2">
        <f t="shared" si="16"/>
        <v>10.71</v>
      </c>
      <c r="X52" s="2">
        <f t="shared" si="17"/>
        <v>85.68</v>
      </c>
      <c r="Y52" s="2">
        <f t="shared" si="18"/>
        <v>160.65</v>
      </c>
      <c r="Z52" s="60">
        <f t="shared" si="19"/>
        <v>1035.78</v>
      </c>
      <c r="AA52" s="11">
        <f t="shared" si="20"/>
        <v>207.156</v>
      </c>
      <c r="AB52" s="12">
        <f t="shared" si="49"/>
        <v>1242.936</v>
      </c>
      <c r="AC52" s="2">
        <f t="shared" si="22"/>
        <v>1071</v>
      </c>
      <c r="AD52" s="12">
        <f t="shared" si="23"/>
        <v>171.936</v>
      </c>
      <c r="AE52" s="12">
        <f t="shared" si="24"/>
        <v>13.83305335</v>
      </c>
      <c r="AG52" s="62">
        <f t="shared" si="25"/>
        <v>-100</v>
      </c>
      <c r="AH52" s="63">
        <f t="shared" si="26"/>
        <v>1290</v>
      </c>
      <c r="AI52" s="64">
        <f t="shared" ref="AI52:AI67" si="184">AB52</f>
        <v>1242.936</v>
      </c>
      <c r="AJ52" s="65">
        <v>1290.0</v>
      </c>
      <c r="AK52" s="66">
        <f t="shared" si="27"/>
        <v>86.8211441</v>
      </c>
      <c r="AL52" s="66"/>
      <c r="AM52" s="14">
        <f t="shared" si="123"/>
        <v>100</v>
      </c>
      <c r="AN52" s="67">
        <f t="shared" si="29"/>
        <v>186.8211441</v>
      </c>
      <c r="AO52" s="68">
        <f t="shared" si="30"/>
        <v>1.868211441</v>
      </c>
      <c r="AP52" s="69">
        <f t="shared" si="31"/>
        <v>0.47064</v>
      </c>
      <c r="AQ52" s="70">
        <f t="shared" si="32"/>
        <v>2.19</v>
      </c>
      <c r="AR52" s="71">
        <f t="shared" ref="AR52:AS52" si="181">AI52/94</f>
        <v>13.2227234</v>
      </c>
      <c r="AS52" s="71">
        <f t="shared" si="181"/>
        <v>13.72340426</v>
      </c>
      <c r="AT52" s="72">
        <f t="shared" ref="AT52:AU52" si="182">AI52/24</f>
        <v>51.789</v>
      </c>
      <c r="AU52" s="72">
        <f t="shared" si="182"/>
        <v>53.75</v>
      </c>
      <c r="AV52" s="73">
        <f t="shared" ref="AV52:AW52" si="183">AI52/125</f>
        <v>9.943488</v>
      </c>
      <c r="AW52" s="73">
        <f t="shared" si="183"/>
        <v>10.32</v>
      </c>
    </row>
    <row r="53" ht="15.75" customHeight="1">
      <c r="A53" s="2"/>
      <c r="B53" s="2" t="s">
        <v>149</v>
      </c>
      <c r="C53" s="75" t="s">
        <v>150</v>
      </c>
      <c r="D53" s="10">
        <v>410.0</v>
      </c>
      <c r="F53" s="1">
        <v>85.0</v>
      </c>
      <c r="G53" s="10">
        <v>741810.0</v>
      </c>
      <c r="H53" s="59">
        <v>0.05</v>
      </c>
      <c r="I53" s="2">
        <f t="shared" si="4"/>
        <v>20.5</v>
      </c>
      <c r="K53" s="1">
        <v>20.0</v>
      </c>
      <c r="L53" s="4">
        <f t="shared" si="5"/>
        <v>535.5</v>
      </c>
      <c r="M53" s="2">
        <f t="shared" si="6"/>
        <v>4.1</v>
      </c>
      <c r="N53" s="12">
        <f t="shared" si="7"/>
        <v>42.84</v>
      </c>
      <c r="O53" s="12">
        <f t="shared" si="8"/>
        <v>53.55</v>
      </c>
      <c r="P53" s="12">
        <f t="shared" si="9"/>
        <v>26.775</v>
      </c>
      <c r="Q53" s="12">
        <f t="shared" si="10"/>
        <v>10.71</v>
      </c>
      <c r="R53" s="12">
        <f t="shared" si="48"/>
        <v>4.305</v>
      </c>
      <c r="S53" s="12">
        <f t="shared" si="12"/>
        <v>5.355</v>
      </c>
      <c r="T53" s="60">
        <f t="shared" si="13"/>
        <v>143.33</v>
      </c>
      <c r="U53" s="2">
        <f t="shared" si="14"/>
        <v>8.61</v>
      </c>
      <c r="V53" s="42">
        <f t="shared" si="15"/>
        <v>43.05</v>
      </c>
      <c r="W53" s="2">
        <f t="shared" si="16"/>
        <v>8.61</v>
      </c>
      <c r="X53" s="2">
        <f t="shared" si="17"/>
        <v>68.88</v>
      </c>
      <c r="Y53" s="2">
        <f t="shared" si="18"/>
        <v>129.15</v>
      </c>
      <c r="Z53" s="60">
        <f t="shared" si="19"/>
        <v>807.98</v>
      </c>
      <c r="AA53" s="11">
        <f t="shared" si="20"/>
        <v>161.596</v>
      </c>
      <c r="AB53" s="12">
        <f t="shared" si="49"/>
        <v>969.576</v>
      </c>
      <c r="AC53" s="2">
        <f t="shared" si="22"/>
        <v>861</v>
      </c>
      <c r="AD53" s="12">
        <f t="shared" si="23"/>
        <v>108.576</v>
      </c>
      <c r="AE53" s="12">
        <f t="shared" si="24"/>
        <v>11.19829699</v>
      </c>
      <c r="AG53" s="62">
        <f t="shared" si="25"/>
        <v>-100</v>
      </c>
      <c r="AH53" s="63">
        <f t="shared" si="26"/>
        <v>990</v>
      </c>
      <c r="AI53" s="64">
        <f t="shared" si="184"/>
        <v>969.576</v>
      </c>
      <c r="AJ53" s="65">
        <v>990.0</v>
      </c>
      <c r="AK53" s="66">
        <f t="shared" si="27"/>
        <v>84.87394958</v>
      </c>
      <c r="AL53" s="66"/>
      <c r="AM53" s="14">
        <f t="shared" si="123"/>
        <v>100</v>
      </c>
      <c r="AN53" s="67">
        <f t="shared" si="29"/>
        <v>184.8739496</v>
      </c>
      <c r="AO53" s="68">
        <f t="shared" si="30"/>
        <v>1.848739496</v>
      </c>
      <c r="AP53" s="69">
        <f t="shared" si="31"/>
        <v>0.20424</v>
      </c>
      <c r="AQ53" s="70">
        <f t="shared" si="32"/>
        <v>1.29</v>
      </c>
      <c r="AR53" s="71">
        <f t="shared" ref="AR53:AS53" si="185">AI53/94</f>
        <v>10.3146383</v>
      </c>
      <c r="AS53" s="71">
        <f t="shared" si="185"/>
        <v>10.53191489</v>
      </c>
      <c r="AT53" s="72">
        <f t="shared" ref="AT53:AU53" si="186">AI53/24</f>
        <v>40.399</v>
      </c>
      <c r="AU53" s="72">
        <f t="shared" si="186"/>
        <v>41.25</v>
      </c>
      <c r="AV53" s="73">
        <f t="shared" ref="AV53:AW53" si="187">AI53/125</f>
        <v>7.756608</v>
      </c>
      <c r="AW53" s="73">
        <f t="shared" si="187"/>
        <v>7.92</v>
      </c>
    </row>
    <row r="54" ht="15.75" customHeight="1">
      <c r="A54" s="2"/>
      <c r="B54" s="2" t="s">
        <v>151</v>
      </c>
      <c r="C54" s="75" t="s">
        <v>152</v>
      </c>
      <c r="D54" s="10">
        <v>410.0</v>
      </c>
      <c r="E54" s="2">
        <v>50.0</v>
      </c>
      <c r="F54" s="1">
        <v>85.0</v>
      </c>
      <c r="G54" s="10">
        <v>741810.0</v>
      </c>
      <c r="H54" s="59">
        <v>0.05</v>
      </c>
      <c r="I54" s="2">
        <f t="shared" si="4"/>
        <v>20.5</v>
      </c>
      <c r="K54" s="1">
        <v>20.0</v>
      </c>
      <c r="L54" s="4">
        <f t="shared" si="5"/>
        <v>585.5</v>
      </c>
      <c r="M54" s="2">
        <f t="shared" si="6"/>
        <v>4.1</v>
      </c>
      <c r="N54" s="12">
        <f t="shared" si="7"/>
        <v>46.84</v>
      </c>
      <c r="O54" s="12">
        <f t="shared" si="8"/>
        <v>58.55</v>
      </c>
      <c r="P54" s="12">
        <f t="shared" si="9"/>
        <v>29.275</v>
      </c>
      <c r="Q54" s="12">
        <f t="shared" si="10"/>
        <v>11.71</v>
      </c>
      <c r="R54" s="12">
        <f t="shared" si="48"/>
        <v>4.305</v>
      </c>
      <c r="S54" s="12">
        <f t="shared" si="12"/>
        <v>5.855</v>
      </c>
      <c r="T54" s="60">
        <f t="shared" si="13"/>
        <v>156.33</v>
      </c>
      <c r="U54" s="2">
        <f t="shared" si="14"/>
        <v>8.61</v>
      </c>
      <c r="V54" s="42">
        <f t="shared" si="15"/>
        <v>43.05</v>
      </c>
      <c r="W54" s="2">
        <f t="shared" si="16"/>
        <v>8.61</v>
      </c>
      <c r="X54" s="2">
        <f t="shared" si="17"/>
        <v>68.88</v>
      </c>
      <c r="Y54" s="2">
        <f t="shared" si="18"/>
        <v>129.15</v>
      </c>
      <c r="Z54" s="60">
        <f t="shared" si="19"/>
        <v>870.98</v>
      </c>
      <c r="AA54" s="11">
        <f t="shared" si="20"/>
        <v>174.196</v>
      </c>
      <c r="AB54" s="12">
        <f t="shared" si="49"/>
        <v>1045.176</v>
      </c>
      <c r="AC54" s="2">
        <f t="shared" si="22"/>
        <v>861</v>
      </c>
      <c r="AD54" s="12">
        <f t="shared" si="23"/>
        <v>184.176</v>
      </c>
      <c r="AE54" s="12">
        <f t="shared" si="24"/>
        <v>17.62152977</v>
      </c>
      <c r="AG54" s="62">
        <f t="shared" si="25"/>
        <v>-100</v>
      </c>
      <c r="AH54" s="63">
        <f t="shared" si="26"/>
        <v>1090</v>
      </c>
      <c r="AI54" s="64">
        <f t="shared" si="184"/>
        <v>1045.176</v>
      </c>
      <c r="AJ54" s="65">
        <v>1090.0</v>
      </c>
      <c r="AK54" s="66">
        <f t="shared" si="27"/>
        <v>86.16567037</v>
      </c>
      <c r="AL54" s="66"/>
      <c r="AM54" s="14">
        <f t="shared" si="123"/>
        <v>100</v>
      </c>
      <c r="AN54" s="67">
        <f t="shared" si="29"/>
        <v>186.1656704</v>
      </c>
      <c r="AO54" s="68">
        <f t="shared" si="30"/>
        <v>1.861656704</v>
      </c>
      <c r="AP54" s="69">
        <f t="shared" si="31"/>
        <v>0.44824</v>
      </c>
      <c r="AQ54" s="70">
        <f t="shared" si="32"/>
        <v>2.29</v>
      </c>
      <c r="AR54" s="71">
        <f t="shared" ref="AR54:AS54" si="188">AI54/94</f>
        <v>11.11889362</v>
      </c>
      <c r="AS54" s="71">
        <f t="shared" si="188"/>
        <v>11.59574468</v>
      </c>
      <c r="AT54" s="72">
        <f t="shared" ref="AT54:AU54" si="189">AI54/24</f>
        <v>43.549</v>
      </c>
      <c r="AU54" s="72">
        <f t="shared" si="189"/>
        <v>45.41666667</v>
      </c>
      <c r="AV54" s="73">
        <f t="shared" ref="AV54:AW54" si="190">AI54/125</f>
        <v>8.361408</v>
      </c>
      <c r="AW54" s="73">
        <f t="shared" si="190"/>
        <v>8.72</v>
      </c>
    </row>
    <row r="55" ht="15.75" customHeight="1">
      <c r="A55" s="2"/>
      <c r="B55" s="2" t="s">
        <v>153</v>
      </c>
      <c r="C55" s="75" t="s">
        <v>154</v>
      </c>
      <c r="D55" s="10">
        <v>510.0</v>
      </c>
      <c r="F55" s="1">
        <v>85.0</v>
      </c>
      <c r="G55" s="10">
        <v>741810.0</v>
      </c>
      <c r="H55" s="59">
        <v>0.05</v>
      </c>
      <c r="I55" s="2">
        <f t="shared" si="4"/>
        <v>25.5</v>
      </c>
      <c r="K55" s="1">
        <v>20.0</v>
      </c>
      <c r="L55" s="4">
        <f t="shared" si="5"/>
        <v>640.5</v>
      </c>
      <c r="M55" s="2">
        <f t="shared" si="6"/>
        <v>5.1</v>
      </c>
      <c r="N55" s="12">
        <f t="shared" si="7"/>
        <v>51.24</v>
      </c>
      <c r="O55" s="12">
        <f t="shared" si="8"/>
        <v>64.05</v>
      </c>
      <c r="P55" s="12">
        <f t="shared" si="9"/>
        <v>32.025</v>
      </c>
      <c r="Q55" s="12">
        <f t="shared" si="10"/>
        <v>12.81</v>
      </c>
      <c r="R55" s="12">
        <f t="shared" si="48"/>
        <v>5.355</v>
      </c>
      <c r="S55" s="12">
        <f t="shared" si="12"/>
        <v>6.405</v>
      </c>
      <c r="T55" s="60">
        <f t="shared" si="13"/>
        <v>171.63</v>
      </c>
      <c r="U55" s="2">
        <f t="shared" si="14"/>
        <v>10.71</v>
      </c>
      <c r="V55" s="42">
        <f t="shared" si="15"/>
        <v>53.55</v>
      </c>
      <c r="W55" s="2">
        <f t="shared" si="16"/>
        <v>10.71</v>
      </c>
      <c r="X55" s="2">
        <f t="shared" si="17"/>
        <v>85.68</v>
      </c>
      <c r="Y55" s="2">
        <f t="shared" si="18"/>
        <v>160.65</v>
      </c>
      <c r="Z55" s="60">
        <f t="shared" si="19"/>
        <v>972.78</v>
      </c>
      <c r="AA55" s="11">
        <f t="shared" si="20"/>
        <v>194.556</v>
      </c>
      <c r="AB55" s="12">
        <f t="shared" si="49"/>
        <v>1167.336</v>
      </c>
      <c r="AC55" s="2">
        <f t="shared" si="22"/>
        <v>1071</v>
      </c>
      <c r="AD55" s="12">
        <f t="shared" si="23"/>
        <v>96.336</v>
      </c>
      <c r="AE55" s="12">
        <f t="shared" si="24"/>
        <v>8.252636773</v>
      </c>
      <c r="AG55" s="62">
        <f t="shared" si="25"/>
        <v>-100</v>
      </c>
      <c r="AH55" s="63">
        <f t="shared" si="26"/>
        <v>1190</v>
      </c>
      <c r="AI55" s="64">
        <f t="shared" si="184"/>
        <v>1167.336</v>
      </c>
      <c r="AJ55" s="65">
        <v>1190.0</v>
      </c>
      <c r="AK55" s="66">
        <f t="shared" si="27"/>
        <v>85.79234973</v>
      </c>
      <c r="AL55" s="66"/>
      <c r="AM55" s="14">
        <f t="shared" si="123"/>
        <v>100</v>
      </c>
      <c r="AN55" s="67">
        <f t="shared" si="29"/>
        <v>185.7923497</v>
      </c>
      <c r="AO55" s="68">
        <f t="shared" si="30"/>
        <v>1.857923497</v>
      </c>
      <c r="AP55" s="69">
        <f t="shared" si="31"/>
        <v>0.22664</v>
      </c>
      <c r="AQ55" s="70">
        <f t="shared" si="32"/>
        <v>1.19</v>
      </c>
      <c r="AR55" s="71">
        <f t="shared" ref="AR55:AS55" si="191">AI55/94</f>
        <v>12.41846809</v>
      </c>
      <c r="AS55" s="71">
        <f t="shared" si="191"/>
        <v>12.65957447</v>
      </c>
      <c r="AT55" s="72">
        <f t="shared" ref="AT55:AU55" si="192">AI55/24</f>
        <v>48.639</v>
      </c>
      <c r="AU55" s="72">
        <f t="shared" si="192"/>
        <v>49.58333333</v>
      </c>
      <c r="AV55" s="73">
        <f t="shared" ref="AV55:AW55" si="193">AI55/125</f>
        <v>9.338688</v>
      </c>
      <c r="AW55" s="73">
        <f t="shared" si="193"/>
        <v>9.52</v>
      </c>
    </row>
    <row r="56" ht="15.0" customHeight="1">
      <c r="A56" s="2" t="s">
        <v>155</v>
      </c>
      <c r="B56" s="2" t="s">
        <v>147</v>
      </c>
      <c r="C56" s="75" t="s">
        <v>156</v>
      </c>
      <c r="D56" s="10">
        <v>520.0</v>
      </c>
      <c r="E56" s="2">
        <v>50.0</v>
      </c>
      <c r="F56" s="1">
        <v>85.0</v>
      </c>
      <c r="G56" s="10">
        <v>741810.0</v>
      </c>
      <c r="H56" s="59">
        <v>0.05</v>
      </c>
      <c r="I56" s="2">
        <f t="shared" si="4"/>
        <v>26</v>
      </c>
      <c r="K56" s="1">
        <v>20.0</v>
      </c>
      <c r="L56" s="4">
        <f t="shared" si="5"/>
        <v>701</v>
      </c>
      <c r="M56" s="2">
        <f t="shared" si="6"/>
        <v>5.2</v>
      </c>
      <c r="N56" s="12">
        <f t="shared" si="7"/>
        <v>56.08</v>
      </c>
      <c r="O56" s="12">
        <f t="shared" si="8"/>
        <v>70.1</v>
      </c>
      <c r="P56" s="12">
        <f t="shared" si="9"/>
        <v>35.05</v>
      </c>
      <c r="Q56" s="12">
        <f t="shared" si="10"/>
        <v>14.02</v>
      </c>
      <c r="R56" s="12">
        <f t="shared" si="48"/>
        <v>5.46</v>
      </c>
      <c r="S56" s="12">
        <f t="shared" si="12"/>
        <v>7.01</v>
      </c>
      <c r="T56" s="60">
        <f t="shared" si="13"/>
        <v>187.46</v>
      </c>
      <c r="U56" s="2">
        <f t="shared" si="14"/>
        <v>10.92</v>
      </c>
      <c r="V56" s="42">
        <f t="shared" si="15"/>
        <v>54.6</v>
      </c>
      <c r="W56" s="2">
        <f t="shared" si="16"/>
        <v>10.92</v>
      </c>
      <c r="X56" s="2">
        <f t="shared" si="17"/>
        <v>87.36</v>
      </c>
      <c r="Y56" s="2">
        <f t="shared" si="18"/>
        <v>163.8</v>
      </c>
      <c r="Z56" s="60">
        <f t="shared" si="19"/>
        <v>1052.26</v>
      </c>
      <c r="AA56" s="11">
        <f t="shared" si="20"/>
        <v>210.452</v>
      </c>
      <c r="AB56" s="12">
        <f t="shared" si="49"/>
        <v>1262.712</v>
      </c>
      <c r="AC56" s="2">
        <f t="shared" si="22"/>
        <v>1092</v>
      </c>
      <c r="AD56" s="12">
        <f t="shared" si="23"/>
        <v>170.712</v>
      </c>
      <c r="AE56" s="12">
        <f t="shared" si="24"/>
        <v>13.51947237</v>
      </c>
      <c r="AG56" s="62">
        <f t="shared" si="25"/>
        <v>-100</v>
      </c>
      <c r="AH56" s="63">
        <f t="shared" si="26"/>
        <v>1390</v>
      </c>
      <c r="AI56" s="64">
        <f t="shared" si="184"/>
        <v>1262.712</v>
      </c>
      <c r="AJ56" s="65">
        <v>1390.0</v>
      </c>
      <c r="AK56" s="66">
        <f t="shared" si="27"/>
        <v>98.28815977</v>
      </c>
      <c r="AL56" s="66"/>
      <c r="AM56" s="14">
        <f t="shared" si="123"/>
        <v>100</v>
      </c>
      <c r="AN56" s="67">
        <f t="shared" si="29"/>
        <v>198.2881598</v>
      </c>
      <c r="AO56" s="68">
        <f t="shared" si="30"/>
        <v>1.982881598</v>
      </c>
      <c r="AP56" s="69">
        <f t="shared" si="31"/>
        <v>1.27288</v>
      </c>
      <c r="AQ56" s="70">
        <f t="shared" si="32"/>
        <v>2.98</v>
      </c>
      <c r="AR56" s="71">
        <f t="shared" ref="AR56:AS56" si="194">AI56/94</f>
        <v>13.43310638</v>
      </c>
      <c r="AS56" s="71">
        <f t="shared" si="194"/>
        <v>14.78723404</v>
      </c>
      <c r="AT56" s="72">
        <f t="shared" ref="AT56:AU56" si="195">AI56/24</f>
        <v>52.613</v>
      </c>
      <c r="AU56" s="72">
        <f t="shared" si="195"/>
        <v>57.91666667</v>
      </c>
      <c r="AV56" s="73">
        <f t="shared" ref="AV56:AW56" si="196">AI56/125</f>
        <v>10.101696</v>
      </c>
      <c r="AW56" s="73">
        <f t="shared" si="196"/>
        <v>11.12</v>
      </c>
    </row>
    <row r="57" ht="15.75" customHeight="1">
      <c r="A57" s="2"/>
      <c r="B57" s="2" t="s">
        <v>149</v>
      </c>
      <c r="C57" s="75" t="s">
        <v>157</v>
      </c>
      <c r="D57" s="10">
        <v>410.0</v>
      </c>
      <c r="F57" s="1">
        <v>85.0</v>
      </c>
      <c r="G57" s="10">
        <v>741810.0</v>
      </c>
      <c r="H57" s="59">
        <v>0.05</v>
      </c>
      <c r="I57" s="2">
        <f t="shared" si="4"/>
        <v>20.5</v>
      </c>
      <c r="K57" s="1">
        <v>20.0</v>
      </c>
      <c r="L57" s="4">
        <f t="shared" si="5"/>
        <v>535.5</v>
      </c>
      <c r="M57" s="2">
        <f t="shared" si="6"/>
        <v>4.1</v>
      </c>
      <c r="N57" s="12">
        <f t="shared" si="7"/>
        <v>42.84</v>
      </c>
      <c r="O57" s="12">
        <f t="shared" si="8"/>
        <v>53.55</v>
      </c>
      <c r="P57" s="12">
        <f t="shared" si="9"/>
        <v>26.775</v>
      </c>
      <c r="Q57" s="12">
        <f t="shared" si="10"/>
        <v>10.71</v>
      </c>
      <c r="R57" s="12">
        <f t="shared" si="48"/>
        <v>4.305</v>
      </c>
      <c r="S57" s="12">
        <f t="shared" si="12"/>
        <v>5.355</v>
      </c>
      <c r="T57" s="60">
        <f t="shared" si="13"/>
        <v>143.33</v>
      </c>
      <c r="U57" s="2">
        <f t="shared" si="14"/>
        <v>8.61</v>
      </c>
      <c r="V57" s="42">
        <f t="shared" si="15"/>
        <v>43.05</v>
      </c>
      <c r="W57" s="2">
        <f t="shared" si="16"/>
        <v>8.61</v>
      </c>
      <c r="X57" s="2">
        <f t="shared" si="17"/>
        <v>68.88</v>
      </c>
      <c r="Y57" s="2">
        <f t="shared" si="18"/>
        <v>129.15</v>
      </c>
      <c r="Z57" s="60">
        <f t="shared" si="19"/>
        <v>807.98</v>
      </c>
      <c r="AA57" s="11">
        <f t="shared" si="20"/>
        <v>161.596</v>
      </c>
      <c r="AB57" s="12">
        <f t="shared" si="49"/>
        <v>969.576</v>
      </c>
      <c r="AC57" s="2">
        <f t="shared" si="22"/>
        <v>861</v>
      </c>
      <c r="AD57" s="12">
        <f t="shared" si="23"/>
        <v>108.576</v>
      </c>
      <c r="AE57" s="12">
        <f t="shared" si="24"/>
        <v>11.19829699</v>
      </c>
      <c r="AG57" s="62">
        <f t="shared" si="25"/>
        <v>-100</v>
      </c>
      <c r="AH57" s="63">
        <f t="shared" si="26"/>
        <v>990</v>
      </c>
      <c r="AI57" s="64">
        <f t="shared" si="184"/>
        <v>969.576</v>
      </c>
      <c r="AJ57" s="65">
        <v>990.0</v>
      </c>
      <c r="AK57" s="66">
        <f t="shared" si="27"/>
        <v>84.87394958</v>
      </c>
      <c r="AL57" s="66"/>
      <c r="AM57" s="14">
        <f t="shared" si="123"/>
        <v>100</v>
      </c>
      <c r="AN57" s="67">
        <f t="shared" si="29"/>
        <v>184.8739496</v>
      </c>
      <c r="AO57" s="68">
        <f t="shared" si="30"/>
        <v>1.848739496</v>
      </c>
      <c r="AP57" s="69">
        <f t="shared" si="31"/>
        <v>0.20424</v>
      </c>
      <c r="AQ57" s="70">
        <f t="shared" si="32"/>
        <v>1.29</v>
      </c>
      <c r="AR57" s="71">
        <f t="shared" ref="AR57:AS57" si="197">AI57/94</f>
        <v>10.3146383</v>
      </c>
      <c r="AS57" s="71">
        <f t="shared" si="197"/>
        <v>10.53191489</v>
      </c>
      <c r="AT57" s="72">
        <f t="shared" ref="AT57:AU57" si="198">AI57/24</f>
        <v>40.399</v>
      </c>
      <c r="AU57" s="72">
        <f t="shared" si="198"/>
        <v>41.25</v>
      </c>
      <c r="AV57" s="73">
        <f t="shared" ref="AV57:AW57" si="199">AI57/125</f>
        <v>7.756608</v>
      </c>
      <c r="AW57" s="73">
        <f t="shared" si="199"/>
        <v>7.92</v>
      </c>
    </row>
    <row r="58" ht="15.75" customHeight="1">
      <c r="A58" s="2"/>
      <c r="B58" s="2" t="s">
        <v>151</v>
      </c>
      <c r="C58" s="75" t="s">
        <v>158</v>
      </c>
      <c r="D58" s="10">
        <v>410.0</v>
      </c>
      <c r="E58" s="2">
        <v>50.0</v>
      </c>
      <c r="F58" s="1">
        <v>85.0</v>
      </c>
      <c r="G58" s="10">
        <v>741810.0</v>
      </c>
      <c r="H58" s="59">
        <v>0.05</v>
      </c>
      <c r="I58" s="2">
        <f t="shared" si="4"/>
        <v>20.5</v>
      </c>
      <c r="K58" s="1">
        <v>20.0</v>
      </c>
      <c r="L58" s="4">
        <f t="shared" si="5"/>
        <v>585.5</v>
      </c>
      <c r="M58" s="2">
        <f t="shared" si="6"/>
        <v>4.1</v>
      </c>
      <c r="N58" s="12">
        <f t="shared" si="7"/>
        <v>46.84</v>
      </c>
      <c r="O58" s="12">
        <f t="shared" si="8"/>
        <v>58.55</v>
      </c>
      <c r="P58" s="12">
        <f t="shared" si="9"/>
        <v>29.275</v>
      </c>
      <c r="Q58" s="12">
        <f t="shared" si="10"/>
        <v>11.71</v>
      </c>
      <c r="R58" s="12">
        <f t="shared" si="48"/>
        <v>4.305</v>
      </c>
      <c r="S58" s="12">
        <f t="shared" si="12"/>
        <v>5.855</v>
      </c>
      <c r="T58" s="60">
        <f t="shared" si="13"/>
        <v>156.33</v>
      </c>
      <c r="U58" s="2">
        <f t="shared" si="14"/>
        <v>8.61</v>
      </c>
      <c r="V58" s="42">
        <f t="shared" si="15"/>
        <v>43.05</v>
      </c>
      <c r="W58" s="2">
        <f t="shared" si="16"/>
        <v>8.61</v>
      </c>
      <c r="X58" s="2">
        <f t="shared" si="17"/>
        <v>68.88</v>
      </c>
      <c r="Y58" s="2">
        <f t="shared" si="18"/>
        <v>129.15</v>
      </c>
      <c r="Z58" s="60">
        <f t="shared" si="19"/>
        <v>870.98</v>
      </c>
      <c r="AA58" s="11">
        <f t="shared" si="20"/>
        <v>174.196</v>
      </c>
      <c r="AB58" s="12">
        <f t="shared" si="49"/>
        <v>1045.176</v>
      </c>
      <c r="AC58" s="2">
        <f t="shared" si="22"/>
        <v>861</v>
      </c>
      <c r="AD58" s="12">
        <f t="shared" si="23"/>
        <v>184.176</v>
      </c>
      <c r="AE58" s="12">
        <f t="shared" si="24"/>
        <v>17.62152977</v>
      </c>
      <c r="AG58" s="62">
        <f t="shared" si="25"/>
        <v>-100</v>
      </c>
      <c r="AH58" s="63">
        <f t="shared" si="26"/>
        <v>1090</v>
      </c>
      <c r="AI58" s="64">
        <f t="shared" si="184"/>
        <v>1045.176</v>
      </c>
      <c r="AJ58" s="65">
        <v>1090.0</v>
      </c>
      <c r="AK58" s="66">
        <f t="shared" si="27"/>
        <v>86.16567037</v>
      </c>
      <c r="AL58" s="66"/>
      <c r="AM58" s="14">
        <f t="shared" si="123"/>
        <v>100</v>
      </c>
      <c r="AN58" s="67">
        <f t="shared" si="29"/>
        <v>186.1656704</v>
      </c>
      <c r="AO58" s="68">
        <f t="shared" si="30"/>
        <v>1.861656704</v>
      </c>
      <c r="AP58" s="69">
        <f t="shared" si="31"/>
        <v>0.44824</v>
      </c>
      <c r="AQ58" s="70">
        <f t="shared" si="32"/>
        <v>2.29</v>
      </c>
      <c r="AR58" s="71">
        <f t="shared" ref="AR58:AS58" si="200">AI58/94</f>
        <v>11.11889362</v>
      </c>
      <c r="AS58" s="71">
        <f t="shared" si="200"/>
        <v>11.59574468</v>
      </c>
      <c r="AT58" s="72">
        <f t="shared" ref="AT58:AU58" si="201">AI58/24</f>
        <v>43.549</v>
      </c>
      <c r="AU58" s="72">
        <f t="shared" si="201"/>
        <v>45.41666667</v>
      </c>
      <c r="AV58" s="73">
        <f t="shared" ref="AV58:AW58" si="202">AI58/125</f>
        <v>8.361408</v>
      </c>
      <c r="AW58" s="73">
        <f t="shared" si="202"/>
        <v>8.72</v>
      </c>
    </row>
    <row r="59" ht="15.75" customHeight="1">
      <c r="A59" s="2"/>
      <c r="B59" s="2" t="s">
        <v>153</v>
      </c>
      <c r="C59" s="75" t="s">
        <v>159</v>
      </c>
      <c r="D59" s="10">
        <v>520.0</v>
      </c>
      <c r="F59" s="1">
        <v>85.0</v>
      </c>
      <c r="G59" s="10">
        <v>741810.0</v>
      </c>
      <c r="H59" s="59">
        <v>0.05</v>
      </c>
      <c r="I59" s="2">
        <f t="shared" si="4"/>
        <v>26</v>
      </c>
      <c r="K59" s="1">
        <v>20.0</v>
      </c>
      <c r="L59" s="4">
        <f t="shared" si="5"/>
        <v>651</v>
      </c>
      <c r="M59" s="2">
        <f t="shared" si="6"/>
        <v>5.2</v>
      </c>
      <c r="N59" s="12">
        <f t="shared" si="7"/>
        <v>52.08</v>
      </c>
      <c r="O59" s="12">
        <f t="shared" si="8"/>
        <v>65.1</v>
      </c>
      <c r="P59" s="12">
        <f t="shared" si="9"/>
        <v>32.55</v>
      </c>
      <c r="Q59" s="12">
        <f t="shared" si="10"/>
        <v>13.02</v>
      </c>
      <c r="R59" s="12">
        <f t="shared" si="48"/>
        <v>5.46</v>
      </c>
      <c r="S59" s="12">
        <f t="shared" si="12"/>
        <v>6.51</v>
      </c>
      <c r="T59" s="60">
        <f t="shared" si="13"/>
        <v>174.46</v>
      </c>
      <c r="U59" s="2">
        <f t="shared" si="14"/>
        <v>10.92</v>
      </c>
      <c r="V59" s="42">
        <f t="shared" si="15"/>
        <v>54.6</v>
      </c>
      <c r="W59" s="2">
        <f t="shared" si="16"/>
        <v>10.92</v>
      </c>
      <c r="X59" s="2">
        <f t="shared" si="17"/>
        <v>87.36</v>
      </c>
      <c r="Y59" s="2">
        <f t="shared" si="18"/>
        <v>163.8</v>
      </c>
      <c r="Z59" s="60">
        <f t="shared" si="19"/>
        <v>989.26</v>
      </c>
      <c r="AA59" s="11">
        <f t="shared" si="20"/>
        <v>197.852</v>
      </c>
      <c r="AB59" s="12">
        <f t="shared" si="49"/>
        <v>1187.112</v>
      </c>
      <c r="AC59" s="2">
        <f t="shared" si="22"/>
        <v>1092</v>
      </c>
      <c r="AD59" s="12">
        <f t="shared" si="23"/>
        <v>95.112</v>
      </c>
      <c r="AE59" s="12">
        <f t="shared" si="24"/>
        <v>8.012049411</v>
      </c>
      <c r="AG59" s="62">
        <f t="shared" si="25"/>
        <v>-100</v>
      </c>
      <c r="AH59" s="63">
        <f t="shared" si="26"/>
        <v>1290</v>
      </c>
      <c r="AI59" s="64">
        <f t="shared" si="184"/>
        <v>1187.112</v>
      </c>
      <c r="AJ59" s="65">
        <v>1290.0</v>
      </c>
      <c r="AK59" s="66">
        <f t="shared" si="27"/>
        <v>98.15668203</v>
      </c>
      <c r="AL59" s="66"/>
      <c r="AM59" s="14">
        <f t="shared" si="123"/>
        <v>100</v>
      </c>
      <c r="AN59" s="67">
        <f t="shared" si="29"/>
        <v>198.156682</v>
      </c>
      <c r="AO59" s="68">
        <f t="shared" si="30"/>
        <v>1.98156682</v>
      </c>
      <c r="AP59" s="69">
        <f t="shared" si="31"/>
        <v>1.02888</v>
      </c>
      <c r="AQ59" s="70">
        <f t="shared" si="32"/>
        <v>1.98</v>
      </c>
      <c r="AR59" s="71">
        <f t="shared" ref="AR59:AS59" si="203">AI59/94</f>
        <v>12.62885106</v>
      </c>
      <c r="AS59" s="71">
        <f t="shared" si="203"/>
        <v>13.72340426</v>
      </c>
      <c r="AT59" s="72">
        <f t="shared" ref="AT59:AU59" si="204">AI59/24</f>
        <v>49.463</v>
      </c>
      <c r="AU59" s="72">
        <f t="shared" si="204"/>
        <v>53.75</v>
      </c>
      <c r="AV59" s="73">
        <f t="shared" ref="AV59:AW59" si="205">AI59/125</f>
        <v>9.496896</v>
      </c>
      <c r="AW59" s="73">
        <f t="shared" si="205"/>
        <v>10.32</v>
      </c>
    </row>
    <row r="60" ht="15.0" customHeight="1">
      <c r="A60" s="2" t="s">
        <v>160</v>
      </c>
      <c r="B60" s="2" t="s">
        <v>153</v>
      </c>
      <c r="C60" s="75" t="s">
        <v>161</v>
      </c>
      <c r="D60" s="10">
        <v>520.0</v>
      </c>
      <c r="F60" s="1">
        <v>85.0</v>
      </c>
      <c r="G60" s="10">
        <v>741810.0</v>
      </c>
      <c r="H60" s="59">
        <v>0.05</v>
      </c>
      <c r="I60" s="2">
        <f t="shared" si="4"/>
        <v>26</v>
      </c>
      <c r="K60" s="1">
        <v>20.0</v>
      </c>
      <c r="L60" s="4">
        <f t="shared" si="5"/>
        <v>651</v>
      </c>
      <c r="M60" s="2">
        <f t="shared" si="6"/>
        <v>5.2</v>
      </c>
      <c r="N60" s="12">
        <f t="shared" si="7"/>
        <v>52.08</v>
      </c>
      <c r="O60" s="12">
        <f t="shared" si="8"/>
        <v>65.1</v>
      </c>
      <c r="P60" s="12">
        <f t="shared" si="9"/>
        <v>32.55</v>
      </c>
      <c r="Q60" s="12">
        <f t="shared" si="10"/>
        <v>13.02</v>
      </c>
      <c r="R60" s="12">
        <f t="shared" si="48"/>
        <v>5.46</v>
      </c>
      <c r="S60" s="12">
        <f t="shared" si="12"/>
        <v>6.51</v>
      </c>
      <c r="T60" s="60">
        <f t="shared" si="13"/>
        <v>174.46</v>
      </c>
      <c r="U60" s="2">
        <f t="shared" si="14"/>
        <v>10.92</v>
      </c>
      <c r="V60" s="42">
        <f t="shared" si="15"/>
        <v>54.6</v>
      </c>
      <c r="W60" s="2">
        <f t="shared" si="16"/>
        <v>10.92</v>
      </c>
      <c r="X60" s="2">
        <f t="shared" si="17"/>
        <v>87.36</v>
      </c>
      <c r="Y60" s="2">
        <f t="shared" si="18"/>
        <v>163.8</v>
      </c>
      <c r="Z60" s="60">
        <f t="shared" si="19"/>
        <v>989.26</v>
      </c>
      <c r="AA60" s="11">
        <f t="shared" si="20"/>
        <v>197.852</v>
      </c>
      <c r="AB60" s="12">
        <f t="shared" si="49"/>
        <v>1187.112</v>
      </c>
      <c r="AC60" s="2">
        <f t="shared" si="22"/>
        <v>1092</v>
      </c>
      <c r="AD60" s="12">
        <f t="shared" si="23"/>
        <v>95.112</v>
      </c>
      <c r="AE60" s="12">
        <f t="shared" si="24"/>
        <v>8.012049411</v>
      </c>
      <c r="AG60" s="62">
        <f t="shared" si="25"/>
        <v>-100</v>
      </c>
      <c r="AH60" s="63">
        <f t="shared" si="26"/>
        <v>1190</v>
      </c>
      <c r="AI60" s="64">
        <f t="shared" si="184"/>
        <v>1187.112</v>
      </c>
      <c r="AJ60" s="65">
        <v>1190.0</v>
      </c>
      <c r="AK60" s="66">
        <f t="shared" si="27"/>
        <v>82.79569892</v>
      </c>
      <c r="AL60" s="66"/>
      <c r="AM60" s="14">
        <f t="shared" si="123"/>
        <v>100</v>
      </c>
      <c r="AN60" s="67">
        <f t="shared" si="29"/>
        <v>182.7956989</v>
      </c>
      <c r="AO60" s="68">
        <f t="shared" si="30"/>
        <v>1.827956989</v>
      </c>
      <c r="AP60" s="69">
        <f t="shared" si="31"/>
        <v>0.02888</v>
      </c>
      <c r="AQ60" s="70">
        <f t="shared" si="32"/>
        <v>0.98</v>
      </c>
      <c r="AR60" s="71">
        <f t="shared" ref="AR60:AS60" si="206">AI60/94</f>
        <v>12.62885106</v>
      </c>
      <c r="AS60" s="71">
        <f t="shared" si="206"/>
        <v>12.65957447</v>
      </c>
      <c r="AT60" s="72">
        <f t="shared" ref="AT60:AU60" si="207">AI60/24</f>
        <v>49.463</v>
      </c>
      <c r="AU60" s="72">
        <f t="shared" si="207"/>
        <v>49.58333333</v>
      </c>
      <c r="AV60" s="73">
        <f t="shared" ref="AV60:AW60" si="208">AI60/125</f>
        <v>9.496896</v>
      </c>
      <c r="AW60" s="73">
        <f t="shared" si="208"/>
        <v>9.52</v>
      </c>
    </row>
    <row r="61" ht="15.75" customHeight="1">
      <c r="A61" s="2"/>
      <c r="B61" s="2" t="s">
        <v>149</v>
      </c>
      <c r="C61" s="75" t="s">
        <v>162</v>
      </c>
      <c r="D61" s="10">
        <v>400.0</v>
      </c>
      <c r="F61" s="1">
        <v>85.0</v>
      </c>
      <c r="G61" s="10">
        <v>741810.0</v>
      </c>
      <c r="H61" s="59">
        <v>0.05</v>
      </c>
      <c r="I61" s="2">
        <f t="shared" si="4"/>
        <v>20</v>
      </c>
      <c r="K61" s="1">
        <v>20.0</v>
      </c>
      <c r="L61" s="4">
        <f t="shared" si="5"/>
        <v>525</v>
      </c>
      <c r="M61" s="2">
        <f t="shared" si="6"/>
        <v>4</v>
      </c>
      <c r="N61" s="12">
        <f t="shared" si="7"/>
        <v>42</v>
      </c>
      <c r="O61" s="12">
        <f t="shared" si="8"/>
        <v>52.5</v>
      </c>
      <c r="P61" s="12">
        <f t="shared" si="9"/>
        <v>26.25</v>
      </c>
      <c r="Q61" s="12">
        <f t="shared" si="10"/>
        <v>10.5</v>
      </c>
      <c r="R61" s="12">
        <f t="shared" si="48"/>
        <v>4.2</v>
      </c>
      <c r="S61" s="12">
        <f t="shared" si="12"/>
        <v>5.25</v>
      </c>
      <c r="T61" s="60">
        <f t="shared" si="13"/>
        <v>140.5</v>
      </c>
      <c r="U61" s="2">
        <f t="shared" si="14"/>
        <v>8.4</v>
      </c>
      <c r="V61" s="42">
        <f t="shared" si="15"/>
        <v>42</v>
      </c>
      <c r="W61" s="2">
        <f t="shared" si="16"/>
        <v>8.4</v>
      </c>
      <c r="X61" s="2">
        <f t="shared" si="17"/>
        <v>67.2</v>
      </c>
      <c r="Y61" s="2">
        <f t="shared" si="18"/>
        <v>126</v>
      </c>
      <c r="Z61" s="60">
        <f t="shared" si="19"/>
        <v>791.5</v>
      </c>
      <c r="AA61" s="11">
        <f t="shared" si="20"/>
        <v>158.3</v>
      </c>
      <c r="AB61" s="12">
        <f t="shared" si="49"/>
        <v>949.8</v>
      </c>
      <c r="AC61" s="2">
        <f t="shared" si="22"/>
        <v>840</v>
      </c>
      <c r="AD61" s="12">
        <f t="shared" si="23"/>
        <v>109.8</v>
      </c>
      <c r="AE61" s="12">
        <f t="shared" si="24"/>
        <v>11.56032849</v>
      </c>
      <c r="AG61" s="62">
        <f t="shared" si="25"/>
        <v>-100</v>
      </c>
      <c r="AH61" s="63">
        <f t="shared" si="26"/>
        <v>990</v>
      </c>
      <c r="AI61" s="64">
        <f t="shared" si="184"/>
        <v>949.8</v>
      </c>
      <c r="AJ61" s="65">
        <v>990.0</v>
      </c>
      <c r="AK61" s="66">
        <f t="shared" si="27"/>
        <v>88.57142857</v>
      </c>
      <c r="AL61" s="66"/>
      <c r="AM61" s="14">
        <f t="shared" si="123"/>
        <v>100</v>
      </c>
      <c r="AN61" s="67">
        <f t="shared" si="29"/>
        <v>188.5714286</v>
      </c>
      <c r="AO61" s="68">
        <f t="shared" si="30"/>
        <v>1.885714286</v>
      </c>
      <c r="AP61" s="69">
        <f t="shared" si="31"/>
        <v>0.402</v>
      </c>
      <c r="AQ61" s="70">
        <f t="shared" si="32"/>
        <v>1.5</v>
      </c>
      <c r="AR61" s="71">
        <f t="shared" ref="AR61:AS61" si="209">AI61/94</f>
        <v>10.10425532</v>
      </c>
      <c r="AS61" s="71">
        <f t="shared" si="209"/>
        <v>10.53191489</v>
      </c>
      <c r="AT61" s="72">
        <f t="shared" ref="AT61:AU61" si="210">AI61/24</f>
        <v>39.575</v>
      </c>
      <c r="AU61" s="72">
        <f t="shared" si="210"/>
        <v>41.25</v>
      </c>
      <c r="AV61" s="73">
        <f t="shared" ref="AV61:AW61" si="211">AI61/125</f>
        <v>7.5984</v>
      </c>
      <c r="AW61" s="73">
        <f t="shared" si="211"/>
        <v>7.92</v>
      </c>
    </row>
    <row r="62" ht="15.75" customHeight="1">
      <c r="A62" s="2"/>
      <c r="B62" s="2" t="s">
        <v>151</v>
      </c>
      <c r="C62" s="75" t="s">
        <v>163</v>
      </c>
      <c r="D62" s="10">
        <v>400.0</v>
      </c>
      <c r="E62" s="2">
        <v>50.0</v>
      </c>
      <c r="F62" s="1">
        <v>85.0</v>
      </c>
      <c r="G62" s="10">
        <v>741810.0</v>
      </c>
      <c r="H62" s="59">
        <v>0.05</v>
      </c>
      <c r="I62" s="2">
        <f t="shared" si="4"/>
        <v>20</v>
      </c>
      <c r="K62" s="1">
        <v>20.0</v>
      </c>
      <c r="L62" s="4">
        <f t="shared" si="5"/>
        <v>575</v>
      </c>
      <c r="M62" s="2">
        <f t="shared" si="6"/>
        <v>4</v>
      </c>
      <c r="N62" s="12">
        <f t="shared" si="7"/>
        <v>46</v>
      </c>
      <c r="O62" s="12">
        <f t="shared" si="8"/>
        <v>57.5</v>
      </c>
      <c r="P62" s="12">
        <f t="shared" si="9"/>
        <v>28.75</v>
      </c>
      <c r="Q62" s="12">
        <f t="shared" si="10"/>
        <v>11.5</v>
      </c>
      <c r="R62" s="12">
        <f t="shared" si="48"/>
        <v>4.2</v>
      </c>
      <c r="S62" s="12">
        <f t="shared" si="12"/>
        <v>5.75</v>
      </c>
      <c r="T62" s="60">
        <f t="shared" si="13"/>
        <v>153.5</v>
      </c>
      <c r="U62" s="2">
        <f t="shared" si="14"/>
        <v>8.4</v>
      </c>
      <c r="V62" s="42">
        <f t="shared" si="15"/>
        <v>42</v>
      </c>
      <c r="W62" s="2">
        <f t="shared" si="16"/>
        <v>8.4</v>
      </c>
      <c r="X62" s="2">
        <f t="shared" si="17"/>
        <v>67.2</v>
      </c>
      <c r="Y62" s="2">
        <f t="shared" si="18"/>
        <v>126</v>
      </c>
      <c r="Z62" s="60">
        <f t="shared" si="19"/>
        <v>854.5</v>
      </c>
      <c r="AA62" s="11">
        <f t="shared" si="20"/>
        <v>170.9</v>
      </c>
      <c r="AB62" s="12">
        <f t="shared" si="49"/>
        <v>1025.4</v>
      </c>
      <c r="AC62" s="2">
        <f t="shared" si="22"/>
        <v>840</v>
      </c>
      <c r="AD62" s="12">
        <f t="shared" si="23"/>
        <v>185.4</v>
      </c>
      <c r="AE62" s="12">
        <f t="shared" si="24"/>
        <v>18.08074898</v>
      </c>
      <c r="AG62" s="62">
        <f t="shared" si="25"/>
        <v>-100</v>
      </c>
      <c r="AH62" s="63">
        <f t="shared" si="26"/>
        <v>1090</v>
      </c>
      <c r="AI62" s="64">
        <f t="shared" si="184"/>
        <v>1025.4</v>
      </c>
      <c r="AJ62" s="65">
        <v>1090.0</v>
      </c>
      <c r="AK62" s="66">
        <f t="shared" si="27"/>
        <v>89.56521739</v>
      </c>
      <c r="AL62" s="66"/>
      <c r="AM62" s="14">
        <f t="shared" si="123"/>
        <v>100</v>
      </c>
      <c r="AN62" s="67">
        <f t="shared" si="29"/>
        <v>189.5652174</v>
      </c>
      <c r="AO62" s="68">
        <f t="shared" si="30"/>
        <v>1.895652174</v>
      </c>
      <c r="AP62" s="69">
        <f t="shared" si="31"/>
        <v>0.646</v>
      </c>
      <c r="AQ62" s="70">
        <f t="shared" si="32"/>
        <v>2.5</v>
      </c>
      <c r="AR62" s="71">
        <f t="shared" ref="AR62:AS62" si="212">AI62/94</f>
        <v>10.90851064</v>
      </c>
      <c r="AS62" s="71">
        <f t="shared" si="212"/>
        <v>11.59574468</v>
      </c>
      <c r="AT62" s="72">
        <f t="shared" ref="AT62:AU62" si="213">AI62/24</f>
        <v>42.725</v>
      </c>
      <c r="AU62" s="72">
        <f t="shared" si="213"/>
        <v>45.41666667</v>
      </c>
      <c r="AV62" s="73">
        <f t="shared" ref="AV62:AW62" si="214">AI62/125</f>
        <v>8.2032</v>
      </c>
      <c r="AW62" s="73">
        <f t="shared" si="214"/>
        <v>8.72</v>
      </c>
    </row>
    <row r="63" ht="15.75" customHeight="1">
      <c r="A63" s="2"/>
      <c r="B63" s="2" t="s">
        <v>147</v>
      </c>
      <c r="C63" s="75" t="s">
        <v>164</v>
      </c>
      <c r="D63" s="10">
        <v>520.0</v>
      </c>
      <c r="E63" s="2">
        <v>50.0</v>
      </c>
      <c r="F63" s="1">
        <v>85.0</v>
      </c>
      <c r="G63" s="10">
        <v>741810.0</v>
      </c>
      <c r="H63" s="59">
        <v>0.05</v>
      </c>
      <c r="I63" s="2">
        <f t="shared" si="4"/>
        <v>26</v>
      </c>
      <c r="K63" s="1">
        <v>20.0</v>
      </c>
      <c r="L63" s="4">
        <f t="shared" si="5"/>
        <v>701</v>
      </c>
      <c r="M63" s="2">
        <f t="shared" si="6"/>
        <v>5.2</v>
      </c>
      <c r="N63" s="12">
        <f t="shared" si="7"/>
        <v>56.08</v>
      </c>
      <c r="O63" s="12">
        <f t="shared" si="8"/>
        <v>70.1</v>
      </c>
      <c r="P63" s="12">
        <f t="shared" si="9"/>
        <v>35.05</v>
      </c>
      <c r="Q63" s="12">
        <f t="shared" si="10"/>
        <v>14.02</v>
      </c>
      <c r="R63" s="12">
        <f t="shared" si="48"/>
        <v>5.46</v>
      </c>
      <c r="S63" s="12">
        <f t="shared" si="12"/>
        <v>7.01</v>
      </c>
      <c r="T63" s="60">
        <f t="shared" si="13"/>
        <v>187.46</v>
      </c>
      <c r="U63" s="2">
        <f t="shared" si="14"/>
        <v>10.92</v>
      </c>
      <c r="V63" s="42">
        <f t="shared" si="15"/>
        <v>54.6</v>
      </c>
      <c r="W63" s="2">
        <f t="shared" si="16"/>
        <v>10.92</v>
      </c>
      <c r="X63" s="2">
        <f t="shared" si="17"/>
        <v>87.36</v>
      </c>
      <c r="Y63" s="2">
        <f t="shared" si="18"/>
        <v>163.8</v>
      </c>
      <c r="Z63" s="60">
        <f t="shared" si="19"/>
        <v>1052.26</v>
      </c>
      <c r="AA63" s="11">
        <f t="shared" si="20"/>
        <v>210.452</v>
      </c>
      <c r="AB63" s="12">
        <f t="shared" si="49"/>
        <v>1262.712</v>
      </c>
      <c r="AC63" s="2">
        <f t="shared" si="22"/>
        <v>1092</v>
      </c>
      <c r="AD63" s="12">
        <f t="shared" si="23"/>
        <v>170.712</v>
      </c>
      <c r="AE63" s="12">
        <f t="shared" si="24"/>
        <v>13.51947237</v>
      </c>
      <c r="AG63" s="62">
        <f t="shared" si="25"/>
        <v>-100</v>
      </c>
      <c r="AH63" s="63">
        <f t="shared" si="26"/>
        <v>1290</v>
      </c>
      <c r="AI63" s="64">
        <f t="shared" si="184"/>
        <v>1262.712</v>
      </c>
      <c r="AJ63" s="65">
        <v>1290.0</v>
      </c>
      <c r="AK63" s="66">
        <f t="shared" si="27"/>
        <v>84.02282454</v>
      </c>
      <c r="AL63" s="66"/>
      <c r="AM63" s="14">
        <f t="shared" si="123"/>
        <v>100</v>
      </c>
      <c r="AN63" s="67">
        <f t="shared" si="29"/>
        <v>184.0228245</v>
      </c>
      <c r="AO63" s="68">
        <f t="shared" si="30"/>
        <v>1.840228245</v>
      </c>
      <c r="AP63" s="69">
        <f t="shared" si="31"/>
        <v>0.27288</v>
      </c>
      <c r="AQ63" s="70">
        <f t="shared" si="32"/>
        <v>1.98</v>
      </c>
      <c r="AR63" s="71">
        <f t="shared" ref="AR63:AS63" si="215">AI63/94</f>
        <v>13.43310638</v>
      </c>
      <c r="AS63" s="71">
        <f t="shared" si="215"/>
        <v>13.72340426</v>
      </c>
      <c r="AT63" s="72">
        <f t="shared" ref="AT63:AU63" si="216">AI63/24</f>
        <v>52.613</v>
      </c>
      <c r="AU63" s="72">
        <f t="shared" si="216"/>
        <v>53.75</v>
      </c>
      <c r="AV63" s="73">
        <f t="shared" ref="AV63:AW63" si="217">AI63/125</f>
        <v>10.101696</v>
      </c>
      <c r="AW63" s="73">
        <f t="shared" si="217"/>
        <v>10.32</v>
      </c>
    </row>
    <row r="64" ht="15.0" customHeight="1">
      <c r="A64" s="2" t="s">
        <v>165</v>
      </c>
      <c r="B64" s="2" t="s">
        <v>147</v>
      </c>
      <c r="C64" s="75" t="s">
        <v>166</v>
      </c>
      <c r="D64" s="10">
        <v>520.0</v>
      </c>
      <c r="F64" s="1">
        <v>85.0</v>
      </c>
      <c r="G64" s="10">
        <v>7418.0</v>
      </c>
      <c r="H64" s="59">
        <v>0.05</v>
      </c>
      <c r="I64" s="2">
        <f t="shared" si="4"/>
        <v>26</v>
      </c>
      <c r="K64" s="1">
        <v>20.0</v>
      </c>
      <c r="L64" s="4">
        <f t="shared" si="5"/>
        <v>651</v>
      </c>
      <c r="M64" s="2">
        <f t="shared" si="6"/>
        <v>5.2</v>
      </c>
      <c r="N64" s="12">
        <f t="shared" si="7"/>
        <v>52.08</v>
      </c>
      <c r="O64" s="12">
        <f t="shared" si="8"/>
        <v>65.1</v>
      </c>
      <c r="P64" s="12">
        <f t="shared" si="9"/>
        <v>32.55</v>
      </c>
      <c r="Q64" s="12">
        <f t="shared" si="10"/>
        <v>13.02</v>
      </c>
      <c r="R64" s="12">
        <f t="shared" si="48"/>
        <v>5.46</v>
      </c>
      <c r="S64" s="12">
        <f t="shared" si="12"/>
        <v>6.51</v>
      </c>
      <c r="T64" s="60">
        <f t="shared" si="13"/>
        <v>174.46</v>
      </c>
      <c r="U64" s="2">
        <f t="shared" si="14"/>
        <v>10.92</v>
      </c>
      <c r="V64" s="42">
        <f t="shared" si="15"/>
        <v>54.6</v>
      </c>
      <c r="W64" s="2">
        <f t="shared" si="16"/>
        <v>10.92</v>
      </c>
      <c r="X64" s="2">
        <f t="shared" si="17"/>
        <v>87.36</v>
      </c>
      <c r="Y64" s="2">
        <f t="shared" si="18"/>
        <v>163.8</v>
      </c>
      <c r="Z64" s="60">
        <f t="shared" si="19"/>
        <v>989.26</v>
      </c>
      <c r="AA64" s="11">
        <f t="shared" si="20"/>
        <v>197.852</v>
      </c>
      <c r="AB64" s="12">
        <f t="shared" si="49"/>
        <v>1187.112</v>
      </c>
      <c r="AC64" s="2">
        <f t="shared" si="22"/>
        <v>1092</v>
      </c>
      <c r="AD64" s="12">
        <f t="shared" si="23"/>
        <v>95.112</v>
      </c>
      <c r="AE64" s="12">
        <f t="shared" si="24"/>
        <v>8.012049411</v>
      </c>
      <c r="AF64" s="76">
        <v>1390.0</v>
      </c>
      <c r="AG64" s="62">
        <f t="shared" si="25"/>
        <v>113.5176651</v>
      </c>
      <c r="AH64" s="63">
        <f t="shared" si="26"/>
        <v>0</v>
      </c>
      <c r="AI64" s="64">
        <f t="shared" si="184"/>
        <v>1187.112</v>
      </c>
      <c r="AJ64" s="65">
        <v>1390.0</v>
      </c>
      <c r="AK64" s="66">
        <f t="shared" si="27"/>
        <v>113.5176651</v>
      </c>
      <c r="AL64" s="66"/>
      <c r="AM64" s="14">
        <f t="shared" si="123"/>
        <v>0</v>
      </c>
      <c r="AN64" s="67">
        <f t="shared" si="29"/>
        <v>0</v>
      </c>
      <c r="AO64" s="68">
        <f t="shared" si="30"/>
        <v>2.135176651</v>
      </c>
      <c r="AP64" s="69">
        <f t="shared" si="31"/>
        <v>2.02888</v>
      </c>
      <c r="AQ64" s="70">
        <f t="shared" si="32"/>
        <v>2.98</v>
      </c>
      <c r="AR64" s="71">
        <f t="shared" ref="AR64:AS64" si="218">AI64/94</f>
        <v>12.62885106</v>
      </c>
      <c r="AS64" s="71">
        <f t="shared" si="218"/>
        <v>14.78723404</v>
      </c>
      <c r="AT64" s="72">
        <f t="shared" ref="AT64:AU64" si="219">AI64/24</f>
        <v>49.463</v>
      </c>
      <c r="AU64" s="72">
        <f t="shared" si="219"/>
        <v>57.91666667</v>
      </c>
      <c r="AV64" s="73">
        <f t="shared" ref="AV64:AW64" si="220">AI64/125</f>
        <v>9.496896</v>
      </c>
      <c r="AW64" s="73">
        <f t="shared" si="220"/>
        <v>11.12</v>
      </c>
    </row>
    <row r="65" ht="15.75" customHeight="1">
      <c r="A65" s="2" t="s">
        <v>167</v>
      </c>
      <c r="B65" s="2" t="s">
        <v>149</v>
      </c>
      <c r="C65" s="75" t="s">
        <v>168</v>
      </c>
      <c r="D65" s="10">
        <v>390.0</v>
      </c>
      <c r="F65" s="1">
        <v>85.0</v>
      </c>
      <c r="G65" s="10">
        <v>7418.0</v>
      </c>
      <c r="H65" s="59">
        <v>0.05</v>
      </c>
      <c r="I65" s="2">
        <f t="shared" si="4"/>
        <v>19.5</v>
      </c>
      <c r="K65" s="1">
        <v>20.0</v>
      </c>
      <c r="L65" s="4">
        <f t="shared" si="5"/>
        <v>514.5</v>
      </c>
      <c r="M65" s="2">
        <f t="shared" si="6"/>
        <v>3.9</v>
      </c>
      <c r="N65" s="12">
        <f t="shared" si="7"/>
        <v>41.16</v>
      </c>
      <c r="O65" s="12">
        <f t="shared" si="8"/>
        <v>51.45</v>
      </c>
      <c r="P65" s="12">
        <f t="shared" si="9"/>
        <v>25.725</v>
      </c>
      <c r="Q65" s="12">
        <f t="shared" si="10"/>
        <v>10.29</v>
      </c>
      <c r="R65" s="12">
        <f t="shared" si="48"/>
        <v>4.095</v>
      </c>
      <c r="S65" s="12">
        <f t="shared" si="12"/>
        <v>5.145</v>
      </c>
      <c r="T65" s="60">
        <f t="shared" si="13"/>
        <v>137.67</v>
      </c>
      <c r="U65" s="2">
        <f t="shared" si="14"/>
        <v>8.19</v>
      </c>
      <c r="V65" s="42">
        <f t="shared" si="15"/>
        <v>40.95</v>
      </c>
      <c r="W65" s="2">
        <f t="shared" si="16"/>
        <v>8.19</v>
      </c>
      <c r="X65" s="2">
        <f t="shared" si="17"/>
        <v>65.52</v>
      </c>
      <c r="Y65" s="2">
        <f t="shared" si="18"/>
        <v>122.85</v>
      </c>
      <c r="Z65" s="60">
        <f t="shared" si="19"/>
        <v>775.02</v>
      </c>
      <c r="AA65" s="11">
        <f t="shared" si="20"/>
        <v>155.004</v>
      </c>
      <c r="AB65" s="12">
        <f t="shared" si="49"/>
        <v>930.024</v>
      </c>
      <c r="AC65" s="2">
        <f t="shared" si="22"/>
        <v>819</v>
      </c>
      <c r="AD65" s="12">
        <f t="shared" si="23"/>
        <v>111.024</v>
      </c>
      <c r="AE65" s="12">
        <f t="shared" si="24"/>
        <v>11.93775644</v>
      </c>
      <c r="AF65" s="76">
        <v>990.0</v>
      </c>
      <c r="AG65" s="62">
        <f t="shared" si="25"/>
        <v>92.41982507</v>
      </c>
      <c r="AH65" s="63">
        <f t="shared" si="26"/>
        <v>0</v>
      </c>
      <c r="AI65" s="64">
        <f t="shared" si="184"/>
        <v>930.024</v>
      </c>
      <c r="AJ65" s="65">
        <v>990.0</v>
      </c>
      <c r="AK65" s="66">
        <f t="shared" si="27"/>
        <v>92.41982507</v>
      </c>
      <c r="AL65" s="66"/>
      <c r="AM65" s="14">
        <f t="shared" si="123"/>
        <v>0</v>
      </c>
      <c r="AN65" s="67">
        <f t="shared" si="29"/>
        <v>0</v>
      </c>
      <c r="AO65" s="68">
        <f t="shared" si="30"/>
        <v>1.924198251</v>
      </c>
      <c r="AP65" s="69">
        <f t="shared" si="31"/>
        <v>0.59976</v>
      </c>
      <c r="AQ65" s="70">
        <f t="shared" si="32"/>
        <v>1.71</v>
      </c>
      <c r="AR65" s="71">
        <f t="shared" ref="AR65:AS65" si="221">AI65/94</f>
        <v>9.89387234</v>
      </c>
      <c r="AS65" s="71">
        <f t="shared" si="221"/>
        <v>10.53191489</v>
      </c>
      <c r="AT65" s="72">
        <f t="shared" ref="AT65:AU65" si="222">AI65/24</f>
        <v>38.751</v>
      </c>
      <c r="AU65" s="72">
        <f t="shared" si="222"/>
        <v>41.25</v>
      </c>
      <c r="AV65" s="73">
        <f t="shared" ref="AV65:AW65" si="223">AI65/125</f>
        <v>7.440192</v>
      </c>
      <c r="AW65" s="73">
        <f t="shared" si="223"/>
        <v>7.92</v>
      </c>
    </row>
    <row r="66" ht="15.75" customHeight="1">
      <c r="A66" s="2"/>
      <c r="B66" s="2" t="s">
        <v>151</v>
      </c>
      <c r="C66" s="75" t="s">
        <v>169</v>
      </c>
      <c r="D66" s="10">
        <v>390.0</v>
      </c>
      <c r="F66" s="1">
        <v>85.0</v>
      </c>
      <c r="G66" s="10">
        <v>7418.0</v>
      </c>
      <c r="H66" s="59">
        <v>0.05</v>
      </c>
      <c r="I66" s="2">
        <f t="shared" si="4"/>
        <v>19.5</v>
      </c>
      <c r="K66" s="1">
        <v>20.0</v>
      </c>
      <c r="L66" s="4">
        <f t="shared" si="5"/>
        <v>514.5</v>
      </c>
      <c r="M66" s="2">
        <f t="shared" si="6"/>
        <v>3.9</v>
      </c>
      <c r="N66" s="12">
        <f t="shared" si="7"/>
        <v>41.16</v>
      </c>
      <c r="O66" s="12">
        <f t="shared" si="8"/>
        <v>51.45</v>
      </c>
      <c r="P66" s="12">
        <f t="shared" si="9"/>
        <v>25.725</v>
      </c>
      <c r="Q66" s="12">
        <f t="shared" si="10"/>
        <v>10.29</v>
      </c>
      <c r="R66" s="12">
        <f t="shared" si="48"/>
        <v>4.095</v>
      </c>
      <c r="S66" s="12">
        <f t="shared" si="12"/>
        <v>5.145</v>
      </c>
      <c r="T66" s="60">
        <f t="shared" si="13"/>
        <v>137.67</v>
      </c>
      <c r="U66" s="2">
        <f t="shared" si="14"/>
        <v>8.19</v>
      </c>
      <c r="V66" s="42">
        <f t="shared" si="15"/>
        <v>40.95</v>
      </c>
      <c r="W66" s="2">
        <f t="shared" si="16"/>
        <v>8.19</v>
      </c>
      <c r="X66" s="2">
        <f t="shared" si="17"/>
        <v>65.52</v>
      </c>
      <c r="Y66" s="2">
        <f t="shared" si="18"/>
        <v>122.85</v>
      </c>
      <c r="Z66" s="60">
        <f t="shared" si="19"/>
        <v>775.02</v>
      </c>
      <c r="AA66" s="11">
        <f t="shared" si="20"/>
        <v>155.004</v>
      </c>
      <c r="AB66" s="12">
        <f t="shared" si="49"/>
        <v>930.024</v>
      </c>
      <c r="AC66" s="2">
        <f t="shared" si="22"/>
        <v>819</v>
      </c>
      <c r="AD66" s="12">
        <f t="shared" si="23"/>
        <v>111.024</v>
      </c>
      <c r="AE66" s="12">
        <f t="shared" si="24"/>
        <v>11.93775644</v>
      </c>
      <c r="AF66" s="76">
        <v>990.0</v>
      </c>
      <c r="AG66" s="62">
        <f t="shared" si="25"/>
        <v>92.41982507</v>
      </c>
      <c r="AH66" s="63">
        <f t="shared" si="26"/>
        <v>0</v>
      </c>
      <c r="AI66" s="64">
        <f t="shared" si="184"/>
        <v>930.024</v>
      </c>
      <c r="AJ66" s="65">
        <v>990.0</v>
      </c>
      <c r="AK66" s="66">
        <f t="shared" si="27"/>
        <v>92.41982507</v>
      </c>
      <c r="AL66" s="66"/>
      <c r="AM66" s="14">
        <f t="shared" si="123"/>
        <v>0</v>
      </c>
      <c r="AN66" s="67">
        <f t="shared" si="29"/>
        <v>0</v>
      </c>
      <c r="AO66" s="68">
        <f t="shared" si="30"/>
        <v>1.924198251</v>
      </c>
      <c r="AP66" s="69">
        <f t="shared" si="31"/>
        <v>0.59976</v>
      </c>
      <c r="AQ66" s="70">
        <f t="shared" si="32"/>
        <v>1.71</v>
      </c>
      <c r="AR66" s="71">
        <f t="shared" ref="AR66:AS66" si="224">AI66/94</f>
        <v>9.89387234</v>
      </c>
      <c r="AS66" s="71">
        <f t="shared" si="224"/>
        <v>10.53191489</v>
      </c>
      <c r="AT66" s="72">
        <f t="shared" ref="AT66:AU66" si="225">AI66/24</f>
        <v>38.751</v>
      </c>
      <c r="AU66" s="72">
        <f t="shared" si="225"/>
        <v>41.25</v>
      </c>
      <c r="AV66" s="73">
        <f t="shared" ref="AV66:AW66" si="226">AI66/125</f>
        <v>7.440192</v>
      </c>
      <c r="AW66" s="73">
        <f t="shared" si="226"/>
        <v>7.92</v>
      </c>
    </row>
    <row r="67" ht="15.75" customHeight="1">
      <c r="A67" s="2"/>
      <c r="B67" s="2" t="s">
        <v>153</v>
      </c>
      <c r="C67" s="75" t="s">
        <v>170</v>
      </c>
      <c r="D67" s="10">
        <v>520.0</v>
      </c>
      <c r="F67" s="1">
        <v>85.0</v>
      </c>
      <c r="G67" s="10">
        <v>7418.0</v>
      </c>
      <c r="H67" s="59">
        <v>0.05</v>
      </c>
      <c r="I67" s="2">
        <f t="shared" si="4"/>
        <v>26</v>
      </c>
      <c r="K67" s="1">
        <v>20.0</v>
      </c>
      <c r="L67" s="4">
        <f t="shared" si="5"/>
        <v>651</v>
      </c>
      <c r="M67" s="2">
        <f t="shared" si="6"/>
        <v>5.2</v>
      </c>
      <c r="N67" s="12">
        <f t="shared" si="7"/>
        <v>52.08</v>
      </c>
      <c r="O67" s="12">
        <f t="shared" si="8"/>
        <v>65.1</v>
      </c>
      <c r="P67" s="12">
        <f t="shared" si="9"/>
        <v>32.55</v>
      </c>
      <c r="Q67" s="12">
        <f t="shared" si="10"/>
        <v>13.02</v>
      </c>
      <c r="R67" s="12">
        <f t="shared" si="48"/>
        <v>5.46</v>
      </c>
      <c r="S67" s="12">
        <f t="shared" si="12"/>
        <v>6.51</v>
      </c>
      <c r="T67" s="60">
        <f t="shared" si="13"/>
        <v>174.46</v>
      </c>
      <c r="U67" s="2">
        <f t="shared" si="14"/>
        <v>10.92</v>
      </c>
      <c r="V67" s="42">
        <f t="shared" si="15"/>
        <v>54.6</v>
      </c>
      <c r="W67" s="2">
        <f t="shared" si="16"/>
        <v>10.92</v>
      </c>
      <c r="X67" s="2">
        <f t="shared" si="17"/>
        <v>87.36</v>
      </c>
      <c r="Y67" s="2">
        <f t="shared" si="18"/>
        <v>163.8</v>
      </c>
      <c r="Z67" s="60">
        <f t="shared" si="19"/>
        <v>989.26</v>
      </c>
      <c r="AA67" s="11">
        <f t="shared" si="20"/>
        <v>197.852</v>
      </c>
      <c r="AB67" s="12">
        <f t="shared" si="49"/>
        <v>1187.112</v>
      </c>
      <c r="AC67" s="2">
        <f t="shared" si="22"/>
        <v>1092</v>
      </c>
      <c r="AD67" s="12">
        <f t="shared" si="23"/>
        <v>95.112</v>
      </c>
      <c r="AE67" s="12">
        <f t="shared" si="24"/>
        <v>8.012049411</v>
      </c>
      <c r="AF67" s="76">
        <v>1349.0</v>
      </c>
      <c r="AG67" s="62">
        <f t="shared" si="25"/>
        <v>107.2196621</v>
      </c>
      <c r="AH67" s="63">
        <f t="shared" si="26"/>
        <v>0</v>
      </c>
      <c r="AI67" s="64">
        <f t="shared" si="184"/>
        <v>1187.112</v>
      </c>
      <c r="AJ67" s="65">
        <v>1349.0</v>
      </c>
      <c r="AK67" s="66">
        <f t="shared" si="27"/>
        <v>107.2196621</v>
      </c>
      <c r="AL67" s="66"/>
      <c r="AM67" s="14">
        <f t="shared" si="123"/>
        <v>0</v>
      </c>
      <c r="AN67" s="67">
        <f t="shared" si="29"/>
        <v>0</v>
      </c>
      <c r="AO67" s="68">
        <f t="shared" si="30"/>
        <v>2.072196621</v>
      </c>
      <c r="AP67" s="69">
        <f t="shared" si="31"/>
        <v>1.61888</v>
      </c>
      <c r="AQ67" s="70">
        <f t="shared" si="32"/>
        <v>2.57</v>
      </c>
      <c r="AR67" s="71">
        <f t="shared" ref="AR67:AS67" si="227">AI67/94</f>
        <v>12.62885106</v>
      </c>
      <c r="AS67" s="71">
        <f t="shared" si="227"/>
        <v>14.35106383</v>
      </c>
      <c r="AT67" s="72">
        <f t="shared" ref="AT67:AU67" si="228">AI67/24</f>
        <v>49.463</v>
      </c>
      <c r="AU67" s="72">
        <f t="shared" si="228"/>
        <v>56.20833333</v>
      </c>
      <c r="AV67" s="73">
        <f t="shared" ref="AV67:AW67" si="229">AI67/125</f>
        <v>9.496896</v>
      </c>
      <c r="AW67" s="73">
        <f t="shared" si="229"/>
        <v>10.792</v>
      </c>
    </row>
    <row r="68" ht="15.0" customHeight="1">
      <c r="A68" s="2" t="s">
        <v>171</v>
      </c>
      <c r="B68" s="2" t="s">
        <v>172</v>
      </c>
      <c r="C68" s="75" t="s">
        <v>173</v>
      </c>
      <c r="D68" s="10">
        <v>510.0</v>
      </c>
      <c r="F68" s="1">
        <v>85.0</v>
      </c>
      <c r="G68" s="10">
        <v>741810.0</v>
      </c>
      <c r="H68" s="59">
        <v>0.05</v>
      </c>
      <c r="I68" s="2">
        <f t="shared" si="4"/>
        <v>25.5</v>
      </c>
      <c r="K68" s="1">
        <v>20.0</v>
      </c>
      <c r="L68" s="4">
        <f t="shared" si="5"/>
        <v>640.5</v>
      </c>
      <c r="M68" s="2">
        <f t="shared" si="6"/>
        <v>5.1</v>
      </c>
      <c r="N68" s="12">
        <f t="shared" si="7"/>
        <v>51.24</v>
      </c>
      <c r="O68" s="12">
        <f t="shared" si="8"/>
        <v>64.05</v>
      </c>
      <c r="P68" s="12">
        <f t="shared" si="9"/>
        <v>32.025</v>
      </c>
      <c r="Q68" s="12">
        <f t="shared" si="10"/>
        <v>12.81</v>
      </c>
      <c r="R68" s="12">
        <f t="shared" si="48"/>
        <v>5.355</v>
      </c>
      <c r="S68" s="12">
        <f t="shared" si="12"/>
        <v>6.405</v>
      </c>
      <c r="T68" s="60">
        <f t="shared" si="13"/>
        <v>171.63</v>
      </c>
      <c r="U68" s="2">
        <f t="shared" si="14"/>
        <v>10.71</v>
      </c>
      <c r="V68" s="42">
        <f t="shared" si="15"/>
        <v>53.55</v>
      </c>
      <c r="W68" s="2">
        <f t="shared" si="16"/>
        <v>10.71</v>
      </c>
      <c r="X68" s="2">
        <f t="shared" si="17"/>
        <v>85.68</v>
      </c>
      <c r="Y68" s="2">
        <f t="shared" si="18"/>
        <v>160.65</v>
      </c>
      <c r="Z68" s="60">
        <f t="shared" si="19"/>
        <v>972.78</v>
      </c>
      <c r="AA68" s="11">
        <f t="shared" si="20"/>
        <v>194.556</v>
      </c>
      <c r="AB68" s="12">
        <f t="shared" si="49"/>
        <v>1167.336</v>
      </c>
      <c r="AC68" s="2">
        <f t="shared" si="22"/>
        <v>1071</v>
      </c>
      <c r="AD68" s="12">
        <f t="shared" si="23"/>
        <v>96.336</v>
      </c>
      <c r="AE68" s="12">
        <f t="shared" si="24"/>
        <v>8.252636773</v>
      </c>
      <c r="AG68" s="62">
        <f t="shared" si="25"/>
        <v>-100</v>
      </c>
      <c r="AH68" s="63">
        <f t="shared" si="26"/>
        <v>1149</v>
      </c>
      <c r="AI68" s="65">
        <v>1290.0</v>
      </c>
      <c r="AJ68" s="65">
        <v>1149.0</v>
      </c>
      <c r="AK68" s="66">
        <f t="shared" si="27"/>
        <v>79.3911007</v>
      </c>
      <c r="AL68" s="66"/>
      <c r="AM68" s="14">
        <f t="shared" si="123"/>
        <v>100</v>
      </c>
      <c r="AN68" s="67">
        <f t="shared" si="29"/>
        <v>179.3911007</v>
      </c>
      <c r="AO68" s="68">
        <f t="shared" si="30"/>
        <v>1.793911007</v>
      </c>
      <c r="AP68" s="69">
        <f t="shared" si="31"/>
        <v>-0.18336</v>
      </c>
      <c r="AQ68" s="70">
        <f t="shared" si="32"/>
        <v>0.78</v>
      </c>
      <c r="AR68" s="71">
        <f t="shared" ref="AR68:AS68" si="230">AI68/94</f>
        <v>13.72340426</v>
      </c>
      <c r="AS68" s="71">
        <f t="shared" si="230"/>
        <v>12.22340426</v>
      </c>
      <c r="AT68" s="72">
        <f t="shared" ref="AT68:AU68" si="231">AI68/24</f>
        <v>53.75</v>
      </c>
      <c r="AU68" s="72">
        <f t="shared" si="231"/>
        <v>47.875</v>
      </c>
      <c r="AV68" s="73">
        <f t="shared" ref="AV68:AW68" si="232">AI68/125</f>
        <v>10.32</v>
      </c>
      <c r="AW68" s="73">
        <f t="shared" si="232"/>
        <v>9.192</v>
      </c>
    </row>
    <row r="69" ht="15.75" customHeight="1">
      <c r="A69" s="2"/>
      <c r="B69" s="2" t="s">
        <v>174</v>
      </c>
      <c r="C69" s="75" t="s">
        <v>175</v>
      </c>
      <c r="D69" s="10">
        <v>510.0</v>
      </c>
      <c r="E69" s="2">
        <v>50.0</v>
      </c>
      <c r="F69" s="1">
        <v>85.0</v>
      </c>
      <c r="G69" s="10">
        <v>741810.0</v>
      </c>
      <c r="H69" s="59">
        <v>0.05</v>
      </c>
      <c r="I69" s="2">
        <f t="shared" si="4"/>
        <v>25.5</v>
      </c>
      <c r="K69" s="1">
        <v>20.0</v>
      </c>
      <c r="L69" s="4">
        <f t="shared" si="5"/>
        <v>690.5</v>
      </c>
      <c r="M69" s="2">
        <f t="shared" si="6"/>
        <v>5.1</v>
      </c>
      <c r="N69" s="12">
        <f t="shared" si="7"/>
        <v>55.24</v>
      </c>
      <c r="O69" s="12">
        <f t="shared" si="8"/>
        <v>69.05</v>
      </c>
      <c r="P69" s="12">
        <f t="shared" si="9"/>
        <v>34.525</v>
      </c>
      <c r="Q69" s="12">
        <f t="shared" si="10"/>
        <v>13.81</v>
      </c>
      <c r="R69" s="12">
        <f t="shared" si="48"/>
        <v>5.355</v>
      </c>
      <c r="S69" s="12">
        <f t="shared" si="12"/>
        <v>6.905</v>
      </c>
      <c r="T69" s="60">
        <f t="shared" si="13"/>
        <v>184.63</v>
      </c>
      <c r="U69" s="2">
        <f t="shared" si="14"/>
        <v>10.71</v>
      </c>
      <c r="V69" s="42">
        <f t="shared" si="15"/>
        <v>53.55</v>
      </c>
      <c r="W69" s="2">
        <f t="shared" si="16"/>
        <v>10.71</v>
      </c>
      <c r="X69" s="2">
        <f t="shared" si="17"/>
        <v>85.68</v>
      </c>
      <c r="Y69" s="2">
        <f t="shared" si="18"/>
        <v>160.65</v>
      </c>
      <c r="Z69" s="60">
        <f t="shared" si="19"/>
        <v>1035.78</v>
      </c>
      <c r="AA69" s="11">
        <f t="shared" si="20"/>
        <v>207.156</v>
      </c>
      <c r="AB69" s="12">
        <f t="shared" si="49"/>
        <v>1242.936</v>
      </c>
      <c r="AC69" s="2">
        <f t="shared" si="22"/>
        <v>1071</v>
      </c>
      <c r="AD69" s="12">
        <f t="shared" si="23"/>
        <v>171.936</v>
      </c>
      <c r="AE69" s="12">
        <f t="shared" si="24"/>
        <v>13.83305335</v>
      </c>
      <c r="AG69" s="62">
        <f t="shared" si="25"/>
        <v>-100</v>
      </c>
      <c r="AH69" s="63">
        <f t="shared" si="26"/>
        <v>1249</v>
      </c>
      <c r="AI69" s="65">
        <v>1390.0</v>
      </c>
      <c r="AJ69" s="65">
        <v>1249.0</v>
      </c>
      <c r="AK69" s="66">
        <f t="shared" si="27"/>
        <v>80.88341781</v>
      </c>
      <c r="AL69" s="66"/>
      <c r="AM69" s="14">
        <f t="shared" si="123"/>
        <v>100</v>
      </c>
      <c r="AN69" s="67">
        <f t="shared" si="29"/>
        <v>180.8834178</v>
      </c>
      <c r="AO69" s="68">
        <f t="shared" si="30"/>
        <v>1.808834178</v>
      </c>
      <c r="AP69" s="69">
        <f t="shared" si="31"/>
        <v>0.06064</v>
      </c>
      <c r="AQ69" s="70">
        <f t="shared" si="32"/>
        <v>1.78</v>
      </c>
      <c r="AR69" s="71">
        <f t="shared" ref="AR69:AS69" si="233">AI69/94</f>
        <v>14.78723404</v>
      </c>
      <c r="AS69" s="71">
        <f t="shared" si="233"/>
        <v>13.28723404</v>
      </c>
      <c r="AT69" s="72">
        <f t="shared" ref="AT69:AU69" si="234">AI69/24</f>
        <v>57.91666667</v>
      </c>
      <c r="AU69" s="72">
        <f t="shared" si="234"/>
        <v>52.04166667</v>
      </c>
      <c r="AV69" s="73">
        <f t="shared" ref="AV69:AW69" si="235">AI69/125</f>
        <v>11.12</v>
      </c>
      <c r="AW69" s="73">
        <f t="shared" si="235"/>
        <v>9.992</v>
      </c>
    </row>
    <row r="70" ht="15.0" customHeight="1">
      <c r="A70" s="2" t="s">
        <v>176</v>
      </c>
      <c r="B70" s="2" t="s">
        <v>177</v>
      </c>
      <c r="C70" s="2" t="s">
        <v>178</v>
      </c>
      <c r="D70" s="10">
        <v>390.0</v>
      </c>
      <c r="E70" s="2">
        <v>50.0</v>
      </c>
      <c r="F70" s="1">
        <v>85.0</v>
      </c>
      <c r="G70" s="10">
        <v>741810.0</v>
      </c>
      <c r="H70" s="59">
        <v>0.05</v>
      </c>
      <c r="I70" s="2">
        <f t="shared" si="4"/>
        <v>19.5</v>
      </c>
      <c r="K70" s="1">
        <v>20.0</v>
      </c>
      <c r="L70" s="4">
        <f t="shared" si="5"/>
        <v>564.5</v>
      </c>
      <c r="M70" s="2">
        <f t="shared" si="6"/>
        <v>3.9</v>
      </c>
      <c r="N70" s="12">
        <f t="shared" si="7"/>
        <v>45.16</v>
      </c>
      <c r="O70" s="12">
        <f t="shared" si="8"/>
        <v>56.45</v>
      </c>
      <c r="P70" s="12">
        <f t="shared" si="9"/>
        <v>28.225</v>
      </c>
      <c r="Q70" s="12">
        <f t="shared" si="10"/>
        <v>11.29</v>
      </c>
      <c r="R70" s="12">
        <f t="shared" si="48"/>
        <v>4.095</v>
      </c>
      <c r="S70" s="12">
        <f t="shared" si="12"/>
        <v>5.645</v>
      </c>
      <c r="T70" s="60">
        <f t="shared" si="13"/>
        <v>150.67</v>
      </c>
      <c r="U70" s="2">
        <f t="shared" si="14"/>
        <v>8.19</v>
      </c>
      <c r="V70" s="42">
        <f t="shared" si="15"/>
        <v>40.95</v>
      </c>
      <c r="W70" s="2">
        <f t="shared" si="16"/>
        <v>8.19</v>
      </c>
      <c r="X70" s="2">
        <f t="shared" si="17"/>
        <v>65.52</v>
      </c>
      <c r="Y70" s="2">
        <f t="shared" si="18"/>
        <v>122.85</v>
      </c>
      <c r="Z70" s="60">
        <f t="shared" si="19"/>
        <v>838.02</v>
      </c>
      <c r="AA70" s="11">
        <f t="shared" si="20"/>
        <v>167.604</v>
      </c>
      <c r="AB70" s="12">
        <f t="shared" si="49"/>
        <v>1005.624</v>
      </c>
      <c r="AC70" s="2">
        <f t="shared" si="22"/>
        <v>819</v>
      </c>
      <c r="AD70" s="12">
        <f t="shared" si="23"/>
        <v>186.624</v>
      </c>
      <c r="AE70" s="12">
        <f t="shared" si="24"/>
        <v>18.55802964</v>
      </c>
      <c r="AF70" s="61">
        <v>985.0</v>
      </c>
      <c r="AG70" s="62">
        <f t="shared" si="25"/>
        <v>74.49069973</v>
      </c>
      <c r="AH70" s="63">
        <f t="shared" si="26"/>
        <v>5</v>
      </c>
      <c r="AI70" s="64">
        <v>1090.0</v>
      </c>
      <c r="AJ70" s="64">
        <v>990.0</v>
      </c>
      <c r="AK70" s="66">
        <f t="shared" si="27"/>
        <v>75.37643933</v>
      </c>
      <c r="AL70" s="66"/>
      <c r="AM70" s="14">
        <f t="shared" ref="AM70:AM90" si="239">(AH70/AJ70)*100</f>
        <v>0.5050505051</v>
      </c>
      <c r="AN70" s="67">
        <f t="shared" si="29"/>
        <v>0.8857395926</v>
      </c>
      <c r="AO70" s="68">
        <f t="shared" si="30"/>
        <v>1.753764393</v>
      </c>
      <c r="AP70" s="69">
        <f t="shared" si="31"/>
        <v>-0.15624</v>
      </c>
      <c r="AQ70" s="70">
        <f t="shared" si="32"/>
        <v>1.71</v>
      </c>
      <c r="AR70" s="71">
        <f t="shared" ref="AR70:AS70" si="236">AI70/94</f>
        <v>11.59574468</v>
      </c>
      <c r="AS70" s="71">
        <f t="shared" si="236"/>
        <v>10.53191489</v>
      </c>
      <c r="AT70" s="72">
        <f t="shared" ref="AT70:AU70" si="237">AI70/24</f>
        <v>45.41666667</v>
      </c>
      <c r="AU70" s="72">
        <f t="shared" si="237"/>
        <v>41.25</v>
      </c>
      <c r="AV70" s="73">
        <f t="shared" ref="AV70:AW70" si="238">AI70/125</f>
        <v>8.72</v>
      </c>
      <c r="AW70" s="73">
        <f t="shared" si="238"/>
        <v>7.92</v>
      </c>
    </row>
    <row r="71" ht="15.75" customHeight="1">
      <c r="A71" s="2"/>
      <c r="B71" s="2" t="s">
        <v>179</v>
      </c>
      <c r="C71" s="2" t="s">
        <v>180</v>
      </c>
      <c r="D71" s="10">
        <v>460.0</v>
      </c>
      <c r="F71" s="1">
        <v>85.0</v>
      </c>
      <c r="G71" s="10">
        <v>741810.0</v>
      </c>
      <c r="H71" s="59">
        <v>0.05</v>
      </c>
      <c r="I71" s="2">
        <f t="shared" si="4"/>
        <v>23</v>
      </c>
      <c r="K71" s="1">
        <v>20.0</v>
      </c>
      <c r="L71" s="4">
        <f t="shared" si="5"/>
        <v>588</v>
      </c>
      <c r="M71" s="2">
        <f t="shared" si="6"/>
        <v>4.6</v>
      </c>
      <c r="N71" s="12">
        <f t="shared" si="7"/>
        <v>47.04</v>
      </c>
      <c r="O71" s="12">
        <f t="shared" si="8"/>
        <v>58.8</v>
      </c>
      <c r="P71" s="12">
        <f t="shared" si="9"/>
        <v>29.4</v>
      </c>
      <c r="Q71" s="12">
        <f t="shared" si="10"/>
        <v>11.76</v>
      </c>
      <c r="R71" s="12">
        <f t="shared" si="48"/>
        <v>4.83</v>
      </c>
      <c r="S71" s="12">
        <f t="shared" si="12"/>
        <v>5.88</v>
      </c>
      <c r="T71" s="60">
        <f t="shared" si="13"/>
        <v>157.48</v>
      </c>
      <c r="U71" s="2">
        <f t="shared" si="14"/>
        <v>9.66</v>
      </c>
      <c r="V71" s="42">
        <f t="shared" si="15"/>
        <v>48.3</v>
      </c>
      <c r="W71" s="2">
        <f t="shared" si="16"/>
        <v>9.66</v>
      </c>
      <c r="X71" s="2">
        <f t="shared" si="17"/>
        <v>77.28</v>
      </c>
      <c r="Y71" s="2">
        <f t="shared" si="18"/>
        <v>144.9</v>
      </c>
      <c r="Z71" s="60">
        <f t="shared" si="19"/>
        <v>890.38</v>
      </c>
      <c r="AA71" s="11">
        <f t="shared" si="20"/>
        <v>178.076</v>
      </c>
      <c r="AB71" s="12">
        <f t="shared" si="49"/>
        <v>1068.456</v>
      </c>
      <c r="AC71" s="2">
        <f t="shared" si="22"/>
        <v>966</v>
      </c>
      <c r="AD71" s="12">
        <f t="shared" si="23"/>
        <v>102.456</v>
      </c>
      <c r="AE71" s="12">
        <f t="shared" si="24"/>
        <v>9.589164177</v>
      </c>
      <c r="AF71" s="61">
        <v>1245.0</v>
      </c>
      <c r="AG71" s="62">
        <f t="shared" si="25"/>
        <v>111.7346939</v>
      </c>
      <c r="AH71" s="63">
        <f t="shared" si="26"/>
        <v>45</v>
      </c>
      <c r="AI71" s="64">
        <v>1350.0</v>
      </c>
      <c r="AJ71" s="64">
        <v>1290.0</v>
      </c>
      <c r="AK71" s="66">
        <f t="shared" si="27"/>
        <v>119.3877551</v>
      </c>
      <c r="AL71" s="66"/>
      <c r="AM71" s="14">
        <f t="shared" si="239"/>
        <v>3.488372093</v>
      </c>
      <c r="AN71" s="67">
        <f t="shared" si="29"/>
        <v>7.653061224</v>
      </c>
      <c r="AO71" s="68">
        <f t="shared" si="30"/>
        <v>2.193877551</v>
      </c>
      <c r="AP71" s="69">
        <f t="shared" si="31"/>
        <v>2.21544</v>
      </c>
      <c r="AQ71" s="70">
        <f t="shared" si="32"/>
        <v>3.24</v>
      </c>
      <c r="AR71" s="71">
        <f t="shared" ref="AR71:AS71" si="240">AI71/94</f>
        <v>14.36170213</v>
      </c>
      <c r="AS71" s="71">
        <f t="shared" si="240"/>
        <v>13.72340426</v>
      </c>
      <c r="AT71" s="72">
        <f t="shared" ref="AT71:AU71" si="241">AI71/24</f>
        <v>56.25</v>
      </c>
      <c r="AU71" s="72">
        <f t="shared" si="241"/>
        <v>53.75</v>
      </c>
      <c r="AV71" s="73">
        <f t="shared" ref="AV71:AW71" si="242">AI71/125</f>
        <v>10.8</v>
      </c>
      <c r="AW71" s="73">
        <f t="shared" si="242"/>
        <v>10.32</v>
      </c>
    </row>
    <row r="72" ht="15.75" customHeight="1">
      <c r="A72" s="2"/>
      <c r="B72" s="2" t="s">
        <v>181</v>
      </c>
      <c r="C72" s="2" t="s">
        <v>182</v>
      </c>
      <c r="D72" s="10">
        <v>390.0</v>
      </c>
      <c r="F72" s="1">
        <v>85.0</v>
      </c>
      <c r="G72" s="10">
        <v>741810.0</v>
      </c>
      <c r="H72" s="59">
        <v>0.05</v>
      </c>
      <c r="I72" s="2">
        <f t="shared" si="4"/>
        <v>19.5</v>
      </c>
      <c r="K72" s="1">
        <v>20.0</v>
      </c>
      <c r="L72" s="4">
        <f t="shared" si="5"/>
        <v>514.5</v>
      </c>
      <c r="M72" s="2">
        <f t="shared" si="6"/>
        <v>3.9</v>
      </c>
      <c r="N72" s="12">
        <f t="shared" si="7"/>
        <v>41.16</v>
      </c>
      <c r="O72" s="12">
        <f t="shared" si="8"/>
        <v>51.45</v>
      </c>
      <c r="P72" s="12">
        <f t="shared" si="9"/>
        <v>25.725</v>
      </c>
      <c r="Q72" s="12">
        <f t="shared" si="10"/>
        <v>10.29</v>
      </c>
      <c r="R72" s="12">
        <f t="shared" si="48"/>
        <v>4.095</v>
      </c>
      <c r="S72" s="12">
        <f t="shared" si="12"/>
        <v>5.145</v>
      </c>
      <c r="T72" s="60">
        <f t="shared" si="13"/>
        <v>137.67</v>
      </c>
      <c r="U72" s="2">
        <f t="shared" si="14"/>
        <v>8.19</v>
      </c>
      <c r="V72" s="42">
        <f t="shared" si="15"/>
        <v>40.95</v>
      </c>
      <c r="W72" s="2">
        <f t="shared" si="16"/>
        <v>8.19</v>
      </c>
      <c r="X72" s="2">
        <f t="shared" si="17"/>
        <v>65.52</v>
      </c>
      <c r="Y72" s="2">
        <f t="shared" si="18"/>
        <v>122.85</v>
      </c>
      <c r="Z72" s="60">
        <f t="shared" si="19"/>
        <v>775.02</v>
      </c>
      <c r="AA72" s="11">
        <f t="shared" si="20"/>
        <v>155.004</v>
      </c>
      <c r="AB72" s="12">
        <f t="shared" si="49"/>
        <v>930.024</v>
      </c>
      <c r="AC72" s="2">
        <f t="shared" si="22"/>
        <v>819</v>
      </c>
      <c r="AD72" s="12">
        <f t="shared" si="23"/>
        <v>111.024</v>
      </c>
      <c r="AE72" s="12">
        <f t="shared" si="24"/>
        <v>11.93775644</v>
      </c>
      <c r="AF72" s="61">
        <v>890.0</v>
      </c>
      <c r="AG72" s="62">
        <f t="shared" si="25"/>
        <v>72.98347911</v>
      </c>
      <c r="AH72" s="63">
        <f t="shared" si="26"/>
        <v>100</v>
      </c>
      <c r="AI72" s="64">
        <v>1090.0</v>
      </c>
      <c r="AJ72" s="64">
        <v>990.0</v>
      </c>
      <c r="AK72" s="66">
        <f t="shared" si="27"/>
        <v>92.41982507</v>
      </c>
      <c r="AL72" s="66"/>
      <c r="AM72" s="14">
        <f t="shared" si="239"/>
        <v>10.1010101</v>
      </c>
      <c r="AN72" s="67">
        <f t="shared" si="29"/>
        <v>19.43634597</v>
      </c>
      <c r="AO72" s="68">
        <f t="shared" si="30"/>
        <v>1.924198251</v>
      </c>
      <c r="AP72" s="69">
        <f t="shared" si="31"/>
        <v>0.59976</v>
      </c>
      <c r="AQ72" s="70">
        <f t="shared" si="32"/>
        <v>1.71</v>
      </c>
      <c r="AR72" s="71">
        <f t="shared" ref="AR72:AS72" si="243">AI72/94</f>
        <v>11.59574468</v>
      </c>
      <c r="AS72" s="71">
        <f t="shared" si="243"/>
        <v>10.53191489</v>
      </c>
      <c r="AT72" s="72">
        <f t="shared" ref="AT72:AU72" si="244">AI72/24</f>
        <v>45.41666667</v>
      </c>
      <c r="AU72" s="72">
        <f t="shared" si="244"/>
        <v>41.25</v>
      </c>
      <c r="AV72" s="73">
        <f t="shared" ref="AV72:AW72" si="245">AI72/125</f>
        <v>8.72</v>
      </c>
      <c r="AW72" s="73">
        <f t="shared" si="245"/>
        <v>7.92</v>
      </c>
    </row>
    <row r="73" ht="15.75" customHeight="1">
      <c r="A73" s="2"/>
      <c r="B73" s="2" t="s">
        <v>183</v>
      </c>
      <c r="C73" s="2" t="s">
        <v>184</v>
      </c>
      <c r="D73" s="10">
        <v>460.0</v>
      </c>
      <c r="E73" s="2">
        <v>50.0</v>
      </c>
      <c r="F73" s="1">
        <v>85.0</v>
      </c>
      <c r="G73" s="10">
        <v>741810.0</v>
      </c>
      <c r="H73" s="59">
        <v>0.05</v>
      </c>
      <c r="I73" s="2">
        <f t="shared" si="4"/>
        <v>23</v>
      </c>
      <c r="K73" s="1">
        <v>20.0</v>
      </c>
      <c r="L73" s="4">
        <f t="shared" si="5"/>
        <v>638</v>
      </c>
      <c r="M73" s="2">
        <f t="shared" si="6"/>
        <v>4.6</v>
      </c>
      <c r="N73" s="12">
        <f t="shared" si="7"/>
        <v>51.04</v>
      </c>
      <c r="O73" s="12">
        <f t="shared" si="8"/>
        <v>63.8</v>
      </c>
      <c r="P73" s="12">
        <f t="shared" si="9"/>
        <v>31.9</v>
      </c>
      <c r="Q73" s="12">
        <f t="shared" si="10"/>
        <v>12.76</v>
      </c>
      <c r="R73" s="12">
        <f t="shared" si="48"/>
        <v>4.83</v>
      </c>
      <c r="S73" s="12">
        <f t="shared" si="12"/>
        <v>6.38</v>
      </c>
      <c r="T73" s="60">
        <f t="shared" si="13"/>
        <v>170.48</v>
      </c>
      <c r="U73" s="2">
        <f t="shared" si="14"/>
        <v>9.66</v>
      </c>
      <c r="V73" s="42">
        <f t="shared" si="15"/>
        <v>48.3</v>
      </c>
      <c r="W73" s="2">
        <f t="shared" si="16"/>
        <v>9.66</v>
      </c>
      <c r="X73" s="2">
        <f t="shared" si="17"/>
        <v>77.28</v>
      </c>
      <c r="Y73" s="2">
        <f t="shared" si="18"/>
        <v>144.9</v>
      </c>
      <c r="Z73" s="60">
        <f t="shared" si="19"/>
        <v>953.38</v>
      </c>
      <c r="AA73" s="11">
        <f t="shared" si="20"/>
        <v>190.676</v>
      </c>
      <c r="AB73" s="12">
        <f t="shared" si="49"/>
        <v>1144.056</v>
      </c>
      <c r="AC73" s="2">
        <f t="shared" si="22"/>
        <v>966</v>
      </c>
      <c r="AD73" s="12">
        <f t="shared" si="23"/>
        <v>178.056</v>
      </c>
      <c r="AE73" s="12">
        <f t="shared" si="24"/>
        <v>15.56357381</v>
      </c>
      <c r="AF73" s="61">
        <v>1345.0</v>
      </c>
      <c r="AG73" s="62">
        <f t="shared" si="25"/>
        <v>110.815047</v>
      </c>
      <c r="AH73" s="63">
        <f t="shared" si="26"/>
        <v>45</v>
      </c>
      <c r="AI73" s="64">
        <v>1450.0</v>
      </c>
      <c r="AJ73" s="64">
        <v>1390.0</v>
      </c>
      <c r="AK73" s="66">
        <f t="shared" si="27"/>
        <v>117.8683386</v>
      </c>
      <c r="AL73" s="66"/>
      <c r="AM73" s="14">
        <f t="shared" si="239"/>
        <v>3.237410072</v>
      </c>
      <c r="AN73" s="67">
        <f t="shared" si="29"/>
        <v>7.053291536</v>
      </c>
      <c r="AO73" s="68">
        <f t="shared" si="30"/>
        <v>2.178683386</v>
      </c>
      <c r="AP73" s="69">
        <f t="shared" si="31"/>
        <v>2.45944</v>
      </c>
      <c r="AQ73" s="70">
        <f t="shared" si="32"/>
        <v>4.24</v>
      </c>
      <c r="AR73" s="71">
        <f t="shared" ref="AR73:AS73" si="246">AI73/94</f>
        <v>15.42553191</v>
      </c>
      <c r="AS73" s="71">
        <f t="shared" si="246"/>
        <v>14.78723404</v>
      </c>
      <c r="AT73" s="72">
        <f t="shared" ref="AT73:AU73" si="247">AI73/24</f>
        <v>60.41666667</v>
      </c>
      <c r="AU73" s="72">
        <f t="shared" si="247"/>
        <v>57.91666667</v>
      </c>
      <c r="AV73" s="73">
        <f t="shared" ref="AV73:AW73" si="248">AI73/125</f>
        <v>11.6</v>
      </c>
      <c r="AW73" s="73">
        <f t="shared" si="248"/>
        <v>11.12</v>
      </c>
    </row>
    <row r="74" ht="15.75" customHeight="1">
      <c r="A74" s="2"/>
      <c r="B74" s="2" t="s">
        <v>185</v>
      </c>
      <c r="C74" s="2" t="s">
        <v>186</v>
      </c>
      <c r="D74" s="10">
        <v>390.0</v>
      </c>
      <c r="E74" s="2">
        <v>50.0</v>
      </c>
      <c r="F74" s="1">
        <v>85.0</v>
      </c>
      <c r="G74" s="10">
        <v>741810.0</v>
      </c>
      <c r="H74" s="59">
        <v>0.05</v>
      </c>
      <c r="I74" s="2">
        <f t="shared" si="4"/>
        <v>19.5</v>
      </c>
      <c r="K74" s="1">
        <v>20.0</v>
      </c>
      <c r="L74" s="4">
        <f t="shared" si="5"/>
        <v>564.5</v>
      </c>
      <c r="M74" s="2">
        <f t="shared" si="6"/>
        <v>3.9</v>
      </c>
      <c r="N74" s="12">
        <f t="shared" si="7"/>
        <v>45.16</v>
      </c>
      <c r="O74" s="12">
        <f t="shared" si="8"/>
        <v>56.45</v>
      </c>
      <c r="P74" s="12">
        <f t="shared" si="9"/>
        <v>28.225</v>
      </c>
      <c r="Q74" s="12">
        <f t="shared" si="10"/>
        <v>11.29</v>
      </c>
      <c r="R74" s="12">
        <f t="shared" si="48"/>
        <v>4.095</v>
      </c>
      <c r="S74" s="12">
        <f t="shared" si="12"/>
        <v>5.645</v>
      </c>
      <c r="T74" s="60">
        <f t="shared" si="13"/>
        <v>150.67</v>
      </c>
      <c r="U74" s="2">
        <f t="shared" si="14"/>
        <v>8.19</v>
      </c>
      <c r="V74" s="42">
        <f t="shared" si="15"/>
        <v>40.95</v>
      </c>
      <c r="W74" s="2">
        <f t="shared" si="16"/>
        <v>8.19</v>
      </c>
      <c r="X74" s="2">
        <f t="shared" si="17"/>
        <v>65.52</v>
      </c>
      <c r="Y74" s="2">
        <f t="shared" si="18"/>
        <v>122.85</v>
      </c>
      <c r="Z74" s="60">
        <f t="shared" si="19"/>
        <v>838.02</v>
      </c>
      <c r="AA74" s="11">
        <f t="shared" si="20"/>
        <v>167.604</v>
      </c>
      <c r="AB74" s="12">
        <f t="shared" si="49"/>
        <v>1005.624</v>
      </c>
      <c r="AC74" s="2">
        <f t="shared" si="22"/>
        <v>819</v>
      </c>
      <c r="AD74" s="12">
        <f t="shared" si="23"/>
        <v>186.624</v>
      </c>
      <c r="AE74" s="12">
        <f t="shared" si="24"/>
        <v>18.55802964</v>
      </c>
      <c r="AF74" s="61">
        <v>985.0</v>
      </c>
      <c r="AG74" s="62">
        <f t="shared" si="25"/>
        <v>74.49069973</v>
      </c>
      <c r="AH74" s="63">
        <f t="shared" si="26"/>
        <v>5</v>
      </c>
      <c r="AI74" s="64">
        <v>1090.0</v>
      </c>
      <c r="AJ74" s="64">
        <v>990.0</v>
      </c>
      <c r="AK74" s="66">
        <f t="shared" si="27"/>
        <v>75.37643933</v>
      </c>
      <c r="AL74" s="66"/>
      <c r="AM74" s="14">
        <f t="shared" si="239"/>
        <v>0.5050505051</v>
      </c>
      <c r="AN74" s="67">
        <f t="shared" si="29"/>
        <v>0.8857395926</v>
      </c>
      <c r="AO74" s="68">
        <f t="shared" si="30"/>
        <v>1.753764393</v>
      </c>
      <c r="AP74" s="69">
        <f t="shared" si="31"/>
        <v>-0.15624</v>
      </c>
      <c r="AQ74" s="70">
        <f t="shared" si="32"/>
        <v>1.71</v>
      </c>
      <c r="AR74" s="71">
        <f t="shared" ref="AR74:AS74" si="249">AI74/94</f>
        <v>11.59574468</v>
      </c>
      <c r="AS74" s="71">
        <f t="shared" si="249"/>
        <v>10.53191489</v>
      </c>
      <c r="AT74" s="72">
        <f t="shared" ref="AT74:AU74" si="250">AI74/24</f>
        <v>45.41666667</v>
      </c>
      <c r="AU74" s="72">
        <f t="shared" si="250"/>
        <v>41.25</v>
      </c>
      <c r="AV74" s="73">
        <f t="shared" ref="AV74:AW74" si="251">AI74/125</f>
        <v>8.72</v>
      </c>
      <c r="AW74" s="73">
        <f t="shared" si="251"/>
        <v>7.92</v>
      </c>
    </row>
    <row r="75" ht="15.75" customHeight="1">
      <c r="A75" s="2"/>
      <c r="B75" s="2" t="s">
        <v>187</v>
      </c>
      <c r="C75" s="2" t="s">
        <v>188</v>
      </c>
      <c r="D75" s="10">
        <v>460.0</v>
      </c>
      <c r="F75" s="1">
        <v>85.0</v>
      </c>
      <c r="G75" s="10">
        <v>741810.0</v>
      </c>
      <c r="H75" s="59">
        <v>0.05</v>
      </c>
      <c r="I75" s="2">
        <f t="shared" si="4"/>
        <v>23</v>
      </c>
      <c r="K75" s="1">
        <v>20.0</v>
      </c>
      <c r="L75" s="4">
        <f t="shared" si="5"/>
        <v>588</v>
      </c>
      <c r="M75" s="2">
        <f t="shared" si="6"/>
        <v>4.6</v>
      </c>
      <c r="N75" s="12">
        <f t="shared" si="7"/>
        <v>47.04</v>
      </c>
      <c r="O75" s="12">
        <f t="shared" si="8"/>
        <v>58.8</v>
      </c>
      <c r="P75" s="12">
        <f t="shared" si="9"/>
        <v>29.4</v>
      </c>
      <c r="Q75" s="12">
        <f t="shared" si="10"/>
        <v>11.76</v>
      </c>
      <c r="R75" s="12">
        <f t="shared" si="48"/>
        <v>4.83</v>
      </c>
      <c r="S75" s="12">
        <f t="shared" si="12"/>
        <v>5.88</v>
      </c>
      <c r="T75" s="60">
        <f t="shared" si="13"/>
        <v>157.48</v>
      </c>
      <c r="U75" s="2">
        <f t="shared" si="14"/>
        <v>9.66</v>
      </c>
      <c r="V75" s="42">
        <f t="shared" si="15"/>
        <v>48.3</v>
      </c>
      <c r="W75" s="2">
        <f t="shared" si="16"/>
        <v>9.66</v>
      </c>
      <c r="X75" s="2">
        <f t="shared" si="17"/>
        <v>77.28</v>
      </c>
      <c r="Y75" s="2">
        <f t="shared" si="18"/>
        <v>144.9</v>
      </c>
      <c r="Z75" s="60">
        <f t="shared" si="19"/>
        <v>890.38</v>
      </c>
      <c r="AA75" s="11">
        <f t="shared" si="20"/>
        <v>178.076</v>
      </c>
      <c r="AB75" s="12">
        <f t="shared" si="49"/>
        <v>1068.456</v>
      </c>
      <c r="AC75" s="2">
        <f t="shared" si="22"/>
        <v>966</v>
      </c>
      <c r="AD75" s="12">
        <f t="shared" si="23"/>
        <v>102.456</v>
      </c>
      <c r="AE75" s="12">
        <f t="shared" si="24"/>
        <v>9.589164177</v>
      </c>
      <c r="AF75" s="61">
        <v>1245.0</v>
      </c>
      <c r="AG75" s="62">
        <f t="shared" si="25"/>
        <v>111.7346939</v>
      </c>
      <c r="AH75" s="63">
        <f t="shared" si="26"/>
        <v>0</v>
      </c>
      <c r="AI75" s="64">
        <v>1450.0</v>
      </c>
      <c r="AJ75" s="64">
        <v>1245.0</v>
      </c>
      <c r="AK75" s="66">
        <f t="shared" si="27"/>
        <v>111.7346939</v>
      </c>
      <c r="AL75" s="66"/>
      <c r="AM75" s="14">
        <f t="shared" si="239"/>
        <v>0</v>
      </c>
      <c r="AN75" s="67">
        <f t="shared" si="29"/>
        <v>0</v>
      </c>
      <c r="AO75" s="68">
        <f t="shared" si="30"/>
        <v>2.117346939</v>
      </c>
      <c r="AP75" s="69">
        <f t="shared" si="31"/>
        <v>1.76544</v>
      </c>
      <c r="AQ75" s="70">
        <f t="shared" si="32"/>
        <v>2.79</v>
      </c>
      <c r="AR75" s="71">
        <f t="shared" ref="AR75:AS75" si="252">AI75/94</f>
        <v>15.42553191</v>
      </c>
      <c r="AS75" s="71">
        <f t="shared" si="252"/>
        <v>13.24468085</v>
      </c>
      <c r="AT75" s="72">
        <f t="shared" ref="AT75:AU75" si="253">AI75/24</f>
        <v>60.41666667</v>
      </c>
      <c r="AU75" s="72">
        <f t="shared" si="253"/>
        <v>51.875</v>
      </c>
      <c r="AV75" s="73">
        <f t="shared" ref="AV75:AW75" si="254">AI75/125</f>
        <v>11.6</v>
      </c>
      <c r="AW75" s="73">
        <f t="shared" si="254"/>
        <v>9.96</v>
      </c>
    </row>
    <row r="76" ht="15.75" customHeight="1">
      <c r="A76" s="2"/>
      <c r="B76" s="2" t="s">
        <v>189</v>
      </c>
      <c r="C76" s="2" t="s">
        <v>190</v>
      </c>
      <c r="D76" s="10">
        <v>390.0</v>
      </c>
      <c r="F76" s="1">
        <v>85.0</v>
      </c>
      <c r="G76" s="10">
        <v>741810.0</v>
      </c>
      <c r="H76" s="59">
        <v>0.05</v>
      </c>
      <c r="I76" s="2">
        <f t="shared" si="4"/>
        <v>19.5</v>
      </c>
      <c r="K76" s="1">
        <v>20.0</v>
      </c>
      <c r="L76" s="4">
        <f t="shared" si="5"/>
        <v>514.5</v>
      </c>
      <c r="M76" s="2">
        <f t="shared" si="6"/>
        <v>3.9</v>
      </c>
      <c r="N76" s="12">
        <f t="shared" si="7"/>
        <v>41.16</v>
      </c>
      <c r="O76" s="12">
        <f t="shared" si="8"/>
        <v>51.45</v>
      </c>
      <c r="P76" s="12">
        <f t="shared" si="9"/>
        <v>25.725</v>
      </c>
      <c r="Q76" s="12">
        <f t="shared" si="10"/>
        <v>10.29</v>
      </c>
      <c r="R76" s="12">
        <f t="shared" si="48"/>
        <v>4.095</v>
      </c>
      <c r="S76" s="12">
        <f t="shared" si="12"/>
        <v>5.145</v>
      </c>
      <c r="T76" s="60">
        <f t="shared" si="13"/>
        <v>137.67</v>
      </c>
      <c r="U76" s="2">
        <f t="shared" si="14"/>
        <v>8.19</v>
      </c>
      <c r="V76" s="42">
        <f t="shared" si="15"/>
        <v>40.95</v>
      </c>
      <c r="W76" s="2">
        <f t="shared" si="16"/>
        <v>8.19</v>
      </c>
      <c r="X76" s="2">
        <f t="shared" si="17"/>
        <v>65.52</v>
      </c>
      <c r="Y76" s="2">
        <f t="shared" si="18"/>
        <v>122.85</v>
      </c>
      <c r="Z76" s="60">
        <f t="shared" si="19"/>
        <v>775.02</v>
      </c>
      <c r="AA76" s="11">
        <f t="shared" si="20"/>
        <v>155.004</v>
      </c>
      <c r="AB76" s="12">
        <f t="shared" si="49"/>
        <v>930.024</v>
      </c>
      <c r="AC76" s="2">
        <f t="shared" si="22"/>
        <v>819</v>
      </c>
      <c r="AD76" s="12">
        <f t="shared" si="23"/>
        <v>111.024</v>
      </c>
      <c r="AE76" s="12">
        <f t="shared" si="24"/>
        <v>11.93775644</v>
      </c>
      <c r="AF76" s="61">
        <v>890.0</v>
      </c>
      <c r="AG76" s="62">
        <f t="shared" si="25"/>
        <v>72.98347911</v>
      </c>
      <c r="AH76" s="63">
        <f t="shared" si="26"/>
        <v>100</v>
      </c>
      <c r="AI76" s="64">
        <v>1090.0</v>
      </c>
      <c r="AJ76" s="64">
        <v>990.0</v>
      </c>
      <c r="AK76" s="66">
        <f t="shared" si="27"/>
        <v>92.41982507</v>
      </c>
      <c r="AL76" s="66"/>
      <c r="AM76" s="14">
        <f t="shared" si="239"/>
        <v>10.1010101</v>
      </c>
      <c r="AN76" s="67">
        <f t="shared" si="29"/>
        <v>19.43634597</v>
      </c>
      <c r="AO76" s="68">
        <f t="shared" si="30"/>
        <v>1.924198251</v>
      </c>
      <c r="AP76" s="69">
        <f t="shared" si="31"/>
        <v>0.59976</v>
      </c>
      <c r="AQ76" s="70">
        <f t="shared" si="32"/>
        <v>1.71</v>
      </c>
      <c r="AR76" s="71">
        <f t="shared" ref="AR76:AS76" si="255">AI76/94</f>
        <v>11.59574468</v>
      </c>
      <c r="AS76" s="71">
        <f t="shared" si="255"/>
        <v>10.53191489</v>
      </c>
      <c r="AT76" s="72">
        <f t="shared" ref="AT76:AU76" si="256">AI76/24</f>
        <v>45.41666667</v>
      </c>
      <c r="AU76" s="72">
        <f t="shared" si="256"/>
        <v>41.25</v>
      </c>
      <c r="AV76" s="73">
        <f t="shared" ref="AV76:AW76" si="257">AI76/125</f>
        <v>8.72</v>
      </c>
      <c r="AW76" s="73">
        <f t="shared" si="257"/>
        <v>7.92</v>
      </c>
    </row>
    <row r="77" ht="15.75" customHeight="1">
      <c r="A77" s="2"/>
      <c r="B77" s="2" t="s">
        <v>191</v>
      </c>
      <c r="C77" s="2" t="s">
        <v>192</v>
      </c>
      <c r="D77" s="10">
        <v>460.0</v>
      </c>
      <c r="E77" s="2">
        <v>50.0</v>
      </c>
      <c r="F77" s="1">
        <v>85.0</v>
      </c>
      <c r="G77" s="10">
        <v>741810.0</v>
      </c>
      <c r="H77" s="59">
        <v>0.05</v>
      </c>
      <c r="I77" s="2">
        <f t="shared" si="4"/>
        <v>23</v>
      </c>
      <c r="K77" s="1">
        <v>20.0</v>
      </c>
      <c r="L77" s="4">
        <f t="shared" si="5"/>
        <v>638</v>
      </c>
      <c r="M77" s="2">
        <f t="shared" si="6"/>
        <v>4.6</v>
      </c>
      <c r="N77" s="12">
        <f t="shared" si="7"/>
        <v>51.04</v>
      </c>
      <c r="O77" s="12">
        <f t="shared" si="8"/>
        <v>63.8</v>
      </c>
      <c r="P77" s="12">
        <f t="shared" si="9"/>
        <v>31.9</v>
      </c>
      <c r="Q77" s="12">
        <f t="shared" si="10"/>
        <v>12.76</v>
      </c>
      <c r="R77" s="12">
        <f t="shared" si="48"/>
        <v>4.83</v>
      </c>
      <c r="S77" s="12">
        <f t="shared" si="12"/>
        <v>6.38</v>
      </c>
      <c r="T77" s="60">
        <f t="shared" si="13"/>
        <v>170.48</v>
      </c>
      <c r="U77" s="2">
        <f t="shared" si="14"/>
        <v>9.66</v>
      </c>
      <c r="V77" s="42">
        <f t="shared" si="15"/>
        <v>48.3</v>
      </c>
      <c r="W77" s="2">
        <f t="shared" si="16"/>
        <v>9.66</v>
      </c>
      <c r="X77" s="2">
        <f t="shared" si="17"/>
        <v>77.28</v>
      </c>
      <c r="Y77" s="2">
        <f t="shared" si="18"/>
        <v>144.9</v>
      </c>
      <c r="Z77" s="60">
        <f t="shared" si="19"/>
        <v>953.38</v>
      </c>
      <c r="AA77" s="11">
        <f t="shared" si="20"/>
        <v>190.676</v>
      </c>
      <c r="AB77" s="12">
        <f t="shared" si="49"/>
        <v>1144.056</v>
      </c>
      <c r="AC77" s="2">
        <f t="shared" si="22"/>
        <v>966</v>
      </c>
      <c r="AD77" s="12">
        <f t="shared" si="23"/>
        <v>178.056</v>
      </c>
      <c r="AE77" s="12">
        <f t="shared" si="24"/>
        <v>15.56357381</v>
      </c>
      <c r="AF77" s="61">
        <v>1345.0</v>
      </c>
      <c r="AG77" s="62">
        <f t="shared" si="25"/>
        <v>110.815047</v>
      </c>
      <c r="AH77" s="63">
        <f t="shared" si="26"/>
        <v>3.5</v>
      </c>
      <c r="AI77" s="64">
        <v>1450.0</v>
      </c>
      <c r="AJ77" s="64">
        <f>AI77-(AI77*7%)</f>
        <v>1348.5</v>
      </c>
      <c r="AK77" s="66">
        <f t="shared" si="27"/>
        <v>111.3636364</v>
      </c>
      <c r="AL77" s="66"/>
      <c r="AM77" s="14">
        <f t="shared" si="239"/>
        <v>0.2595476455</v>
      </c>
      <c r="AN77" s="67">
        <f t="shared" si="29"/>
        <v>0.5485893417</v>
      </c>
      <c r="AO77" s="68">
        <f t="shared" si="30"/>
        <v>2.113636364</v>
      </c>
      <c r="AP77" s="69">
        <f t="shared" si="31"/>
        <v>2.04444</v>
      </c>
      <c r="AQ77" s="70">
        <f t="shared" si="32"/>
        <v>3.825</v>
      </c>
      <c r="AR77" s="71">
        <f t="shared" ref="AR77:AS77" si="258">AI77/94</f>
        <v>15.42553191</v>
      </c>
      <c r="AS77" s="71">
        <f t="shared" si="258"/>
        <v>14.34574468</v>
      </c>
      <c r="AT77" s="72">
        <f t="shared" ref="AT77:AU77" si="259">AI77/24</f>
        <v>60.41666667</v>
      </c>
      <c r="AU77" s="72">
        <f t="shared" si="259"/>
        <v>56.1875</v>
      </c>
      <c r="AV77" s="73">
        <f t="shared" ref="AV77:AW77" si="260">AI77/125</f>
        <v>11.6</v>
      </c>
      <c r="AW77" s="73">
        <f t="shared" si="260"/>
        <v>10.788</v>
      </c>
    </row>
    <row r="78" ht="15.75" customHeight="1">
      <c r="A78" s="2"/>
      <c r="B78" s="2" t="s">
        <v>193</v>
      </c>
      <c r="C78" s="2" t="s">
        <v>194</v>
      </c>
      <c r="D78" s="10">
        <v>390.0</v>
      </c>
      <c r="E78" s="2">
        <v>50.0</v>
      </c>
      <c r="F78" s="1">
        <v>85.0</v>
      </c>
      <c r="G78" s="10">
        <v>741810.0</v>
      </c>
      <c r="H78" s="59">
        <v>0.05</v>
      </c>
      <c r="I78" s="2">
        <f t="shared" si="4"/>
        <v>19.5</v>
      </c>
      <c r="K78" s="1">
        <v>20.0</v>
      </c>
      <c r="L78" s="4">
        <f t="shared" si="5"/>
        <v>564.5</v>
      </c>
      <c r="M78" s="2">
        <f t="shared" si="6"/>
        <v>3.9</v>
      </c>
      <c r="N78" s="12">
        <f t="shared" si="7"/>
        <v>45.16</v>
      </c>
      <c r="O78" s="12">
        <f t="shared" si="8"/>
        <v>56.45</v>
      </c>
      <c r="P78" s="12">
        <f t="shared" si="9"/>
        <v>28.225</v>
      </c>
      <c r="Q78" s="12">
        <f t="shared" si="10"/>
        <v>11.29</v>
      </c>
      <c r="R78" s="12">
        <f t="shared" si="48"/>
        <v>4.095</v>
      </c>
      <c r="S78" s="12">
        <f t="shared" si="12"/>
        <v>5.645</v>
      </c>
      <c r="T78" s="60">
        <f t="shared" si="13"/>
        <v>150.67</v>
      </c>
      <c r="U78" s="2">
        <f t="shared" si="14"/>
        <v>8.19</v>
      </c>
      <c r="V78" s="42">
        <f t="shared" si="15"/>
        <v>40.95</v>
      </c>
      <c r="W78" s="2">
        <f t="shared" si="16"/>
        <v>8.19</v>
      </c>
      <c r="X78" s="2">
        <f t="shared" si="17"/>
        <v>65.52</v>
      </c>
      <c r="Y78" s="2">
        <f t="shared" si="18"/>
        <v>122.85</v>
      </c>
      <c r="Z78" s="60">
        <f t="shared" si="19"/>
        <v>838.02</v>
      </c>
      <c r="AA78" s="11">
        <f t="shared" si="20"/>
        <v>167.604</v>
      </c>
      <c r="AB78" s="12">
        <f t="shared" si="49"/>
        <v>1005.624</v>
      </c>
      <c r="AC78" s="2">
        <f t="shared" si="22"/>
        <v>819</v>
      </c>
      <c r="AD78" s="12">
        <f t="shared" si="23"/>
        <v>186.624</v>
      </c>
      <c r="AE78" s="12">
        <f t="shared" si="24"/>
        <v>18.55802964</v>
      </c>
      <c r="AF78" s="61">
        <v>985.0</v>
      </c>
      <c r="AG78" s="62">
        <f t="shared" si="25"/>
        <v>74.49069973</v>
      </c>
      <c r="AH78" s="63">
        <f t="shared" si="26"/>
        <v>5</v>
      </c>
      <c r="AI78" s="64">
        <v>1090.0</v>
      </c>
      <c r="AJ78" s="64">
        <v>990.0</v>
      </c>
      <c r="AK78" s="66">
        <f t="shared" si="27"/>
        <v>75.37643933</v>
      </c>
      <c r="AL78" s="66"/>
      <c r="AM78" s="14">
        <f t="shared" si="239"/>
        <v>0.5050505051</v>
      </c>
      <c r="AN78" s="67">
        <f t="shared" si="29"/>
        <v>0.8857395926</v>
      </c>
      <c r="AO78" s="68">
        <f t="shared" si="30"/>
        <v>1.753764393</v>
      </c>
      <c r="AP78" s="69">
        <f t="shared" si="31"/>
        <v>-0.15624</v>
      </c>
      <c r="AQ78" s="70">
        <f t="shared" si="32"/>
        <v>1.71</v>
      </c>
      <c r="AR78" s="71">
        <f t="shared" ref="AR78:AS78" si="261">AI78/94</f>
        <v>11.59574468</v>
      </c>
      <c r="AS78" s="71">
        <f t="shared" si="261"/>
        <v>10.53191489</v>
      </c>
      <c r="AT78" s="72">
        <f t="shared" ref="AT78:AU78" si="262">AI78/24</f>
        <v>45.41666667</v>
      </c>
      <c r="AU78" s="72">
        <f t="shared" si="262"/>
        <v>41.25</v>
      </c>
      <c r="AV78" s="73">
        <f t="shared" ref="AV78:AW78" si="263">AI78/125</f>
        <v>8.72</v>
      </c>
      <c r="AW78" s="73">
        <f t="shared" si="263"/>
        <v>7.92</v>
      </c>
    </row>
    <row r="79" ht="15.75" customHeight="1">
      <c r="A79" s="2"/>
      <c r="B79" s="2" t="s">
        <v>195</v>
      </c>
      <c r="C79" s="2" t="s">
        <v>196</v>
      </c>
      <c r="D79" s="10">
        <v>460.0</v>
      </c>
      <c r="F79" s="1">
        <v>85.0</v>
      </c>
      <c r="G79" s="10">
        <v>741810.0</v>
      </c>
      <c r="H79" s="59">
        <v>0.05</v>
      </c>
      <c r="I79" s="2">
        <f t="shared" si="4"/>
        <v>23</v>
      </c>
      <c r="K79" s="1">
        <v>20.0</v>
      </c>
      <c r="L79" s="4">
        <f t="shared" si="5"/>
        <v>588</v>
      </c>
      <c r="M79" s="2">
        <f t="shared" si="6"/>
        <v>4.6</v>
      </c>
      <c r="N79" s="12">
        <f t="shared" si="7"/>
        <v>47.04</v>
      </c>
      <c r="O79" s="12">
        <f t="shared" si="8"/>
        <v>58.8</v>
      </c>
      <c r="P79" s="12">
        <f t="shared" si="9"/>
        <v>29.4</v>
      </c>
      <c r="Q79" s="12">
        <f t="shared" si="10"/>
        <v>11.76</v>
      </c>
      <c r="R79" s="12">
        <f t="shared" si="48"/>
        <v>4.83</v>
      </c>
      <c r="S79" s="12">
        <f t="shared" si="12"/>
        <v>5.88</v>
      </c>
      <c r="T79" s="60">
        <f t="shared" si="13"/>
        <v>157.48</v>
      </c>
      <c r="U79" s="2">
        <f t="shared" si="14"/>
        <v>9.66</v>
      </c>
      <c r="V79" s="42">
        <f t="shared" si="15"/>
        <v>48.3</v>
      </c>
      <c r="W79" s="2">
        <f t="shared" si="16"/>
        <v>9.66</v>
      </c>
      <c r="X79" s="2">
        <f t="shared" si="17"/>
        <v>77.28</v>
      </c>
      <c r="Y79" s="2">
        <f t="shared" si="18"/>
        <v>144.9</v>
      </c>
      <c r="Z79" s="60">
        <f t="shared" si="19"/>
        <v>890.38</v>
      </c>
      <c r="AA79" s="11">
        <f t="shared" si="20"/>
        <v>178.076</v>
      </c>
      <c r="AB79" s="12">
        <f t="shared" si="49"/>
        <v>1068.456</v>
      </c>
      <c r="AC79" s="2">
        <f t="shared" si="22"/>
        <v>966</v>
      </c>
      <c r="AD79" s="12">
        <f t="shared" si="23"/>
        <v>102.456</v>
      </c>
      <c r="AE79" s="12">
        <f t="shared" si="24"/>
        <v>9.589164177</v>
      </c>
      <c r="AF79" s="61">
        <v>1245.0</v>
      </c>
      <c r="AG79" s="62">
        <f t="shared" si="25"/>
        <v>111.7346939</v>
      </c>
      <c r="AH79" s="63">
        <f t="shared" si="26"/>
        <v>103.5</v>
      </c>
      <c r="AI79" s="64">
        <v>1450.0</v>
      </c>
      <c r="AJ79" s="64">
        <f>AI79-(AI79*7%)</f>
        <v>1348.5</v>
      </c>
      <c r="AK79" s="66">
        <f t="shared" si="27"/>
        <v>129.3367347</v>
      </c>
      <c r="AL79" s="66"/>
      <c r="AM79" s="14">
        <f t="shared" si="239"/>
        <v>7.675194661</v>
      </c>
      <c r="AN79" s="67">
        <f t="shared" si="29"/>
        <v>17.60204082</v>
      </c>
      <c r="AO79" s="68">
        <f t="shared" si="30"/>
        <v>2.293367347</v>
      </c>
      <c r="AP79" s="69">
        <f t="shared" si="31"/>
        <v>2.80044</v>
      </c>
      <c r="AQ79" s="70">
        <f t="shared" si="32"/>
        <v>3.825</v>
      </c>
      <c r="AR79" s="71">
        <f t="shared" ref="AR79:AS79" si="264">AI79/94</f>
        <v>15.42553191</v>
      </c>
      <c r="AS79" s="71">
        <f t="shared" si="264"/>
        <v>14.34574468</v>
      </c>
      <c r="AT79" s="72">
        <f t="shared" ref="AT79:AU79" si="265">AI79/24</f>
        <v>60.41666667</v>
      </c>
      <c r="AU79" s="72">
        <f t="shared" si="265"/>
        <v>56.1875</v>
      </c>
      <c r="AV79" s="73">
        <f t="shared" ref="AV79:AW79" si="266">AI79/125</f>
        <v>11.6</v>
      </c>
      <c r="AW79" s="73">
        <f t="shared" si="266"/>
        <v>10.788</v>
      </c>
    </row>
    <row r="80" ht="15.75" customHeight="1">
      <c r="A80" s="2"/>
      <c r="B80" s="2" t="s">
        <v>197</v>
      </c>
      <c r="C80" s="2" t="s">
        <v>198</v>
      </c>
      <c r="D80" s="10">
        <v>390.0</v>
      </c>
      <c r="F80" s="1">
        <v>85.0</v>
      </c>
      <c r="G80" s="10">
        <v>741810.0</v>
      </c>
      <c r="H80" s="59">
        <v>0.05</v>
      </c>
      <c r="I80" s="2">
        <f t="shared" si="4"/>
        <v>19.5</v>
      </c>
      <c r="K80" s="1">
        <v>20.0</v>
      </c>
      <c r="L80" s="4">
        <f t="shared" si="5"/>
        <v>514.5</v>
      </c>
      <c r="M80" s="2">
        <f t="shared" si="6"/>
        <v>3.9</v>
      </c>
      <c r="N80" s="12">
        <f t="shared" si="7"/>
        <v>41.16</v>
      </c>
      <c r="O80" s="12">
        <f t="shared" si="8"/>
        <v>51.45</v>
      </c>
      <c r="P80" s="12">
        <f t="shared" si="9"/>
        <v>25.725</v>
      </c>
      <c r="Q80" s="12">
        <f t="shared" si="10"/>
        <v>10.29</v>
      </c>
      <c r="R80" s="12">
        <f t="shared" si="48"/>
        <v>4.095</v>
      </c>
      <c r="S80" s="12">
        <f t="shared" si="12"/>
        <v>5.145</v>
      </c>
      <c r="T80" s="60">
        <f t="shared" si="13"/>
        <v>137.67</v>
      </c>
      <c r="U80" s="2">
        <f t="shared" si="14"/>
        <v>8.19</v>
      </c>
      <c r="V80" s="42">
        <f t="shared" si="15"/>
        <v>40.95</v>
      </c>
      <c r="W80" s="2">
        <f t="shared" si="16"/>
        <v>8.19</v>
      </c>
      <c r="X80" s="2">
        <f t="shared" si="17"/>
        <v>65.52</v>
      </c>
      <c r="Y80" s="2">
        <f t="shared" si="18"/>
        <v>122.85</v>
      </c>
      <c r="Z80" s="60">
        <f t="shared" si="19"/>
        <v>775.02</v>
      </c>
      <c r="AA80" s="11">
        <f t="shared" si="20"/>
        <v>155.004</v>
      </c>
      <c r="AB80" s="12">
        <f t="shared" si="49"/>
        <v>930.024</v>
      </c>
      <c r="AC80" s="2">
        <f t="shared" si="22"/>
        <v>819</v>
      </c>
      <c r="AD80" s="12">
        <f t="shared" si="23"/>
        <v>111.024</v>
      </c>
      <c r="AE80" s="12">
        <f t="shared" si="24"/>
        <v>11.93775644</v>
      </c>
      <c r="AF80" s="61">
        <v>845.0</v>
      </c>
      <c r="AG80" s="62">
        <f t="shared" si="25"/>
        <v>64.23712342</v>
      </c>
      <c r="AH80" s="63">
        <f t="shared" si="26"/>
        <v>145</v>
      </c>
      <c r="AI80" s="64">
        <v>1090.0</v>
      </c>
      <c r="AJ80" s="64">
        <v>990.0</v>
      </c>
      <c r="AK80" s="66">
        <f t="shared" si="27"/>
        <v>92.41982507</v>
      </c>
      <c r="AL80" s="66"/>
      <c r="AM80" s="14">
        <f t="shared" si="239"/>
        <v>14.64646465</v>
      </c>
      <c r="AN80" s="67">
        <f t="shared" si="29"/>
        <v>28.18270165</v>
      </c>
      <c r="AO80" s="68">
        <f t="shared" si="30"/>
        <v>1.924198251</v>
      </c>
      <c r="AP80" s="69">
        <f t="shared" si="31"/>
        <v>0.59976</v>
      </c>
      <c r="AQ80" s="70">
        <f t="shared" si="32"/>
        <v>1.71</v>
      </c>
      <c r="AR80" s="71">
        <f t="shared" ref="AR80:AS80" si="267">AI80/94</f>
        <v>11.59574468</v>
      </c>
      <c r="AS80" s="71">
        <f t="shared" si="267"/>
        <v>10.53191489</v>
      </c>
      <c r="AT80" s="72">
        <f t="shared" ref="AT80:AU80" si="268">AI80/24</f>
        <v>45.41666667</v>
      </c>
      <c r="AU80" s="72">
        <f t="shared" si="268"/>
        <v>41.25</v>
      </c>
      <c r="AV80" s="73">
        <f t="shared" ref="AV80:AW80" si="269">AI80/125</f>
        <v>8.72</v>
      </c>
      <c r="AW80" s="73">
        <f t="shared" si="269"/>
        <v>7.92</v>
      </c>
    </row>
    <row r="81" ht="15.75" customHeight="1">
      <c r="A81" s="2"/>
      <c r="B81" s="2" t="s">
        <v>199</v>
      </c>
      <c r="C81" s="2" t="s">
        <v>200</v>
      </c>
      <c r="D81" s="10">
        <v>460.0</v>
      </c>
      <c r="E81" s="2">
        <v>50.0</v>
      </c>
      <c r="F81" s="1">
        <v>85.0</v>
      </c>
      <c r="G81" s="10">
        <v>741810.0</v>
      </c>
      <c r="H81" s="59">
        <v>0.05</v>
      </c>
      <c r="I81" s="2">
        <f t="shared" si="4"/>
        <v>23</v>
      </c>
      <c r="K81" s="1">
        <v>20.0</v>
      </c>
      <c r="L81" s="4">
        <f t="shared" si="5"/>
        <v>638</v>
      </c>
      <c r="M81" s="2">
        <f t="shared" si="6"/>
        <v>4.6</v>
      </c>
      <c r="N81" s="12">
        <f t="shared" si="7"/>
        <v>51.04</v>
      </c>
      <c r="O81" s="12">
        <f t="shared" si="8"/>
        <v>63.8</v>
      </c>
      <c r="P81" s="12">
        <f t="shared" si="9"/>
        <v>31.9</v>
      </c>
      <c r="Q81" s="12">
        <f t="shared" si="10"/>
        <v>12.76</v>
      </c>
      <c r="R81" s="12">
        <f t="shared" si="48"/>
        <v>4.83</v>
      </c>
      <c r="S81" s="12">
        <f t="shared" si="12"/>
        <v>6.38</v>
      </c>
      <c r="T81" s="60">
        <f t="shared" si="13"/>
        <v>170.48</v>
      </c>
      <c r="U81" s="2">
        <f t="shared" si="14"/>
        <v>9.66</v>
      </c>
      <c r="V81" s="42">
        <f t="shared" si="15"/>
        <v>48.3</v>
      </c>
      <c r="W81" s="2">
        <f t="shared" si="16"/>
        <v>9.66</v>
      </c>
      <c r="X81" s="2">
        <f t="shared" si="17"/>
        <v>77.28</v>
      </c>
      <c r="Y81" s="2">
        <f t="shared" si="18"/>
        <v>144.9</v>
      </c>
      <c r="Z81" s="60">
        <f t="shared" si="19"/>
        <v>953.38</v>
      </c>
      <c r="AA81" s="11">
        <f t="shared" si="20"/>
        <v>190.676</v>
      </c>
      <c r="AB81" s="12">
        <f t="shared" si="49"/>
        <v>1144.056</v>
      </c>
      <c r="AC81" s="2">
        <f t="shared" si="22"/>
        <v>966</v>
      </c>
      <c r="AD81" s="12">
        <f t="shared" si="23"/>
        <v>178.056</v>
      </c>
      <c r="AE81" s="12">
        <f t="shared" si="24"/>
        <v>15.56357381</v>
      </c>
      <c r="AF81" s="61">
        <v>1345.0</v>
      </c>
      <c r="AG81" s="62">
        <f t="shared" si="25"/>
        <v>110.815047</v>
      </c>
      <c r="AH81" s="63">
        <f t="shared" si="26"/>
        <v>3.5</v>
      </c>
      <c r="AI81" s="64">
        <v>1450.0</v>
      </c>
      <c r="AJ81" s="64">
        <f>AI81-(AI81*7%)</f>
        <v>1348.5</v>
      </c>
      <c r="AK81" s="66">
        <f t="shared" si="27"/>
        <v>111.3636364</v>
      </c>
      <c r="AL81" s="66"/>
      <c r="AM81" s="14">
        <f t="shared" si="239"/>
        <v>0.2595476455</v>
      </c>
      <c r="AN81" s="67">
        <f t="shared" si="29"/>
        <v>0.5485893417</v>
      </c>
      <c r="AO81" s="68">
        <f t="shared" si="30"/>
        <v>2.113636364</v>
      </c>
      <c r="AP81" s="69">
        <f t="shared" si="31"/>
        <v>2.04444</v>
      </c>
      <c r="AQ81" s="70">
        <f t="shared" si="32"/>
        <v>3.825</v>
      </c>
      <c r="AR81" s="71">
        <f t="shared" ref="AR81:AS81" si="270">AI81/94</f>
        <v>15.42553191</v>
      </c>
      <c r="AS81" s="71">
        <f t="shared" si="270"/>
        <v>14.34574468</v>
      </c>
      <c r="AT81" s="72">
        <f t="shared" ref="AT81:AU81" si="271">AI81/24</f>
        <v>60.41666667</v>
      </c>
      <c r="AU81" s="72">
        <f t="shared" si="271"/>
        <v>56.1875</v>
      </c>
      <c r="AV81" s="73">
        <f t="shared" ref="AV81:AW81" si="272">AI81/125</f>
        <v>11.6</v>
      </c>
      <c r="AW81" s="73">
        <f t="shared" si="272"/>
        <v>10.788</v>
      </c>
    </row>
    <row r="82" ht="15.75" customHeight="1">
      <c r="A82" s="2"/>
      <c r="B82" s="2" t="s">
        <v>201</v>
      </c>
      <c r="C82" s="2" t="s">
        <v>202</v>
      </c>
      <c r="D82" s="10">
        <v>390.0</v>
      </c>
      <c r="E82" s="2">
        <v>50.0</v>
      </c>
      <c r="F82" s="1">
        <v>85.0</v>
      </c>
      <c r="G82" s="10">
        <v>741810.0</v>
      </c>
      <c r="H82" s="59">
        <v>0.05</v>
      </c>
      <c r="I82" s="2">
        <f t="shared" si="4"/>
        <v>19.5</v>
      </c>
      <c r="K82" s="1">
        <v>20.0</v>
      </c>
      <c r="L82" s="4">
        <f t="shared" si="5"/>
        <v>564.5</v>
      </c>
      <c r="M82" s="2">
        <f t="shared" si="6"/>
        <v>3.9</v>
      </c>
      <c r="N82" s="12">
        <f t="shared" si="7"/>
        <v>45.16</v>
      </c>
      <c r="O82" s="12">
        <f t="shared" si="8"/>
        <v>56.45</v>
      </c>
      <c r="P82" s="12">
        <f t="shared" si="9"/>
        <v>28.225</v>
      </c>
      <c r="Q82" s="12">
        <f t="shared" si="10"/>
        <v>11.29</v>
      </c>
      <c r="R82" s="12">
        <f t="shared" si="48"/>
        <v>4.095</v>
      </c>
      <c r="S82" s="12">
        <f t="shared" si="12"/>
        <v>5.645</v>
      </c>
      <c r="T82" s="60">
        <f t="shared" si="13"/>
        <v>150.67</v>
      </c>
      <c r="U82" s="2">
        <f t="shared" si="14"/>
        <v>8.19</v>
      </c>
      <c r="V82" s="42">
        <f t="shared" si="15"/>
        <v>40.95</v>
      </c>
      <c r="W82" s="2">
        <f t="shared" si="16"/>
        <v>8.19</v>
      </c>
      <c r="X82" s="2">
        <f t="shared" si="17"/>
        <v>65.52</v>
      </c>
      <c r="Y82" s="2">
        <f t="shared" si="18"/>
        <v>122.85</v>
      </c>
      <c r="Z82" s="60">
        <f t="shared" si="19"/>
        <v>838.02</v>
      </c>
      <c r="AA82" s="11">
        <f t="shared" si="20"/>
        <v>167.604</v>
      </c>
      <c r="AB82" s="12">
        <f t="shared" si="49"/>
        <v>1005.624</v>
      </c>
      <c r="AC82" s="2">
        <f t="shared" si="22"/>
        <v>819</v>
      </c>
      <c r="AD82" s="12">
        <f t="shared" si="23"/>
        <v>186.624</v>
      </c>
      <c r="AE82" s="12">
        <f t="shared" si="24"/>
        <v>18.55802964</v>
      </c>
      <c r="AF82" s="61">
        <v>985.0</v>
      </c>
      <c r="AG82" s="62">
        <f t="shared" si="25"/>
        <v>74.49069973</v>
      </c>
      <c r="AH82" s="63">
        <f t="shared" si="26"/>
        <v>5</v>
      </c>
      <c r="AI82" s="64">
        <v>1090.0</v>
      </c>
      <c r="AJ82" s="64">
        <v>990.0</v>
      </c>
      <c r="AK82" s="66">
        <f t="shared" si="27"/>
        <v>75.37643933</v>
      </c>
      <c r="AL82" s="66"/>
      <c r="AM82" s="14">
        <f t="shared" si="239"/>
        <v>0.5050505051</v>
      </c>
      <c r="AN82" s="67">
        <f t="shared" si="29"/>
        <v>0.8857395926</v>
      </c>
      <c r="AO82" s="68">
        <f t="shared" si="30"/>
        <v>1.753764393</v>
      </c>
      <c r="AP82" s="69">
        <f t="shared" si="31"/>
        <v>-0.15624</v>
      </c>
      <c r="AQ82" s="70">
        <f t="shared" si="32"/>
        <v>1.71</v>
      </c>
      <c r="AR82" s="71">
        <f t="shared" ref="AR82:AS82" si="273">AI82/94</f>
        <v>11.59574468</v>
      </c>
      <c r="AS82" s="71">
        <f t="shared" si="273"/>
        <v>10.53191489</v>
      </c>
      <c r="AT82" s="72">
        <f t="shared" ref="AT82:AU82" si="274">AI82/24</f>
        <v>45.41666667</v>
      </c>
      <c r="AU82" s="72">
        <f t="shared" si="274"/>
        <v>41.25</v>
      </c>
      <c r="AV82" s="73">
        <f t="shared" ref="AV82:AW82" si="275">AI82/125</f>
        <v>8.72</v>
      </c>
      <c r="AW82" s="73">
        <f t="shared" si="275"/>
        <v>7.92</v>
      </c>
    </row>
    <row r="83" ht="15.75" customHeight="1">
      <c r="A83" s="2"/>
      <c r="B83" s="2" t="s">
        <v>203</v>
      </c>
      <c r="C83" s="2" t="s">
        <v>204</v>
      </c>
      <c r="D83" s="10">
        <v>460.0</v>
      </c>
      <c r="F83" s="1">
        <v>85.0</v>
      </c>
      <c r="G83" s="10">
        <v>741810.0</v>
      </c>
      <c r="H83" s="59">
        <v>0.05</v>
      </c>
      <c r="I83" s="2">
        <f t="shared" si="4"/>
        <v>23</v>
      </c>
      <c r="K83" s="1">
        <v>20.0</v>
      </c>
      <c r="L83" s="4">
        <f t="shared" si="5"/>
        <v>588</v>
      </c>
      <c r="M83" s="2">
        <f t="shared" si="6"/>
        <v>4.6</v>
      </c>
      <c r="N83" s="12">
        <f t="shared" si="7"/>
        <v>47.04</v>
      </c>
      <c r="O83" s="12">
        <f t="shared" si="8"/>
        <v>58.8</v>
      </c>
      <c r="P83" s="12">
        <f t="shared" si="9"/>
        <v>29.4</v>
      </c>
      <c r="Q83" s="12">
        <f t="shared" si="10"/>
        <v>11.76</v>
      </c>
      <c r="R83" s="12">
        <f t="shared" si="48"/>
        <v>4.83</v>
      </c>
      <c r="S83" s="12">
        <f t="shared" si="12"/>
        <v>5.88</v>
      </c>
      <c r="T83" s="60">
        <f t="shared" si="13"/>
        <v>157.48</v>
      </c>
      <c r="U83" s="2">
        <f t="shared" si="14"/>
        <v>9.66</v>
      </c>
      <c r="V83" s="42">
        <f t="shared" si="15"/>
        <v>48.3</v>
      </c>
      <c r="W83" s="2">
        <f t="shared" si="16"/>
        <v>9.66</v>
      </c>
      <c r="X83" s="2">
        <f t="shared" si="17"/>
        <v>77.28</v>
      </c>
      <c r="Y83" s="2">
        <f t="shared" si="18"/>
        <v>144.9</v>
      </c>
      <c r="Z83" s="60">
        <f t="shared" si="19"/>
        <v>890.38</v>
      </c>
      <c r="AA83" s="11">
        <f t="shared" si="20"/>
        <v>178.076</v>
      </c>
      <c r="AB83" s="12">
        <f t="shared" si="49"/>
        <v>1068.456</v>
      </c>
      <c r="AC83" s="2">
        <f t="shared" si="22"/>
        <v>966</v>
      </c>
      <c r="AD83" s="12">
        <f t="shared" si="23"/>
        <v>102.456</v>
      </c>
      <c r="AE83" s="12">
        <f t="shared" si="24"/>
        <v>9.589164177</v>
      </c>
      <c r="AF83" s="61">
        <v>1245.0</v>
      </c>
      <c r="AG83" s="62">
        <f t="shared" si="25"/>
        <v>111.7346939</v>
      </c>
      <c r="AH83" s="63">
        <f t="shared" si="26"/>
        <v>103.5</v>
      </c>
      <c r="AI83" s="64">
        <v>1450.0</v>
      </c>
      <c r="AJ83" s="64">
        <f>AI83-(AI83*7%)</f>
        <v>1348.5</v>
      </c>
      <c r="AK83" s="66">
        <f t="shared" si="27"/>
        <v>129.3367347</v>
      </c>
      <c r="AL83" s="66"/>
      <c r="AM83" s="14">
        <f t="shared" si="239"/>
        <v>7.675194661</v>
      </c>
      <c r="AN83" s="67">
        <f t="shared" si="29"/>
        <v>17.60204082</v>
      </c>
      <c r="AO83" s="68">
        <f t="shared" si="30"/>
        <v>2.293367347</v>
      </c>
      <c r="AP83" s="69">
        <f t="shared" si="31"/>
        <v>2.80044</v>
      </c>
      <c r="AQ83" s="70">
        <f t="shared" si="32"/>
        <v>3.825</v>
      </c>
      <c r="AR83" s="71">
        <f t="shared" ref="AR83:AS83" si="276">AI83/94</f>
        <v>15.42553191</v>
      </c>
      <c r="AS83" s="71">
        <f t="shared" si="276"/>
        <v>14.34574468</v>
      </c>
      <c r="AT83" s="72">
        <f t="shared" ref="AT83:AU83" si="277">AI83/24</f>
        <v>60.41666667</v>
      </c>
      <c r="AU83" s="72">
        <f t="shared" si="277"/>
        <v>56.1875</v>
      </c>
      <c r="AV83" s="73">
        <f t="shared" ref="AV83:AW83" si="278">AI83/125</f>
        <v>11.6</v>
      </c>
      <c r="AW83" s="73">
        <f t="shared" si="278"/>
        <v>10.788</v>
      </c>
    </row>
    <row r="84" ht="15.75" customHeight="1">
      <c r="A84" s="2"/>
      <c r="B84" s="2" t="s">
        <v>205</v>
      </c>
      <c r="C84" s="2" t="s">
        <v>206</v>
      </c>
      <c r="D84" s="10">
        <v>390.0</v>
      </c>
      <c r="F84" s="1">
        <v>85.0</v>
      </c>
      <c r="G84" s="10">
        <v>741810.0</v>
      </c>
      <c r="H84" s="59">
        <v>0.05</v>
      </c>
      <c r="I84" s="2">
        <f t="shared" si="4"/>
        <v>19.5</v>
      </c>
      <c r="K84" s="1">
        <v>20.0</v>
      </c>
      <c r="L84" s="4">
        <f t="shared" si="5"/>
        <v>514.5</v>
      </c>
      <c r="M84" s="2">
        <f t="shared" si="6"/>
        <v>3.9</v>
      </c>
      <c r="N84" s="12">
        <f t="shared" si="7"/>
        <v>41.16</v>
      </c>
      <c r="O84" s="12">
        <f t="shared" si="8"/>
        <v>51.45</v>
      </c>
      <c r="P84" s="12">
        <f t="shared" si="9"/>
        <v>25.725</v>
      </c>
      <c r="Q84" s="12">
        <f t="shared" si="10"/>
        <v>10.29</v>
      </c>
      <c r="R84" s="12">
        <f t="shared" si="48"/>
        <v>4.095</v>
      </c>
      <c r="S84" s="12">
        <f t="shared" si="12"/>
        <v>5.145</v>
      </c>
      <c r="T84" s="60">
        <f t="shared" si="13"/>
        <v>137.67</v>
      </c>
      <c r="U84" s="2">
        <f t="shared" si="14"/>
        <v>8.19</v>
      </c>
      <c r="V84" s="42">
        <f t="shared" si="15"/>
        <v>40.95</v>
      </c>
      <c r="W84" s="2">
        <f t="shared" si="16"/>
        <v>8.19</v>
      </c>
      <c r="X84" s="2">
        <f t="shared" si="17"/>
        <v>65.52</v>
      </c>
      <c r="Y84" s="2">
        <f t="shared" si="18"/>
        <v>122.85</v>
      </c>
      <c r="Z84" s="60">
        <f t="shared" si="19"/>
        <v>775.02</v>
      </c>
      <c r="AA84" s="11">
        <f t="shared" si="20"/>
        <v>155.004</v>
      </c>
      <c r="AB84" s="12">
        <f t="shared" si="49"/>
        <v>930.024</v>
      </c>
      <c r="AC84" s="2">
        <f t="shared" si="22"/>
        <v>819</v>
      </c>
      <c r="AD84" s="12">
        <f t="shared" si="23"/>
        <v>111.024</v>
      </c>
      <c r="AE84" s="12">
        <f t="shared" si="24"/>
        <v>11.93775644</v>
      </c>
      <c r="AF84" s="61">
        <v>890.0</v>
      </c>
      <c r="AG84" s="62">
        <f t="shared" si="25"/>
        <v>72.98347911</v>
      </c>
      <c r="AH84" s="63">
        <f t="shared" si="26"/>
        <v>100</v>
      </c>
      <c r="AI84" s="64">
        <v>1090.0</v>
      </c>
      <c r="AJ84" s="64">
        <v>990.0</v>
      </c>
      <c r="AK84" s="66">
        <f t="shared" si="27"/>
        <v>92.41982507</v>
      </c>
      <c r="AL84" s="66"/>
      <c r="AM84" s="14">
        <f t="shared" si="239"/>
        <v>10.1010101</v>
      </c>
      <c r="AN84" s="67">
        <f t="shared" si="29"/>
        <v>19.43634597</v>
      </c>
      <c r="AO84" s="68">
        <f t="shared" si="30"/>
        <v>1.924198251</v>
      </c>
      <c r="AP84" s="69">
        <f t="shared" si="31"/>
        <v>0.59976</v>
      </c>
      <c r="AQ84" s="70">
        <f t="shared" si="32"/>
        <v>1.71</v>
      </c>
      <c r="AR84" s="71">
        <f t="shared" ref="AR84:AS84" si="279">AI84/94</f>
        <v>11.59574468</v>
      </c>
      <c r="AS84" s="71">
        <f t="shared" si="279"/>
        <v>10.53191489</v>
      </c>
      <c r="AT84" s="72">
        <f t="shared" ref="AT84:AU84" si="280">AI84/24</f>
        <v>45.41666667</v>
      </c>
      <c r="AU84" s="72">
        <f t="shared" si="280"/>
        <v>41.25</v>
      </c>
      <c r="AV84" s="73">
        <f t="shared" ref="AV84:AW84" si="281">AI84/125</f>
        <v>8.72</v>
      </c>
      <c r="AW84" s="73">
        <f t="shared" si="281"/>
        <v>7.92</v>
      </c>
    </row>
    <row r="85" ht="15.75" customHeight="1">
      <c r="A85" s="2"/>
      <c r="B85" s="2" t="s">
        <v>207</v>
      </c>
      <c r="C85" s="2" t="s">
        <v>208</v>
      </c>
      <c r="D85" s="10">
        <v>460.0</v>
      </c>
      <c r="E85" s="2">
        <v>50.0</v>
      </c>
      <c r="F85" s="1">
        <v>85.0</v>
      </c>
      <c r="G85" s="10">
        <v>741810.0</v>
      </c>
      <c r="H85" s="59">
        <v>0.05</v>
      </c>
      <c r="I85" s="2">
        <f t="shared" si="4"/>
        <v>23</v>
      </c>
      <c r="K85" s="1">
        <v>20.0</v>
      </c>
      <c r="L85" s="4">
        <f t="shared" si="5"/>
        <v>638</v>
      </c>
      <c r="M85" s="2">
        <f t="shared" si="6"/>
        <v>4.6</v>
      </c>
      <c r="N85" s="12">
        <f t="shared" si="7"/>
        <v>51.04</v>
      </c>
      <c r="O85" s="12">
        <f t="shared" si="8"/>
        <v>63.8</v>
      </c>
      <c r="P85" s="12">
        <f t="shared" si="9"/>
        <v>31.9</v>
      </c>
      <c r="Q85" s="12">
        <f t="shared" si="10"/>
        <v>12.76</v>
      </c>
      <c r="R85" s="12">
        <f t="shared" si="48"/>
        <v>4.83</v>
      </c>
      <c r="S85" s="12">
        <f t="shared" si="12"/>
        <v>6.38</v>
      </c>
      <c r="T85" s="60">
        <f t="shared" si="13"/>
        <v>170.48</v>
      </c>
      <c r="U85" s="2">
        <f t="shared" si="14"/>
        <v>9.66</v>
      </c>
      <c r="V85" s="42">
        <f t="shared" si="15"/>
        <v>48.3</v>
      </c>
      <c r="W85" s="2">
        <f t="shared" si="16"/>
        <v>9.66</v>
      </c>
      <c r="X85" s="2">
        <f t="shared" si="17"/>
        <v>77.28</v>
      </c>
      <c r="Y85" s="2">
        <f t="shared" si="18"/>
        <v>144.9</v>
      </c>
      <c r="Z85" s="60">
        <f t="shared" si="19"/>
        <v>953.38</v>
      </c>
      <c r="AA85" s="11">
        <f t="shared" si="20"/>
        <v>190.676</v>
      </c>
      <c r="AB85" s="12">
        <f t="shared" si="49"/>
        <v>1144.056</v>
      </c>
      <c r="AC85" s="2">
        <f t="shared" si="22"/>
        <v>966</v>
      </c>
      <c r="AD85" s="12">
        <f t="shared" si="23"/>
        <v>178.056</v>
      </c>
      <c r="AE85" s="12">
        <f t="shared" si="24"/>
        <v>15.56357381</v>
      </c>
      <c r="AF85" s="61">
        <v>1345.0</v>
      </c>
      <c r="AG85" s="62">
        <f t="shared" si="25"/>
        <v>110.815047</v>
      </c>
      <c r="AH85" s="63">
        <f t="shared" si="26"/>
        <v>3.5</v>
      </c>
      <c r="AI85" s="64">
        <v>1450.0</v>
      </c>
      <c r="AJ85" s="64">
        <f>AI85-(AI85*7%)</f>
        <v>1348.5</v>
      </c>
      <c r="AK85" s="66">
        <f t="shared" si="27"/>
        <v>111.3636364</v>
      </c>
      <c r="AL85" s="66"/>
      <c r="AM85" s="14">
        <f t="shared" si="239"/>
        <v>0.2595476455</v>
      </c>
      <c r="AN85" s="67">
        <f t="shared" si="29"/>
        <v>0.5485893417</v>
      </c>
      <c r="AO85" s="68">
        <f t="shared" si="30"/>
        <v>2.113636364</v>
      </c>
      <c r="AP85" s="69">
        <f t="shared" si="31"/>
        <v>2.04444</v>
      </c>
      <c r="AQ85" s="70">
        <f t="shared" si="32"/>
        <v>3.825</v>
      </c>
      <c r="AR85" s="71">
        <f t="shared" ref="AR85:AS85" si="282">AI85/94</f>
        <v>15.42553191</v>
      </c>
      <c r="AS85" s="71">
        <f t="shared" si="282"/>
        <v>14.34574468</v>
      </c>
      <c r="AT85" s="72">
        <f t="shared" ref="AT85:AU85" si="283">AI85/24</f>
        <v>60.41666667</v>
      </c>
      <c r="AU85" s="72">
        <f t="shared" si="283"/>
        <v>56.1875</v>
      </c>
      <c r="AV85" s="73">
        <f t="shared" ref="AV85:AW85" si="284">AI85/125</f>
        <v>11.6</v>
      </c>
      <c r="AW85" s="73">
        <f t="shared" si="284"/>
        <v>10.788</v>
      </c>
    </row>
    <row r="86" ht="15.75" customHeight="1">
      <c r="A86" s="2"/>
      <c r="B86" s="2" t="s">
        <v>209</v>
      </c>
      <c r="C86" s="2" t="s">
        <v>210</v>
      </c>
      <c r="D86" s="10">
        <v>390.0</v>
      </c>
      <c r="E86" s="2">
        <v>50.0</v>
      </c>
      <c r="F86" s="1">
        <v>85.0</v>
      </c>
      <c r="G86" s="10">
        <v>741810.0</v>
      </c>
      <c r="H86" s="59">
        <v>0.05</v>
      </c>
      <c r="I86" s="2">
        <f t="shared" si="4"/>
        <v>19.5</v>
      </c>
      <c r="K86" s="1">
        <v>20.0</v>
      </c>
      <c r="L86" s="4">
        <f t="shared" si="5"/>
        <v>564.5</v>
      </c>
      <c r="M86" s="2">
        <f t="shared" si="6"/>
        <v>3.9</v>
      </c>
      <c r="N86" s="12">
        <f t="shared" si="7"/>
        <v>45.16</v>
      </c>
      <c r="O86" s="12">
        <f t="shared" si="8"/>
        <v>56.45</v>
      </c>
      <c r="P86" s="12">
        <f t="shared" si="9"/>
        <v>28.225</v>
      </c>
      <c r="Q86" s="12">
        <f t="shared" si="10"/>
        <v>11.29</v>
      </c>
      <c r="R86" s="12">
        <f t="shared" si="48"/>
        <v>4.095</v>
      </c>
      <c r="S86" s="12">
        <f t="shared" si="12"/>
        <v>5.645</v>
      </c>
      <c r="T86" s="60">
        <f t="shared" si="13"/>
        <v>150.67</v>
      </c>
      <c r="U86" s="2">
        <f t="shared" si="14"/>
        <v>8.19</v>
      </c>
      <c r="V86" s="42">
        <f t="shared" si="15"/>
        <v>40.95</v>
      </c>
      <c r="W86" s="2">
        <f t="shared" si="16"/>
        <v>8.19</v>
      </c>
      <c r="X86" s="2">
        <f t="shared" si="17"/>
        <v>65.52</v>
      </c>
      <c r="Y86" s="2">
        <f t="shared" si="18"/>
        <v>122.85</v>
      </c>
      <c r="Z86" s="60">
        <f t="shared" si="19"/>
        <v>838.02</v>
      </c>
      <c r="AA86" s="11">
        <f t="shared" si="20"/>
        <v>167.604</v>
      </c>
      <c r="AB86" s="12">
        <f t="shared" si="49"/>
        <v>1005.624</v>
      </c>
      <c r="AC86" s="2">
        <f t="shared" si="22"/>
        <v>819</v>
      </c>
      <c r="AD86" s="12">
        <f t="shared" si="23"/>
        <v>186.624</v>
      </c>
      <c r="AE86" s="12">
        <f t="shared" si="24"/>
        <v>18.55802964</v>
      </c>
      <c r="AF86" s="61">
        <v>985.0</v>
      </c>
      <c r="AG86" s="62">
        <f t="shared" si="25"/>
        <v>74.49069973</v>
      </c>
      <c r="AH86" s="63">
        <f t="shared" si="26"/>
        <v>5</v>
      </c>
      <c r="AI86" s="64">
        <v>1090.0</v>
      </c>
      <c r="AJ86" s="64">
        <v>990.0</v>
      </c>
      <c r="AK86" s="66">
        <f t="shared" si="27"/>
        <v>75.37643933</v>
      </c>
      <c r="AL86" s="66"/>
      <c r="AM86" s="14">
        <f t="shared" si="239"/>
        <v>0.5050505051</v>
      </c>
      <c r="AN86" s="67">
        <f t="shared" si="29"/>
        <v>0.8857395926</v>
      </c>
      <c r="AO86" s="68">
        <f t="shared" si="30"/>
        <v>1.753764393</v>
      </c>
      <c r="AP86" s="69">
        <f t="shared" si="31"/>
        <v>-0.15624</v>
      </c>
      <c r="AQ86" s="70">
        <f t="shared" si="32"/>
        <v>1.71</v>
      </c>
      <c r="AR86" s="71">
        <f t="shared" ref="AR86:AS86" si="285">AI86/94</f>
        <v>11.59574468</v>
      </c>
      <c r="AS86" s="71">
        <f t="shared" si="285"/>
        <v>10.53191489</v>
      </c>
      <c r="AT86" s="72">
        <f t="shared" ref="AT86:AU86" si="286">AI86/24</f>
        <v>45.41666667</v>
      </c>
      <c r="AU86" s="72">
        <f t="shared" si="286"/>
        <v>41.25</v>
      </c>
      <c r="AV86" s="73">
        <f t="shared" ref="AV86:AW86" si="287">AI86/125</f>
        <v>8.72</v>
      </c>
      <c r="AW86" s="73">
        <f t="shared" si="287"/>
        <v>7.92</v>
      </c>
    </row>
    <row r="87" ht="15.75" customHeight="1">
      <c r="A87" s="2"/>
      <c r="B87" s="2" t="s">
        <v>211</v>
      </c>
      <c r="C87" s="2" t="s">
        <v>212</v>
      </c>
      <c r="D87" s="10">
        <v>460.0</v>
      </c>
      <c r="F87" s="1">
        <v>85.0</v>
      </c>
      <c r="G87" s="10">
        <v>741810.0</v>
      </c>
      <c r="H87" s="59">
        <v>0.05</v>
      </c>
      <c r="I87" s="2">
        <f t="shared" si="4"/>
        <v>23</v>
      </c>
      <c r="K87" s="1">
        <v>20.0</v>
      </c>
      <c r="L87" s="4">
        <f t="shared" si="5"/>
        <v>588</v>
      </c>
      <c r="M87" s="2">
        <f t="shared" si="6"/>
        <v>4.6</v>
      </c>
      <c r="N87" s="12">
        <f t="shared" si="7"/>
        <v>47.04</v>
      </c>
      <c r="O87" s="12">
        <f t="shared" si="8"/>
        <v>58.8</v>
      </c>
      <c r="P87" s="12">
        <f t="shared" si="9"/>
        <v>29.4</v>
      </c>
      <c r="Q87" s="12">
        <f t="shared" si="10"/>
        <v>11.76</v>
      </c>
      <c r="R87" s="12">
        <f t="shared" si="48"/>
        <v>4.83</v>
      </c>
      <c r="S87" s="12">
        <f t="shared" si="12"/>
        <v>5.88</v>
      </c>
      <c r="T87" s="60">
        <f t="shared" si="13"/>
        <v>157.48</v>
      </c>
      <c r="U87" s="2">
        <f t="shared" si="14"/>
        <v>9.66</v>
      </c>
      <c r="V87" s="42">
        <f t="shared" si="15"/>
        <v>48.3</v>
      </c>
      <c r="W87" s="2">
        <f t="shared" si="16"/>
        <v>9.66</v>
      </c>
      <c r="X87" s="2">
        <f t="shared" si="17"/>
        <v>77.28</v>
      </c>
      <c r="Y87" s="2">
        <f t="shared" si="18"/>
        <v>144.9</v>
      </c>
      <c r="Z87" s="60">
        <f t="shared" si="19"/>
        <v>890.38</v>
      </c>
      <c r="AA87" s="11">
        <f t="shared" si="20"/>
        <v>178.076</v>
      </c>
      <c r="AB87" s="12">
        <f t="shared" si="49"/>
        <v>1068.456</v>
      </c>
      <c r="AC87" s="2">
        <f t="shared" si="22"/>
        <v>966</v>
      </c>
      <c r="AD87" s="12">
        <f t="shared" si="23"/>
        <v>102.456</v>
      </c>
      <c r="AE87" s="12">
        <f t="shared" si="24"/>
        <v>9.589164177</v>
      </c>
      <c r="AF87" s="61">
        <v>1245.0</v>
      </c>
      <c r="AG87" s="62">
        <f t="shared" si="25"/>
        <v>111.7346939</v>
      </c>
      <c r="AH87" s="63">
        <f t="shared" si="26"/>
        <v>103.5</v>
      </c>
      <c r="AI87" s="64">
        <v>1450.0</v>
      </c>
      <c r="AJ87" s="64">
        <f>AI87-(AI87*7%)</f>
        <v>1348.5</v>
      </c>
      <c r="AK87" s="66">
        <f t="shared" si="27"/>
        <v>129.3367347</v>
      </c>
      <c r="AL87" s="66"/>
      <c r="AM87" s="14">
        <f t="shared" si="239"/>
        <v>7.675194661</v>
      </c>
      <c r="AN87" s="67">
        <f t="shared" si="29"/>
        <v>17.60204082</v>
      </c>
      <c r="AO87" s="68">
        <f t="shared" si="30"/>
        <v>2.293367347</v>
      </c>
      <c r="AP87" s="69">
        <f t="shared" si="31"/>
        <v>2.80044</v>
      </c>
      <c r="AQ87" s="70">
        <f t="shared" si="32"/>
        <v>3.825</v>
      </c>
      <c r="AR87" s="71">
        <f t="shared" ref="AR87:AS87" si="288">AI87/94</f>
        <v>15.42553191</v>
      </c>
      <c r="AS87" s="71">
        <f t="shared" si="288"/>
        <v>14.34574468</v>
      </c>
      <c r="AT87" s="72">
        <f t="shared" ref="AT87:AU87" si="289">AI87/24</f>
        <v>60.41666667</v>
      </c>
      <c r="AU87" s="72">
        <f t="shared" si="289"/>
        <v>56.1875</v>
      </c>
      <c r="AV87" s="73">
        <f t="shared" ref="AV87:AW87" si="290">AI87/125</f>
        <v>11.6</v>
      </c>
      <c r="AW87" s="73">
        <f t="shared" si="290"/>
        <v>10.788</v>
      </c>
    </row>
    <row r="88" ht="15.75" customHeight="1">
      <c r="A88" s="2"/>
      <c r="B88" s="2" t="s">
        <v>213</v>
      </c>
      <c r="C88" s="2" t="s">
        <v>214</v>
      </c>
      <c r="D88" s="10">
        <v>390.0</v>
      </c>
      <c r="F88" s="1">
        <v>85.0</v>
      </c>
      <c r="G88" s="10">
        <v>741810.0</v>
      </c>
      <c r="H88" s="59">
        <v>0.05</v>
      </c>
      <c r="I88" s="2">
        <f t="shared" si="4"/>
        <v>19.5</v>
      </c>
      <c r="K88" s="1">
        <v>20.0</v>
      </c>
      <c r="L88" s="4">
        <f t="shared" si="5"/>
        <v>514.5</v>
      </c>
      <c r="M88" s="2">
        <f t="shared" si="6"/>
        <v>3.9</v>
      </c>
      <c r="N88" s="12">
        <f t="shared" si="7"/>
        <v>41.16</v>
      </c>
      <c r="O88" s="12">
        <f t="shared" si="8"/>
        <v>51.45</v>
      </c>
      <c r="P88" s="12">
        <f t="shared" si="9"/>
        <v>25.725</v>
      </c>
      <c r="Q88" s="12">
        <f t="shared" si="10"/>
        <v>10.29</v>
      </c>
      <c r="R88" s="12">
        <f t="shared" si="48"/>
        <v>4.095</v>
      </c>
      <c r="S88" s="12">
        <f t="shared" si="12"/>
        <v>5.145</v>
      </c>
      <c r="T88" s="60">
        <f t="shared" si="13"/>
        <v>137.67</v>
      </c>
      <c r="U88" s="2">
        <f t="shared" si="14"/>
        <v>8.19</v>
      </c>
      <c r="V88" s="42">
        <f t="shared" si="15"/>
        <v>40.95</v>
      </c>
      <c r="W88" s="2">
        <f t="shared" si="16"/>
        <v>8.19</v>
      </c>
      <c r="X88" s="2">
        <f t="shared" si="17"/>
        <v>65.52</v>
      </c>
      <c r="Y88" s="2">
        <f t="shared" si="18"/>
        <v>122.85</v>
      </c>
      <c r="Z88" s="60">
        <f t="shared" si="19"/>
        <v>775.02</v>
      </c>
      <c r="AA88" s="11">
        <f t="shared" si="20"/>
        <v>155.004</v>
      </c>
      <c r="AB88" s="12">
        <f t="shared" si="49"/>
        <v>930.024</v>
      </c>
      <c r="AC88" s="2">
        <f t="shared" si="22"/>
        <v>819</v>
      </c>
      <c r="AD88" s="12">
        <f t="shared" si="23"/>
        <v>111.024</v>
      </c>
      <c r="AE88" s="12">
        <f t="shared" si="24"/>
        <v>11.93775644</v>
      </c>
      <c r="AF88" s="61">
        <v>890.0</v>
      </c>
      <c r="AG88" s="62">
        <f t="shared" si="25"/>
        <v>72.98347911</v>
      </c>
      <c r="AH88" s="63">
        <f t="shared" si="26"/>
        <v>100</v>
      </c>
      <c r="AI88" s="64">
        <v>1090.0</v>
      </c>
      <c r="AJ88" s="64">
        <v>990.0</v>
      </c>
      <c r="AK88" s="66">
        <f t="shared" si="27"/>
        <v>92.41982507</v>
      </c>
      <c r="AL88" s="66"/>
      <c r="AM88" s="14">
        <f t="shared" si="239"/>
        <v>10.1010101</v>
      </c>
      <c r="AN88" s="67">
        <f t="shared" si="29"/>
        <v>19.43634597</v>
      </c>
      <c r="AO88" s="68">
        <f t="shared" si="30"/>
        <v>1.924198251</v>
      </c>
      <c r="AP88" s="69">
        <f t="shared" si="31"/>
        <v>0.59976</v>
      </c>
      <c r="AQ88" s="70">
        <f t="shared" si="32"/>
        <v>1.71</v>
      </c>
      <c r="AR88" s="71">
        <f t="shared" ref="AR88:AS88" si="291">AI88/94</f>
        <v>11.59574468</v>
      </c>
      <c r="AS88" s="71">
        <f t="shared" si="291"/>
        <v>10.53191489</v>
      </c>
      <c r="AT88" s="72">
        <f t="shared" ref="AT88:AU88" si="292">AI88/24</f>
        <v>45.41666667</v>
      </c>
      <c r="AU88" s="72">
        <f t="shared" si="292"/>
        <v>41.25</v>
      </c>
      <c r="AV88" s="73">
        <f t="shared" ref="AV88:AW88" si="293">AI88/125</f>
        <v>8.72</v>
      </c>
      <c r="AW88" s="73">
        <f t="shared" si="293"/>
        <v>7.92</v>
      </c>
    </row>
    <row r="89" ht="15.75" customHeight="1">
      <c r="A89" s="2"/>
      <c r="B89" s="2" t="s">
        <v>215</v>
      </c>
      <c r="C89" s="2" t="s">
        <v>216</v>
      </c>
      <c r="D89" s="10">
        <v>460.0</v>
      </c>
      <c r="E89" s="2">
        <v>50.0</v>
      </c>
      <c r="F89" s="1">
        <v>85.0</v>
      </c>
      <c r="G89" s="10">
        <v>741810.0</v>
      </c>
      <c r="H89" s="59">
        <v>0.05</v>
      </c>
      <c r="I89" s="2">
        <f t="shared" si="4"/>
        <v>23</v>
      </c>
      <c r="K89" s="1">
        <v>20.0</v>
      </c>
      <c r="L89" s="4">
        <f t="shared" si="5"/>
        <v>638</v>
      </c>
      <c r="M89" s="2">
        <f t="shared" si="6"/>
        <v>4.6</v>
      </c>
      <c r="N89" s="12">
        <f t="shared" si="7"/>
        <v>51.04</v>
      </c>
      <c r="O89" s="12">
        <f t="shared" si="8"/>
        <v>63.8</v>
      </c>
      <c r="P89" s="12">
        <f t="shared" si="9"/>
        <v>31.9</v>
      </c>
      <c r="Q89" s="12">
        <f t="shared" si="10"/>
        <v>12.76</v>
      </c>
      <c r="R89" s="12">
        <f t="shared" si="48"/>
        <v>4.83</v>
      </c>
      <c r="S89" s="12">
        <f t="shared" si="12"/>
        <v>6.38</v>
      </c>
      <c r="T89" s="60">
        <f t="shared" si="13"/>
        <v>170.48</v>
      </c>
      <c r="U89" s="2">
        <f t="shared" si="14"/>
        <v>9.66</v>
      </c>
      <c r="V89" s="42">
        <f t="shared" si="15"/>
        <v>48.3</v>
      </c>
      <c r="W89" s="2">
        <f t="shared" si="16"/>
        <v>9.66</v>
      </c>
      <c r="X89" s="2">
        <f t="shared" si="17"/>
        <v>77.28</v>
      </c>
      <c r="Y89" s="2">
        <f t="shared" si="18"/>
        <v>144.9</v>
      </c>
      <c r="Z89" s="60">
        <f t="shared" si="19"/>
        <v>953.38</v>
      </c>
      <c r="AA89" s="11">
        <f t="shared" si="20"/>
        <v>190.676</v>
      </c>
      <c r="AB89" s="12">
        <f t="shared" si="49"/>
        <v>1144.056</v>
      </c>
      <c r="AC89" s="2">
        <f t="shared" si="22"/>
        <v>966</v>
      </c>
      <c r="AD89" s="12">
        <f t="shared" si="23"/>
        <v>178.056</v>
      </c>
      <c r="AE89" s="12">
        <f t="shared" si="24"/>
        <v>15.56357381</v>
      </c>
      <c r="AF89" s="61">
        <v>1345.0</v>
      </c>
      <c r="AG89" s="62">
        <f t="shared" si="25"/>
        <v>110.815047</v>
      </c>
      <c r="AH89" s="63">
        <f t="shared" si="26"/>
        <v>3.5</v>
      </c>
      <c r="AI89" s="64">
        <v>1450.0</v>
      </c>
      <c r="AJ89" s="64">
        <f>AI89-(AI89*7%)</f>
        <v>1348.5</v>
      </c>
      <c r="AK89" s="66">
        <f t="shared" si="27"/>
        <v>111.3636364</v>
      </c>
      <c r="AL89" s="66"/>
      <c r="AM89" s="14">
        <f t="shared" si="239"/>
        <v>0.2595476455</v>
      </c>
      <c r="AN89" s="67">
        <f t="shared" si="29"/>
        <v>0.5485893417</v>
      </c>
      <c r="AO89" s="68">
        <f t="shared" si="30"/>
        <v>2.113636364</v>
      </c>
      <c r="AP89" s="69">
        <f t="shared" si="31"/>
        <v>2.04444</v>
      </c>
      <c r="AQ89" s="70">
        <f t="shared" si="32"/>
        <v>3.825</v>
      </c>
      <c r="AR89" s="71">
        <f t="shared" ref="AR89:AS89" si="294">AI89/94</f>
        <v>15.42553191</v>
      </c>
      <c r="AS89" s="71">
        <f t="shared" si="294"/>
        <v>14.34574468</v>
      </c>
      <c r="AT89" s="72">
        <f t="shared" ref="AT89:AU89" si="295">AI89/24</f>
        <v>60.41666667</v>
      </c>
      <c r="AU89" s="72">
        <f t="shared" si="295"/>
        <v>56.1875</v>
      </c>
      <c r="AV89" s="73">
        <f t="shared" ref="AV89:AW89" si="296">AI89/125</f>
        <v>11.6</v>
      </c>
      <c r="AW89" s="73">
        <f t="shared" si="296"/>
        <v>10.788</v>
      </c>
    </row>
    <row r="90" ht="15.75" customHeight="1">
      <c r="A90" s="2" t="s">
        <v>217</v>
      </c>
      <c r="B90" s="2" t="s">
        <v>218</v>
      </c>
      <c r="C90" s="2" t="s">
        <v>219</v>
      </c>
      <c r="D90" s="10">
        <v>590.0</v>
      </c>
      <c r="F90" s="1">
        <v>45.0</v>
      </c>
      <c r="G90" s="10">
        <v>741810.0</v>
      </c>
      <c r="H90" s="59">
        <v>0.05</v>
      </c>
      <c r="I90" s="2">
        <f t="shared" si="4"/>
        <v>29.5</v>
      </c>
      <c r="K90" s="2">
        <f>D90*4%</f>
        <v>23.6</v>
      </c>
      <c r="L90" s="4">
        <f t="shared" si="5"/>
        <v>688.1</v>
      </c>
      <c r="M90" s="2">
        <f t="shared" si="6"/>
        <v>5.9</v>
      </c>
      <c r="N90" s="12">
        <f t="shared" si="7"/>
        <v>55.048</v>
      </c>
      <c r="O90" s="12">
        <f t="shared" si="8"/>
        <v>68.81</v>
      </c>
      <c r="P90" s="12">
        <f t="shared" si="9"/>
        <v>34.405</v>
      </c>
      <c r="Q90" s="12">
        <f t="shared" si="10"/>
        <v>13.762</v>
      </c>
      <c r="R90" s="12">
        <f t="shared" si="48"/>
        <v>6.195</v>
      </c>
      <c r="S90" s="12">
        <f t="shared" si="12"/>
        <v>6.881</v>
      </c>
      <c r="T90" s="60">
        <f t="shared" si="13"/>
        <v>184.806</v>
      </c>
      <c r="U90" s="2">
        <f t="shared" si="14"/>
        <v>12.39</v>
      </c>
      <c r="V90" s="42">
        <f t="shared" si="15"/>
        <v>61.95</v>
      </c>
      <c r="W90" s="2">
        <f t="shared" si="16"/>
        <v>12.39</v>
      </c>
      <c r="X90" s="2">
        <f t="shared" si="17"/>
        <v>99.12</v>
      </c>
      <c r="Y90" s="2">
        <f t="shared" si="18"/>
        <v>185.85</v>
      </c>
      <c r="Z90" s="60">
        <f t="shared" si="19"/>
        <v>1058.756</v>
      </c>
      <c r="AA90" s="11">
        <f t="shared" si="20"/>
        <v>211.7512</v>
      </c>
      <c r="AB90" s="12">
        <f t="shared" si="49"/>
        <v>1270.5072</v>
      </c>
      <c r="AC90" s="2">
        <f t="shared" si="22"/>
        <v>1239</v>
      </c>
      <c r="AD90" s="12">
        <f t="shared" si="23"/>
        <v>31.5072</v>
      </c>
      <c r="AE90" s="12">
        <f t="shared" si="24"/>
        <v>2.479891495</v>
      </c>
      <c r="AF90" s="61">
        <v>1245.0</v>
      </c>
      <c r="AG90" s="62">
        <f t="shared" si="25"/>
        <v>80.93300392</v>
      </c>
      <c r="AH90" s="63">
        <f t="shared" si="26"/>
        <v>45</v>
      </c>
      <c r="AI90" s="64">
        <v>1350.0</v>
      </c>
      <c r="AJ90" s="64">
        <v>1290.0</v>
      </c>
      <c r="AK90" s="66">
        <f t="shared" si="27"/>
        <v>87.47275105</v>
      </c>
      <c r="AL90" s="66"/>
      <c r="AM90" s="14">
        <f t="shared" si="239"/>
        <v>3.488372093</v>
      </c>
      <c r="AN90" s="67">
        <f t="shared" si="29"/>
        <v>6.53974713</v>
      </c>
      <c r="AO90" s="68">
        <f t="shared" si="30"/>
        <v>1.874727511</v>
      </c>
      <c r="AP90" s="69">
        <f t="shared" si="31"/>
        <v>0.194928</v>
      </c>
      <c r="AQ90" s="70">
        <f t="shared" si="32"/>
        <v>0.51</v>
      </c>
      <c r="AR90" s="71">
        <f t="shared" ref="AR90:AS90" si="297">AI90/94</f>
        <v>14.36170213</v>
      </c>
      <c r="AS90" s="71">
        <f t="shared" si="297"/>
        <v>13.72340426</v>
      </c>
      <c r="AT90" s="72">
        <f t="shared" ref="AT90:AU90" si="298">AI90/24</f>
        <v>56.25</v>
      </c>
      <c r="AU90" s="72">
        <f t="shared" si="298"/>
        <v>53.75</v>
      </c>
      <c r="AV90" s="73">
        <f t="shared" ref="AV90:AW90" si="299">AI90/125</f>
        <v>10.8</v>
      </c>
      <c r="AW90" s="73">
        <f t="shared" si="299"/>
        <v>10.32</v>
      </c>
    </row>
    <row r="91" ht="15.0" customHeight="1">
      <c r="A91" s="2" t="s">
        <v>220</v>
      </c>
      <c r="B91" s="2" t="s">
        <v>221</v>
      </c>
      <c r="C91" s="2" t="s">
        <v>222</v>
      </c>
      <c r="D91" s="10">
        <v>690.0</v>
      </c>
      <c r="F91" s="1">
        <v>60.0</v>
      </c>
      <c r="G91" s="74">
        <v>741810.0</v>
      </c>
      <c r="H91" s="59">
        <v>0.05</v>
      </c>
      <c r="I91" s="2">
        <f t="shared" si="4"/>
        <v>34.5</v>
      </c>
      <c r="K91" s="1">
        <v>40.0</v>
      </c>
      <c r="L91" s="4">
        <f t="shared" si="5"/>
        <v>824.5</v>
      </c>
      <c r="M91" s="2">
        <f t="shared" si="6"/>
        <v>6.9</v>
      </c>
      <c r="N91" s="12">
        <f t="shared" si="7"/>
        <v>65.96</v>
      </c>
      <c r="O91" s="12">
        <f t="shared" si="8"/>
        <v>82.45</v>
      </c>
      <c r="P91" s="12">
        <f t="shared" si="9"/>
        <v>41.225</v>
      </c>
      <c r="Q91" s="12">
        <f t="shared" si="10"/>
        <v>16.49</v>
      </c>
      <c r="R91" s="12">
        <f t="shared" si="48"/>
        <v>7.245</v>
      </c>
      <c r="S91" s="12">
        <f t="shared" si="12"/>
        <v>8.245</v>
      </c>
      <c r="T91" s="60">
        <f t="shared" si="13"/>
        <v>221.27</v>
      </c>
      <c r="U91" s="2">
        <f t="shared" si="14"/>
        <v>14.49</v>
      </c>
      <c r="V91" s="42">
        <f t="shared" si="15"/>
        <v>72.45</v>
      </c>
      <c r="W91" s="2">
        <f t="shared" si="16"/>
        <v>14.49</v>
      </c>
      <c r="X91" s="2">
        <f t="shared" si="17"/>
        <v>115.92</v>
      </c>
      <c r="Y91" s="2">
        <f t="shared" si="18"/>
        <v>217.35</v>
      </c>
      <c r="Z91" s="60">
        <f t="shared" si="19"/>
        <v>1263.12</v>
      </c>
      <c r="AA91" s="11">
        <f t="shared" si="20"/>
        <v>252.624</v>
      </c>
      <c r="AB91" s="12">
        <f t="shared" si="49"/>
        <v>1515.744</v>
      </c>
      <c r="AC91" s="2">
        <f t="shared" si="22"/>
        <v>1449</v>
      </c>
      <c r="AD91" s="12">
        <f t="shared" si="23"/>
        <v>66.744</v>
      </c>
      <c r="AE91" s="12">
        <f t="shared" si="24"/>
        <v>4.403382101</v>
      </c>
      <c r="AF91" s="61">
        <v>1750.0</v>
      </c>
      <c r="AG91" s="62">
        <f t="shared" si="25"/>
        <v>112.2498484</v>
      </c>
      <c r="AH91" s="63">
        <f t="shared" si="26"/>
        <v>-125</v>
      </c>
      <c r="AI91" s="64">
        <v>1890.0</v>
      </c>
      <c r="AJ91" s="65">
        <v>1625.0</v>
      </c>
      <c r="AK91" s="66">
        <f t="shared" si="27"/>
        <v>97.08914494</v>
      </c>
      <c r="AL91" s="66"/>
      <c r="AM91" s="14">
        <f t="shared" ref="AM91:AM92" si="303">AH91/AJ91%</f>
        <v>-7.692307692</v>
      </c>
      <c r="AN91" s="67">
        <f t="shared" si="29"/>
        <v>-15.16070346</v>
      </c>
      <c r="AO91" s="68">
        <f t="shared" si="30"/>
        <v>1.970891449</v>
      </c>
      <c r="AP91" s="69">
        <f t="shared" si="31"/>
        <v>1.09256</v>
      </c>
      <c r="AQ91" s="70">
        <f t="shared" si="32"/>
        <v>1.76</v>
      </c>
      <c r="AR91" s="71">
        <f t="shared" ref="AR91:AS91" si="300">AI91/94</f>
        <v>20.10638298</v>
      </c>
      <c r="AS91" s="71">
        <f t="shared" si="300"/>
        <v>17.28723404</v>
      </c>
      <c r="AT91" s="72">
        <f t="shared" ref="AT91:AU91" si="301">AI91/24</f>
        <v>78.75</v>
      </c>
      <c r="AU91" s="72">
        <f t="shared" si="301"/>
        <v>67.70833333</v>
      </c>
      <c r="AV91" s="73">
        <f t="shared" ref="AV91:AW91" si="302">AI91/125</f>
        <v>15.12</v>
      </c>
      <c r="AW91" s="73">
        <f t="shared" si="302"/>
        <v>13</v>
      </c>
    </row>
    <row r="92" ht="15.75" customHeight="1">
      <c r="A92" s="2"/>
      <c r="B92" s="2" t="s">
        <v>223</v>
      </c>
      <c r="C92" s="2" t="s">
        <v>224</v>
      </c>
      <c r="D92" s="10">
        <v>790.0</v>
      </c>
      <c r="F92" s="1">
        <v>60.0</v>
      </c>
      <c r="G92" s="74">
        <v>741810.0</v>
      </c>
      <c r="H92" s="59">
        <v>0.05</v>
      </c>
      <c r="I92" s="2">
        <f t="shared" si="4"/>
        <v>39.5</v>
      </c>
      <c r="K92" s="1">
        <v>40.0</v>
      </c>
      <c r="L92" s="4">
        <f t="shared" si="5"/>
        <v>929.5</v>
      </c>
      <c r="M92" s="2">
        <f t="shared" si="6"/>
        <v>7.9</v>
      </c>
      <c r="N92" s="12">
        <f t="shared" si="7"/>
        <v>74.36</v>
      </c>
      <c r="O92" s="12">
        <f t="shared" si="8"/>
        <v>92.95</v>
      </c>
      <c r="P92" s="12">
        <f t="shared" si="9"/>
        <v>46.475</v>
      </c>
      <c r="Q92" s="12">
        <f t="shared" si="10"/>
        <v>18.59</v>
      </c>
      <c r="R92" s="12">
        <f t="shared" si="48"/>
        <v>8.295</v>
      </c>
      <c r="S92" s="12">
        <f t="shared" si="12"/>
        <v>9.295</v>
      </c>
      <c r="T92" s="60">
        <f t="shared" si="13"/>
        <v>249.57</v>
      </c>
      <c r="U92" s="2">
        <f t="shared" si="14"/>
        <v>16.59</v>
      </c>
      <c r="V92" s="42">
        <f t="shared" si="15"/>
        <v>82.95</v>
      </c>
      <c r="W92" s="2">
        <f t="shared" si="16"/>
        <v>16.59</v>
      </c>
      <c r="X92" s="2">
        <f t="shared" si="17"/>
        <v>132.72</v>
      </c>
      <c r="Y92" s="2">
        <f t="shared" si="18"/>
        <v>248.85</v>
      </c>
      <c r="Z92" s="60">
        <f t="shared" si="19"/>
        <v>1427.92</v>
      </c>
      <c r="AA92" s="11">
        <f t="shared" si="20"/>
        <v>285.584</v>
      </c>
      <c r="AB92" s="12">
        <f t="shared" si="49"/>
        <v>1713.504</v>
      </c>
      <c r="AC92" s="2">
        <f t="shared" si="22"/>
        <v>1659</v>
      </c>
      <c r="AD92" s="12">
        <f t="shared" si="23"/>
        <v>54.504</v>
      </c>
      <c r="AE92" s="12">
        <f t="shared" si="24"/>
        <v>3.180850468</v>
      </c>
      <c r="AF92" s="61">
        <v>1750.0</v>
      </c>
      <c r="AG92" s="62">
        <f t="shared" si="25"/>
        <v>88.2732652</v>
      </c>
      <c r="AH92" s="63">
        <f t="shared" si="26"/>
        <v>-5</v>
      </c>
      <c r="AI92" s="64">
        <v>1890.0</v>
      </c>
      <c r="AJ92" s="65">
        <v>1745.0</v>
      </c>
      <c r="AK92" s="66">
        <f t="shared" si="27"/>
        <v>87.73534158</v>
      </c>
      <c r="AL92" s="66"/>
      <c r="AM92" s="14">
        <f t="shared" si="303"/>
        <v>-0.2865329513</v>
      </c>
      <c r="AN92" s="67">
        <f t="shared" si="29"/>
        <v>-0.5379236148</v>
      </c>
      <c r="AO92" s="68">
        <f t="shared" si="30"/>
        <v>1.877353416</v>
      </c>
      <c r="AP92" s="69">
        <f t="shared" si="31"/>
        <v>0.31496</v>
      </c>
      <c r="AQ92" s="70">
        <f t="shared" si="32"/>
        <v>0.86</v>
      </c>
      <c r="AR92" s="71">
        <f t="shared" ref="AR92:AS92" si="304">AI92/94</f>
        <v>20.10638298</v>
      </c>
      <c r="AS92" s="71">
        <f t="shared" si="304"/>
        <v>18.56382979</v>
      </c>
      <c r="AT92" s="72">
        <f t="shared" ref="AT92:AU92" si="305">AI92/24</f>
        <v>78.75</v>
      </c>
      <c r="AU92" s="72">
        <f t="shared" si="305"/>
        <v>72.70833333</v>
      </c>
      <c r="AV92" s="73">
        <f t="shared" ref="AV92:AW92" si="306">AI92/125</f>
        <v>15.12</v>
      </c>
      <c r="AW92" s="73">
        <f t="shared" si="306"/>
        <v>13.96</v>
      </c>
    </row>
    <row r="93" ht="15.0" customHeight="1">
      <c r="A93" s="77" t="s">
        <v>225</v>
      </c>
      <c r="B93" s="77" t="s">
        <v>226</v>
      </c>
      <c r="C93" s="77" t="s">
        <v>227</v>
      </c>
      <c r="D93" s="78">
        <v>380.0</v>
      </c>
      <c r="E93" s="79"/>
      <c r="F93" s="80">
        <v>30.0</v>
      </c>
      <c r="G93" s="78">
        <v>3.30741E7</v>
      </c>
      <c r="H93" s="81">
        <v>0.05</v>
      </c>
      <c r="I93" s="77">
        <f t="shared" si="4"/>
        <v>19</v>
      </c>
      <c r="J93" s="79"/>
      <c r="K93" s="80">
        <v>20.0</v>
      </c>
      <c r="L93" s="82">
        <f t="shared" si="5"/>
        <v>449</v>
      </c>
      <c r="M93" s="77">
        <f t="shared" si="6"/>
        <v>3.8</v>
      </c>
      <c r="N93" s="83">
        <f t="shared" si="7"/>
        <v>35.92</v>
      </c>
      <c r="O93" s="83">
        <f t="shared" si="8"/>
        <v>44.9</v>
      </c>
      <c r="P93" s="83">
        <f t="shared" si="9"/>
        <v>22.45</v>
      </c>
      <c r="Q93" s="83">
        <f t="shared" si="10"/>
        <v>8.98</v>
      </c>
      <c r="R93" s="83">
        <f t="shared" si="48"/>
        <v>3.99</v>
      </c>
      <c r="S93" s="83">
        <f t="shared" si="12"/>
        <v>4.49</v>
      </c>
      <c r="T93" s="84">
        <f t="shared" si="13"/>
        <v>120.54</v>
      </c>
      <c r="U93" s="77">
        <f t="shared" si="14"/>
        <v>7.98</v>
      </c>
      <c r="V93" s="42">
        <f t="shared" si="15"/>
        <v>39.9</v>
      </c>
      <c r="W93" s="77">
        <f t="shared" si="16"/>
        <v>7.98</v>
      </c>
      <c r="X93" s="77">
        <f t="shared" si="17"/>
        <v>63.84</v>
      </c>
      <c r="Y93" s="77">
        <f t="shared" si="18"/>
        <v>119.7</v>
      </c>
      <c r="Z93" s="84">
        <f t="shared" si="19"/>
        <v>689.24</v>
      </c>
      <c r="AA93" s="85">
        <f t="shared" si="20"/>
        <v>137.848</v>
      </c>
      <c r="AB93" s="83">
        <f t="shared" si="49"/>
        <v>827.088</v>
      </c>
      <c r="AC93" s="77">
        <f t="shared" si="22"/>
        <v>798</v>
      </c>
      <c r="AD93" s="83">
        <f t="shared" si="23"/>
        <v>29.088</v>
      </c>
      <c r="AE93" s="83">
        <f t="shared" si="24"/>
        <v>3.516917184</v>
      </c>
      <c r="AF93" s="79">
        <v>480.0</v>
      </c>
      <c r="AG93" s="86">
        <f t="shared" si="25"/>
        <v>6.904231626</v>
      </c>
      <c r="AH93" s="63">
        <f t="shared" si="26"/>
        <v>10</v>
      </c>
      <c r="AI93" s="63">
        <v>590.0</v>
      </c>
      <c r="AJ93" s="63">
        <v>490.0</v>
      </c>
      <c r="AK93" s="14">
        <f t="shared" si="27"/>
        <v>9.131403118</v>
      </c>
      <c r="AL93" s="14"/>
      <c r="AM93" s="14">
        <f t="shared" ref="AM93:AM109" si="310">(AH93/AJ93)*100</f>
        <v>2.040816327</v>
      </c>
      <c r="AN93" s="14">
        <f t="shared" si="29"/>
        <v>2.227171492</v>
      </c>
      <c r="AO93" s="87">
        <f t="shared" si="30"/>
        <v>1.091314031</v>
      </c>
      <c r="AP93" s="14">
        <f t="shared" si="31"/>
        <v>-3.37088</v>
      </c>
      <c r="AQ93" s="14">
        <f t="shared" si="32"/>
        <v>-3.08</v>
      </c>
      <c r="AR93" s="88">
        <f t="shared" ref="AR93:AS93" si="307">AI93/94</f>
        <v>6.276595745</v>
      </c>
      <c r="AS93" s="88">
        <f t="shared" si="307"/>
        <v>5.212765957</v>
      </c>
      <c r="AT93" s="89">
        <f t="shared" ref="AT93:AU93" si="308">AI93/24</f>
        <v>24.58333333</v>
      </c>
      <c r="AU93" s="89">
        <f t="shared" si="308"/>
        <v>20.41666667</v>
      </c>
      <c r="AV93" s="89">
        <f t="shared" ref="AV93:AW93" si="309">AI93/125</f>
        <v>4.72</v>
      </c>
      <c r="AW93" s="89">
        <f t="shared" si="309"/>
        <v>3.92</v>
      </c>
      <c r="AX93" s="79"/>
      <c r="AY93" s="79"/>
    </row>
    <row r="94" ht="15.75" customHeight="1">
      <c r="A94" s="77"/>
      <c r="B94" s="77" t="s">
        <v>228</v>
      </c>
      <c r="C94" s="77" t="s">
        <v>229</v>
      </c>
      <c r="D94" s="78">
        <v>440.0</v>
      </c>
      <c r="E94" s="79"/>
      <c r="F94" s="80">
        <v>30.0</v>
      </c>
      <c r="G94" s="78">
        <v>3.30741E7</v>
      </c>
      <c r="H94" s="81">
        <v>0.05</v>
      </c>
      <c r="I94" s="77">
        <f t="shared" si="4"/>
        <v>22</v>
      </c>
      <c r="J94" s="79"/>
      <c r="K94" s="80">
        <v>20.0</v>
      </c>
      <c r="L94" s="82">
        <f t="shared" si="5"/>
        <v>512</v>
      </c>
      <c r="M94" s="77">
        <f t="shared" si="6"/>
        <v>4.4</v>
      </c>
      <c r="N94" s="83">
        <f t="shared" si="7"/>
        <v>40.96</v>
      </c>
      <c r="O94" s="83">
        <f t="shared" si="8"/>
        <v>51.2</v>
      </c>
      <c r="P94" s="83">
        <f t="shared" si="9"/>
        <v>25.6</v>
      </c>
      <c r="Q94" s="83">
        <f t="shared" si="10"/>
        <v>10.24</v>
      </c>
      <c r="R94" s="83">
        <f t="shared" si="48"/>
        <v>4.62</v>
      </c>
      <c r="S94" s="83">
        <f t="shared" si="12"/>
        <v>5.12</v>
      </c>
      <c r="T94" s="84">
        <f t="shared" si="13"/>
        <v>137.52</v>
      </c>
      <c r="U94" s="77">
        <f t="shared" si="14"/>
        <v>9.24</v>
      </c>
      <c r="V94" s="42">
        <f t="shared" si="15"/>
        <v>46.2</v>
      </c>
      <c r="W94" s="77">
        <f t="shared" si="16"/>
        <v>9.24</v>
      </c>
      <c r="X94" s="77">
        <f t="shared" si="17"/>
        <v>73.92</v>
      </c>
      <c r="Y94" s="77">
        <f t="shared" si="18"/>
        <v>138.6</v>
      </c>
      <c r="Z94" s="84">
        <f t="shared" si="19"/>
        <v>788.12</v>
      </c>
      <c r="AA94" s="85">
        <f t="shared" si="20"/>
        <v>157.624</v>
      </c>
      <c r="AB94" s="83">
        <f t="shared" si="49"/>
        <v>945.744</v>
      </c>
      <c r="AC94" s="77">
        <f t="shared" si="22"/>
        <v>924</v>
      </c>
      <c r="AD94" s="83">
        <f t="shared" si="23"/>
        <v>21.744</v>
      </c>
      <c r="AE94" s="83">
        <f t="shared" si="24"/>
        <v>2.299142263</v>
      </c>
      <c r="AF94" s="79">
        <v>565.0</v>
      </c>
      <c r="AG94" s="86">
        <f t="shared" si="25"/>
        <v>10.3515625</v>
      </c>
      <c r="AH94" s="63">
        <f t="shared" si="26"/>
        <v>0</v>
      </c>
      <c r="AI94" s="63">
        <v>690.0</v>
      </c>
      <c r="AJ94" s="90">
        <v>565.0</v>
      </c>
      <c r="AK94" s="14">
        <f t="shared" si="27"/>
        <v>10.3515625</v>
      </c>
      <c r="AL94" s="14"/>
      <c r="AM94" s="14">
        <f t="shared" si="310"/>
        <v>0</v>
      </c>
      <c r="AN94" s="14">
        <f t="shared" si="29"/>
        <v>0</v>
      </c>
      <c r="AO94" s="87">
        <f t="shared" si="30"/>
        <v>1.103515625</v>
      </c>
      <c r="AP94" s="14">
        <f t="shared" si="31"/>
        <v>-3.80744</v>
      </c>
      <c r="AQ94" s="14">
        <f t="shared" si="32"/>
        <v>-3.59</v>
      </c>
      <c r="AR94" s="88">
        <f t="shared" ref="AR94:AS94" si="311">AI94/94</f>
        <v>7.340425532</v>
      </c>
      <c r="AS94" s="88">
        <f t="shared" si="311"/>
        <v>6.010638298</v>
      </c>
      <c r="AT94" s="89">
        <f t="shared" ref="AT94:AU94" si="312">AI94/24</f>
        <v>28.75</v>
      </c>
      <c r="AU94" s="89">
        <f t="shared" si="312"/>
        <v>23.54166667</v>
      </c>
      <c r="AV94" s="89">
        <f t="shared" ref="AV94:AW94" si="313">AI94/125</f>
        <v>5.52</v>
      </c>
      <c r="AW94" s="89">
        <f t="shared" si="313"/>
        <v>4.52</v>
      </c>
      <c r="AX94" s="79"/>
      <c r="AY94" s="79"/>
    </row>
    <row r="95" ht="15.75" customHeight="1">
      <c r="A95" s="77"/>
      <c r="B95" s="77" t="s">
        <v>230</v>
      </c>
      <c r="C95" s="77" t="s">
        <v>231</v>
      </c>
      <c r="D95" s="78">
        <v>50.0</v>
      </c>
      <c r="E95" s="79"/>
      <c r="F95" s="80">
        <v>30.0</v>
      </c>
      <c r="G95" s="78">
        <v>3.30741E7</v>
      </c>
      <c r="H95" s="81">
        <v>0.05</v>
      </c>
      <c r="I95" s="77">
        <f t="shared" si="4"/>
        <v>2.5</v>
      </c>
      <c r="J95" s="79"/>
      <c r="K95" s="77">
        <f t="shared" ref="K95:K101" si="317">D95*4%</f>
        <v>2</v>
      </c>
      <c r="L95" s="82">
        <f t="shared" si="5"/>
        <v>84.5</v>
      </c>
      <c r="M95" s="77">
        <f t="shared" si="6"/>
        <v>0.5</v>
      </c>
      <c r="N95" s="83">
        <f t="shared" si="7"/>
        <v>6.76</v>
      </c>
      <c r="O95" s="83">
        <f t="shared" si="8"/>
        <v>8.45</v>
      </c>
      <c r="P95" s="83">
        <f t="shared" si="9"/>
        <v>4.225</v>
      </c>
      <c r="Q95" s="83">
        <f t="shared" si="10"/>
        <v>1.69</v>
      </c>
      <c r="R95" s="83">
        <f t="shared" si="48"/>
        <v>0.525</v>
      </c>
      <c r="S95" s="83">
        <f t="shared" si="12"/>
        <v>0.845</v>
      </c>
      <c r="T95" s="84">
        <f t="shared" si="13"/>
        <v>22.47</v>
      </c>
      <c r="U95" s="77">
        <f t="shared" si="14"/>
        <v>1.05</v>
      </c>
      <c r="V95" s="42">
        <f t="shared" si="15"/>
        <v>5.25</v>
      </c>
      <c r="W95" s="77">
        <f t="shared" si="16"/>
        <v>1.05</v>
      </c>
      <c r="X95" s="77">
        <f t="shared" si="17"/>
        <v>8.4</v>
      </c>
      <c r="Y95" s="77">
        <f t="shared" si="18"/>
        <v>15.75</v>
      </c>
      <c r="Z95" s="84">
        <f t="shared" si="19"/>
        <v>122.72</v>
      </c>
      <c r="AA95" s="85">
        <f t="shared" si="20"/>
        <v>24.544</v>
      </c>
      <c r="AB95" s="83">
        <f t="shared" si="49"/>
        <v>147.264</v>
      </c>
      <c r="AC95" s="77">
        <f t="shared" si="22"/>
        <v>105</v>
      </c>
      <c r="AD95" s="83">
        <f t="shared" si="23"/>
        <v>42.264</v>
      </c>
      <c r="AE95" s="83">
        <f t="shared" si="24"/>
        <v>28.69947849</v>
      </c>
      <c r="AF95" s="79">
        <v>80.0</v>
      </c>
      <c r="AG95" s="86">
        <f t="shared" si="25"/>
        <v>-5.325443787</v>
      </c>
      <c r="AH95" s="63">
        <f t="shared" si="26"/>
        <v>9</v>
      </c>
      <c r="AI95" s="90">
        <v>99.0</v>
      </c>
      <c r="AJ95" s="90">
        <v>89.0</v>
      </c>
      <c r="AK95" s="14">
        <f t="shared" si="27"/>
        <v>5.325443787</v>
      </c>
      <c r="AL95" s="14"/>
      <c r="AM95" s="14">
        <f t="shared" si="310"/>
        <v>10.11235955</v>
      </c>
      <c r="AN95" s="14">
        <f t="shared" si="29"/>
        <v>10.65088757</v>
      </c>
      <c r="AO95" s="87">
        <f t="shared" si="30"/>
        <v>1.053254438</v>
      </c>
      <c r="AP95" s="14">
        <f t="shared" si="31"/>
        <v>-0.58264</v>
      </c>
      <c r="AQ95" s="14">
        <f t="shared" si="32"/>
        <v>-0.16</v>
      </c>
      <c r="AR95" s="88">
        <f t="shared" ref="AR95:AS95" si="314">AI95/94</f>
        <v>1.053191489</v>
      </c>
      <c r="AS95" s="88">
        <f t="shared" si="314"/>
        <v>0.9468085106</v>
      </c>
      <c r="AT95" s="89">
        <f t="shared" ref="AT95:AU95" si="315">AI95/24</f>
        <v>4.125</v>
      </c>
      <c r="AU95" s="89">
        <f t="shared" si="315"/>
        <v>3.708333333</v>
      </c>
      <c r="AV95" s="89">
        <f t="shared" ref="AV95:AW95" si="316">AI95/125</f>
        <v>0.792</v>
      </c>
      <c r="AW95" s="89">
        <f t="shared" si="316"/>
        <v>0.712</v>
      </c>
      <c r="AX95" s="79"/>
      <c r="AY95" s="79"/>
    </row>
    <row r="96" ht="15.75" customHeight="1">
      <c r="A96" s="77"/>
      <c r="B96" s="77" t="s">
        <v>232</v>
      </c>
      <c r="C96" s="77" t="s">
        <v>233</v>
      </c>
      <c r="D96" s="78">
        <v>50.0</v>
      </c>
      <c r="E96" s="79"/>
      <c r="F96" s="80">
        <v>30.0</v>
      </c>
      <c r="G96" s="78">
        <v>3.30741E7</v>
      </c>
      <c r="H96" s="81">
        <v>0.05</v>
      </c>
      <c r="I96" s="77">
        <f t="shared" si="4"/>
        <v>2.5</v>
      </c>
      <c r="J96" s="79"/>
      <c r="K96" s="77">
        <f t="shared" si="317"/>
        <v>2</v>
      </c>
      <c r="L96" s="82">
        <f t="shared" si="5"/>
        <v>84.5</v>
      </c>
      <c r="M96" s="77">
        <f t="shared" si="6"/>
        <v>0.5</v>
      </c>
      <c r="N96" s="83">
        <f t="shared" si="7"/>
        <v>6.76</v>
      </c>
      <c r="O96" s="83">
        <f t="shared" si="8"/>
        <v>8.45</v>
      </c>
      <c r="P96" s="83">
        <f t="shared" si="9"/>
        <v>4.225</v>
      </c>
      <c r="Q96" s="83">
        <f t="shared" si="10"/>
        <v>1.69</v>
      </c>
      <c r="R96" s="83">
        <f t="shared" si="48"/>
        <v>0.525</v>
      </c>
      <c r="S96" s="83">
        <f t="shared" si="12"/>
        <v>0.845</v>
      </c>
      <c r="T96" s="84">
        <f t="shared" si="13"/>
        <v>22.47</v>
      </c>
      <c r="U96" s="77">
        <f t="shared" si="14"/>
        <v>1.05</v>
      </c>
      <c r="V96" s="42">
        <f t="shared" si="15"/>
        <v>5.25</v>
      </c>
      <c r="W96" s="77">
        <f t="shared" si="16"/>
        <v>1.05</v>
      </c>
      <c r="X96" s="77">
        <f t="shared" si="17"/>
        <v>8.4</v>
      </c>
      <c r="Y96" s="77">
        <f t="shared" si="18"/>
        <v>15.75</v>
      </c>
      <c r="Z96" s="84">
        <f t="shared" si="19"/>
        <v>122.72</v>
      </c>
      <c r="AA96" s="85">
        <f t="shared" si="20"/>
        <v>24.544</v>
      </c>
      <c r="AB96" s="83">
        <f t="shared" si="49"/>
        <v>147.264</v>
      </c>
      <c r="AC96" s="77">
        <f t="shared" si="22"/>
        <v>105</v>
      </c>
      <c r="AD96" s="83">
        <f t="shared" si="23"/>
        <v>42.264</v>
      </c>
      <c r="AE96" s="83">
        <f t="shared" si="24"/>
        <v>28.69947849</v>
      </c>
      <c r="AF96" s="79">
        <v>80.0</v>
      </c>
      <c r="AG96" s="86">
        <f t="shared" si="25"/>
        <v>-5.325443787</v>
      </c>
      <c r="AH96" s="63">
        <f t="shared" si="26"/>
        <v>9</v>
      </c>
      <c r="AI96" s="90">
        <v>99.0</v>
      </c>
      <c r="AJ96" s="90">
        <v>89.0</v>
      </c>
      <c r="AK96" s="14">
        <f t="shared" si="27"/>
        <v>5.325443787</v>
      </c>
      <c r="AL96" s="14"/>
      <c r="AM96" s="14">
        <f t="shared" si="310"/>
        <v>10.11235955</v>
      </c>
      <c r="AN96" s="14">
        <f t="shared" si="29"/>
        <v>10.65088757</v>
      </c>
      <c r="AO96" s="87">
        <f t="shared" si="30"/>
        <v>1.053254438</v>
      </c>
      <c r="AP96" s="14">
        <f t="shared" si="31"/>
        <v>-0.58264</v>
      </c>
      <c r="AQ96" s="14">
        <f t="shared" si="32"/>
        <v>-0.16</v>
      </c>
      <c r="AR96" s="88">
        <f t="shared" ref="AR96:AS96" si="318">AI96/94</f>
        <v>1.053191489</v>
      </c>
      <c r="AS96" s="88">
        <f t="shared" si="318"/>
        <v>0.9468085106</v>
      </c>
      <c r="AT96" s="89">
        <f t="shared" ref="AT96:AU96" si="319">AI96/24</f>
        <v>4.125</v>
      </c>
      <c r="AU96" s="89">
        <f t="shared" si="319"/>
        <v>3.708333333</v>
      </c>
      <c r="AV96" s="89">
        <f t="shared" ref="AV96:AW96" si="320">AI96/125</f>
        <v>0.792</v>
      </c>
      <c r="AW96" s="89">
        <f t="shared" si="320"/>
        <v>0.712</v>
      </c>
      <c r="AX96" s="79"/>
      <c r="AY96" s="79"/>
    </row>
    <row r="97" ht="15.75" customHeight="1">
      <c r="A97" s="77"/>
      <c r="B97" s="77" t="s">
        <v>234</v>
      </c>
      <c r="C97" s="77" t="s">
        <v>235</v>
      </c>
      <c r="D97" s="78">
        <v>50.0</v>
      </c>
      <c r="E97" s="79"/>
      <c r="F97" s="80">
        <v>30.0</v>
      </c>
      <c r="G97" s="78">
        <v>3.30741E7</v>
      </c>
      <c r="H97" s="81">
        <v>0.05</v>
      </c>
      <c r="I97" s="77">
        <f t="shared" si="4"/>
        <v>2.5</v>
      </c>
      <c r="J97" s="79"/>
      <c r="K97" s="77">
        <f t="shared" si="317"/>
        <v>2</v>
      </c>
      <c r="L97" s="82">
        <f t="shared" si="5"/>
        <v>84.5</v>
      </c>
      <c r="M97" s="77">
        <f t="shared" si="6"/>
        <v>0.5</v>
      </c>
      <c r="N97" s="83">
        <f t="shared" si="7"/>
        <v>6.76</v>
      </c>
      <c r="O97" s="83">
        <f t="shared" si="8"/>
        <v>8.45</v>
      </c>
      <c r="P97" s="83">
        <f t="shared" si="9"/>
        <v>4.225</v>
      </c>
      <c r="Q97" s="83">
        <f t="shared" si="10"/>
        <v>1.69</v>
      </c>
      <c r="R97" s="83">
        <f t="shared" si="48"/>
        <v>0.525</v>
      </c>
      <c r="S97" s="83">
        <f t="shared" si="12"/>
        <v>0.845</v>
      </c>
      <c r="T97" s="84">
        <f t="shared" si="13"/>
        <v>22.47</v>
      </c>
      <c r="U97" s="77">
        <f t="shared" si="14"/>
        <v>1.05</v>
      </c>
      <c r="V97" s="42">
        <f t="shared" si="15"/>
        <v>5.25</v>
      </c>
      <c r="W97" s="77">
        <f t="shared" si="16"/>
        <v>1.05</v>
      </c>
      <c r="X97" s="77">
        <f t="shared" si="17"/>
        <v>8.4</v>
      </c>
      <c r="Y97" s="77">
        <f t="shared" si="18"/>
        <v>15.75</v>
      </c>
      <c r="Z97" s="84">
        <f t="shared" si="19"/>
        <v>122.72</v>
      </c>
      <c r="AA97" s="85">
        <f t="shared" si="20"/>
        <v>24.544</v>
      </c>
      <c r="AB97" s="83">
        <f t="shared" si="49"/>
        <v>147.264</v>
      </c>
      <c r="AC97" s="77">
        <f t="shared" si="22"/>
        <v>105</v>
      </c>
      <c r="AD97" s="83">
        <f t="shared" si="23"/>
        <v>42.264</v>
      </c>
      <c r="AE97" s="83">
        <f t="shared" si="24"/>
        <v>28.69947849</v>
      </c>
      <c r="AF97" s="79">
        <v>80.0</v>
      </c>
      <c r="AG97" s="86">
        <f t="shared" si="25"/>
        <v>-5.325443787</v>
      </c>
      <c r="AH97" s="63">
        <f t="shared" si="26"/>
        <v>9</v>
      </c>
      <c r="AI97" s="90">
        <v>99.0</v>
      </c>
      <c r="AJ97" s="90">
        <v>89.0</v>
      </c>
      <c r="AK97" s="14">
        <f t="shared" si="27"/>
        <v>5.325443787</v>
      </c>
      <c r="AL97" s="14"/>
      <c r="AM97" s="14">
        <f t="shared" si="310"/>
        <v>10.11235955</v>
      </c>
      <c r="AN97" s="14">
        <f t="shared" si="29"/>
        <v>10.65088757</v>
      </c>
      <c r="AO97" s="87">
        <f t="shared" si="30"/>
        <v>1.053254438</v>
      </c>
      <c r="AP97" s="14">
        <f t="shared" si="31"/>
        <v>-0.58264</v>
      </c>
      <c r="AQ97" s="14">
        <f t="shared" si="32"/>
        <v>-0.16</v>
      </c>
      <c r="AR97" s="88">
        <f t="shared" ref="AR97:AS97" si="321">AI97/94</f>
        <v>1.053191489</v>
      </c>
      <c r="AS97" s="88">
        <f t="shared" si="321"/>
        <v>0.9468085106</v>
      </c>
      <c r="AT97" s="89">
        <f t="shared" ref="AT97:AU97" si="322">AI97/24</f>
        <v>4.125</v>
      </c>
      <c r="AU97" s="89">
        <f t="shared" si="322"/>
        <v>3.708333333</v>
      </c>
      <c r="AV97" s="89">
        <f t="shared" ref="AV97:AW97" si="323">AI97/125</f>
        <v>0.792</v>
      </c>
      <c r="AW97" s="89">
        <f t="shared" si="323"/>
        <v>0.712</v>
      </c>
      <c r="AX97" s="79"/>
      <c r="AY97" s="79"/>
    </row>
    <row r="98" ht="15.75" customHeight="1">
      <c r="A98" s="77"/>
      <c r="B98" s="77" t="s">
        <v>236</v>
      </c>
      <c r="C98" s="77" t="s">
        <v>237</v>
      </c>
      <c r="D98" s="78">
        <v>50.0</v>
      </c>
      <c r="E98" s="79"/>
      <c r="F98" s="80">
        <v>30.0</v>
      </c>
      <c r="G98" s="78">
        <v>3.30741E7</v>
      </c>
      <c r="H98" s="81">
        <v>0.05</v>
      </c>
      <c r="I98" s="77">
        <f t="shared" si="4"/>
        <v>2.5</v>
      </c>
      <c r="J98" s="79"/>
      <c r="K98" s="77">
        <f t="shared" si="317"/>
        <v>2</v>
      </c>
      <c r="L98" s="82">
        <f t="shared" si="5"/>
        <v>84.5</v>
      </c>
      <c r="M98" s="77">
        <f t="shared" si="6"/>
        <v>0.5</v>
      </c>
      <c r="N98" s="83">
        <f t="shared" si="7"/>
        <v>6.76</v>
      </c>
      <c r="O98" s="83">
        <f t="shared" si="8"/>
        <v>8.45</v>
      </c>
      <c r="P98" s="83">
        <f t="shared" si="9"/>
        <v>4.225</v>
      </c>
      <c r="Q98" s="83">
        <f t="shared" si="10"/>
        <v>1.69</v>
      </c>
      <c r="R98" s="83">
        <f t="shared" si="48"/>
        <v>0.525</v>
      </c>
      <c r="S98" s="83">
        <f t="shared" si="12"/>
        <v>0.845</v>
      </c>
      <c r="T98" s="84">
        <f t="shared" si="13"/>
        <v>22.47</v>
      </c>
      <c r="U98" s="77">
        <f t="shared" si="14"/>
        <v>1.05</v>
      </c>
      <c r="V98" s="42">
        <f t="shared" si="15"/>
        <v>5.25</v>
      </c>
      <c r="W98" s="77">
        <f t="shared" si="16"/>
        <v>1.05</v>
      </c>
      <c r="X98" s="77">
        <f t="shared" si="17"/>
        <v>8.4</v>
      </c>
      <c r="Y98" s="77">
        <f t="shared" si="18"/>
        <v>15.75</v>
      </c>
      <c r="Z98" s="84">
        <f t="shared" si="19"/>
        <v>122.72</v>
      </c>
      <c r="AA98" s="85">
        <f t="shared" si="20"/>
        <v>24.544</v>
      </c>
      <c r="AB98" s="83">
        <f t="shared" si="49"/>
        <v>147.264</v>
      </c>
      <c r="AC98" s="77">
        <f t="shared" si="22"/>
        <v>105</v>
      </c>
      <c r="AD98" s="83">
        <f t="shared" si="23"/>
        <v>42.264</v>
      </c>
      <c r="AE98" s="83">
        <f t="shared" si="24"/>
        <v>28.69947849</v>
      </c>
      <c r="AF98" s="79">
        <v>80.0</v>
      </c>
      <c r="AG98" s="86">
        <f t="shared" si="25"/>
        <v>-5.325443787</v>
      </c>
      <c r="AH98" s="63">
        <f t="shared" si="26"/>
        <v>9</v>
      </c>
      <c r="AI98" s="90">
        <v>99.0</v>
      </c>
      <c r="AJ98" s="90">
        <v>89.0</v>
      </c>
      <c r="AK98" s="14">
        <f t="shared" si="27"/>
        <v>5.325443787</v>
      </c>
      <c r="AL98" s="14"/>
      <c r="AM98" s="14">
        <f t="shared" si="310"/>
        <v>10.11235955</v>
      </c>
      <c r="AN98" s="14">
        <f t="shared" si="29"/>
        <v>10.65088757</v>
      </c>
      <c r="AO98" s="87">
        <f t="shared" si="30"/>
        <v>1.053254438</v>
      </c>
      <c r="AP98" s="14">
        <f t="shared" si="31"/>
        <v>-0.58264</v>
      </c>
      <c r="AQ98" s="14">
        <f t="shared" si="32"/>
        <v>-0.16</v>
      </c>
      <c r="AR98" s="88">
        <f t="shared" ref="AR98:AS98" si="324">AI98/94</f>
        <v>1.053191489</v>
      </c>
      <c r="AS98" s="88">
        <f t="shared" si="324"/>
        <v>0.9468085106</v>
      </c>
      <c r="AT98" s="89">
        <f t="shared" ref="AT98:AU98" si="325">AI98/24</f>
        <v>4.125</v>
      </c>
      <c r="AU98" s="89">
        <f t="shared" si="325"/>
        <v>3.708333333</v>
      </c>
      <c r="AV98" s="89">
        <f t="shared" ref="AV98:AW98" si="326">AI98/125</f>
        <v>0.792</v>
      </c>
      <c r="AW98" s="89">
        <f t="shared" si="326"/>
        <v>0.712</v>
      </c>
      <c r="AX98" s="79"/>
      <c r="AY98" s="79"/>
    </row>
    <row r="99" ht="15.75" customHeight="1">
      <c r="A99" s="77"/>
      <c r="B99" s="77" t="s">
        <v>238</v>
      </c>
      <c r="C99" s="77" t="s">
        <v>239</v>
      </c>
      <c r="D99" s="78">
        <v>50.0</v>
      </c>
      <c r="E99" s="79"/>
      <c r="F99" s="80">
        <v>30.0</v>
      </c>
      <c r="G99" s="78">
        <v>3.30741E7</v>
      </c>
      <c r="H99" s="81">
        <v>0.05</v>
      </c>
      <c r="I99" s="77">
        <f t="shared" si="4"/>
        <v>2.5</v>
      </c>
      <c r="J99" s="79"/>
      <c r="K99" s="77">
        <f t="shared" si="317"/>
        <v>2</v>
      </c>
      <c r="L99" s="82">
        <f t="shared" si="5"/>
        <v>84.5</v>
      </c>
      <c r="M99" s="77">
        <f t="shared" si="6"/>
        <v>0.5</v>
      </c>
      <c r="N99" s="83">
        <f t="shared" si="7"/>
        <v>6.76</v>
      </c>
      <c r="O99" s="83">
        <f t="shared" si="8"/>
        <v>8.45</v>
      </c>
      <c r="P99" s="83">
        <f t="shared" si="9"/>
        <v>4.225</v>
      </c>
      <c r="Q99" s="83">
        <f t="shared" si="10"/>
        <v>1.69</v>
      </c>
      <c r="R99" s="83">
        <f t="shared" si="48"/>
        <v>0.525</v>
      </c>
      <c r="S99" s="83">
        <f t="shared" si="12"/>
        <v>0.845</v>
      </c>
      <c r="T99" s="84">
        <f t="shared" si="13"/>
        <v>22.47</v>
      </c>
      <c r="U99" s="77">
        <f t="shared" si="14"/>
        <v>1.05</v>
      </c>
      <c r="V99" s="42">
        <f t="shared" si="15"/>
        <v>5.25</v>
      </c>
      <c r="W99" s="77">
        <f t="shared" si="16"/>
        <v>1.05</v>
      </c>
      <c r="X99" s="77">
        <f t="shared" si="17"/>
        <v>8.4</v>
      </c>
      <c r="Y99" s="77">
        <f t="shared" si="18"/>
        <v>15.75</v>
      </c>
      <c r="Z99" s="84">
        <f t="shared" si="19"/>
        <v>122.72</v>
      </c>
      <c r="AA99" s="85">
        <f t="shared" si="20"/>
        <v>24.544</v>
      </c>
      <c r="AB99" s="83">
        <f t="shared" si="49"/>
        <v>147.264</v>
      </c>
      <c r="AC99" s="77">
        <f t="shared" si="22"/>
        <v>105</v>
      </c>
      <c r="AD99" s="83">
        <f t="shared" si="23"/>
        <v>42.264</v>
      </c>
      <c r="AE99" s="83">
        <f t="shared" si="24"/>
        <v>28.69947849</v>
      </c>
      <c r="AF99" s="79">
        <v>80.0</v>
      </c>
      <c r="AG99" s="86">
        <f t="shared" si="25"/>
        <v>-5.325443787</v>
      </c>
      <c r="AH99" s="63">
        <f t="shared" si="26"/>
        <v>9</v>
      </c>
      <c r="AI99" s="90">
        <v>99.0</v>
      </c>
      <c r="AJ99" s="90">
        <v>89.0</v>
      </c>
      <c r="AK99" s="14">
        <f t="shared" si="27"/>
        <v>5.325443787</v>
      </c>
      <c r="AL99" s="14"/>
      <c r="AM99" s="14">
        <f t="shared" si="310"/>
        <v>10.11235955</v>
      </c>
      <c r="AN99" s="14">
        <f t="shared" si="29"/>
        <v>10.65088757</v>
      </c>
      <c r="AO99" s="87">
        <f t="shared" si="30"/>
        <v>1.053254438</v>
      </c>
      <c r="AP99" s="14">
        <f t="shared" si="31"/>
        <v>-0.58264</v>
      </c>
      <c r="AQ99" s="14">
        <f t="shared" si="32"/>
        <v>-0.16</v>
      </c>
      <c r="AR99" s="88">
        <f t="shared" ref="AR99:AS99" si="327">AI99/94</f>
        <v>1.053191489</v>
      </c>
      <c r="AS99" s="88">
        <f t="shared" si="327"/>
        <v>0.9468085106</v>
      </c>
      <c r="AT99" s="89">
        <f t="shared" ref="AT99:AU99" si="328">AI99/24</f>
        <v>4.125</v>
      </c>
      <c r="AU99" s="89">
        <f t="shared" si="328"/>
        <v>3.708333333</v>
      </c>
      <c r="AV99" s="89">
        <f t="shared" ref="AV99:AW99" si="329">AI99/125</f>
        <v>0.792</v>
      </c>
      <c r="AW99" s="89">
        <f t="shared" si="329"/>
        <v>0.712</v>
      </c>
      <c r="AX99" s="79"/>
      <c r="AY99" s="79"/>
    </row>
    <row r="100" ht="15.75" customHeight="1">
      <c r="A100" s="77"/>
      <c r="B100" s="77" t="s">
        <v>240</v>
      </c>
      <c r="C100" s="77" t="s">
        <v>241</v>
      </c>
      <c r="D100" s="78">
        <v>50.0</v>
      </c>
      <c r="E100" s="79"/>
      <c r="F100" s="80">
        <v>30.0</v>
      </c>
      <c r="G100" s="78">
        <v>3.30741E7</v>
      </c>
      <c r="H100" s="81">
        <v>0.05</v>
      </c>
      <c r="I100" s="77">
        <f t="shared" si="4"/>
        <v>2.5</v>
      </c>
      <c r="J100" s="79"/>
      <c r="K100" s="77">
        <f t="shared" si="317"/>
        <v>2</v>
      </c>
      <c r="L100" s="82">
        <f t="shared" si="5"/>
        <v>84.5</v>
      </c>
      <c r="M100" s="77">
        <f t="shared" si="6"/>
        <v>0.5</v>
      </c>
      <c r="N100" s="83">
        <f t="shared" si="7"/>
        <v>6.76</v>
      </c>
      <c r="O100" s="83">
        <f t="shared" si="8"/>
        <v>8.45</v>
      </c>
      <c r="P100" s="83">
        <f t="shared" si="9"/>
        <v>4.225</v>
      </c>
      <c r="Q100" s="83">
        <f t="shared" si="10"/>
        <v>1.69</v>
      </c>
      <c r="R100" s="83">
        <f t="shared" si="48"/>
        <v>0.525</v>
      </c>
      <c r="S100" s="83">
        <f t="shared" si="12"/>
        <v>0.845</v>
      </c>
      <c r="T100" s="84">
        <f t="shared" si="13"/>
        <v>22.47</v>
      </c>
      <c r="U100" s="77">
        <f t="shared" si="14"/>
        <v>1.05</v>
      </c>
      <c r="V100" s="42">
        <f t="shared" si="15"/>
        <v>5.25</v>
      </c>
      <c r="W100" s="77">
        <f t="shared" si="16"/>
        <v>1.05</v>
      </c>
      <c r="X100" s="77">
        <f t="shared" si="17"/>
        <v>8.4</v>
      </c>
      <c r="Y100" s="77">
        <f t="shared" si="18"/>
        <v>15.75</v>
      </c>
      <c r="Z100" s="84">
        <f t="shared" si="19"/>
        <v>122.72</v>
      </c>
      <c r="AA100" s="85">
        <f t="shared" si="20"/>
        <v>24.544</v>
      </c>
      <c r="AB100" s="83">
        <f t="shared" si="49"/>
        <v>147.264</v>
      </c>
      <c r="AC100" s="77">
        <f t="shared" si="22"/>
        <v>105</v>
      </c>
      <c r="AD100" s="83">
        <f t="shared" si="23"/>
        <v>42.264</v>
      </c>
      <c r="AE100" s="83">
        <f t="shared" si="24"/>
        <v>28.69947849</v>
      </c>
      <c r="AF100" s="79">
        <v>80.0</v>
      </c>
      <c r="AG100" s="86">
        <f t="shared" si="25"/>
        <v>-5.325443787</v>
      </c>
      <c r="AH100" s="63">
        <f t="shared" si="26"/>
        <v>9</v>
      </c>
      <c r="AI100" s="90">
        <v>99.0</v>
      </c>
      <c r="AJ100" s="90">
        <v>89.0</v>
      </c>
      <c r="AK100" s="14">
        <f t="shared" si="27"/>
        <v>5.325443787</v>
      </c>
      <c r="AL100" s="14"/>
      <c r="AM100" s="14">
        <f t="shared" si="310"/>
        <v>10.11235955</v>
      </c>
      <c r="AN100" s="14">
        <f t="shared" si="29"/>
        <v>10.65088757</v>
      </c>
      <c r="AO100" s="87">
        <f t="shared" si="30"/>
        <v>1.053254438</v>
      </c>
      <c r="AP100" s="14">
        <f t="shared" si="31"/>
        <v>-0.58264</v>
      </c>
      <c r="AQ100" s="14">
        <f t="shared" si="32"/>
        <v>-0.16</v>
      </c>
      <c r="AR100" s="88">
        <f t="shared" ref="AR100:AS100" si="330">AI100/94</f>
        <v>1.053191489</v>
      </c>
      <c r="AS100" s="88">
        <f t="shared" si="330"/>
        <v>0.9468085106</v>
      </c>
      <c r="AT100" s="89">
        <f t="shared" ref="AT100:AU100" si="331">AI100/24</f>
        <v>4.125</v>
      </c>
      <c r="AU100" s="89">
        <f t="shared" si="331"/>
        <v>3.708333333</v>
      </c>
      <c r="AV100" s="89">
        <f t="shared" ref="AV100:AW100" si="332">AI100/125</f>
        <v>0.792</v>
      </c>
      <c r="AW100" s="89">
        <f t="shared" si="332"/>
        <v>0.712</v>
      </c>
      <c r="AX100" s="79"/>
      <c r="AY100" s="79"/>
    </row>
    <row r="101" ht="15.75" customHeight="1">
      <c r="A101" s="77"/>
      <c r="B101" s="77" t="s">
        <v>242</v>
      </c>
      <c r="C101" s="77" t="s">
        <v>243</v>
      </c>
      <c r="D101" s="78">
        <v>50.0</v>
      </c>
      <c r="E101" s="79"/>
      <c r="F101" s="80">
        <v>30.0</v>
      </c>
      <c r="G101" s="78">
        <v>3.30741E7</v>
      </c>
      <c r="H101" s="81">
        <v>0.05</v>
      </c>
      <c r="I101" s="77">
        <f t="shared" si="4"/>
        <v>2.5</v>
      </c>
      <c r="J101" s="79"/>
      <c r="K101" s="77">
        <f t="shared" si="317"/>
        <v>2</v>
      </c>
      <c r="L101" s="82">
        <f t="shared" si="5"/>
        <v>84.5</v>
      </c>
      <c r="M101" s="77">
        <f t="shared" si="6"/>
        <v>0.5</v>
      </c>
      <c r="N101" s="83">
        <f t="shared" si="7"/>
        <v>6.76</v>
      </c>
      <c r="O101" s="83">
        <f t="shared" si="8"/>
        <v>8.45</v>
      </c>
      <c r="P101" s="83">
        <f t="shared" si="9"/>
        <v>4.225</v>
      </c>
      <c r="Q101" s="83">
        <f t="shared" si="10"/>
        <v>1.69</v>
      </c>
      <c r="R101" s="83">
        <f t="shared" si="48"/>
        <v>0.525</v>
      </c>
      <c r="S101" s="83">
        <f t="shared" si="12"/>
        <v>0.845</v>
      </c>
      <c r="T101" s="84">
        <f t="shared" si="13"/>
        <v>22.47</v>
      </c>
      <c r="U101" s="77">
        <f t="shared" si="14"/>
        <v>1.05</v>
      </c>
      <c r="V101" s="42">
        <f t="shared" si="15"/>
        <v>5.25</v>
      </c>
      <c r="W101" s="77">
        <f t="shared" si="16"/>
        <v>1.05</v>
      </c>
      <c r="X101" s="77">
        <f t="shared" si="17"/>
        <v>8.4</v>
      </c>
      <c r="Y101" s="77">
        <f t="shared" si="18"/>
        <v>15.75</v>
      </c>
      <c r="Z101" s="84">
        <f t="shared" si="19"/>
        <v>122.72</v>
      </c>
      <c r="AA101" s="85">
        <f t="shared" si="20"/>
        <v>24.544</v>
      </c>
      <c r="AB101" s="83">
        <f t="shared" si="49"/>
        <v>147.264</v>
      </c>
      <c r="AC101" s="77">
        <f t="shared" si="22"/>
        <v>105</v>
      </c>
      <c r="AD101" s="83">
        <f t="shared" si="23"/>
        <v>42.264</v>
      </c>
      <c r="AE101" s="83">
        <f t="shared" si="24"/>
        <v>28.69947849</v>
      </c>
      <c r="AF101" s="79">
        <v>80.0</v>
      </c>
      <c r="AG101" s="86">
        <f t="shared" si="25"/>
        <v>-5.325443787</v>
      </c>
      <c r="AH101" s="63">
        <f t="shared" si="26"/>
        <v>9</v>
      </c>
      <c r="AI101" s="90">
        <v>99.0</v>
      </c>
      <c r="AJ101" s="90">
        <v>89.0</v>
      </c>
      <c r="AK101" s="14">
        <f t="shared" si="27"/>
        <v>5.325443787</v>
      </c>
      <c r="AL101" s="14"/>
      <c r="AM101" s="14">
        <f t="shared" si="310"/>
        <v>10.11235955</v>
      </c>
      <c r="AN101" s="14">
        <f t="shared" si="29"/>
        <v>10.65088757</v>
      </c>
      <c r="AO101" s="87">
        <f t="shared" si="30"/>
        <v>1.053254438</v>
      </c>
      <c r="AP101" s="14">
        <f t="shared" si="31"/>
        <v>-0.58264</v>
      </c>
      <c r="AQ101" s="14">
        <f t="shared" si="32"/>
        <v>-0.16</v>
      </c>
      <c r="AR101" s="88">
        <f t="shared" ref="AR101:AS101" si="333">AI101/94</f>
        <v>1.053191489</v>
      </c>
      <c r="AS101" s="88">
        <f t="shared" si="333"/>
        <v>0.9468085106</v>
      </c>
      <c r="AT101" s="89">
        <f t="shared" ref="AT101:AU101" si="334">AI101/24</f>
        <v>4.125</v>
      </c>
      <c r="AU101" s="89">
        <f t="shared" si="334"/>
        <v>3.708333333</v>
      </c>
      <c r="AV101" s="89">
        <f t="shared" ref="AV101:AW101" si="335">AI101/125</f>
        <v>0.792</v>
      </c>
      <c r="AW101" s="89">
        <f t="shared" si="335"/>
        <v>0.712</v>
      </c>
      <c r="AX101" s="79"/>
      <c r="AY101" s="79"/>
    </row>
    <row r="102" ht="15.0" customHeight="1">
      <c r="A102" s="77" t="s">
        <v>244</v>
      </c>
      <c r="B102" s="77" t="s">
        <v>245</v>
      </c>
      <c r="C102" s="77" t="s">
        <v>246</v>
      </c>
      <c r="D102" s="78">
        <v>930.0</v>
      </c>
      <c r="E102" s="79"/>
      <c r="F102" s="80">
        <v>60.0</v>
      </c>
      <c r="G102" s="78">
        <v>5.7050042E7</v>
      </c>
      <c r="H102" s="81">
        <v>0.05</v>
      </c>
      <c r="I102" s="77">
        <f t="shared" si="4"/>
        <v>46.5</v>
      </c>
      <c r="J102" s="79"/>
      <c r="K102" s="80">
        <v>40.0</v>
      </c>
      <c r="L102" s="82">
        <f t="shared" si="5"/>
        <v>1076.5</v>
      </c>
      <c r="M102" s="77">
        <f t="shared" si="6"/>
        <v>9.3</v>
      </c>
      <c r="N102" s="83">
        <f t="shared" si="7"/>
        <v>86.12</v>
      </c>
      <c r="O102" s="83">
        <f t="shared" si="8"/>
        <v>107.65</v>
      </c>
      <c r="P102" s="83">
        <f t="shared" si="9"/>
        <v>53.825</v>
      </c>
      <c r="Q102" s="83">
        <f t="shared" si="10"/>
        <v>21.53</v>
      </c>
      <c r="R102" s="83">
        <f t="shared" si="48"/>
        <v>9.765</v>
      </c>
      <c r="S102" s="83">
        <f t="shared" si="12"/>
        <v>10.765</v>
      </c>
      <c r="T102" s="84">
        <f t="shared" si="13"/>
        <v>289.19</v>
      </c>
      <c r="U102" s="77">
        <f t="shared" si="14"/>
        <v>19.53</v>
      </c>
      <c r="V102" s="42">
        <f t="shared" si="15"/>
        <v>97.65</v>
      </c>
      <c r="W102" s="77">
        <f t="shared" si="16"/>
        <v>19.53</v>
      </c>
      <c r="X102" s="77">
        <f t="shared" si="17"/>
        <v>156.24</v>
      </c>
      <c r="Y102" s="77">
        <f t="shared" si="18"/>
        <v>292.95</v>
      </c>
      <c r="Z102" s="84">
        <f t="shared" si="19"/>
        <v>1658.64</v>
      </c>
      <c r="AA102" s="85">
        <f t="shared" si="20"/>
        <v>331.728</v>
      </c>
      <c r="AB102" s="83">
        <f t="shared" si="49"/>
        <v>1990.368</v>
      </c>
      <c r="AC102" s="77">
        <f t="shared" si="22"/>
        <v>1953</v>
      </c>
      <c r="AD102" s="83">
        <f t="shared" si="23"/>
        <v>37.368</v>
      </c>
      <c r="AE102" s="83">
        <f t="shared" si="24"/>
        <v>1.87744176</v>
      </c>
      <c r="AF102" s="79">
        <v>1790.0</v>
      </c>
      <c r="AG102" s="86">
        <f t="shared" si="25"/>
        <v>66.27960985</v>
      </c>
      <c r="AH102" s="63">
        <f t="shared" si="26"/>
        <v>0</v>
      </c>
      <c r="AI102" s="63">
        <v>2090.0</v>
      </c>
      <c r="AJ102" s="90">
        <v>1790.0</v>
      </c>
      <c r="AK102" s="14">
        <f t="shared" si="27"/>
        <v>66.27960985</v>
      </c>
      <c r="AL102" s="14"/>
      <c r="AM102" s="14">
        <f t="shared" si="310"/>
        <v>0</v>
      </c>
      <c r="AN102" s="14">
        <f t="shared" si="29"/>
        <v>0</v>
      </c>
      <c r="AO102" s="87">
        <f t="shared" si="30"/>
        <v>1.662796098</v>
      </c>
      <c r="AP102" s="14">
        <f t="shared" si="31"/>
        <v>-2.00368</v>
      </c>
      <c r="AQ102" s="14">
        <f t="shared" si="32"/>
        <v>-1.63</v>
      </c>
      <c r="AR102" s="88">
        <f t="shared" ref="AR102:AS102" si="336">AI102/94</f>
        <v>22.23404255</v>
      </c>
      <c r="AS102" s="88">
        <f t="shared" si="336"/>
        <v>19.04255319</v>
      </c>
      <c r="AT102" s="89">
        <f t="shared" ref="AT102:AU102" si="337">AI102/24</f>
        <v>87.08333333</v>
      </c>
      <c r="AU102" s="89">
        <f t="shared" si="337"/>
        <v>74.58333333</v>
      </c>
      <c r="AV102" s="89">
        <f t="shared" ref="AV102:AW102" si="338">AI102/125</f>
        <v>16.72</v>
      </c>
      <c r="AW102" s="89">
        <f t="shared" si="338"/>
        <v>14.32</v>
      </c>
      <c r="AX102" s="79"/>
      <c r="AY102" s="79"/>
    </row>
    <row r="103" ht="15.75" customHeight="1">
      <c r="A103" s="77"/>
      <c r="B103" s="77" t="s">
        <v>247</v>
      </c>
      <c r="C103" s="77" t="s">
        <v>248</v>
      </c>
      <c r="D103" s="78">
        <v>930.0</v>
      </c>
      <c r="E103" s="79"/>
      <c r="F103" s="80">
        <v>60.0</v>
      </c>
      <c r="G103" s="78">
        <v>5.7050042E7</v>
      </c>
      <c r="H103" s="81">
        <v>0.05</v>
      </c>
      <c r="I103" s="77">
        <f t="shared" si="4"/>
        <v>46.5</v>
      </c>
      <c r="J103" s="79"/>
      <c r="K103" s="80">
        <v>40.0</v>
      </c>
      <c r="L103" s="82">
        <f t="shared" si="5"/>
        <v>1076.5</v>
      </c>
      <c r="M103" s="77">
        <f t="shared" si="6"/>
        <v>9.3</v>
      </c>
      <c r="N103" s="83">
        <f t="shared" si="7"/>
        <v>86.12</v>
      </c>
      <c r="O103" s="83">
        <f t="shared" si="8"/>
        <v>107.65</v>
      </c>
      <c r="P103" s="83">
        <f t="shared" si="9"/>
        <v>53.825</v>
      </c>
      <c r="Q103" s="83">
        <f t="shared" si="10"/>
        <v>21.53</v>
      </c>
      <c r="R103" s="83">
        <f t="shared" si="48"/>
        <v>9.765</v>
      </c>
      <c r="S103" s="83">
        <f t="shared" si="12"/>
        <v>10.765</v>
      </c>
      <c r="T103" s="84">
        <f t="shared" si="13"/>
        <v>289.19</v>
      </c>
      <c r="U103" s="77">
        <f t="shared" si="14"/>
        <v>19.53</v>
      </c>
      <c r="V103" s="42">
        <f t="shared" si="15"/>
        <v>97.65</v>
      </c>
      <c r="W103" s="77">
        <f t="shared" si="16"/>
        <v>19.53</v>
      </c>
      <c r="X103" s="77">
        <f t="shared" si="17"/>
        <v>156.24</v>
      </c>
      <c r="Y103" s="77">
        <f t="shared" si="18"/>
        <v>292.95</v>
      </c>
      <c r="Z103" s="84">
        <f t="shared" si="19"/>
        <v>1658.64</v>
      </c>
      <c r="AA103" s="85">
        <f t="shared" si="20"/>
        <v>331.728</v>
      </c>
      <c r="AB103" s="83">
        <f t="shared" si="49"/>
        <v>1990.368</v>
      </c>
      <c r="AC103" s="77">
        <f t="shared" si="22"/>
        <v>1953</v>
      </c>
      <c r="AD103" s="83">
        <f t="shared" si="23"/>
        <v>37.368</v>
      </c>
      <c r="AE103" s="83">
        <f t="shared" si="24"/>
        <v>1.87744176</v>
      </c>
      <c r="AF103" s="79">
        <v>1790.0</v>
      </c>
      <c r="AG103" s="86">
        <f t="shared" si="25"/>
        <v>66.27960985</v>
      </c>
      <c r="AH103" s="63">
        <f t="shared" si="26"/>
        <v>0</v>
      </c>
      <c r="AI103" s="63">
        <f t="shared" ref="AI103:AI105" si="342">AB103</f>
        <v>1990.368</v>
      </c>
      <c r="AJ103" s="90">
        <v>1790.0</v>
      </c>
      <c r="AK103" s="14">
        <f t="shared" si="27"/>
        <v>66.27960985</v>
      </c>
      <c r="AL103" s="14"/>
      <c r="AM103" s="14">
        <f t="shared" si="310"/>
        <v>0</v>
      </c>
      <c r="AN103" s="14">
        <f t="shared" si="29"/>
        <v>0</v>
      </c>
      <c r="AO103" s="87">
        <f t="shared" si="30"/>
        <v>1.662796098</v>
      </c>
      <c r="AP103" s="14">
        <f t="shared" si="31"/>
        <v>-2.00368</v>
      </c>
      <c r="AQ103" s="14">
        <f t="shared" si="32"/>
        <v>-1.63</v>
      </c>
      <c r="AR103" s="88">
        <f t="shared" ref="AR103:AS103" si="339">AI103/94</f>
        <v>21.17412766</v>
      </c>
      <c r="AS103" s="88">
        <f t="shared" si="339"/>
        <v>19.04255319</v>
      </c>
      <c r="AT103" s="89">
        <f t="shared" ref="AT103:AU103" si="340">AI103/24</f>
        <v>82.932</v>
      </c>
      <c r="AU103" s="89">
        <f t="shared" si="340"/>
        <v>74.58333333</v>
      </c>
      <c r="AV103" s="89">
        <f t="shared" ref="AV103:AW103" si="341">AI103/125</f>
        <v>15.922944</v>
      </c>
      <c r="AW103" s="89">
        <f t="shared" si="341"/>
        <v>14.32</v>
      </c>
      <c r="AX103" s="79"/>
      <c r="AY103" s="79"/>
    </row>
    <row r="104" ht="15.75" customHeight="1">
      <c r="A104" s="77"/>
      <c r="B104" s="77" t="s">
        <v>249</v>
      </c>
      <c r="C104" s="77" t="s">
        <v>250</v>
      </c>
      <c r="D104" s="78">
        <v>930.0</v>
      </c>
      <c r="E104" s="79"/>
      <c r="F104" s="80">
        <v>60.0</v>
      </c>
      <c r="G104" s="78">
        <v>5.7050042E7</v>
      </c>
      <c r="H104" s="81">
        <v>0.05</v>
      </c>
      <c r="I104" s="77">
        <f t="shared" si="4"/>
        <v>46.5</v>
      </c>
      <c r="J104" s="79"/>
      <c r="K104" s="80">
        <v>40.0</v>
      </c>
      <c r="L104" s="82">
        <f t="shared" si="5"/>
        <v>1076.5</v>
      </c>
      <c r="M104" s="77">
        <f t="shared" si="6"/>
        <v>9.3</v>
      </c>
      <c r="N104" s="83">
        <f t="shared" si="7"/>
        <v>86.12</v>
      </c>
      <c r="O104" s="83">
        <f t="shared" si="8"/>
        <v>107.65</v>
      </c>
      <c r="P104" s="83">
        <f t="shared" si="9"/>
        <v>53.825</v>
      </c>
      <c r="Q104" s="83">
        <f t="shared" si="10"/>
        <v>21.53</v>
      </c>
      <c r="R104" s="83">
        <f t="shared" si="48"/>
        <v>9.765</v>
      </c>
      <c r="S104" s="83">
        <f t="shared" si="12"/>
        <v>10.765</v>
      </c>
      <c r="T104" s="84">
        <f t="shared" si="13"/>
        <v>289.19</v>
      </c>
      <c r="U104" s="77">
        <f t="shared" si="14"/>
        <v>19.53</v>
      </c>
      <c r="V104" s="42">
        <f t="shared" si="15"/>
        <v>97.65</v>
      </c>
      <c r="W104" s="77">
        <f t="shared" si="16"/>
        <v>19.53</v>
      </c>
      <c r="X104" s="77">
        <f t="shared" si="17"/>
        <v>156.24</v>
      </c>
      <c r="Y104" s="77">
        <f t="shared" si="18"/>
        <v>292.95</v>
      </c>
      <c r="Z104" s="84">
        <f t="shared" si="19"/>
        <v>1658.64</v>
      </c>
      <c r="AA104" s="85">
        <f t="shared" si="20"/>
        <v>331.728</v>
      </c>
      <c r="AB104" s="83">
        <f t="shared" si="49"/>
        <v>1990.368</v>
      </c>
      <c r="AC104" s="77">
        <f t="shared" si="22"/>
        <v>1953</v>
      </c>
      <c r="AD104" s="83">
        <f t="shared" si="23"/>
        <v>37.368</v>
      </c>
      <c r="AE104" s="83">
        <f t="shared" si="24"/>
        <v>1.87744176</v>
      </c>
      <c r="AF104" s="79">
        <v>1790.0</v>
      </c>
      <c r="AG104" s="86">
        <f t="shared" si="25"/>
        <v>66.27960985</v>
      </c>
      <c r="AH104" s="63">
        <f t="shared" si="26"/>
        <v>0</v>
      </c>
      <c r="AI104" s="63">
        <f t="shared" si="342"/>
        <v>1990.368</v>
      </c>
      <c r="AJ104" s="90">
        <v>1790.0</v>
      </c>
      <c r="AK104" s="14">
        <f t="shared" si="27"/>
        <v>66.27960985</v>
      </c>
      <c r="AL104" s="14"/>
      <c r="AM104" s="14">
        <f t="shared" si="310"/>
        <v>0</v>
      </c>
      <c r="AN104" s="14">
        <f t="shared" si="29"/>
        <v>0</v>
      </c>
      <c r="AO104" s="87">
        <f t="shared" si="30"/>
        <v>1.662796098</v>
      </c>
      <c r="AP104" s="14">
        <f t="shared" si="31"/>
        <v>-2.00368</v>
      </c>
      <c r="AQ104" s="14">
        <f t="shared" si="32"/>
        <v>-1.63</v>
      </c>
      <c r="AR104" s="88">
        <f t="shared" ref="AR104:AS104" si="343">AI104/94</f>
        <v>21.17412766</v>
      </c>
      <c r="AS104" s="88">
        <f t="shared" si="343"/>
        <v>19.04255319</v>
      </c>
      <c r="AT104" s="89">
        <f t="shared" ref="AT104:AU104" si="344">AI104/24</f>
        <v>82.932</v>
      </c>
      <c r="AU104" s="89">
        <f t="shared" si="344"/>
        <v>74.58333333</v>
      </c>
      <c r="AV104" s="89">
        <f t="shared" ref="AV104:AW104" si="345">AI104/125</f>
        <v>15.922944</v>
      </c>
      <c r="AW104" s="89">
        <f t="shared" si="345"/>
        <v>14.32</v>
      </c>
      <c r="AX104" s="79"/>
      <c r="AY104" s="79"/>
    </row>
    <row r="105" ht="15.75" customHeight="1">
      <c r="A105" s="77"/>
      <c r="B105" s="77" t="s">
        <v>251</v>
      </c>
      <c r="C105" s="77" t="s">
        <v>252</v>
      </c>
      <c r="D105" s="78">
        <v>930.0</v>
      </c>
      <c r="E105" s="79"/>
      <c r="F105" s="80">
        <v>60.0</v>
      </c>
      <c r="G105" s="78">
        <v>5.7050042E7</v>
      </c>
      <c r="H105" s="81">
        <v>0.05</v>
      </c>
      <c r="I105" s="77">
        <f t="shared" si="4"/>
        <v>46.5</v>
      </c>
      <c r="J105" s="79"/>
      <c r="K105" s="80">
        <v>40.0</v>
      </c>
      <c r="L105" s="82">
        <f t="shared" si="5"/>
        <v>1076.5</v>
      </c>
      <c r="M105" s="77">
        <f t="shared" si="6"/>
        <v>9.3</v>
      </c>
      <c r="N105" s="83">
        <f t="shared" si="7"/>
        <v>86.12</v>
      </c>
      <c r="O105" s="83">
        <f t="shared" si="8"/>
        <v>107.65</v>
      </c>
      <c r="P105" s="83">
        <f t="shared" si="9"/>
        <v>53.825</v>
      </c>
      <c r="Q105" s="83">
        <f t="shared" si="10"/>
        <v>21.53</v>
      </c>
      <c r="R105" s="83">
        <f t="shared" si="48"/>
        <v>9.765</v>
      </c>
      <c r="S105" s="83">
        <f t="shared" si="12"/>
        <v>10.765</v>
      </c>
      <c r="T105" s="84">
        <f t="shared" si="13"/>
        <v>289.19</v>
      </c>
      <c r="U105" s="77">
        <f t="shared" si="14"/>
        <v>19.53</v>
      </c>
      <c r="V105" s="42">
        <f t="shared" si="15"/>
        <v>97.65</v>
      </c>
      <c r="W105" s="77">
        <f t="shared" si="16"/>
        <v>19.53</v>
      </c>
      <c r="X105" s="77">
        <f t="shared" si="17"/>
        <v>156.24</v>
      </c>
      <c r="Y105" s="77">
        <f t="shared" si="18"/>
        <v>292.95</v>
      </c>
      <c r="Z105" s="84">
        <f t="shared" si="19"/>
        <v>1658.64</v>
      </c>
      <c r="AA105" s="85">
        <f t="shared" si="20"/>
        <v>331.728</v>
      </c>
      <c r="AB105" s="83">
        <f t="shared" si="49"/>
        <v>1990.368</v>
      </c>
      <c r="AC105" s="77">
        <f t="shared" si="22"/>
        <v>1953</v>
      </c>
      <c r="AD105" s="83">
        <f t="shared" si="23"/>
        <v>37.368</v>
      </c>
      <c r="AE105" s="83">
        <f t="shared" si="24"/>
        <v>1.87744176</v>
      </c>
      <c r="AF105" s="79">
        <v>1790.0</v>
      </c>
      <c r="AG105" s="86">
        <f t="shared" si="25"/>
        <v>66.27960985</v>
      </c>
      <c r="AH105" s="63">
        <f t="shared" si="26"/>
        <v>0</v>
      </c>
      <c r="AI105" s="63">
        <f t="shared" si="342"/>
        <v>1990.368</v>
      </c>
      <c r="AJ105" s="90">
        <v>1790.0</v>
      </c>
      <c r="AK105" s="14">
        <f t="shared" si="27"/>
        <v>66.27960985</v>
      </c>
      <c r="AL105" s="14"/>
      <c r="AM105" s="14">
        <f t="shared" si="310"/>
        <v>0</v>
      </c>
      <c r="AN105" s="14">
        <f t="shared" si="29"/>
        <v>0</v>
      </c>
      <c r="AO105" s="87">
        <f t="shared" si="30"/>
        <v>1.662796098</v>
      </c>
      <c r="AP105" s="14">
        <f t="shared" si="31"/>
        <v>-2.00368</v>
      </c>
      <c r="AQ105" s="14">
        <f t="shared" si="32"/>
        <v>-1.63</v>
      </c>
      <c r="AR105" s="88">
        <f t="shared" ref="AR105:AS105" si="346">AI105/94</f>
        <v>21.17412766</v>
      </c>
      <c r="AS105" s="88">
        <f t="shared" si="346"/>
        <v>19.04255319</v>
      </c>
      <c r="AT105" s="89">
        <f t="shared" ref="AT105:AU105" si="347">AI105/24</f>
        <v>82.932</v>
      </c>
      <c r="AU105" s="89">
        <f t="shared" si="347"/>
        <v>74.58333333</v>
      </c>
      <c r="AV105" s="89">
        <f t="shared" ref="AV105:AW105" si="348">AI105/125</f>
        <v>15.922944</v>
      </c>
      <c r="AW105" s="89">
        <f t="shared" si="348"/>
        <v>14.32</v>
      </c>
      <c r="AX105" s="79"/>
      <c r="AY105" s="79"/>
    </row>
    <row r="106" ht="15.75" customHeight="1">
      <c r="A106" s="77"/>
      <c r="B106" s="77" t="s">
        <v>253</v>
      </c>
      <c r="C106" s="77" t="s">
        <v>254</v>
      </c>
      <c r="D106" s="78">
        <v>960.0</v>
      </c>
      <c r="E106" s="79"/>
      <c r="F106" s="80">
        <v>60.0</v>
      </c>
      <c r="G106" s="78">
        <v>5.7050042E7</v>
      </c>
      <c r="H106" s="81">
        <v>0.05</v>
      </c>
      <c r="I106" s="77">
        <f t="shared" si="4"/>
        <v>48</v>
      </c>
      <c r="J106" s="79"/>
      <c r="K106" s="80">
        <v>40.0</v>
      </c>
      <c r="L106" s="82">
        <f t="shared" si="5"/>
        <v>1108</v>
      </c>
      <c r="M106" s="77">
        <f t="shared" si="6"/>
        <v>9.6</v>
      </c>
      <c r="N106" s="83">
        <f t="shared" si="7"/>
        <v>88.64</v>
      </c>
      <c r="O106" s="83">
        <f t="shared" si="8"/>
        <v>110.8</v>
      </c>
      <c r="P106" s="83">
        <f t="shared" si="9"/>
        <v>55.4</v>
      </c>
      <c r="Q106" s="83">
        <f t="shared" si="10"/>
        <v>22.16</v>
      </c>
      <c r="R106" s="83">
        <f t="shared" si="48"/>
        <v>10.08</v>
      </c>
      <c r="S106" s="83">
        <f t="shared" si="12"/>
        <v>11.08</v>
      </c>
      <c r="T106" s="84">
        <f t="shared" si="13"/>
        <v>297.68</v>
      </c>
      <c r="U106" s="77">
        <f t="shared" si="14"/>
        <v>20.16</v>
      </c>
      <c r="V106" s="42">
        <f t="shared" si="15"/>
        <v>100.8</v>
      </c>
      <c r="W106" s="77">
        <f t="shared" si="16"/>
        <v>20.16</v>
      </c>
      <c r="X106" s="77">
        <f t="shared" si="17"/>
        <v>161.28</v>
      </c>
      <c r="Y106" s="77">
        <f t="shared" si="18"/>
        <v>302.4</v>
      </c>
      <c r="Z106" s="84">
        <f t="shared" si="19"/>
        <v>1708.08</v>
      </c>
      <c r="AA106" s="85">
        <f t="shared" si="20"/>
        <v>341.616</v>
      </c>
      <c r="AB106" s="83">
        <f t="shared" si="49"/>
        <v>2049.696</v>
      </c>
      <c r="AC106" s="77">
        <f t="shared" si="22"/>
        <v>2016</v>
      </c>
      <c r="AD106" s="83">
        <f t="shared" si="23"/>
        <v>33.696</v>
      </c>
      <c r="AE106" s="83">
        <f t="shared" si="24"/>
        <v>1.643951103</v>
      </c>
      <c r="AF106" s="91">
        <v>1890.0</v>
      </c>
      <c r="AG106" s="86">
        <f t="shared" si="25"/>
        <v>70.57761733</v>
      </c>
      <c r="AH106" s="63">
        <f t="shared" si="26"/>
        <v>0</v>
      </c>
      <c r="AI106" s="63">
        <v>2090.0</v>
      </c>
      <c r="AJ106" s="90">
        <v>1890.0</v>
      </c>
      <c r="AK106" s="14">
        <f t="shared" si="27"/>
        <v>70.57761733</v>
      </c>
      <c r="AL106" s="14"/>
      <c r="AM106" s="14">
        <f t="shared" si="310"/>
        <v>0</v>
      </c>
      <c r="AN106" s="14">
        <f t="shared" si="29"/>
        <v>0</v>
      </c>
      <c r="AO106" s="87">
        <f t="shared" si="30"/>
        <v>1.705776173</v>
      </c>
      <c r="AP106" s="14">
        <f t="shared" si="31"/>
        <v>-1.59696</v>
      </c>
      <c r="AQ106" s="14">
        <f t="shared" si="32"/>
        <v>-1.26</v>
      </c>
      <c r="AR106" s="88">
        <f t="shared" ref="AR106:AS106" si="349">AI106/94</f>
        <v>22.23404255</v>
      </c>
      <c r="AS106" s="88">
        <f t="shared" si="349"/>
        <v>20.10638298</v>
      </c>
      <c r="AT106" s="89">
        <f t="shared" ref="AT106:AU106" si="350">AI106/24</f>
        <v>87.08333333</v>
      </c>
      <c r="AU106" s="89">
        <f t="shared" si="350"/>
        <v>78.75</v>
      </c>
      <c r="AV106" s="89">
        <f t="shared" ref="AV106:AW106" si="351">AI106/125</f>
        <v>16.72</v>
      </c>
      <c r="AW106" s="89">
        <f t="shared" si="351"/>
        <v>15.12</v>
      </c>
      <c r="AX106" s="79"/>
      <c r="AY106" s="79"/>
    </row>
    <row r="107" ht="15.75" customHeight="1">
      <c r="A107" s="77"/>
      <c r="B107" s="77" t="s">
        <v>255</v>
      </c>
      <c r="C107" s="77" t="s">
        <v>256</v>
      </c>
      <c r="D107" s="78">
        <v>960.0</v>
      </c>
      <c r="E107" s="79"/>
      <c r="F107" s="80">
        <v>60.0</v>
      </c>
      <c r="G107" s="78">
        <v>5.7050042E7</v>
      </c>
      <c r="H107" s="81">
        <v>0.05</v>
      </c>
      <c r="I107" s="77">
        <f t="shared" si="4"/>
        <v>48</v>
      </c>
      <c r="J107" s="79"/>
      <c r="K107" s="80">
        <v>40.0</v>
      </c>
      <c r="L107" s="82">
        <f t="shared" si="5"/>
        <v>1108</v>
      </c>
      <c r="M107" s="77">
        <f t="shared" si="6"/>
        <v>9.6</v>
      </c>
      <c r="N107" s="83">
        <f t="shared" si="7"/>
        <v>88.64</v>
      </c>
      <c r="O107" s="83">
        <f t="shared" si="8"/>
        <v>110.8</v>
      </c>
      <c r="P107" s="83">
        <f t="shared" si="9"/>
        <v>55.4</v>
      </c>
      <c r="Q107" s="83">
        <f t="shared" si="10"/>
        <v>22.16</v>
      </c>
      <c r="R107" s="83">
        <f t="shared" si="48"/>
        <v>10.08</v>
      </c>
      <c r="S107" s="83">
        <f t="shared" si="12"/>
        <v>11.08</v>
      </c>
      <c r="T107" s="84">
        <f t="shared" si="13"/>
        <v>297.68</v>
      </c>
      <c r="U107" s="77">
        <f t="shared" si="14"/>
        <v>20.16</v>
      </c>
      <c r="V107" s="42">
        <f t="shared" si="15"/>
        <v>100.8</v>
      </c>
      <c r="W107" s="77">
        <f t="shared" si="16"/>
        <v>20.16</v>
      </c>
      <c r="X107" s="77">
        <f t="shared" si="17"/>
        <v>161.28</v>
      </c>
      <c r="Y107" s="77">
        <f t="shared" si="18"/>
        <v>302.4</v>
      </c>
      <c r="Z107" s="84">
        <f t="shared" si="19"/>
        <v>1708.08</v>
      </c>
      <c r="AA107" s="85">
        <f t="shared" si="20"/>
        <v>341.616</v>
      </c>
      <c r="AB107" s="83">
        <f t="shared" si="49"/>
        <v>2049.696</v>
      </c>
      <c r="AC107" s="77">
        <f t="shared" si="22"/>
        <v>2016</v>
      </c>
      <c r="AD107" s="83">
        <f t="shared" si="23"/>
        <v>33.696</v>
      </c>
      <c r="AE107" s="83">
        <f t="shared" si="24"/>
        <v>1.643951103</v>
      </c>
      <c r="AF107" s="91">
        <v>1890.0</v>
      </c>
      <c r="AG107" s="86">
        <f t="shared" si="25"/>
        <v>70.57761733</v>
      </c>
      <c r="AH107" s="63">
        <f t="shared" si="26"/>
        <v>0</v>
      </c>
      <c r="AI107" s="63">
        <v>2090.0</v>
      </c>
      <c r="AJ107" s="90">
        <v>1890.0</v>
      </c>
      <c r="AK107" s="14">
        <f t="shared" si="27"/>
        <v>70.57761733</v>
      </c>
      <c r="AL107" s="14"/>
      <c r="AM107" s="14">
        <f t="shared" si="310"/>
        <v>0</v>
      </c>
      <c r="AN107" s="14">
        <f t="shared" si="29"/>
        <v>0</v>
      </c>
      <c r="AO107" s="87">
        <f t="shared" si="30"/>
        <v>1.705776173</v>
      </c>
      <c r="AP107" s="14">
        <f t="shared" si="31"/>
        <v>-1.59696</v>
      </c>
      <c r="AQ107" s="14">
        <f t="shared" si="32"/>
        <v>-1.26</v>
      </c>
      <c r="AR107" s="88">
        <f t="shared" ref="AR107:AS107" si="352">AI107/94</f>
        <v>22.23404255</v>
      </c>
      <c r="AS107" s="88">
        <f t="shared" si="352"/>
        <v>20.10638298</v>
      </c>
      <c r="AT107" s="89">
        <f t="shared" ref="AT107:AU107" si="353">AI107/24</f>
        <v>87.08333333</v>
      </c>
      <c r="AU107" s="89">
        <f t="shared" si="353"/>
        <v>78.75</v>
      </c>
      <c r="AV107" s="89">
        <f t="shared" ref="AV107:AW107" si="354">AI107/125</f>
        <v>16.72</v>
      </c>
      <c r="AW107" s="89">
        <f t="shared" si="354"/>
        <v>15.12</v>
      </c>
      <c r="AX107" s="79"/>
      <c r="AY107" s="79"/>
    </row>
    <row r="108" ht="15.75" customHeight="1">
      <c r="A108" s="77"/>
      <c r="B108" s="77" t="s">
        <v>257</v>
      </c>
      <c r="C108" s="77" t="s">
        <v>258</v>
      </c>
      <c r="D108" s="78">
        <v>960.0</v>
      </c>
      <c r="E108" s="79"/>
      <c r="F108" s="80">
        <v>60.0</v>
      </c>
      <c r="G108" s="78">
        <v>5.7050042E7</v>
      </c>
      <c r="H108" s="81">
        <v>0.05</v>
      </c>
      <c r="I108" s="77">
        <f t="shared" si="4"/>
        <v>48</v>
      </c>
      <c r="J108" s="79"/>
      <c r="K108" s="80">
        <v>40.0</v>
      </c>
      <c r="L108" s="82">
        <f t="shared" si="5"/>
        <v>1108</v>
      </c>
      <c r="M108" s="77">
        <f t="shared" si="6"/>
        <v>9.6</v>
      </c>
      <c r="N108" s="83">
        <f t="shared" si="7"/>
        <v>88.64</v>
      </c>
      <c r="O108" s="83">
        <f t="shared" si="8"/>
        <v>110.8</v>
      </c>
      <c r="P108" s="83">
        <f t="shared" si="9"/>
        <v>55.4</v>
      </c>
      <c r="Q108" s="83">
        <f t="shared" si="10"/>
        <v>22.16</v>
      </c>
      <c r="R108" s="83">
        <f t="shared" si="48"/>
        <v>10.08</v>
      </c>
      <c r="S108" s="83">
        <f t="shared" si="12"/>
        <v>11.08</v>
      </c>
      <c r="T108" s="84">
        <f t="shared" si="13"/>
        <v>297.68</v>
      </c>
      <c r="U108" s="77">
        <f t="shared" si="14"/>
        <v>20.16</v>
      </c>
      <c r="V108" s="42">
        <f t="shared" si="15"/>
        <v>100.8</v>
      </c>
      <c r="W108" s="77">
        <f t="shared" si="16"/>
        <v>20.16</v>
      </c>
      <c r="X108" s="77">
        <f t="shared" si="17"/>
        <v>161.28</v>
      </c>
      <c r="Y108" s="77">
        <f t="shared" si="18"/>
        <v>302.4</v>
      </c>
      <c r="Z108" s="84">
        <f t="shared" si="19"/>
        <v>1708.08</v>
      </c>
      <c r="AA108" s="85">
        <f t="shared" si="20"/>
        <v>341.616</v>
      </c>
      <c r="AB108" s="83">
        <f t="shared" si="49"/>
        <v>2049.696</v>
      </c>
      <c r="AC108" s="77">
        <f t="shared" si="22"/>
        <v>2016</v>
      </c>
      <c r="AD108" s="83">
        <f t="shared" si="23"/>
        <v>33.696</v>
      </c>
      <c r="AE108" s="83">
        <f t="shared" si="24"/>
        <v>1.643951103</v>
      </c>
      <c r="AF108" s="91">
        <v>1890.0</v>
      </c>
      <c r="AG108" s="86">
        <f t="shared" si="25"/>
        <v>70.57761733</v>
      </c>
      <c r="AH108" s="63">
        <f t="shared" si="26"/>
        <v>0</v>
      </c>
      <c r="AI108" s="63">
        <v>2090.0</v>
      </c>
      <c r="AJ108" s="90">
        <v>1890.0</v>
      </c>
      <c r="AK108" s="14">
        <f t="shared" si="27"/>
        <v>70.57761733</v>
      </c>
      <c r="AL108" s="14"/>
      <c r="AM108" s="14">
        <f t="shared" si="310"/>
        <v>0</v>
      </c>
      <c r="AN108" s="14">
        <f t="shared" si="29"/>
        <v>0</v>
      </c>
      <c r="AO108" s="87">
        <f t="shared" si="30"/>
        <v>1.705776173</v>
      </c>
      <c r="AP108" s="14">
        <f t="shared" si="31"/>
        <v>-1.59696</v>
      </c>
      <c r="AQ108" s="14">
        <f t="shared" si="32"/>
        <v>-1.26</v>
      </c>
      <c r="AR108" s="88">
        <f t="shared" ref="AR108:AS108" si="355">AI108/94</f>
        <v>22.23404255</v>
      </c>
      <c r="AS108" s="88">
        <f t="shared" si="355"/>
        <v>20.10638298</v>
      </c>
      <c r="AT108" s="89">
        <f t="shared" ref="AT108:AU108" si="356">AI108/24</f>
        <v>87.08333333</v>
      </c>
      <c r="AU108" s="89">
        <f t="shared" si="356"/>
        <v>78.75</v>
      </c>
      <c r="AV108" s="89">
        <f t="shared" ref="AV108:AW108" si="357">AI108/125</f>
        <v>16.72</v>
      </c>
      <c r="AW108" s="89">
        <f t="shared" si="357"/>
        <v>15.12</v>
      </c>
      <c r="AX108" s="79"/>
      <c r="AY108" s="79"/>
    </row>
    <row r="109" ht="15.75" customHeight="1">
      <c r="A109" s="77"/>
      <c r="B109" s="77" t="s">
        <v>259</v>
      </c>
      <c r="C109" s="77" t="s">
        <v>260</v>
      </c>
      <c r="D109" s="78">
        <v>960.0</v>
      </c>
      <c r="E109" s="79"/>
      <c r="F109" s="80">
        <v>60.0</v>
      </c>
      <c r="G109" s="78">
        <v>5.7050042E7</v>
      </c>
      <c r="H109" s="81">
        <v>0.05</v>
      </c>
      <c r="I109" s="77">
        <f t="shared" si="4"/>
        <v>48</v>
      </c>
      <c r="J109" s="79"/>
      <c r="K109" s="80">
        <v>40.0</v>
      </c>
      <c r="L109" s="82">
        <f t="shared" si="5"/>
        <v>1108</v>
      </c>
      <c r="M109" s="77">
        <f t="shared" si="6"/>
        <v>9.6</v>
      </c>
      <c r="N109" s="83">
        <f t="shared" si="7"/>
        <v>88.64</v>
      </c>
      <c r="O109" s="83">
        <f t="shared" si="8"/>
        <v>110.8</v>
      </c>
      <c r="P109" s="83">
        <f t="shared" si="9"/>
        <v>55.4</v>
      </c>
      <c r="Q109" s="83">
        <f t="shared" si="10"/>
        <v>22.16</v>
      </c>
      <c r="R109" s="83">
        <f t="shared" si="48"/>
        <v>10.08</v>
      </c>
      <c r="S109" s="83">
        <f t="shared" si="12"/>
        <v>11.08</v>
      </c>
      <c r="T109" s="84">
        <f t="shared" si="13"/>
        <v>297.68</v>
      </c>
      <c r="U109" s="77">
        <f t="shared" si="14"/>
        <v>20.16</v>
      </c>
      <c r="V109" s="42">
        <f t="shared" si="15"/>
        <v>100.8</v>
      </c>
      <c r="W109" s="77">
        <f t="shared" si="16"/>
        <v>20.16</v>
      </c>
      <c r="X109" s="77">
        <f t="shared" si="17"/>
        <v>161.28</v>
      </c>
      <c r="Y109" s="77">
        <f t="shared" si="18"/>
        <v>302.4</v>
      </c>
      <c r="Z109" s="84">
        <f t="shared" si="19"/>
        <v>1708.08</v>
      </c>
      <c r="AA109" s="85">
        <f t="shared" si="20"/>
        <v>341.616</v>
      </c>
      <c r="AB109" s="83">
        <f t="shared" si="49"/>
        <v>2049.696</v>
      </c>
      <c r="AC109" s="77">
        <f t="shared" si="22"/>
        <v>2016</v>
      </c>
      <c r="AD109" s="83">
        <f t="shared" si="23"/>
        <v>33.696</v>
      </c>
      <c r="AE109" s="83">
        <f t="shared" si="24"/>
        <v>1.643951103</v>
      </c>
      <c r="AF109" s="91">
        <v>1890.0</v>
      </c>
      <c r="AG109" s="86">
        <f t="shared" si="25"/>
        <v>70.57761733</v>
      </c>
      <c r="AH109" s="63">
        <f t="shared" si="26"/>
        <v>0</v>
      </c>
      <c r="AI109" s="63">
        <v>2090.0</v>
      </c>
      <c r="AJ109" s="90">
        <v>1890.0</v>
      </c>
      <c r="AK109" s="14">
        <f t="shared" si="27"/>
        <v>70.57761733</v>
      </c>
      <c r="AL109" s="14"/>
      <c r="AM109" s="14">
        <f t="shared" si="310"/>
        <v>0</v>
      </c>
      <c r="AN109" s="14">
        <f t="shared" si="29"/>
        <v>0</v>
      </c>
      <c r="AO109" s="87">
        <f t="shared" si="30"/>
        <v>1.705776173</v>
      </c>
      <c r="AP109" s="14">
        <f t="shared" si="31"/>
        <v>-1.59696</v>
      </c>
      <c r="AQ109" s="14">
        <f t="shared" si="32"/>
        <v>-1.26</v>
      </c>
      <c r="AR109" s="88">
        <f t="shared" ref="AR109:AS109" si="358">AI109/94</f>
        <v>22.23404255</v>
      </c>
      <c r="AS109" s="88">
        <f t="shared" si="358"/>
        <v>20.10638298</v>
      </c>
      <c r="AT109" s="89">
        <f t="shared" ref="AT109:AU109" si="359">AI109/24</f>
        <v>87.08333333</v>
      </c>
      <c r="AU109" s="89">
        <f t="shared" si="359"/>
        <v>78.75</v>
      </c>
      <c r="AV109" s="89">
        <f t="shared" ref="AV109:AW109" si="360">AI109/125</f>
        <v>16.72</v>
      </c>
      <c r="AW109" s="89">
        <f t="shared" si="360"/>
        <v>15.12</v>
      </c>
      <c r="AX109" s="79"/>
      <c r="AY109" s="79"/>
    </row>
    <row r="110" ht="15.0" customHeight="1">
      <c r="A110" s="77" t="s">
        <v>261</v>
      </c>
      <c r="B110" s="77" t="s">
        <v>262</v>
      </c>
      <c r="C110" s="92" t="s">
        <v>263</v>
      </c>
      <c r="D110" s="78">
        <v>950.0</v>
      </c>
      <c r="E110" s="79"/>
      <c r="F110" s="80">
        <v>85.0</v>
      </c>
      <c r="G110" s="78">
        <v>5705.0</v>
      </c>
      <c r="H110" s="81">
        <v>0.05</v>
      </c>
      <c r="I110" s="77">
        <f t="shared" si="4"/>
        <v>47.5</v>
      </c>
      <c r="J110" s="79"/>
      <c r="K110" s="80">
        <v>100.0</v>
      </c>
      <c r="L110" s="82">
        <f t="shared" si="5"/>
        <v>1182.5</v>
      </c>
      <c r="M110" s="77">
        <f t="shared" si="6"/>
        <v>9.5</v>
      </c>
      <c r="N110" s="83">
        <f t="shared" si="7"/>
        <v>94.6</v>
      </c>
      <c r="O110" s="83">
        <f t="shared" si="8"/>
        <v>118.25</v>
      </c>
      <c r="P110" s="83">
        <f t="shared" si="9"/>
        <v>59.125</v>
      </c>
      <c r="Q110" s="83">
        <f t="shared" si="10"/>
        <v>23.65</v>
      </c>
      <c r="R110" s="83">
        <f t="shared" si="48"/>
        <v>9.975</v>
      </c>
      <c r="S110" s="83">
        <f t="shared" si="12"/>
        <v>11.825</v>
      </c>
      <c r="T110" s="84">
        <f t="shared" si="13"/>
        <v>316.95</v>
      </c>
      <c r="U110" s="77">
        <f t="shared" si="14"/>
        <v>19.95</v>
      </c>
      <c r="V110" s="42">
        <f t="shared" si="15"/>
        <v>99.75</v>
      </c>
      <c r="W110" s="77">
        <f t="shared" si="16"/>
        <v>19.95</v>
      </c>
      <c r="X110" s="77">
        <f t="shared" si="17"/>
        <v>159.6</v>
      </c>
      <c r="Y110" s="77">
        <f t="shared" si="18"/>
        <v>299.25</v>
      </c>
      <c r="Z110" s="84">
        <f t="shared" si="19"/>
        <v>1798.7</v>
      </c>
      <c r="AA110" s="85">
        <f t="shared" si="20"/>
        <v>359.74</v>
      </c>
      <c r="AB110" s="83">
        <f t="shared" si="49"/>
        <v>2158.44</v>
      </c>
      <c r="AC110" s="77">
        <f t="shared" si="22"/>
        <v>1995</v>
      </c>
      <c r="AD110" s="83">
        <f t="shared" si="23"/>
        <v>163.44</v>
      </c>
      <c r="AE110" s="83">
        <f t="shared" si="24"/>
        <v>7.572135431</v>
      </c>
      <c r="AF110" s="79"/>
      <c r="AG110" s="86">
        <f t="shared" si="25"/>
        <v>-100</v>
      </c>
      <c r="AH110" s="63">
        <f t="shared" si="26"/>
        <v>1645</v>
      </c>
      <c r="AI110" s="63">
        <f t="shared" ref="AI110:AI117" si="364">AB110</f>
        <v>2158.44</v>
      </c>
      <c r="AJ110" s="90">
        <v>1645.0</v>
      </c>
      <c r="AK110" s="14">
        <f t="shared" si="27"/>
        <v>39.11205074</v>
      </c>
      <c r="AL110" s="14"/>
      <c r="AM110" s="14">
        <f t="shared" ref="AM110:AM201" si="365">AH110/AJ110%</f>
        <v>100</v>
      </c>
      <c r="AN110" s="14">
        <f t="shared" si="29"/>
        <v>139.1120507</v>
      </c>
      <c r="AO110" s="87">
        <f t="shared" si="30"/>
        <v>1.391120507</v>
      </c>
      <c r="AP110" s="14">
        <f t="shared" si="31"/>
        <v>-5.1344</v>
      </c>
      <c r="AQ110" s="14">
        <f t="shared" si="32"/>
        <v>-3.5</v>
      </c>
      <c r="AR110" s="88">
        <f t="shared" ref="AR110:AS110" si="361">AI110/94</f>
        <v>22.96212766</v>
      </c>
      <c r="AS110" s="88">
        <f t="shared" si="361"/>
        <v>17.5</v>
      </c>
      <c r="AT110" s="89">
        <f t="shared" ref="AT110:AU110" si="362">AI110/24</f>
        <v>89.935</v>
      </c>
      <c r="AU110" s="89">
        <f t="shared" si="362"/>
        <v>68.54166667</v>
      </c>
      <c r="AV110" s="89">
        <f t="shared" ref="AV110:AW110" si="363">AI110/125</f>
        <v>17.26752</v>
      </c>
      <c r="AW110" s="89">
        <f t="shared" si="363"/>
        <v>13.16</v>
      </c>
      <c r="AX110" s="79"/>
      <c r="AY110" s="79"/>
    </row>
    <row r="111" ht="15.75" customHeight="1">
      <c r="A111" s="77"/>
      <c r="B111" s="77" t="s">
        <v>264</v>
      </c>
      <c r="C111" s="92" t="s">
        <v>265</v>
      </c>
      <c r="D111" s="78">
        <v>1050.0</v>
      </c>
      <c r="E111" s="79"/>
      <c r="F111" s="80">
        <v>85.0</v>
      </c>
      <c r="G111" s="78">
        <v>5705.0</v>
      </c>
      <c r="H111" s="81">
        <v>0.05</v>
      </c>
      <c r="I111" s="77">
        <f t="shared" si="4"/>
        <v>52.5</v>
      </c>
      <c r="J111" s="79"/>
      <c r="K111" s="80">
        <v>100.0</v>
      </c>
      <c r="L111" s="82">
        <f t="shared" si="5"/>
        <v>1287.5</v>
      </c>
      <c r="M111" s="77">
        <f t="shared" si="6"/>
        <v>10.5</v>
      </c>
      <c r="N111" s="83">
        <f t="shared" si="7"/>
        <v>103</v>
      </c>
      <c r="O111" s="83">
        <f t="shared" si="8"/>
        <v>128.75</v>
      </c>
      <c r="P111" s="83">
        <f t="shared" si="9"/>
        <v>64.375</v>
      </c>
      <c r="Q111" s="83">
        <f t="shared" si="10"/>
        <v>25.75</v>
      </c>
      <c r="R111" s="83">
        <f t="shared" si="48"/>
        <v>11.025</v>
      </c>
      <c r="S111" s="83">
        <f t="shared" si="12"/>
        <v>12.875</v>
      </c>
      <c r="T111" s="84">
        <f t="shared" si="13"/>
        <v>345.25</v>
      </c>
      <c r="U111" s="77">
        <f t="shared" si="14"/>
        <v>22.05</v>
      </c>
      <c r="V111" s="42">
        <f t="shared" si="15"/>
        <v>110.25</v>
      </c>
      <c r="W111" s="77">
        <f t="shared" si="16"/>
        <v>22.05</v>
      </c>
      <c r="X111" s="77">
        <f t="shared" si="17"/>
        <v>176.4</v>
      </c>
      <c r="Y111" s="77">
        <f t="shared" si="18"/>
        <v>330.75</v>
      </c>
      <c r="Z111" s="84">
        <f t="shared" si="19"/>
        <v>1963.5</v>
      </c>
      <c r="AA111" s="85">
        <f t="shared" si="20"/>
        <v>392.7</v>
      </c>
      <c r="AB111" s="83">
        <f t="shared" si="49"/>
        <v>2356.2</v>
      </c>
      <c r="AC111" s="77">
        <f t="shared" si="22"/>
        <v>2205</v>
      </c>
      <c r="AD111" s="83">
        <f t="shared" si="23"/>
        <v>151.2</v>
      </c>
      <c r="AE111" s="83">
        <f t="shared" si="24"/>
        <v>6.417112299</v>
      </c>
      <c r="AF111" s="79"/>
      <c r="AG111" s="86">
        <f t="shared" si="25"/>
        <v>-100</v>
      </c>
      <c r="AH111" s="63">
        <f t="shared" si="26"/>
        <v>1795</v>
      </c>
      <c r="AI111" s="63">
        <f t="shared" si="364"/>
        <v>2356.2</v>
      </c>
      <c r="AJ111" s="90">
        <v>1795.0</v>
      </c>
      <c r="AK111" s="14">
        <f t="shared" si="27"/>
        <v>39.41747573</v>
      </c>
      <c r="AL111" s="14"/>
      <c r="AM111" s="14">
        <f t="shared" si="365"/>
        <v>100</v>
      </c>
      <c r="AN111" s="14">
        <f t="shared" si="29"/>
        <v>139.4174757</v>
      </c>
      <c r="AO111" s="87">
        <f t="shared" si="30"/>
        <v>1.394174757</v>
      </c>
      <c r="AP111" s="14">
        <f t="shared" si="31"/>
        <v>-5.612</v>
      </c>
      <c r="AQ111" s="14">
        <f t="shared" si="32"/>
        <v>-4.1</v>
      </c>
      <c r="AR111" s="88">
        <f t="shared" ref="AR111:AS111" si="366">AI111/94</f>
        <v>25.06595745</v>
      </c>
      <c r="AS111" s="88">
        <f t="shared" si="366"/>
        <v>19.09574468</v>
      </c>
      <c r="AT111" s="89">
        <f t="shared" ref="AT111:AU111" si="367">AI111/24</f>
        <v>98.175</v>
      </c>
      <c r="AU111" s="89">
        <f t="shared" si="367"/>
        <v>74.79166667</v>
      </c>
      <c r="AV111" s="89">
        <f t="shared" ref="AV111:AW111" si="368">AI111/125</f>
        <v>18.8496</v>
      </c>
      <c r="AW111" s="89">
        <f t="shared" si="368"/>
        <v>14.36</v>
      </c>
      <c r="AX111" s="79"/>
      <c r="AY111" s="79"/>
    </row>
    <row r="112" ht="15.75" customHeight="1">
      <c r="A112" s="77"/>
      <c r="B112" s="77" t="s">
        <v>247</v>
      </c>
      <c r="C112" s="92" t="s">
        <v>266</v>
      </c>
      <c r="D112" s="78">
        <v>950.0</v>
      </c>
      <c r="E112" s="79"/>
      <c r="F112" s="80">
        <v>85.0</v>
      </c>
      <c r="G112" s="78">
        <v>5705.0</v>
      </c>
      <c r="H112" s="81">
        <v>0.05</v>
      </c>
      <c r="I112" s="77">
        <f t="shared" si="4"/>
        <v>47.5</v>
      </c>
      <c r="J112" s="79"/>
      <c r="K112" s="80">
        <v>100.0</v>
      </c>
      <c r="L112" s="82">
        <f t="shared" si="5"/>
        <v>1182.5</v>
      </c>
      <c r="M112" s="77">
        <f t="shared" si="6"/>
        <v>9.5</v>
      </c>
      <c r="N112" s="83">
        <f t="shared" si="7"/>
        <v>94.6</v>
      </c>
      <c r="O112" s="83">
        <f t="shared" si="8"/>
        <v>118.25</v>
      </c>
      <c r="P112" s="83">
        <f t="shared" si="9"/>
        <v>59.125</v>
      </c>
      <c r="Q112" s="83">
        <f t="shared" si="10"/>
        <v>23.65</v>
      </c>
      <c r="R112" s="83">
        <f t="shared" si="48"/>
        <v>9.975</v>
      </c>
      <c r="S112" s="83">
        <f t="shared" si="12"/>
        <v>11.825</v>
      </c>
      <c r="T112" s="84">
        <f t="shared" si="13"/>
        <v>316.95</v>
      </c>
      <c r="U112" s="77">
        <f t="shared" si="14"/>
        <v>19.95</v>
      </c>
      <c r="V112" s="42">
        <f t="shared" si="15"/>
        <v>99.75</v>
      </c>
      <c r="W112" s="77">
        <f t="shared" si="16"/>
        <v>19.95</v>
      </c>
      <c r="X112" s="77">
        <f t="shared" si="17"/>
        <v>159.6</v>
      </c>
      <c r="Y112" s="77">
        <f t="shared" si="18"/>
        <v>299.25</v>
      </c>
      <c r="Z112" s="84">
        <f t="shared" si="19"/>
        <v>1798.7</v>
      </c>
      <c r="AA112" s="85">
        <f t="shared" si="20"/>
        <v>359.74</v>
      </c>
      <c r="AB112" s="83">
        <f t="shared" si="49"/>
        <v>2158.44</v>
      </c>
      <c r="AC112" s="77">
        <f t="shared" si="22"/>
        <v>1995</v>
      </c>
      <c r="AD112" s="83">
        <f t="shared" si="23"/>
        <v>163.44</v>
      </c>
      <c r="AE112" s="83">
        <f t="shared" si="24"/>
        <v>7.572135431</v>
      </c>
      <c r="AF112" s="79"/>
      <c r="AG112" s="86">
        <f t="shared" si="25"/>
        <v>-100</v>
      </c>
      <c r="AH112" s="63">
        <f t="shared" si="26"/>
        <v>1645</v>
      </c>
      <c r="AI112" s="63">
        <f t="shared" si="364"/>
        <v>2158.44</v>
      </c>
      <c r="AJ112" s="90">
        <v>1645.0</v>
      </c>
      <c r="AK112" s="14">
        <f t="shared" si="27"/>
        <v>39.11205074</v>
      </c>
      <c r="AL112" s="14"/>
      <c r="AM112" s="14">
        <f t="shared" si="365"/>
        <v>100</v>
      </c>
      <c r="AN112" s="14">
        <f t="shared" si="29"/>
        <v>139.1120507</v>
      </c>
      <c r="AO112" s="87">
        <f t="shared" si="30"/>
        <v>1.391120507</v>
      </c>
      <c r="AP112" s="14">
        <f t="shared" si="31"/>
        <v>-5.1344</v>
      </c>
      <c r="AQ112" s="14">
        <f t="shared" si="32"/>
        <v>-3.5</v>
      </c>
      <c r="AR112" s="88">
        <f t="shared" ref="AR112:AS112" si="369">AI112/94</f>
        <v>22.96212766</v>
      </c>
      <c r="AS112" s="88">
        <f t="shared" si="369"/>
        <v>17.5</v>
      </c>
      <c r="AT112" s="89">
        <f t="shared" ref="AT112:AU112" si="370">AI112/24</f>
        <v>89.935</v>
      </c>
      <c r="AU112" s="89">
        <f t="shared" si="370"/>
        <v>68.54166667</v>
      </c>
      <c r="AV112" s="89">
        <f t="shared" ref="AV112:AW112" si="371">AI112/125</f>
        <v>17.26752</v>
      </c>
      <c r="AW112" s="89">
        <f t="shared" si="371"/>
        <v>13.16</v>
      </c>
      <c r="AX112" s="79"/>
      <c r="AY112" s="79"/>
    </row>
    <row r="113" ht="15.75" customHeight="1">
      <c r="A113" s="77"/>
      <c r="B113" s="77" t="s">
        <v>255</v>
      </c>
      <c r="C113" s="92" t="s">
        <v>267</v>
      </c>
      <c r="D113" s="78">
        <v>1050.0</v>
      </c>
      <c r="E113" s="79"/>
      <c r="F113" s="80">
        <v>85.0</v>
      </c>
      <c r="G113" s="78">
        <v>5705.0</v>
      </c>
      <c r="H113" s="81">
        <v>0.05</v>
      </c>
      <c r="I113" s="77">
        <f t="shared" si="4"/>
        <v>52.5</v>
      </c>
      <c r="J113" s="79"/>
      <c r="K113" s="80">
        <v>100.0</v>
      </c>
      <c r="L113" s="82">
        <f t="shared" si="5"/>
        <v>1287.5</v>
      </c>
      <c r="M113" s="77">
        <f t="shared" si="6"/>
        <v>10.5</v>
      </c>
      <c r="N113" s="83">
        <f t="shared" si="7"/>
        <v>103</v>
      </c>
      <c r="O113" s="83">
        <f t="shared" si="8"/>
        <v>128.75</v>
      </c>
      <c r="P113" s="83">
        <f t="shared" si="9"/>
        <v>64.375</v>
      </c>
      <c r="Q113" s="83">
        <f t="shared" si="10"/>
        <v>25.75</v>
      </c>
      <c r="R113" s="83">
        <f t="shared" si="48"/>
        <v>11.025</v>
      </c>
      <c r="S113" s="83">
        <f t="shared" si="12"/>
        <v>12.875</v>
      </c>
      <c r="T113" s="84">
        <f t="shared" si="13"/>
        <v>345.25</v>
      </c>
      <c r="U113" s="77">
        <f t="shared" si="14"/>
        <v>22.05</v>
      </c>
      <c r="V113" s="42">
        <f t="shared" si="15"/>
        <v>110.25</v>
      </c>
      <c r="W113" s="77">
        <f t="shared" si="16"/>
        <v>22.05</v>
      </c>
      <c r="X113" s="77">
        <f t="shared" si="17"/>
        <v>176.4</v>
      </c>
      <c r="Y113" s="77">
        <f t="shared" si="18"/>
        <v>330.75</v>
      </c>
      <c r="Z113" s="84">
        <f t="shared" si="19"/>
        <v>1963.5</v>
      </c>
      <c r="AA113" s="85">
        <f t="shared" si="20"/>
        <v>392.7</v>
      </c>
      <c r="AB113" s="83">
        <f t="shared" si="49"/>
        <v>2356.2</v>
      </c>
      <c r="AC113" s="77">
        <f t="shared" si="22"/>
        <v>2205</v>
      </c>
      <c r="AD113" s="83">
        <f t="shared" si="23"/>
        <v>151.2</v>
      </c>
      <c r="AE113" s="83">
        <f t="shared" si="24"/>
        <v>6.417112299</v>
      </c>
      <c r="AF113" s="79"/>
      <c r="AG113" s="86">
        <f t="shared" si="25"/>
        <v>-100</v>
      </c>
      <c r="AH113" s="63">
        <f t="shared" si="26"/>
        <v>1795</v>
      </c>
      <c r="AI113" s="63">
        <f t="shared" si="364"/>
        <v>2356.2</v>
      </c>
      <c r="AJ113" s="90">
        <v>1795.0</v>
      </c>
      <c r="AK113" s="14">
        <f t="shared" si="27"/>
        <v>39.41747573</v>
      </c>
      <c r="AL113" s="14"/>
      <c r="AM113" s="14">
        <f t="shared" si="365"/>
        <v>100</v>
      </c>
      <c r="AN113" s="14">
        <f t="shared" si="29"/>
        <v>139.4174757</v>
      </c>
      <c r="AO113" s="87">
        <f t="shared" si="30"/>
        <v>1.394174757</v>
      </c>
      <c r="AP113" s="14">
        <f t="shared" si="31"/>
        <v>-5.612</v>
      </c>
      <c r="AQ113" s="14">
        <f t="shared" si="32"/>
        <v>-4.1</v>
      </c>
      <c r="AR113" s="88">
        <f t="shared" ref="AR113:AS113" si="372">AI113/94</f>
        <v>25.06595745</v>
      </c>
      <c r="AS113" s="88">
        <f t="shared" si="372"/>
        <v>19.09574468</v>
      </c>
      <c r="AT113" s="89">
        <f t="shared" ref="AT113:AU113" si="373">AI113/24</f>
        <v>98.175</v>
      </c>
      <c r="AU113" s="89">
        <f t="shared" si="373"/>
        <v>74.79166667</v>
      </c>
      <c r="AV113" s="89">
        <f t="shared" ref="AV113:AW113" si="374">AI113/125</f>
        <v>18.8496</v>
      </c>
      <c r="AW113" s="89">
        <f t="shared" si="374"/>
        <v>14.36</v>
      </c>
      <c r="AX113" s="79"/>
      <c r="AY113" s="79"/>
    </row>
    <row r="114" ht="15.75" customHeight="1">
      <c r="A114" s="77"/>
      <c r="B114" s="77" t="s">
        <v>268</v>
      </c>
      <c r="C114" s="92" t="s">
        <v>269</v>
      </c>
      <c r="D114" s="78">
        <v>950.0</v>
      </c>
      <c r="E114" s="79"/>
      <c r="F114" s="80">
        <v>85.0</v>
      </c>
      <c r="G114" s="78">
        <v>5705.0</v>
      </c>
      <c r="H114" s="81">
        <v>0.05</v>
      </c>
      <c r="I114" s="77">
        <f t="shared" si="4"/>
        <v>47.5</v>
      </c>
      <c r="J114" s="79"/>
      <c r="K114" s="80">
        <v>100.0</v>
      </c>
      <c r="L114" s="82">
        <f t="shared" si="5"/>
        <v>1182.5</v>
      </c>
      <c r="M114" s="77">
        <f t="shared" si="6"/>
        <v>9.5</v>
      </c>
      <c r="N114" s="83">
        <f t="shared" si="7"/>
        <v>94.6</v>
      </c>
      <c r="O114" s="83">
        <f t="shared" si="8"/>
        <v>118.25</v>
      </c>
      <c r="P114" s="83">
        <f t="shared" si="9"/>
        <v>59.125</v>
      </c>
      <c r="Q114" s="83">
        <f t="shared" si="10"/>
        <v>23.65</v>
      </c>
      <c r="R114" s="83">
        <f t="shared" si="48"/>
        <v>9.975</v>
      </c>
      <c r="S114" s="83">
        <f t="shared" si="12"/>
        <v>11.825</v>
      </c>
      <c r="T114" s="84">
        <f t="shared" si="13"/>
        <v>316.95</v>
      </c>
      <c r="U114" s="77">
        <f t="shared" si="14"/>
        <v>19.95</v>
      </c>
      <c r="V114" s="42">
        <f t="shared" si="15"/>
        <v>99.75</v>
      </c>
      <c r="W114" s="77">
        <f t="shared" si="16"/>
        <v>19.95</v>
      </c>
      <c r="X114" s="77">
        <f t="shared" si="17"/>
        <v>159.6</v>
      </c>
      <c r="Y114" s="77">
        <f t="shared" si="18"/>
        <v>299.25</v>
      </c>
      <c r="Z114" s="84">
        <f t="shared" si="19"/>
        <v>1798.7</v>
      </c>
      <c r="AA114" s="85">
        <f t="shared" si="20"/>
        <v>359.74</v>
      </c>
      <c r="AB114" s="83">
        <f t="shared" si="49"/>
        <v>2158.44</v>
      </c>
      <c r="AC114" s="77">
        <f t="shared" si="22"/>
        <v>1995</v>
      </c>
      <c r="AD114" s="83">
        <f t="shared" si="23"/>
        <v>163.44</v>
      </c>
      <c r="AE114" s="83">
        <f t="shared" si="24"/>
        <v>7.572135431</v>
      </c>
      <c r="AF114" s="79"/>
      <c r="AG114" s="86">
        <f t="shared" si="25"/>
        <v>-100</v>
      </c>
      <c r="AH114" s="63">
        <f t="shared" si="26"/>
        <v>1645</v>
      </c>
      <c r="AI114" s="63">
        <f t="shared" si="364"/>
        <v>2158.44</v>
      </c>
      <c r="AJ114" s="90">
        <v>1645.0</v>
      </c>
      <c r="AK114" s="14">
        <f t="shared" si="27"/>
        <v>39.11205074</v>
      </c>
      <c r="AL114" s="14"/>
      <c r="AM114" s="14">
        <f t="shared" si="365"/>
        <v>100</v>
      </c>
      <c r="AN114" s="14">
        <f t="shared" si="29"/>
        <v>139.1120507</v>
      </c>
      <c r="AO114" s="87">
        <f t="shared" si="30"/>
        <v>1.391120507</v>
      </c>
      <c r="AP114" s="14">
        <f t="shared" si="31"/>
        <v>-5.1344</v>
      </c>
      <c r="AQ114" s="14">
        <f t="shared" si="32"/>
        <v>-3.5</v>
      </c>
      <c r="AR114" s="88">
        <f t="shared" ref="AR114:AS114" si="375">AI114/94</f>
        <v>22.96212766</v>
      </c>
      <c r="AS114" s="88">
        <f t="shared" si="375"/>
        <v>17.5</v>
      </c>
      <c r="AT114" s="89">
        <f t="shared" ref="AT114:AU114" si="376">AI114/24</f>
        <v>89.935</v>
      </c>
      <c r="AU114" s="89">
        <f t="shared" si="376"/>
        <v>68.54166667</v>
      </c>
      <c r="AV114" s="89">
        <f t="shared" ref="AV114:AW114" si="377">AI114/125</f>
        <v>17.26752</v>
      </c>
      <c r="AW114" s="89">
        <f t="shared" si="377"/>
        <v>13.16</v>
      </c>
      <c r="AX114" s="79"/>
      <c r="AY114" s="79"/>
    </row>
    <row r="115" ht="15.75" customHeight="1">
      <c r="A115" s="77"/>
      <c r="B115" s="77" t="s">
        <v>257</v>
      </c>
      <c r="C115" s="92" t="s">
        <v>270</v>
      </c>
      <c r="D115" s="78">
        <v>1050.0</v>
      </c>
      <c r="E115" s="79"/>
      <c r="F115" s="80">
        <v>85.0</v>
      </c>
      <c r="G115" s="78">
        <v>5705.0</v>
      </c>
      <c r="H115" s="81">
        <v>0.05</v>
      </c>
      <c r="I115" s="77">
        <f t="shared" si="4"/>
        <v>52.5</v>
      </c>
      <c r="J115" s="79"/>
      <c r="K115" s="80">
        <v>100.0</v>
      </c>
      <c r="L115" s="82">
        <f t="shared" si="5"/>
        <v>1287.5</v>
      </c>
      <c r="M115" s="77">
        <f t="shared" si="6"/>
        <v>10.5</v>
      </c>
      <c r="N115" s="83">
        <f t="shared" si="7"/>
        <v>103</v>
      </c>
      <c r="O115" s="83">
        <f t="shared" si="8"/>
        <v>128.75</v>
      </c>
      <c r="P115" s="83">
        <f t="shared" si="9"/>
        <v>64.375</v>
      </c>
      <c r="Q115" s="83">
        <f t="shared" si="10"/>
        <v>25.75</v>
      </c>
      <c r="R115" s="83">
        <f t="shared" si="48"/>
        <v>11.025</v>
      </c>
      <c r="S115" s="83">
        <f t="shared" si="12"/>
        <v>12.875</v>
      </c>
      <c r="T115" s="84">
        <f t="shared" si="13"/>
        <v>345.25</v>
      </c>
      <c r="U115" s="77">
        <f t="shared" si="14"/>
        <v>22.05</v>
      </c>
      <c r="V115" s="42">
        <f t="shared" si="15"/>
        <v>110.25</v>
      </c>
      <c r="W115" s="77">
        <f t="shared" si="16"/>
        <v>22.05</v>
      </c>
      <c r="X115" s="77">
        <f t="shared" si="17"/>
        <v>176.4</v>
      </c>
      <c r="Y115" s="77">
        <f t="shared" si="18"/>
        <v>330.75</v>
      </c>
      <c r="Z115" s="84">
        <f t="shared" si="19"/>
        <v>1963.5</v>
      </c>
      <c r="AA115" s="85">
        <f t="shared" si="20"/>
        <v>392.7</v>
      </c>
      <c r="AB115" s="83">
        <f t="shared" si="49"/>
        <v>2356.2</v>
      </c>
      <c r="AC115" s="77">
        <f t="shared" si="22"/>
        <v>2205</v>
      </c>
      <c r="AD115" s="83">
        <f t="shared" si="23"/>
        <v>151.2</v>
      </c>
      <c r="AE115" s="83">
        <f t="shared" si="24"/>
        <v>6.417112299</v>
      </c>
      <c r="AF115" s="79"/>
      <c r="AG115" s="86">
        <f t="shared" si="25"/>
        <v>-100</v>
      </c>
      <c r="AH115" s="63">
        <f t="shared" si="26"/>
        <v>1795</v>
      </c>
      <c r="AI115" s="63">
        <f t="shared" si="364"/>
        <v>2356.2</v>
      </c>
      <c r="AJ115" s="90">
        <v>1795.0</v>
      </c>
      <c r="AK115" s="14">
        <f t="shared" si="27"/>
        <v>39.41747573</v>
      </c>
      <c r="AL115" s="14"/>
      <c r="AM115" s="14">
        <f t="shared" si="365"/>
        <v>100</v>
      </c>
      <c r="AN115" s="14">
        <f t="shared" si="29"/>
        <v>139.4174757</v>
      </c>
      <c r="AO115" s="87">
        <f t="shared" si="30"/>
        <v>1.394174757</v>
      </c>
      <c r="AP115" s="14">
        <f t="shared" si="31"/>
        <v>-5.612</v>
      </c>
      <c r="AQ115" s="14">
        <f t="shared" si="32"/>
        <v>-4.1</v>
      </c>
      <c r="AR115" s="88">
        <f t="shared" ref="AR115:AS115" si="378">AI115/94</f>
        <v>25.06595745</v>
      </c>
      <c r="AS115" s="88">
        <f t="shared" si="378"/>
        <v>19.09574468</v>
      </c>
      <c r="AT115" s="89">
        <f t="shared" ref="AT115:AU115" si="379">AI115/24</f>
        <v>98.175</v>
      </c>
      <c r="AU115" s="89">
        <f t="shared" si="379"/>
        <v>74.79166667</v>
      </c>
      <c r="AV115" s="89">
        <f t="shared" ref="AV115:AW115" si="380">AI115/125</f>
        <v>18.8496</v>
      </c>
      <c r="AW115" s="89">
        <f t="shared" si="380"/>
        <v>14.36</v>
      </c>
      <c r="AX115" s="79"/>
      <c r="AY115" s="79"/>
    </row>
    <row r="116" ht="15.75" customHeight="1">
      <c r="A116" s="77"/>
      <c r="B116" s="77" t="s">
        <v>251</v>
      </c>
      <c r="C116" s="92" t="s">
        <v>271</v>
      </c>
      <c r="D116" s="78">
        <v>950.0</v>
      </c>
      <c r="E116" s="79"/>
      <c r="F116" s="80">
        <v>85.0</v>
      </c>
      <c r="G116" s="78">
        <v>5705.0</v>
      </c>
      <c r="H116" s="81">
        <v>0.05</v>
      </c>
      <c r="I116" s="77">
        <f t="shared" si="4"/>
        <v>47.5</v>
      </c>
      <c r="J116" s="79"/>
      <c r="K116" s="80">
        <v>100.0</v>
      </c>
      <c r="L116" s="82">
        <f t="shared" si="5"/>
        <v>1182.5</v>
      </c>
      <c r="M116" s="77">
        <f t="shared" si="6"/>
        <v>9.5</v>
      </c>
      <c r="N116" s="83">
        <f t="shared" si="7"/>
        <v>94.6</v>
      </c>
      <c r="O116" s="83">
        <f t="shared" si="8"/>
        <v>118.25</v>
      </c>
      <c r="P116" s="83">
        <f t="shared" si="9"/>
        <v>59.125</v>
      </c>
      <c r="Q116" s="83">
        <f t="shared" si="10"/>
        <v>23.65</v>
      </c>
      <c r="R116" s="83">
        <f t="shared" si="48"/>
        <v>9.975</v>
      </c>
      <c r="S116" s="83">
        <f t="shared" si="12"/>
        <v>11.825</v>
      </c>
      <c r="T116" s="84">
        <f t="shared" si="13"/>
        <v>316.95</v>
      </c>
      <c r="U116" s="77">
        <f t="shared" si="14"/>
        <v>19.95</v>
      </c>
      <c r="V116" s="42">
        <f t="shared" si="15"/>
        <v>99.75</v>
      </c>
      <c r="W116" s="77">
        <f t="shared" si="16"/>
        <v>19.95</v>
      </c>
      <c r="X116" s="77">
        <f t="shared" si="17"/>
        <v>159.6</v>
      </c>
      <c r="Y116" s="77">
        <f t="shared" si="18"/>
        <v>299.25</v>
      </c>
      <c r="Z116" s="84">
        <f t="shared" si="19"/>
        <v>1798.7</v>
      </c>
      <c r="AA116" s="85">
        <f t="shared" si="20"/>
        <v>359.74</v>
      </c>
      <c r="AB116" s="83">
        <f t="shared" si="49"/>
        <v>2158.44</v>
      </c>
      <c r="AC116" s="77">
        <f t="shared" si="22"/>
        <v>1995</v>
      </c>
      <c r="AD116" s="83">
        <f t="shared" si="23"/>
        <v>163.44</v>
      </c>
      <c r="AE116" s="83">
        <f t="shared" si="24"/>
        <v>7.572135431</v>
      </c>
      <c r="AF116" s="79"/>
      <c r="AG116" s="86">
        <f t="shared" si="25"/>
        <v>-100</v>
      </c>
      <c r="AH116" s="63">
        <f t="shared" si="26"/>
        <v>1645</v>
      </c>
      <c r="AI116" s="63">
        <f t="shared" si="364"/>
        <v>2158.44</v>
      </c>
      <c r="AJ116" s="90">
        <v>1645.0</v>
      </c>
      <c r="AK116" s="14">
        <f t="shared" si="27"/>
        <v>39.11205074</v>
      </c>
      <c r="AL116" s="14"/>
      <c r="AM116" s="14">
        <f t="shared" si="365"/>
        <v>100</v>
      </c>
      <c r="AN116" s="14">
        <f t="shared" si="29"/>
        <v>139.1120507</v>
      </c>
      <c r="AO116" s="87">
        <f t="shared" si="30"/>
        <v>1.391120507</v>
      </c>
      <c r="AP116" s="14">
        <f t="shared" si="31"/>
        <v>-5.1344</v>
      </c>
      <c r="AQ116" s="14">
        <f t="shared" si="32"/>
        <v>-3.5</v>
      </c>
      <c r="AR116" s="88">
        <f t="shared" ref="AR116:AS116" si="381">AI116/94</f>
        <v>22.96212766</v>
      </c>
      <c r="AS116" s="88">
        <f t="shared" si="381"/>
        <v>17.5</v>
      </c>
      <c r="AT116" s="89">
        <f t="shared" ref="AT116:AU116" si="382">AI116/24</f>
        <v>89.935</v>
      </c>
      <c r="AU116" s="89">
        <f t="shared" si="382"/>
        <v>68.54166667</v>
      </c>
      <c r="AV116" s="89">
        <f t="shared" ref="AV116:AW116" si="383">AI116/125</f>
        <v>17.26752</v>
      </c>
      <c r="AW116" s="89">
        <f t="shared" si="383"/>
        <v>13.16</v>
      </c>
      <c r="AX116" s="79"/>
      <c r="AY116" s="79"/>
    </row>
    <row r="117" ht="15.75" customHeight="1">
      <c r="A117" s="77"/>
      <c r="B117" s="77" t="s">
        <v>259</v>
      </c>
      <c r="C117" s="92" t="s">
        <v>272</v>
      </c>
      <c r="D117" s="78">
        <v>1050.0</v>
      </c>
      <c r="E117" s="79"/>
      <c r="F117" s="80">
        <v>85.0</v>
      </c>
      <c r="G117" s="78">
        <v>5705.0</v>
      </c>
      <c r="H117" s="81">
        <v>0.05</v>
      </c>
      <c r="I117" s="77">
        <f t="shared" si="4"/>
        <v>52.5</v>
      </c>
      <c r="J117" s="79"/>
      <c r="K117" s="80">
        <v>100.0</v>
      </c>
      <c r="L117" s="82">
        <f t="shared" si="5"/>
        <v>1287.5</v>
      </c>
      <c r="M117" s="77">
        <f t="shared" si="6"/>
        <v>10.5</v>
      </c>
      <c r="N117" s="83">
        <f t="shared" si="7"/>
        <v>103</v>
      </c>
      <c r="O117" s="83">
        <f t="shared" si="8"/>
        <v>128.75</v>
      </c>
      <c r="P117" s="83">
        <f t="shared" si="9"/>
        <v>64.375</v>
      </c>
      <c r="Q117" s="83">
        <f t="shared" si="10"/>
        <v>25.75</v>
      </c>
      <c r="R117" s="83">
        <f t="shared" si="48"/>
        <v>11.025</v>
      </c>
      <c r="S117" s="83">
        <f t="shared" si="12"/>
        <v>12.875</v>
      </c>
      <c r="T117" s="84">
        <f t="shared" si="13"/>
        <v>345.25</v>
      </c>
      <c r="U117" s="77">
        <f t="shared" si="14"/>
        <v>22.05</v>
      </c>
      <c r="V117" s="42">
        <f t="shared" si="15"/>
        <v>110.25</v>
      </c>
      <c r="W117" s="77">
        <f t="shared" si="16"/>
        <v>22.05</v>
      </c>
      <c r="X117" s="77">
        <f t="shared" si="17"/>
        <v>176.4</v>
      </c>
      <c r="Y117" s="77">
        <f t="shared" si="18"/>
        <v>330.75</v>
      </c>
      <c r="Z117" s="84">
        <f t="shared" si="19"/>
        <v>1963.5</v>
      </c>
      <c r="AA117" s="85">
        <f t="shared" si="20"/>
        <v>392.7</v>
      </c>
      <c r="AB117" s="83">
        <f t="shared" si="49"/>
        <v>2356.2</v>
      </c>
      <c r="AC117" s="77">
        <f t="shared" si="22"/>
        <v>2205</v>
      </c>
      <c r="AD117" s="83">
        <f t="shared" si="23"/>
        <v>151.2</v>
      </c>
      <c r="AE117" s="83">
        <f t="shared" si="24"/>
        <v>6.417112299</v>
      </c>
      <c r="AF117" s="79"/>
      <c r="AG117" s="86">
        <f t="shared" si="25"/>
        <v>-100</v>
      </c>
      <c r="AH117" s="63">
        <f t="shared" si="26"/>
        <v>1795</v>
      </c>
      <c r="AI117" s="63">
        <f t="shared" si="364"/>
        <v>2356.2</v>
      </c>
      <c r="AJ117" s="90">
        <v>1795.0</v>
      </c>
      <c r="AK117" s="14">
        <f t="shared" si="27"/>
        <v>39.41747573</v>
      </c>
      <c r="AL117" s="14"/>
      <c r="AM117" s="14">
        <f t="shared" si="365"/>
        <v>100</v>
      </c>
      <c r="AN117" s="14">
        <f t="shared" si="29"/>
        <v>139.4174757</v>
      </c>
      <c r="AO117" s="87">
        <f t="shared" si="30"/>
        <v>1.394174757</v>
      </c>
      <c r="AP117" s="14">
        <f t="shared" si="31"/>
        <v>-5.612</v>
      </c>
      <c r="AQ117" s="14">
        <f t="shared" si="32"/>
        <v>-4.1</v>
      </c>
      <c r="AR117" s="88">
        <f t="shared" ref="AR117:AS117" si="384">AI117/94</f>
        <v>25.06595745</v>
      </c>
      <c r="AS117" s="88">
        <f t="shared" si="384"/>
        <v>19.09574468</v>
      </c>
      <c r="AT117" s="89">
        <f t="shared" ref="AT117:AU117" si="385">AI117/24</f>
        <v>98.175</v>
      </c>
      <c r="AU117" s="89">
        <f t="shared" si="385"/>
        <v>74.79166667</v>
      </c>
      <c r="AV117" s="89">
        <f t="shared" ref="AV117:AW117" si="386">AI117/125</f>
        <v>18.8496</v>
      </c>
      <c r="AW117" s="89">
        <f t="shared" si="386"/>
        <v>14.36</v>
      </c>
      <c r="AX117" s="79"/>
      <c r="AY117" s="79"/>
    </row>
    <row r="118" ht="15.0" customHeight="1">
      <c r="A118" s="2" t="s">
        <v>273</v>
      </c>
      <c r="B118" s="2" t="s">
        <v>274</v>
      </c>
      <c r="C118" s="2" t="s">
        <v>275</v>
      </c>
      <c r="D118" s="10">
        <v>250.0</v>
      </c>
      <c r="F118" s="1">
        <v>50.0</v>
      </c>
      <c r="G118" s="10">
        <v>9.4041E7</v>
      </c>
      <c r="H118" s="59">
        <v>0.18</v>
      </c>
      <c r="I118" s="2">
        <f t="shared" si="4"/>
        <v>45</v>
      </c>
      <c r="K118" s="1">
        <v>50.0</v>
      </c>
      <c r="L118" s="4">
        <f t="shared" si="5"/>
        <v>395</v>
      </c>
      <c r="M118" s="2">
        <f t="shared" si="6"/>
        <v>2.5</v>
      </c>
      <c r="N118" s="12">
        <f t="shared" si="7"/>
        <v>31.6</v>
      </c>
      <c r="O118" s="12">
        <f t="shared" si="8"/>
        <v>39.5</v>
      </c>
      <c r="P118" s="12">
        <f t="shared" si="9"/>
        <v>19.75</v>
      </c>
      <c r="Q118" s="12">
        <f t="shared" si="10"/>
        <v>7.9</v>
      </c>
      <c r="R118" s="12">
        <f t="shared" si="48"/>
        <v>2.625</v>
      </c>
      <c r="S118" s="12">
        <f t="shared" si="12"/>
        <v>3.95</v>
      </c>
      <c r="T118" s="60">
        <f t="shared" si="13"/>
        <v>105.2</v>
      </c>
      <c r="U118" s="2">
        <f t="shared" si="14"/>
        <v>5.25</v>
      </c>
      <c r="V118" s="42">
        <f t="shared" si="15"/>
        <v>26.25</v>
      </c>
      <c r="W118" s="2">
        <f t="shared" si="16"/>
        <v>5.25</v>
      </c>
      <c r="X118" s="2">
        <f t="shared" si="17"/>
        <v>42</v>
      </c>
      <c r="Y118" s="2">
        <f t="shared" si="18"/>
        <v>78.75</v>
      </c>
      <c r="Z118" s="60">
        <f t="shared" si="19"/>
        <v>578.95</v>
      </c>
      <c r="AA118" s="11">
        <f t="shared" si="20"/>
        <v>115.79</v>
      </c>
      <c r="AB118" s="12">
        <f t="shared" si="49"/>
        <v>694.74</v>
      </c>
      <c r="AC118" s="2">
        <f t="shared" si="22"/>
        <v>525</v>
      </c>
      <c r="AD118" s="12">
        <f t="shared" si="23"/>
        <v>169.74</v>
      </c>
      <c r="AE118" s="12">
        <f t="shared" si="24"/>
        <v>24.43216167</v>
      </c>
      <c r="AF118" s="61">
        <v>585.0</v>
      </c>
      <c r="AG118" s="62">
        <f t="shared" si="25"/>
        <v>48.10126582</v>
      </c>
      <c r="AH118" s="63">
        <f t="shared" si="26"/>
        <v>10</v>
      </c>
      <c r="AI118" s="65">
        <v>790.0</v>
      </c>
      <c r="AJ118" s="65">
        <v>595.0</v>
      </c>
      <c r="AK118" s="66">
        <f t="shared" si="27"/>
        <v>50.63291139</v>
      </c>
      <c r="AL118" s="66"/>
      <c r="AM118" s="14">
        <f t="shared" si="365"/>
        <v>1.680672269</v>
      </c>
      <c r="AN118" s="67">
        <f t="shared" si="29"/>
        <v>2.53164557</v>
      </c>
      <c r="AO118" s="68">
        <f t="shared" si="30"/>
        <v>1.506329114</v>
      </c>
      <c r="AP118" s="69">
        <f t="shared" si="31"/>
        <v>-0.9974</v>
      </c>
      <c r="AQ118" s="70">
        <f t="shared" si="32"/>
        <v>0.7</v>
      </c>
      <c r="AR118" s="71">
        <f t="shared" ref="AR118:AS118" si="387">AI118/94</f>
        <v>8.404255319</v>
      </c>
      <c r="AS118" s="71">
        <f t="shared" si="387"/>
        <v>6.329787234</v>
      </c>
      <c r="AT118" s="72">
        <f t="shared" ref="AT118:AU118" si="388">AI118/24</f>
        <v>32.91666667</v>
      </c>
      <c r="AU118" s="72">
        <f t="shared" si="388"/>
        <v>24.79166667</v>
      </c>
      <c r="AV118" s="73">
        <f t="shared" ref="AV118:AW118" si="389">AI118/125</f>
        <v>6.32</v>
      </c>
      <c r="AW118" s="73">
        <f t="shared" si="389"/>
        <v>4.76</v>
      </c>
    </row>
    <row r="119" ht="15.75" customHeight="1">
      <c r="A119" s="2"/>
      <c r="B119" s="2" t="s">
        <v>276</v>
      </c>
      <c r="C119" s="2" t="s">
        <v>277</v>
      </c>
      <c r="D119" s="10">
        <v>250.0</v>
      </c>
      <c r="F119" s="1">
        <v>50.0</v>
      </c>
      <c r="G119" s="10">
        <v>9.4041E7</v>
      </c>
      <c r="H119" s="59">
        <v>0.18</v>
      </c>
      <c r="I119" s="2">
        <f t="shared" si="4"/>
        <v>45</v>
      </c>
      <c r="K119" s="1">
        <v>50.0</v>
      </c>
      <c r="L119" s="4">
        <f t="shared" si="5"/>
        <v>395</v>
      </c>
      <c r="M119" s="2">
        <f t="shared" si="6"/>
        <v>2.5</v>
      </c>
      <c r="N119" s="12">
        <f t="shared" si="7"/>
        <v>31.6</v>
      </c>
      <c r="O119" s="12">
        <f t="shared" si="8"/>
        <v>39.5</v>
      </c>
      <c r="P119" s="12">
        <f t="shared" si="9"/>
        <v>19.75</v>
      </c>
      <c r="Q119" s="12">
        <f t="shared" si="10"/>
        <v>7.9</v>
      </c>
      <c r="R119" s="12">
        <f t="shared" si="48"/>
        <v>2.625</v>
      </c>
      <c r="S119" s="12">
        <f t="shared" si="12"/>
        <v>3.95</v>
      </c>
      <c r="T119" s="60">
        <f t="shared" si="13"/>
        <v>105.2</v>
      </c>
      <c r="U119" s="2">
        <f t="shared" si="14"/>
        <v>5.25</v>
      </c>
      <c r="V119" s="42">
        <f t="shared" si="15"/>
        <v>26.25</v>
      </c>
      <c r="W119" s="2">
        <f t="shared" si="16"/>
        <v>5.25</v>
      </c>
      <c r="X119" s="2">
        <f t="shared" si="17"/>
        <v>42</v>
      </c>
      <c r="Y119" s="2">
        <f t="shared" si="18"/>
        <v>78.75</v>
      </c>
      <c r="Z119" s="60">
        <f t="shared" si="19"/>
        <v>578.95</v>
      </c>
      <c r="AA119" s="11">
        <f t="shared" si="20"/>
        <v>115.79</v>
      </c>
      <c r="AB119" s="12">
        <f t="shared" si="49"/>
        <v>694.74</v>
      </c>
      <c r="AC119" s="2">
        <f t="shared" si="22"/>
        <v>525</v>
      </c>
      <c r="AD119" s="12">
        <f t="shared" si="23"/>
        <v>169.74</v>
      </c>
      <c r="AE119" s="12">
        <f t="shared" si="24"/>
        <v>24.43216167</v>
      </c>
      <c r="AF119" s="61">
        <v>585.0</v>
      </c>
      <c r="AG119" s="62">
        <f t="shared" si="25"/>
        <v>48.10126582</v>
      </c>
      <c r="AH119" s="63">
        <f t="shared" si="26"/>
        <v>10</v>
      </c>
      <c r="AI119" s="65">
        <v>790.0</v>
      </c>
      <c r="AJ119" s="65">
        <v>595.0</v>
      </c>
      <c r="AK119" s="66">
        <f t="shared" si="27"/>
        <v>50.63291139</v>
      </c>
      <c r="AL119" s="66"/>
      <c r="AM119" s="14">
        <f t="shared" si="365"/>
        <v>1.680672269</v>
      </c>
      <c r="AN119" s="67">
        <f t="shared" si="29"/>
        <v>2.53164557</v>
      </c>
      <c r="AO119" s="68">
        <f t="shared" si="30"/>
        <v>1.506329114</v>
      </c>
      <c r="AP119" s="69">
        <f t="shared" si="31"/>
        <v>-0.9974</v>
      </c>
      <c r="AQ119" s="70">
        <f t="shared" si="32"/>
        <v>0.7</v>
      </c>
      <c r="AR119" s="71">
        <f t="shared" ref="AR119:AS119" si="390">AI119/94</f>
        <v>8.404255319</v>
      </c>
      <c r="AS119" s="71">
        <f t="shared" si="390"/>
        <v>6.329787234</v>
      </c>
      <c r="AT119" s="72">
        <f t="shared" ref="AT119:AU119" si="391">AI119/24</f>
        <v>32.91666667</v>
      </c>
      <c r="AU119" s="72">
        <f t="shared" si="391"/>
        <v>24.79166667</v>
      </c>
      <c r="AV119" s="73">
        <f t="shared" ref="AV119:AW119" si="392">AI119/125</f>
        <v>6.32</v>
      </c>
      <c r="AW119" s="73">
        <f t="shared" si="392"/>
        <v>4.76</v>
      </c>
    </row>
    <row r="120" ht="15.75" customHeight="1">
      <c r="A120" s="2"/>
      <c r="B120" s="2" t="s">
        <v>278</v>
      </c>
      <c r="C120" s="2" t="s">
        <v>279</v>
      </c>
      <c r="D120" s="10">
        <v>250.0</v>
      </c>
      <c r="F120" s="1">
        <v>50.0</v>
      </c>
      <c r="G120" s="10">
        <v>9.4041E7</v>
      </c>
      <c r="H120" s="59">
        <v>0.18</v>
      </c>
      <c r="I120" s="2">
        <f t="shared" si="4"/>
        <v>45</v>
      </c>
      <c r="K120" s="1">
        <v>50.0</v>
      </c>
      <c r="L120" s="4">
        <f t="shared" si="5"/>
        <v>395</v>
      </c>
      <c r="M120" s="2">
        <f t="shared" si="6"/>
        <v>2.5</v>
      </c>
      <c r="N120" s="12">
        <f t="shared" si="7"/>
        <v>31.6</v>
      </c>
      <c r="O120" s="12">
        <f t="shared" si="8"/>
        <v>39.5</v>
      </c>
      <c r="P120" s="12">
        <f t="shared" si="9"/>
        <v>19.75</v>
      </c>
      <c r="Q120" s="12">
        <f t="shared" si="10"/>
        <v>7.9</v>
      </c>
      <c r="R120" s="12">
        <f t="shared" si="48"/>
        <v>2.625</v>
      </c>
      <c r="S120" s="12">
        <f t="shared" si="12"/>
        <v>3.95</v>
      </c>
      <c r="T120" s="60">
        <f t="shared" si="13"/>
        <v>105.2</v>
      </c>
      <c r="U120" s="2">
        <f t="shared" si="14"/>
        <v>5.25</v>
      </c>
      <c r="V120" s="42">
        <f t="shared" si="15"/>
        <v>26.25</v>
      </c>
      <c r="W120" s="2">
        <f t="shared" si="16"/>
        <v>5.25</v>
      </c>
      <c r="X120" s="2">
        <f t="shared" si="17"/>
        <v>42</v>
      </c>
      <c r="Y120" s="2">
        <f t="shared" si="18"/>
        <v>78.75</v>
      </c>
      <c r="Z120" s="60">
        <f t="shared" si="19"/>
        <v>578.95</v>
      </c>
      <c r="AA120" s="11">
        <f t="shared" si="20"/>
        <v>115.79</v>
      </c>
      <c r="AB120" s="12">
        <f t="shared" si="49"/>
        <v>694.74</v>
      </c>
      <c r="AC120" s="2">
        <f t="shared" si="22"/>
        <v>525</v>
      </c>
      <c r="AD120" s="12">
        <f t="shared" si="23"/>
        <v>169.74</v>
      </c>
      <c r="AE120" s="12">
        <f t="shared" si="24"/>
        <v>24.43216167</v>
      </c>
      <c r="AF120" s="61">
        <v>585.0</v>
      </c>
      <c r="AG120" s="62">
        <f t="shared" si="25"/>
        <v>48.10126582</v>
      </c>
      <c r="AH120" s="63">
        <f t="shared" si="26"/>
        <v>10</v>
      </c>
      <c r="AI120" s="65">
        <v>790.0</v>
      </c>
      <c r="AJ120" s="65">
        <v>595.0</v>
      </c>
      <c r="AK120" s="66">
        <f t="shared" si="27"/>
        <v>50.63291139</v>
      </c>
      <c r="AL120" s="66"/>
      <c r="AM120" s="14">
        <f t="shared" si="365"/>
        <v>1.680672269</v>
      </c>
      <c r="AN120" s="67">
        <f t="shared" si="29"/>
        <v>2.53164557</v>
      </c>
      <c r="AO120" s="68">
        <f t="shared" si="30"/>
        <v>1.506329114</v>
      </c>
      <c r="AP120" s="69">
        <f t="shared" si="31"/>
        <v>-0.9974</v>
      </c>
      <c r="AQ120" s="70">
        <f t="shared" si="32"/>
        <v>0.7</v>
      </c>
      <c r="AR120" s="71">
        <f t="shared" ref="AR120:AS120" si="393">AI120/94</f>
        <v>8.404255319</v>
      </c>
      <c r="AS120" s="71">
        <f t="shared" si="393"/>
        <v>6.329787234</v>
      </c>
      <c r="AT120" s="72">
        <f t="shared" ref="AT120:AU120" si="394">AI120/24</f>
        <v>32.91666667</v>
      </c>
      <c r="AU120" s="72">
        <f t="shared" si="394"/>
        <v>24.79166667</v>
      </c>
      <c r="AV120" s="73">
        <f t="shared" ref="AV120:AW120" si="395">AI120/125</f>
        <v>6.32</v>
      </c>
      <c r="AW120" s="73">
        <f t="shared" si="395"/>
        <v>4.76</v>
      </c>
    </row>
    <row r="121" ht="15.75" customHeight="1">
      <c r="A121" s="2"/>
      <c r="B121" s="2" t="s">
        <v>280</v>
      </c>
      <c r="C121" s="2" t="s">
        <v>281</v>
      </c>
      <c r="D121" s="10">
        <v>250.0</v>
      </c>
      <c r="F121" s="1">
        <v>50.0</v>
      </c>
      <c r="G121" s="10">
        <v>9.4041E7</v>
      </c>
      <c r="H121" s="59">
        <v>0.18</v>
      </c>
      <c r="I121" s="2">
        <f t="shared" si="4"/>
        <v>45</v>
      </c>
      <c r="K121" s="1">
        <v>50.0</v>
      </c>
      <c r="L121" s="4">
        <f t="shared" si="5"/>
        <v>395</v>
      </c>
      <c r="M121" s="2">
        <f t="shared" si="6"/>
        <v>2.5</v>
      </c>
      <c r="N121" s="12">
        <f t="shared" si="7"/>
        <v>31.6</v>
      </c>
      <c r="O121" s="12">
        <f t="shared" si="8"/>
        <v>39.5</v>
      </c>
      <c r="P121" s="12">
        <f t="shared" si="9"/>
        <v>19.75</v>
      </c>
      <c r="Q121" s="12">
        <f t="shared" si="10"/>
        <v>7.9</v>
      </c>
      <c r="R121" s="12">
        <f t="shared" si="48"/>
        <v>2.625</v>
      </c>
      <c r="S121" s="12">
        <f t="shared" si="12"/>
        <v>3.95</v>
      </c>
      <c r="T121" s="60">
        <f t="shared" si="13"/>
        <v>105.2</v>
      </c>
      <c r="U121" s="2">
        <f t="shared" si="14"/>
        <v>5.25</v>
      </c>
      <c r="V121" s="42">
        <f t="shared" si="15"/>
        <v>26.25</v>
      </c>
      <c r="W121" s="2">
        <f t="shared" si="16"/>
        <v>5.25</v>
      </c>
      <c r="X121" s="2">
        <f t="shared" si="17"/>
        <v>42</v>
      </c>
      <c r="Y121" s="2">
        <f t="shared" si="18"/>
        <v>78.75</v>
      </c>
      <c r="Z121" s="60">
        <f t="shared" si="19"/>
        <v>578.95</v>
      </c>
      <c r="AA121" s="11">
        <f t="shared" si="20"/>
        <v>115.79</v>
      </c>
      <c r="AB121" s="12">
        <f t="shared" si="49"/>
        <v>694.74</v>
      </c>
      <c r="AC121" s="2">
        <f t="shared" si="22"/>
        <v>525</v>
      </c>
      <c r="AD121" s="12">
        <f t="shared" si="23"/>
        <v>169.74</v>
      </c>
      <c r="AE121" s="12">
        <f t="shared" si="24"/>
        <v>24.43216167</v>
      </c>
      <c r="AF121" s="61">
        <v>585.0</v>
      </c>
      <c r="AG121" s="62">
        <f t="shared" si="25"/>
        <v>48.10126582</v>
      </c>
      <c r="AH121" s="63">
        <f t="shared" si="26"/>
        <v>10</v>
      </c>
      <c r="AI121" s="65">
        <v>790.0</v>
      </c>
      <c r="AJ121" s="65">
        <v>595.0</v>
      </c>
      <c r="AK121" s="66">
        <f t="shared" si="27"/>
        <v>50.63291139</v>
      </c>
      <c r="AL121" s="66"/>
      <c r="AM121" s="14">
        <f t="shared" si="365"/>
        <v>1.680672269</v>
      </c>
      <c r="AN121" s="67">
        <f t="shared" si="29"/>
        <v>2.53164557</v>
      </c>
      <c r="AO121" s="68">
        <f t="shared" si="30"/>
        <v>1.506329114</v>
      </c>
      <c r="AP121" s="69">
        <f t="shared" si="31"/>
        <v>-0.9974</v>
      </c>
      <c r="AQ121" s="70">
        <f t="shared" si="32"/>
        <v>0.7</v>
      </c>
      <c r="AR121" s="71">
        <f t="shared" ref="AR121:AS121" si="396">AI121/94</f>
        <v>8.404255319</v>
      </c>
      <c r="AS121" s="71">
        <f t="shared" si="396"/>
        <v>6.329787234</v>
      </c>
      <c r="AT121" s="72">
        <f t="shared" ref="AT121:AU121" si="397">AI121/24</f>
        <v>32.91666667</v>
      </c>
      <c r="AU121" s="72">
        <f t="shared" si="397"/>
        <v>24.79166667</v>
      </c>
      <c r="AV121" s="73">
        <f t="shared" ref="AV121:AW121" si="398">AI121/125</f>
        <v>6.32</v>
      </c>
      <c r="AW121" s="73">
        <f t="shared" si="398"/>
        <v>4.76</v>
      </c>
    </row>
    <row r="122" ht="15.75" customHeight="1">
      <c r="A122" s="42"/>
      <c r="B122" s="42" t="s">
        <v>278</v>
      </c>
      <c r="C122" s="42" t="s">
        <v>282</v>
      </c>
      <c r="D122" s="45">
        <v>541.0</v>
      </c>
      <c r="E122" s="47"/>
      <c r="F122" s="44">
        <v>140.0</v>
      </c>
      <c r="G122" s="45">
        <v>9.4041E7</v>
      </c>
      <c r="H122" s="46">
        <v>0.18</v>
      </c>
      <c r="I122" s="42">
        <f t="shared" si="4"/>
        <v>97.38</v>
      </c>
      <c r="J122" s="47"/>
      <c r="K122" s="93">
        <v>200.0</v>
      </c>
      <c r="L122" s="48">
        <f t="shared" si="5"/>
        <v>978.38</v>
      </c>
      <c r="M122" s="42">
        <f t="shared" si="6"/>
        <v>5.41</v>
      </c>
      <c r="N122" s="49">
        <f t="shared" si="7"/>
        <v>78.2704</v>
      </c>
      <c r="O122" s="49">
        <f t="shared" si="8"/>
        <v>97.838</v>
      </c>
      <c r="P122" s="49">
        <f t="shared" si="9"/>
        <v>48.919</v>
      </c>
      <c r="Q122" s="49">
        <f t="shared" si="10"/>
        <v>19.5676</v>
      </c>
      <c r="R122" s="49">
        <f t="shared" si="48"/>
        <v>5.6805</v>
      </c>
      <c r="S122" s="49">
        <f t="shared" si="12"/>
        <v>9.7838</v>
      </c>
      <c r="T122" s="50">
        <f t="shared" si="13"/>
        <v>259.7888</v>
      </c>
      <c r="U122" s="42">
        <f t="shared" si="14"/>
        <v>11.361</v>
      </c>
      <c r="V122" s="42">
        <f t="shared" si="15"/>
        <v>56.805</v>
      </c>
      <c r="W122" s="42">
        <f t="shared" si="16"/>
        <v>11.361</v>
      </c>
      <c r="X122" s="42">
        <f t="shared" si="17"/>
        <v>90.888</v>
      </c>
      <c r="Y122" s="42">
        <f t="shared" si="18"/>
        <v>170.415</v>
      </c>
      <c r="Z122" s="50">
        <f t="shared" si="19"/>
        <v>1408.5838</v>
      </c>
      <c r="AA122" s="51">
        <f t="shared" si="20"/>
        <v>281.71676</v>
      </c>
      <c r="AB122" s="49">
        <f t="shared" si="49"/>
        <v>1690.30056</v>
      </c>
      <c r="AC122" s="42">
        <f t="shared" si="22"/>
        <v>1136.1</v>
      </c>
      <c r="AD122" s="49">
        <f t="shared" si="23"/>
        <v>554.20056</v>
      </c>
      <c r="AE122" s="49">
        <f t="shared" si="24"/>
        <v>32.78710148</v>
      </c>
      <c r="AF122" s="47">
        <v>1450.0</v>
      </c>
      <c r="AG122" s="52">
        <f t="shared" si="25"/>
        <v>48.20417425</v>
      </c>
      <c r="AH122" s="53">
        <f t="shared" si="26"/>
        <v>40</v>
      </c>
      <c r="AI122" s="53">
        <v>1590.0</v>
      </c>
      <c r="AJ122" s="53">
        <v>1490.0</v>
      </c>
      <c r="AK122" s="55">
        <f t="shared" si="27"/>
        <v>52.29256526</v>
      </c>
      <c r="AL122" s="55"/>
      <c r="AM122" s="55">
        <f t="shared" si="365"/>
        <v>2.684563758</v>
      </c>
      <c r="AN122" s="55">
        <f t="shared" si="29"/>
        <v>4.088391014</v>
      </c>
      <c r="AO122" s="56">
        <f t="shared" si="30"/>
        <v>1.522925653</v>
      </c>
      <c r="AP122" s="55">
        <f t="shared" si="31"/>
        <v>-2.0030056</v>
      </c>
      <c r="AQ122" s="55">
        <f t="shared" si="32"/>
        <v>3.539</v>
      </c>
      <c r="AR122" s="57">
        <f t="shared" ref="AR122:AS122" si="399">AI122/94</f>
        <v>16.91489362</v>
      </c>
      <c r="AS122" s="57">
        <f t="shared" si="399"/>
        <v>15.85106383</v>
      </c>
      <c r="AT122" s="58">
        <f t="shared" ref="AT122:AU122" si="400">AI122/24</f>
        <v>66.25</v>
      </c>
      <c r="AU122" s="58">
        <f t="shared" si="400"/>
        <v>62.08333333</v>
      </c>
      <c r="AV122" s="58">
        <f t="shared" ref="AV122:AW122" si="401">AI122/125</f>
        <v>12.72</v>
      </c>
      <c r="AW122" s="58">
        <f t="shared" si="401"/>
        <v>11.92</v>
      </c>
      <c r="AX122" s="47"/>
      <c r="AY122" s="47"/>
    </row>
    <row r="123" ht="15.75" customHeight="1">
      <c r="A123" s="42"/>
      <c r="B123" s="42" t="s">
        <v>283</v>
      </c>
      <c r="C123" s="42" t="s">
        <v>284</v>
      </c>
      <c r="D123" s="45">
        <v>541.0</v>
      </c>
      <c r="E123" s="47"/>
      <c r="F123" s="44">
        <v>140.0</v>
      </c>
      <c r="G123" s="45">
        <v>9.4041E7</v>
      </c>
      <c r="H123" s="46">
        <v>0.18</v>
      </c>
      <c r="I123" s="42">
        <f t="shared" si="4"/>
        <v>97.38</v>
      </c>
      <c r="J123" s="47"/>
      <c r="K123" s="93">
        <v>200.0</v>
      </c>
      <c r="L123" s="48">
        <f t="shared" si="5"/>
        <v>978.38</v>
      </c>
      <c r="M123" s="42">
        <f t="shared" si="6"/>
        <v>5.41</v>
      </c>
      <c r="N123" s="49">
        <f t="shared" si="7"/>
        <v>78.2704</v>
      </c>
      <c r="O123" s="49">
        <f t="shared" si="8"/>
        <v>97.838</v>
      </c>
      <c r="P123" s="49">
        <f t="shared" si="9"/>
        <v>48.919</v>
      </c>
      <c r="Q123" s="49">
        <f t="shared" si="10"/>
        <v>19.5676</v>
      </c>
      <c r="R123" s="49">
        <f t="shared" si="48"/>
        <v>5.6805</v>
      </c>
      <c r="S123" s="49">
        <f t="shared" si="12"/>
        <v>9.7838</v>
      </c>
      <c r="T123" s="50">
        <f t="shared" si="13"/>
        <v>259.7888</v>
      </c>
      <c r="U123" s="42">
        <f t="shared" si="14"/>
        <v>11.361</v>
      </c>
      <c r="V123" s="42">
        <f t="shared" si="15"/>
        <v>56.805</v>
      </c>
      <c r="W123" s="42">
        <f t="shared" si="16"/>
        <v>11.361</v>
      </c>
      <c r="X123" s="42">
        <f t="shared" si="17"/>
        <v>90.888</v>
      </c>
      <c r="Y123" s="42">
        <f t="shared" si="18"/>
        <v>170.415</v>
      </c>
      <c r="Z123" s="50">
        <f t="shared" si="19"/>
        <v>1408.5838</v>
      </c>
      <c r="AA123" s="51">
        <f t="shared" si="20"/>
        <v>281.71676</v>
      </c>
      <c r="AB123" s="49">
        <f t="shared" si="49"/>
        <v>1690.30056</v>
      </c>
      <c r="AC123" s="42">
        <f t="shared" si="22"/>
        <v>1136.1</v>
      </c>
      <c r="AD123" s="49">
        <f t="shared" si="23"/>
        <v>554.20056</v>
      </c>
      <c r="AE123" s="49">
        <f t="shared" si="24"/>
        <v>32.78710148</v>
      </c>
      <c r="AF123" s="47">
        <v>1450.0</v>
      </c>
      <c r="AG123" s="52">
        <f t="shared" si="25"/>
        <v>48.20417425</v>
      </c>
      <c r="AH123" s="53">
        <f t="shared" si="26"/>
        <v>40</v>
      </c>
      <c r="AI123" s="53">
        <v>1590.0</v>
      </c>
      <c r="AJ123" s="53">
        <v>1490.0</v>
      </c>
      <c r="AK123" s="55">
        <f t="shared" si="27"/>
        <v>52.29256526</v>
      </c>
      <c r="AL123" s="55"/>
      <c r="AM123" s="55">
        <f t="shared" si="365"/>
        <v>2.684563758</v>
      </c>
      <c r="AN123" s="55">
        <f t="shared" si="29"/>
        <v>4.088391014</v>
      </c>
      <c r="AO123" s="56">
        <f t="shared" si="30"/>
        <v>1.522925653</v>
      </c>
      <c r="AP123" s="55">
        <f t="shared" si="31"/>
        <v>-2.0030056</v>
      </c>
      <c r="AQ123" s="55">
        <f t="shared" si="32"/>
        <v>3.539</v>
      </c>
      <c r="AR123" s="57">
        <f t="shared" ref="AR123:AS123" si="402">AI123/94</f>
        <v>16.91489362</v>
      </c>
      <c r="AS123" s="57">
        <f t="shared" si="402"/>
        <v>15.85106383</v>
      </c>
      <c r="AT123" s="58">
        <f t="shared" ref="AT123:AU123" si="403">AI123/24</f>
        <v>66.25</v>
      </c>
      <c r="AU123" s="58">
        <f t="shared" si="403"/>
        <v>62.08333333</v>
      </c>
      <c r="AV123" s="58">
        <f t="shared" ref="AV123:AW123" si="404">AI123/125</f>
        <v>12.72</v>
      </c>
      <c r="AW123" s="58">
        <f t="shared" si="404"/>
        <v>11.92</v>
      </c>
      <c r="AX123" s="47"/>
      <c r="AY123" s="47"/>
    </row>
    <row r="124" ht="15.75" customHeight="1">
      <c r="A124" s="42"/>
      <c r="B124" s="42" t="s">
        <v>285</v>
      </c>
      <c r="C124" s="42" t="s">
        <v>286</v>
      </c>
      <c r="D124" s="45">
        <v>541.0</v>
      </c>
      <c r="E124" s="47"/>
      <c r="F124" s="44">
        <v>140.0</v>
      </c>
      <c r="G124" s="45">
        <v>9.4041E7</v>
      </c>
      <c r="H124" s="46">
        <v>0.18</v>
      </c>
      <c r="I124" s="42">
        <f t="shared" si="4"/>
        <v>97.38</v>
      </c>
      <c r="J124" s="47"/>
      <c r="K124" s="93">
        <v>200.0</v>
      </c>
      <c r="L124" s="48">
        <f t="shared" si="5"/>
        <v>978.38</v>
      </c>
      <c r="M124" s="42">
        <f t="shared" si="6"/>
        <v>5.41</v>
      </c>
      <c r="N124" s="49">
        <f t="shared" si="7"/>
        <v>78.2704</v>
      </c>
      <c r="O124" s="49">
        <f t="shared" si="8"/>
        <v>97.838</v>
      </c>
      <c r="P124" s="49">
        <f t="shared" si="9"/>
        <v>48.919</v>
      </c>
      <c r="Q124" s="49">
        <f t="shared" si="10"/>
        <v>19.5676</v>
      </c>
      <c r="R124" s="49">
        <f t="shared" si="48"/>
        <v>5.6805</v>
      </c>
      <c r="S124" s="49">
        <f t="shared" si="12"/>
        <v>9.7838</v>
      </c>
      <c r="T124" s="50">
        <f t="shared" si="13"/>
        <v>259.7888</v>
      </c>
      <c r="U124" s="42">
        <f t="shared" si="14"/>
        <v>11.361</v>
      </c>
      <c r="V124" s="42">
        <f t="shared" si="15"/>
        <v>56.805</v>
      </c>
      <c r="W124" s="42">
        <f t="shared" si="16"/>
        <v>11.361</v>
      </c>
      <c r="X124" s="42">
        <f t="shared" si="17"/>
        <v>90.888</v>
      </c>
      <c r="Y124" s="42">
        <f t="shared" si="18"/>
        <v>170.415</v>
      </c>
      <c r="Z124" s="50">
        <f t="shared" si="19"/>
        <v>1408.5838</v>
      </c>
      <c r="AA124" s="51">
        <f t="shared" si="20"/>
        <v>281.71676</v>
      </c>
      <c r="AB124" s="49">
        <f t="shared" si="49"/>
        <v>1690.30056</v>
      </c>
      <c r="AC124" s="42">
        <f t="shared" si="22"/>
        <v>1136.1</v>
      </c>
      <c r="AD124" s="49">
        <f t="shared" si="23"/>
        <v>554.20056</v>
      </c>
      <c r="AE124" s="49">
        <f t="shared" si="24"/>
        <v>32.78710148</v>
      </c>
      <c r="AF124" s="47">
        <v>1450.0</v>
      </c>
      <c r="AG124" s="52">
        <f t="shared" si="25"/>
        <v>48.20417425</v>
      </c>
      <c r="AH124" s="53">
        <f t="shared" si="26"/>
        <v>40</v>
      </c>
      <c r="AI124" s="53">
        <v>1590.0</v>
      </c>
      <c r="AJ124" s="53">
        <v>1490.0</v>
      </c>
      <c r="AK124" s="55">
        <f t="shared" si="27"/>
        <v>52.29256526</v>
      </c>
      <c r="AL124" s="55"/>
      <c r="AM124" s="55">
        <f t="shared" si="365"/>
        <v>2.684563758</v>
      </c>
      <c r="AN124" s="55">
        <f t="shared" si="29"/>
        <v>4.088391014</v>
      </c>
      <c r="AO124" s="56">
        <f t="shared" si="30"/>
        <v>1.522925653</v>
      </c>
      <c r="AP124" s="55">
        <f t="shared" si="31"/>
        <v>-2.0030056</v>
      </c>
      <c r="AQ124" s="55">
        <f t="shared" si="32"/>
        <v>3.539</v>
      </c>
      <c r="AR124" s="57">
        <f t="shared" ref="AR124:AS124" si="405">AI124/94</f>
        <v>16.91489362</v>
      </c>
      <c r="AS124" s="57">
        <f t="shared" si="405"/>
        <v>15.85106383</v>
      </c>
      <c r="AT124" s="58">
        <f t="shared" ref="AT124:AU124" si="406">AI124/24</f>
        <v>66.25</v>
      </c>
      <c r="AU124" s="58">
        <f t="shared" si="406"/>
        <v>62.08333333</v>
      </c>
      <c r="AV124" s="58">
        <f t="shared" ref="AV124:AW124" si="407">AI124/125</f>
        <v>12.72</v>
      </c>
      <c r="AW124" s="58">
        <f t="shared" si="407"/>
        <v>11.92</v>
      </c>
      <c r="AX124" s="47"/>
      <c r="AY124" s="47"/>
    </row>
    <row r="125" ht="15.75" customHeight="1">
      <c r="A125" s="42"/>
      <c r="B125" s="42" t="s">
        <v>287</v>
      </c>
      <c r="C125" s="42" t="s">
        <v>288</v>
      </c>
      <c r="D125" s="45">
        <v>541.0</v>
      </c>
      <c r="E125" s="47"/>
      <c r="F125" s="44">
        <v>140.0</v>
      </c>
      <c r="G125" s="45">
        <v>9.4041E7</v>
      </c>
      <c r="H125" s="46">
        <v>0.18</v>
      </c>
      <c r="I125" s="42">
        <f t="shared" si="4"/>
        <v>97.38</v>
      </c>
      <c r="J125" s="47"/>
      <c r="K125" s="93">
        <v>200.0</v>
      </c>
      <c r="L125" s="48">
        <f t="shared" si="5"/>
        <v>978.38</v>
      </c>
      <c r="M125" s="42">
        <f t="shared" si="6"/>
        <v>5.41</v>
      </c>
      <c r="N125" s="49">
        <f t="shared" si="7"/>
        <v>78.2704</v>
      </c>
      <c r="O125" s="49">
        <f t="shared" si="8"/>
        <v>97.838</v>
      </c>
      <c r="P125" s="49">
        <f t="shared" si="9"/>
        <v>48.919</v>
      </c>
      <c r="Q125" s="49">
        <f t="shared" si="10"/>
        <v>19.5676</v>
      </c>
      <c r="R125" s="49">
        <f t="shared" si="48"/>
        <v>5.6805</v>
      </c>
      <c r="S125" s="49">
        <f t="shared" si="12"/>
        <v>9.7838</v>
      </c>
      <c r="T125" s="50">
        <f t="shared" si="13"/>
        <v>259.7888</v>
      </c>
      <c r="U125" s="42">
        <f t="shared" si="14"/>
        <v>11.361</v>
      </c>
      <c r="V125" s="42">
        <f t="shared" si="15"/>
        <v>56.805</v>
      </c>
      <c r="W125" s="42">
        <f t="shared" si="16"/>
        <v>11.361</v>
      </c>
      <c r="X125" s="42">
        <f t="shared" si="17"/>
        <v>90.888</v>
      </c>
      <c r="Y125" s="42">
        <f t="shared" si="18"/>
        <v>170.415</v>
      </c>
      <c r="Z125" s="50">
        <f t="shared" si="19"/>
        <v>1408.5838</v>
      </c>
      <c r="AA125" s="51">
        <f t="shared" si="20"/>
        <v>281.71676</v>
      </c>
      <c r="AB125" s="49">
        <f t="shared" si="49"/>
        <v>1690.30056</v>
      </c>
      <c r="AC125" s="42">
        <f t="shared" si="22"/>
        <v>1136.1</v>
      </c>
      <c r="AD125" s="49">
        <f t="shared" si="23"/>
        <v>554.20056</v>
      </c>
      <c r="AE125" s="49">
        <f t="shared" si="24"/>
        <v>32.78710148</v>
      </c>
      <c r="AF125" s="47">
        <v>1450.0</v>
      </c>
      <c r="AG125" s="52">
        <f t="shared" si="25"/>
        <v>48.20417425</v>
      </c>
      <c r="AH125" s="53">
        <f t="shared" si="26"/>
        <v>40</v>
      </c>
      <c r="AI125" s="53">
        <v>1590.0</v>
      </c>
      <c r="AJ125" s="53">
        <v>1490.0</v>
      </c>
      <c r="AK125" s="55">
        <f t="shared" si="27"/>
        <v>52.29256526</v>
      </c>
      <c r="AL125" s="55"/>
      <c r="AM125" s="55">
        <f t="shared" si="365"/>
        <v>2.684563758</v>
      </c>
      <c r="AN125" s="55">
        <f t="shared" si="29"/>
        <v>4.088391014</v>
      </c>
      <c r="AO125" s="56">
        <f t="shared" si="30"/>
        <v>1.522925653</v>
      </c>
      <c r="AP125" s="55">
        <f t="shared" si="31"/>
        <v>-2.0030056</v>
      </c>
      <c r="AQ125" s="55">
        <f t="shared" si="32"/>
        <v>3.539</v>
      </c>
      <c r="AR125" s="57">
        <f t="shared" ref="AR125:AS125" si="408">AI125/94</f>
        <v>16.91489362</v>
      </c>
      <c r="AS125" s="57">
        <f t="shared" si="408"/>
        <v>15.85106383</v>
      </c>
      <c r="AT125" s="58">
        <f t="shared" ref="AT125:AU125" si="409">AI125/24</f>
        <v>66.25</v>
      </c>
      <c r="AU125" s="58">
        <f t="shared" si="409"/>
        <v>62.08333333</v>
      </c>
      <c r="AV125" s="58">
        <f t="shared" ref="AV125:AW125" si="410">AI125/125</f>
        <v>12.72</v>
      </c>
      <c r="AW125" s="58">
        <f t="shared" si="410"/>
        <v>11.92</v>
      </c>
      <c r="AX125" s="47"/>
      <c r="AY125" s="47"/>
    </row>
    <row r="126" ht="15.75" customHeight="1">
      <c r="A126" s="42"/>
      <c r="B126" s="42" t="s">
        <v>289</v>
      </c>
      <c r="C126" s="42" t="s">
        <v>290</v>
      </c>
      <c r="D126" s="45">
        <v>541.0</v>
      </c>
      <c r="E126" s="47"/>
      <c r="F126" s="44">
        <v>140.0</v>
      </c>
      <c r="G126" s="45">
        <v>9.4041E7</v>
      </c>
      <c r="H126" s="46">
        <v>0.18</v>
      </c>
      <c r="I126" s="42">
        <f t="shared" si="4"/>
        <v>97.38</v>
      </c>
      <c r="J126" s="47"/>
      <c r="K126" s="93">
        <v>200.0</v>
      </c>
      <c r="L126" s="48">
        <f t="shared" si="5"/>
        <v>978.38</v>
      </c>
      <c r="M126" s="42">
        <f t="shared" si="6"/>
        <v>5.41</v>
      </c>
      <c r="N126" s="49">
        <f t="shared" si="7"/>
        <v>78.2704</v>
      </c>
      <c r="O126" s="49">
        <f t="shared" si="8"/>
        <v>97.838</v>
      </c>
      <c r="P126" s="49">
        <f t="shared" si="9"/>
        <v>48.919</v>
      </c>
      <c r="Q126" s="49">
        <f t="shared" si="10"/>
        <v>19.5676</v>
      </c>
      <c r="R126" s="49">
        <f t="shared" si="48"/>
        <v>5.6805</v>
      </c>
      <c r="S126" s="49">
        <f t="shared" si="12"/>
        <v>9.7838</v>
      </c>
      <c r="T126" s="50">
        <f t="shared" si="13"/>
        <v>259.7888</v>
      </c>
      <c r="U126" s="42">
        <f t="shared" si="14"/>
        <v>11.361</v>
      </c>
      <c r="V126" s="42">
        <f t="shared" si="15"/>
        <v>56.805</v>
      </c>
      <c r="W126" s="42">
        <f t="shared" si="16"/>
        <v>11.361</v>
      </c>
      <c r="X126" s="42">
        <f t="shared" si="17"/>
        <v>90.888</v>
      </c>
      <c r="Y126" s="42">
        <f t="shared" si="18"/>
        <v>170.415</v>
      </c>
      <c r="Z126" s="50">
        <f t="shared" si="19"/>
        <v>1408.5838</v>
      </c>
      <c r="AA126" s="51">
        <f t="shared" si="20"/>
        <v>281.71676</v>
      </c>
      <c r="AB126" s="49">
        <f t="shared" si="49"/>
        <v>1690.30056</v>
      </c>
      <c r="AC126" s="42">
        <f t="shared" si="22"/>
        <v>1136.1</v>
      </c>
      <c r="AD126" s="49">
        <f t="shared" si="23"/>
        <v>554.20056</v>
      </c>
      <c r="AE126" s="49">
        <f t="shared" si="24"/>
        <v>32.78710148</v>
      </c>
      <c r="AF126" s="47">
        <v>1450.0</v>
      </c>
      <c r="AG126" s="52">
        <f t="shared" si="25"/>
        <v>48.20417425</v>
      </c>
      <c r="AH126" s="53">
        <f t="shared" si="26"/>
        <v>40</v>
      </c>
      <c r="AI126" s="53">
        <v>1590.0</v>
      </c>
      <c r="AJ126" s="53">
        <v>1490.0</v>
      </c>
      <c r="AK126" s="55">
        <f t="shared" si="27"/>
        <v>52.29256526</v>
      </c>
      <c r="AL126" s="55"/>
      <c r="AM126" s="55">
        <f t="shared" si="365"/>
        <v>2.684563758</v>
      </c>
      <c r="AN126" s="55">
        <f t="shared" si="29"/>
        <v>4.088391014</v>
      </c>
      <c r="AO126" s="56">
        <f t="shared" si="30"/>
        <v>1.522925653</v>
      </c>
      <c r="AP126" s="55">
        <f t="shared" si="31"/>
        <v>-2.0030056</v>
      </c>
      <c r="AQ126" s="55">
        <f t="shared" si="32"/>
        <v>3.539</v>
      </c>
      <c r="AR126" s="57">
        <f t="shared" ref="AR126:AS126" si="411">AI126/94</f>
        <v>16.91489362</v>
      </c>
      <c r="AS126" s="57">
        <f t="shared" si="411"/>
        <v>15.85106383</v>
      </c>
      <c r="AT126" s="58">
        <f t="shared" ref="AT126:AU126" si="412">AI126/24</f>
        <v>66.25</v>
      </c>
      <c r="AU126" s="58">
        <f t="shared" si="412"/>
        <v>62.08333333</v>
      </c>
      <c r="AV126" s="58">
        <f t="shared" ref="AV126:AW126" si="413">AI126/125</f>
        <v>12.72</v>
      </c>
      <c r="AW126" s="58">
        <f t="shared" si="413"/>
        <v>11.92</v>
      </c>
      <c r="AX126" s="47"/>
      <c r="AY126" s="47"/>
    </row>
    <row r="127" ht="15.0" customHeight="1">
      <c r="A127" s="42" t="s">
        <v>291</v>
      </c>
      <c r="B127" s="42" t="s">
        <v>278</v>
      </c>
      <c r="C127" s="42" t="s">
        <v>292</v>
      </c>
      <c r="D127" s="45">
        <v>541.0</v>
      </c>
      <c r="E127" s="47"/>
      <c r="F127" s="44">
        <v>140.0</v>
      </c>
      <c r="G127" s="45">
        <v>9.4041E7</v>
      </c>
      <c r="H127" s="46">
        <v>0.18</v>
      </c>
      <c r="I127" s="42">
        <f t="shared" si="4"/>
        <v>97.38</v>
      </c>
      <c r="J127" s="47"/>
      <c r="K127" s="93">
        <v>200.0</v>
      </c>
      <c r="L127" s="48">
        <f t="shared" si="5"/>
        <v>978.38</v>
      </c>
      <c r="M127" s="42">
        <f t="shared" si="6"/>
        <v>5.41</v>
      </c>
      <c r="N127" s="49">
        <f t="shared" si="7"/>
        <v>78.2704</v>
      </c>
      <c r="O127" s="49">
        <f t="shared" si="8"/>
        <v>97.838</v>
      </c>
      <c r="P127" s="49">
        <f t="shared" si="9"/>
        <v>48.919</v>
      </c>
      <c r="Q127" s="49">
        <f t="shared" si="10"/>
        <v>19.5676</v>
      </c>
      <c r="R127" s="49">
        <f t="shared" si="48"/>
        <v>5.6805</v>
      </c>
      <c r="S127" s="49">
        <f t="shared" si="12"/>
        <v>9.7838</v>
      </c>
      <c r="T127" s="50">
        <f t="shared" si="13"/>
        <v>259.7888</v>
      </c>
      <c r="U127" s="42">
        <f t="shared" si="14"/>
        <v>11.361</v>
      </c>
      <c r="V127" s="42">
        <f t="shared" si="15"/>
        <v>56.805</v>
      </c>
      <c r="W127" s="42">
        <f t="shared" si="16"/>
        <v>11.361</v>
      </c>
      <c r="X127" s="42">
        <f t="shared" si="17"/>
        <v>90.888</v>
      </c>
      <c r="Y127" s="42">
        <f t="shared" si="18"/>
        <v>170.415</v>
      </c>
      <c r="Z127" s="50">
        <f t="shared" si="19"/>
        <v>1408.5838</v>
      </c>
      <c r="AA127" s="51">
        <f t="shared" si="20"/>
        <v>281.71676</v>
      </c>
      <c r="AB127" s="49">
        <f t="shared" si="49"/>
        <v>1690.30056</v>
      </c>
      <c r="AC127" s="42">
        <f t="shared" si="22"/>
        <v>1136.1</v>
      </c>
      <c r="AD127" s="49">
        <f t="shared" si="23"/>
        <v>554.20056</v>
      </c>
      <c r="AE127" s="49">
        <f t="shared" si="24"/>
        <v>32.78710148</v>
      </c>
      <c r="AF127" s="47">
        <v>1550.0</v>
      </c>
      <c r="AG127" s="52">
        <f t="shared" si="25"/>
        <v>58.42515178</v>
      </c>
      <c r="AH127" s="53">
        <f t="shared" si="26"/>
        <v>40</v>
      </c>
      <c r="AI127" s="53">
        <v>1690.0</v>
      </c>
      <c r="AJ127" s="53">
        <v>1590.0</v>
      </c>
      <c r="AK127" s="55">
        <f t="shared" si="27"/>
        <v>62.5135428</v>
      </c>
      <c r="AL127" s="55"/>
      <c r="AM127" s="55">
        <f t="shared" si="365"/>
        <v>2.51572327</v>
      </c>
      <c r="AN127" s="55">
        <f t="shared" si="29"/>
        <v>4.088391014</v>
      </c>
      <c r="AO127" s="56">
        <f t="shared" si="30"/>
        <v>1.625135428</v>
      </c>
      <c r="AP127" s="55">
        <f t="shared" si="31"/>
        <v>-1.0030056</v>
      </c>
      <c r="AQ127" s="55">
        <f t="shared" si="32"/>
        <v>4.539</v>
      </c>
      <c r="AR127" s="57">
        <f t="shared" ref="AR127:AS127" si="414">AI127/94</f>
        <v>17.9787234</v>
      </c>
      <c r="AS127" s="57">
        <f t="shared" si="414"/>
        <v>16.91489362</v>
      </c>
      <c r="AT127" s="58">
        <f t="shared" ref="AT127:AU127" si="415">AI127/24</f>
        <v>70.41666667</v>
      </c>
      <c r="AU127" s="58">
        <f t="shared" si="415"/>
        <v>66.25</v>
      </c>
      <c r="AV127" s="58">
        <f t="shared" ref="AV127:AW127" si="416">AI127/125</f>
        <v>13.52</v>
      </c>
      <c r="AW127" s="58">
        <f t="shared" si="416"/>
        <v>12.72</v>
      </c>
      <c r="AX127" s="47"/>
      <c r="AY127" s="47"/>
    </row>
    <row r="128" ht="15.75" customHeight="1">
      <c r="A128" s="42"/>
      <c r="B128" s="42" t="s">
        <v>293</v>
      </c>
      <c r="C128" s="42" t="s">
        <v>294</v>
      </c>
      <c r="D128" s="45">
        <v>541.0</v>
      </c>
      <c r="E128" s="47"/>
      <c r="F128" s="44">
        <v>140.0</v>
      </c>
      <c r="G128" s="45">
        <v>9.4041E7</v>
      </c>
      <c r="H128" s="46">
        <v>0.18</v>
      </c>
      <c r="I128" s="42">
        <f t="shared" si="4"/>
        <v>97.38</v>
      </c>
      <c r="J128" s="47"/>
      <c r="K128" s="93">
        <v>200.0</v>
      </c>
      <c r="L128" s="48">
        <f t="shared" si="5"/>
        <v>978.38</v>
      </c>
      <c r="M128" s="42">
        <f t="shared" si="6"/>
        <v>5.41</v>
      </c>
      <c r="N128" s="49">
        <f t="shared" si="7"/>
        <v>78.2704</v>
      </c>
      <c r="O128" s="49">
        <f t="shared" si="8"/>
        <v>97.838</v>
      </c>
      <c r="P128" s="49">
        <f t="shared" si="9"/>
        <v>48.919</v>
      </c>
      <c r="Q128" s="49">
        <f t="shared" si="10"/>
        <v>19.5676</v>
      </c>
      <c r="R128" s="49">
        <f t="shared" si="48"/>
        <v>5.6805</v>
      </c>
      <c r="S128" s="49">
        <f t="shared" si="12"/>
        <v>9.7838</v>
      </c>
      <c r="T128" s="50">
        <f t="shared" si="13"/>
        <v>259.7888</v>
      </c>
      <c r="U128" s="42">
        <f t="shared" si="14"/>
        <v>11.361</v>
      </c>
      <c r="V128" s="42">
        <f t="shared" si="15"/>
        <v>56.805</v>
      </c>
      <c r="W128" s="42">
        <f t="shared" si="16"/>
        <v>11.361</v>
      </c>
      <c r="X128" s="42">
        <f t="shared" si="17"/>
        <v>90.888</v>
      </c>
      <c r="Y128" s="42">
        <f t="shared" si="18"/>
        <v>170.415</v>
      </c>
      <c r="Z128" s="50">
        <f t="shared" si="19"/>
        <v>1408.5838</v>
      </c>
      <c r="AA128" s="51">
        <f t="shared" si="20"/>
        <v>281.71676</v>
      </c>
      <c r="AB128" s="49">
        <f t="shared" si="49"/>
        <v>1690.30056</v>
      </c>
      <c r="AC128" s="42">
        <f t="shared" si="22"/>
        <v>1136.1</v>
      </c>
      <c r="AD128" s="49">
        <f t="shared" si="23"/>
        <v>554.20056</v>
      </c>
      <c r="AE128" s="49">
        <f t="shared" si="24"/>
        <v>32.78710148</v>
      </c>
      <c r="AF128" s="47">
        <v>1550.0</v>
      </c>
      <c r="AG128" s="52">
        <f t="shared" si="25"/>
        <v>58.42515178</v>
      </c>
      <c r="AH128" s="53">
        <f t="shared" si="26"/>
        <v>40</v>
      </c>
      <c r="AI128" s="53">
        <v>1690.0</v>
      </c>
      <c r="AJ128" s="53">
        <v>1590.0</v>
      </c>
      <c r="AK128" s="55">
        <f t="shared" si="27"/>
        <v>62.5135428</v>
      </c>
      <c r="AL128" s="55"/>
      <c r="AM128" s="55">
        <f t="shared" si="365"/>
        <v>2.51572327</v>
      </c>
      <c r="AN128" s="55">
        <f t="shared" si="29"/>
        <v>4.088391014</v>
      </c>
      <c r="AO128" s="56">
        <f t="shared" si="30"/>
        <v>1.625135428</v>
      </c>
      <c r="AP128" s="55">
        <f t="shared" si="31"/>
        <v>-1.0030056</v>
      </c>
      <c r="AQ128" s="55">
        <f t="shared" si="32"/>
        <v>4.539</v>
      </c>
      <c r="AR128" s="57">
        <f t="shared" ref="AR128:AS128" si="417">AI128/94</f>
        <v>17.9787234</v>
      </c>
      <c r="AS128" s="57">
        <f t="shared" si="417"/>
        <v>16.91489362</v>
      </c>
      <c r="AT128" s="58">
        <f t="shared" ref="AT128:AU128" si="418">AI128/24</f>
        <v>70.41666667</v>
      </c>
      <c r="AU128" s="58">
        <f t="shared" si="418"/>
        <v>66.25</v>
      </c>
      <c r="AV128" s="58">
        <f t="shared" ref="AV128:AW128" si="419">AI128/125</f>
        <v>13.52</v>
      </c>
      <c r="AW128" s="58">
        <f t="shared" si="419"/>
        <v>12.72</v>
      </c>
      <c r="AX128" s="47"/>
      <c r="AY128" s="47"/>
    </row>
    <row r="129" ht="15.75" customHeight="1">
      <c r="A129" s="42"/>
      <c r="B129" s="42" t="s">
        <v>295</v>
      </c>
      <c r="C129" s="42" t="s">
        <v>296</v>
      </c>
      <c r="D129" s="45">
        <v>541.0</v>
      </c>
      <c r="E129" s="47"/>
      <c r="F129" s="44">
        <v>140.0</v>
      </c>
      <c r="G129" s="45">
        <v>9.4041E7</v>
      </c>
      <c r="H129" s="46">
        <v>0.18</v>
      </c>
      <c r="I129" s="42">
        <f t="shared" si="4"/>
        <v>97.38</v>
      </c>
      <c r="J129" s="47"/>
      <c r="K129" s="93">
        <v>200.0</v>
      </c>
      <c r="L129" s="48">
        <f t="shared" si="5"/>
        <v>978.38</v>
      </c>
      <c r="M129" s="42">
        <f t="shared" si="6"/>
        <v>5.41</v>
      </c>
      <c r="N129" s="49">
        <f t="shared" si="7"/>
        <v>78.2704</v>
      </c>
      <c r="O129" s="49">
        <f t="shared" si="8"/>
        <v>97.838</v>
      </c>
      <c r="P129" s="49">
        <f t="shared" si="9"/>
        <v>48.919</v>
      </c>
      <c r="Q129" s="49">
        <f t="shared" si="10"/>
        <v>19.5676</v>
      </c>
      <c r="R129" s="49">
        <f t="shared" si="48"/>
        <v>5.6805</v>
      </c>
      <c r="S129" s="49">
        <f t="shared" si="12"/>
        <v>9.7838</v>
      </c>
      <c r="T129" s="50">
        <f t="shared" si="13"/>
        <v>259.7888</v>
      </c>
      <c r="U129" s="42">
        <f t="shared" si="14"/>
        <v>11.361</v>
      </c>
      <c r="V129" s="42">
        <f t="shared" si="15"/>
        <v>56.805</v>
      </c>
      <c r="W129" s="42">
        <f t="shared" si="16"/>
        <v>11.361</v>
      </c>
      <c r="X129" s="42">
        <f t="shared" si="17"/>
        <v>90.888</v>
      </c>
      <c r="Y129" s="42">
        <f t="shared" si="18"/>
        <v>170.415</v>
      </c>
      <c r="Z129" s="50">
        <f t="shared" si="19"/>
        <v>1408.5838</v>
      </c>
      <c r="AA129" s="51">
        <f t="shared" si="20"/>
        <v>281.71676</v>
      </c>
      <c r="AB129" s="49">
        <f t="shared" si="49"/>
        <v>1690.30056</v>
      </c>
      <c r="AC129" s="42">
        <f t="shared" si="22"/>
        <v>1136.1</v>
      </c>
      <c r="AD129" s="49">
        <f t="shared" si="23"/>
        <v>554.20056</v>
      </c>
      <c r="AE129" s="49">
        <f t="shared" si="24"/>
        <v>32.78710148</v>
      </c>
      <c r="AF129" s="47">
        <v>1550.0</v>
      </c>
      <c r="AG129" s="52">
        <f t="shared" si="25"/>
        <v>58.42515178</v>
      </c>
      <c r="AH129" s="53">
        <f t="shared" si="26"/>
        <v>40</v>
      </c>
      <c r="AI129" s="53">
        <v>1690.0</v>
      </c>
      <c r="AJ129" s="53">
        <v>1590.0</v>
      </c>
      <c r="AK129" s="55">
        <f t="shared" si="27"/>
        <v>62.5135428</v>
      </c>
      <c r="AL129" s="55"/>
      <c r="AM129" s="55">
        <f t="shared" si="365"/>
        <v>2.51572327</v>
      </c>
      <c r="AN129" s="55">
        <f t="shared" si="29"/>
        <v>4.088391014</v>
      </c>
      <c r="AO129" s="56">
        <f t="shared" si="30"/>
        <v>1.625135428</v>
      </c>
      <c r="AP129" s="55">
        <f t="shared" si="31"/>
        <v>-1.0030056</v>
      </c>
      <c r="AQ129" s="55">
        <f t="shared" si="32"/>
        <v>4.539</v>
      </c>
      <c r="AR129" s="57">
        <f t="shared" ref="AR129:AS129" si="420">AI129/94</f>
        <v>17.9787234</v>
      </c>
      <c r="AS129" s="57">
        <f t="shared" si="420"/>
        <v>16.91489362</v>
      </c>
      <c r="AT129" s="58">
        <f t="shared" ref="AT129:AU129" si="421">AI129/24</f>
        <v>70.41666667</v>
      </c>
      <c r="AU129" s="58">
        <f t="shared" si="421"/>
        <v>66.25</v>
      </c>
      <c r="AV129" s="58">
        <f t="shared" ref="AV129:AW129" si="422">AI129/125</f>
        <v>13.52</v>
      </c>
      <c r="AW129" s="58">
        <f t="shared" si="422"/>
        <v>12.72</v>
      </c>
      <c r="AX129" s="47"/>
      <c r="AY129" s="47"/>
    </row>
    <row r="130" ht="15.75" customHeight="1">
      <c r="A130" s="42"/>
      <c r="B130" s="42" t="s">
        <v>283</v>
      </c>
      <c r="C130" s="42" t="s">
        <v>297</v>
      </c>
      <c r="D130" s="45">
        <v>541.0</v>
      </c>
      <c r="E130" s="47"/>
      <c r="F130" s="44">
        <v>140.0</v>
      </c>
      <c r="G130" s="45">
        <v>9.4041E7</v>
      </c>
      <c r="H130" s="46">
        <v>0.18</v>
      </c>
      <c r="I130" s="42">
        <f t="shared" si="4"/>
        <v>97.38</v>
      </c>
      <c r="J130" s="47"/>
      <c r="K130" s="93">
        <v>200.0</v>
      </c>
      <c r="L130" s="48">
        <f t="shared" si="5"/>
        <v>978.38</v>
      </c>
      <c r="M130" s="42">
        <f t="shared" si="6"/>
        <v>5.41</v>
      </c>
      <c r="N130" s="49">
        <f t="shared" si="7"/>
        <v>78.2704</v>
      </c>
      <c r="O130" s="49">
        <f t="shared" si="8"/>
        <v>97.838</v>
      </c>
      <c r="P130" s="49">
        <f t="shared" si="9"/>
        <v>48.919</v>
      </c>
      <c r="Q130" s="49">
        <f t="shared" si="10"/>
        <v>19.5676</v>
      </c>
      <c r="R130" s="49">
        <f t="shared" si="48"/>
        <v>5.6805</v>
      </c>
      <c r="S130" s="49">
        <f t="shared" si="12"/>
        <v>9.7838</v>
      </c>
      <c r="T130" s="50">
        <f t="shared" si="13"/>
        <v>259.7888</v>
      </c>
      <c r="U130" s="42">
        <f t="shared" si="14"/>
        <v>11.361</v>
      </c>
      <c r="V130" s="42">
        <f t="shared" si="15"/>
        <v>56.805</v>
      </c>
      <c r="W130" s="42">
        <f t="shared" si="16"/>
        <v>11.361</v>
      </c>
      <c r="X130" s="42">
        <f t="shared" si="17"/>
        <v>90.888</v>
      </c>
      <c r="Y130" s="42">
        <f t="shared" si="18"/>
        <v>170.415</v>
      </c>
      <c r="Z130" s="50">
        <f t="shared" si="19"/>
        <v>1408.5838</v>
      </c>
      <c r="AA130" s="51">
        <f t="shared" si="20"/>
        <v>281.71676</v>
      </c>
      <c r="AB130" s="49">
        <f t="shared" si="49"/>
        <v>1690.30056</v>
      </c>
      <c r="AC130" s="42">
        <f t="shared" si="22"/>
        <v>1136.1</v>
      </c>
      <c r="AD130" s="49">
        <f t="shared" si="23"/>
        <v>554.20056</v>
      </c>
      <c r="AE130" s="49">
        <f t="shared" si="24"/>
        <v>32.78710148</v>
      </c>
      <c r="AF130" s="47">
        <v>1550.0</v>
      </c>
      <c r="AG130" s="52">
        <f t="shared" si="25"/>
        <v>58.42515178</v>
      </c>
      <c r="AH130" s="53">
        <f t="shared" si="26"/>
        <v>40</v>
      </c>
      <c r="AI130" s="53">
        <v>1690.0</v>
      </c>
      <c r="AJ130" s="53">
        <v>1590.0</v>
      </c>
      <c r="AK130" s="55">
        <f t="shared" si="27"/>
        <v>62.5135428</v>
      </c>
      <c r="AL130" s="55"/>
      <c r="AM130" s="55">
        <f t="shared" si="365"/>
        <v>2.51572327</v>
      </c>
      <c r="AN130" s="55">
        <f t="shared" si="29"/>
        <v>4.088391014</v>
      </c>
      <c r="AO130" s="56">
        <f t="shared" si="30"/>
        <v>1.625135428</v>
      </c>
      <c r="AP130" s="55">
        <f t="shared" si="31"/>
        <v>-1.0030056</v>
      </c>
      <c r="AQ130" s="55">
        <f t="shared" si="32"/>
        <v>4.539</v>
      </c>
      <c r="AR130" s="57">
        <f t="shared" ref="AR130:AS130" si="423">AI130/94</f>
        <v>17.9787234</v>
      </c>
      <c r="AS130" s="57">
        <f t="shared" si="423"/>
        <v>16.91489362</v>
      </c>
      <c r="AT130" s="58">
        <f t="shared" ref="AT130:AU130" si="424">AI130/24</f>
        <v>70.41666667</v>
      </c>
      <c r="AU130" s="58">
        <f t="shared" si="424"/>
        <v>66.25</v>
      </c>
      <c r="AV130" s="58">
        <f t="shared" ref="AV130:AW130" si="425">AI130/125</f>
        <v>13.52</v>
      </c>
      <c r="AW130" s="58">
        <f t="shared" si="425"/>
        <v>12.72</v>
      </c>
      <c r="AX130" s="47"/>
      <c r="AY130" s="47"/>
    </row>
    <row r="131" ht="15.75" customHeight="1">
      <c r="A131" s="42"/>
      <c r="B131" s="42" t="s">
        <v>280</v>
      </c>
      <c r="C131" s="42" t="s">
        <v>298</v>
      </c>
      <c r="D131" s="45">
        <v>541.0</v>
      </c>
      <c r="E131" s="47"/>
      <c r="F131" s="44">
        <v>140.0</v>
      </c>
      <c r="G131" s="45">
        <v>9.4041E7</v>
      </c>
      <c r="H131" s="46">
        <v>0.18</v>
      </c>
      <c r="I131" s="42">
        <f t="shared" si="4"/>
        <v>97.38</v>
      </c>
      <c r="J131" s="47"/>
      <c r="K131" s="93">
        <v>200.0</v>
      </c>
      <c r="L131" s="48">
        <f t="shared" si="5"/>
        <v>978.38</v>
      </c>
      <c r="M131" s="42">
        <f t="shared" si="6"/>
        <v>5.41</v>
      </c>
      <c r="N131" s="49">
        <f t="shared" si="7"/>
        <v>78.2704</v>
      </c>
      <c r="O131" s="49">
        <f t="shared" si="8"/>
        <v>97.838</v>
      </c>
      <c r="P131" s="49">
        <f t="shared" si="9"/>
        <v>48.919</v>
      </c>
      <c r="Q131" s="49">
        <f t="shared" si="10"/>
        <v>19.5676</v>
      </c>
      <c r="R131" s="49">
        <f t="shared" si="48"/>
        <v>5.6805</v>
      </c>
      <c r="S131" s="49">
        <f t="shared" si="12"/>
        <v>9.7838</v>
      </c>
      <c r="T131" s="50">
        <f t="shared" si="13"/>
        <v>259.7888</v>
      </c>
      <c r="U131" s="42">
        <f t="shared" si="14"/>
        <v>11.361</v>
      </c>
      <c r="V131" s="42">
        <f t="shared" si="15"/>
        <v>56.805</v>
      </c>
      <c r="W131" s="42">
        <f t="shared" si="16"/>
        <v>11.361</v>
      </c>
      <c r="X131" s="42">
        <f t="shared" si="17"/>
        <v>90.888</v>
      </c>
      <c r="Y131" s="42">
        <f t="shared" si="18"/>
        <v>170.415</v>
      </c>
      <c r="Z131" s="50">
        <f t="shared" si="19"/>
        <v>1408.5838</v>
      </c>
      <c r="AA131" s="51">
        <f t="shared" si="20"/>
        <v>281.71676</v>
      </c>
      <c r="AB131" s="49">
        <f t="shared" si="49"/>
        <v>1690.30056</v>
      </c>
      <c r="AC131" s="42">
        <f t="shared" si="22"/>
        <v>1136.1</v>
      </c>
      <c r="AD131" s="49">
        <f t="shared" si="23"/>
        <v>554.20056</v>
      </c>
      <c r="AE131" s="49">
        <f t="shared" si="24"/>
        <v>32.78710148</v>
      </c>
      <c r="AF131" s="47">
        <v>1550.0</v>
      </c>
      <c r="AG131" s="52">
        <f t="shared" si="25"/>
        <v>58.42515178</v>
      </c>
      <c r="AH131" s="53">
        <f t="shared" si="26"/>
        <v>40</v>
      </c>
      <c r="AI131" s="53">
        <v>1690.0</v>
      </c>
      <c r="AJ131" s="53">
        <v>1590.0</v>
      </c>
      <c r="AK131" s="55">
        <f t="shared" si="27"/>
        <v>62.5135428</v>
      </c>
      <c r="AL131" s="55"/>
      <c r="AM131" s="55">
        <f t="shared" si="365"/>
        <v>2.51572327</v>
      </c>
      <c r="AN131" s="55">
        <f t="shared" si="29"/>
        <v>4.088391014</v>
      </c>
      <c r="AO131" s="56">
        <f t="shared" si="30"/>
        <v>1.625135428</v>
      </c>
      <c r="AP131" s="55">
        <f t="shared" si="31"/>
        <v>-1.0030056</v>
      </c>
      <c r="AQ131" s="55">
        <f t="shared" si="32"/>
        <v>4.539</v>
      </c>
      <c r="AR131" s="57">
        <f t="shared" ref="AR131:AS131" si="426">AI131/94</f>
        <v>17.9787234</v>
      </c>
      <c r="AS131" s="57">
        <f t="shared" si="426"/>
        <v>16.91489362</v>
      </c>
      <c r="AT131" s="58">
        <f t="shared" ref="AT131:AU131" si="427">AI131/24</f>
        <v>70.41666667</v>
      </c>
      <c r="AU131" s="58">
        <f t="shared" si="427"/>
        <v>66.25</v>
      </c>
      <c r="AV131" s="58">
        <f t="shared" ref="AV131:AW131" si="428">AI131/125</f>
        <v>13.52</v>
      </c>
      <c r="AW131" s="58">
        <f t="shared" si="428"/>
        <v>12.72</v>
      </c>
      <c r="AX131" s="47"/>
      <c r="AY131" s="47"/>
    </row>
    <row r="132" ht="15.75" customHeight="1">
      <c r="A132" s="42"/>
      <c r="B132" s="42" t="s">
        <v>285</v>
      </c>
      <c r="C132" s="42" t="s">
        <v>299</v>
      </c>
      <c r="D132" s="45">
        <v>541.0</v>
      </c>
      <c r="E132" s="47"/>
      <c r="F132" s="44">
        <v>140.0</v>
      </c>
      <c r="G132" s="45">
        <v>9.4041E7</v>
      </c>
      <c r="H132" s="46">
        <v>0.18</v>
      </c>
      <c r="I132" s="42">
        <f t="shared" si="4"/>
        <v>97.38</v>
      </c>
      <c r="J132" s="47"/>
      <c r="K132" s="93">
        <v>200.0</v>
      </c>
      <c r="L132" s="48">
        <f t="shared" si="5"/>
        <v>978.38</v>
      </c>
      <c r="M132" s="42">
        <f t="shared" si="6"/>
        <v>5.41</v>
      </c>
      <c r="N132" s="49">
        <f t="shared" si="7"/>
        <v>78.2704</v>
      </c>
      <c r="O132" s="49">
        <f t="shared" si="8"/>
        <v>97.838</v>
      </c>
      <c r="P132" s="49">
        <f t="shared" si="9"/>
        <v>48.919</v>
      </c>
      <c r="Q132" s="49">
        <f t="shared" si="10"/>
        <v>19.5676</v>
      </c>
      <c r="R132" s="49">
        <f t="shared" si="48"/>
        <v>5.6805</v>
      </c>
      <c r="S132" s="49">
        <f t="shared" si="12"/>
        <v>9.7838</v>
      </c>
      <c r="T132" s="50">
        <f t="shared" si="13"/>
        <v>259.7888</v>
      </c>
      <c r="U132" s="42">
        <f t="shared" si="14"/>
        <v>11.361</v>
      </c>
      <c r="V132" s="42">
        <f t="shared" si="15"/>
        <v>56.805</v>
      </c>
      <c r="W132" s="42">
        <f t="shared" si="16"/>
        <v>11.361</v>
      </c>
      <c r="X132" s="42">
        <f t="shared" si="17"/>
        <v>90.888</v>
      </c>
      <c r="Y132" s="42">
        <f t="shared" si="18"/>
        <v>170.415</v>
      </c>
      <c r="Z132" s="50">
        <f t="shared" si="19"/>
        <v>1408.5838</v>
      </c>
      <c r="AA132" s="51">
        <f t="shared" si="20"/>
        <v>281.71676</v>
      </c>
      <c r="AB132" s="49">
        <f t="shared" si="49"/>
        <v>1690.30056</v>
      </c>
      <c r="AC132" s="42">
        <f t="shared" si="22"/>
        <v>1136.1</v>
      </c>
      <c r="AD132" s="49">
        <f t="shared" si="23"/>
        <v>554.20056</v>
      </c>
      <c r="AE132" s="49">
        <f t="shared" si="24"/>
        <v>32.78710148</v>
      </c>
      <c r="AF132" s="47">
        <v>1550.0</v>
      </c>
      <c r="AG132" s="52">
        <f t="shared" si="25"/>
        <v>58.42515178</v>
      </c>
      <c r="AH132" s="53">
        <f t="shared" si="26"/>
        <v>40</v>
      </c>
      <c r="AI132" s="53">
        <v>1690.0</v>
      </c>
      <c r="AJ132" s="53">
        <v>1590.0</v>
      </c>
      <c r="AK132" s="55">
        <f t="shared" si="27"/>
        <v>62.5135428</v>
      </c>
      <c r="AL132" s="55"/>
      <c r="AM132" s="55">
        <f t="shared" si="365"/>
        <v>2.51572327</v>
      </c>
      <c r="AN132" s="55">
        <f t="shared" si="29"/>
        <v>4.088391014</v>
      </c>
      <c r="AO132" s="56">
        <f t="shared" si="30"/>
        <v>1.625135428</v>
      </c>
      <c r="AP132" s="55">
        <f t="shared" si="31"/>
        <v>-1.0030056</v>
      </c>
      <c r="AQ132" s="55">
        <f t="shared" si="32"/>
        <v>4.539</v>
      </c>
      <c r="AR132" s="57">
        <f t="shared" ref="AR132:AS132" si="429">AI132/94</f>
        <v>17.9787234</v>
      </c>
      <c r="AS132" s="57">
        <f t="shared" si="429"/>
        <v>16.91489362</v>
      </c>
      <c r="AT132" s="58">
        <f t="shared" ref="AT132:AU132" si="430">AI132/24</f>
        <v>70.41666667</v>
      </c>
      <c r="AU132" s="58">
        <f t="shared" si="430"/>
        <v>66.25</v>
      </c>
      <c r="AV132" s="58">
        <f t="shared" ref="AV132:AW132" si="431">AI132/125</f>
        <v>13.52</v>
      </c>
      <c r="AW132" s="58">
        <f t="shared" si="431"/>
        <v>12.72</v>
      </c>
      <c r="AX132" s="47"/>
      <c r="AY132" s="47"/>
    </row>
    <row r="133" ht="15.75" customHeight="1">
      <c r="A133" s="42"/>
      <c r="B133" s="42" t="s">
        <v>300</v>
      </c>
      <c r="C133" s="42" t="s">
        <v>301</v>
      </c>
      <c r="D133" s="45">
        <v>541.0</v>
      </c>
      <c r="E133" s="47"/>
      <c r="F133" s="44">
        <v>140.0</v>
      </c>
      <c r="G133" s="45">
        <v>9.4041E7</v>
      </c>
      <c r="H133" s="46">
        <v>0.18</v>
      </c>
      <c r="I133" s="42">
        <f t="shared" si="4"/>
        <v>97.38</v>
      </c>
      <c r="J133" s="47"/>
      <c r="K133" s="93">
        <v>200.0</v>
      </c>
      <c r="L133" s="48">
        <f t="shared" si="5"/>
        <v>978.38</v>
      </c>
      <c r="M133" s="42">
        <f t="shared" si="6"/>
        <v>5.41</v>
      </c>
      <c r="N133" s="49">
        <f t="shared" si="7"/>
        <v>78.2704</v>
      </c>
      <c r="O133" s="49">
        <f t="shared" si="8"/>
        <v>97.838</v>
      </c>
      <c r="P133" s="49">
        <f t="shared" si="9"/>
        <v>48.919</v>
      </c>
      <c r="Q133" s="49">
        <f t="shared" si="10"/>
        <v>19.5676</v>
      </c>
      <c r="R133" s="49">
        <f t="shared" si="48"/>
        <v>5.6805</v>
      </c>
      <c r="S133" s="49">
        <f t="shared" si="12"/>
        <v>9.7838</v>
      </c>
      <c r="T133" s="50">
        <f t="shared" si="13"/>
        <v>259.7888</v>
      </c>
      <c r="U133" s="42">
        <f t="shared" si="14"/>
        <v>11.361</v>
      </c>
      <c r="V133" s="42">
        <f t="shared" si="15"/>
        <v>56.805</v>
      </c>
      <c r="W133" s="42">
        <f t="shared" si="16"/>
        <v>11.361</v>
      </c>
      <c r="X133" s="42">
        <f t="shared" si="17"/>
        <v>90.888</v>
      </c>
      <c r="Y133" s="42">
        <f t="shared" si="18"/>
        <v>170.415</v>
      </c>
      <c r="Z133" s="50">
        <f t="shared" si="19"/>
        <v>1408.5838</v>
      </c>
      <c r="AA133" s="51">
        <f t="shared" si="20"/>
        <v>281.71676</v>
      </c>
      <c r="AB133" s="49">
        <f t="shared" si="49"/>
        <v>1690.30056</v>
      </c>
      <c r="AC133" s="42">
        <f t="shared" si="22"/>
        <v>1136.1</v>
      </c>
      <c r="AD133" s="49">
        <f t="shared" si="23"/>
        <v>554.20056</v>
      </c>
      <c r="AE133" s="49">
        <f t="shared" si="24"/>
        <v>32.78710148</v>
      </c>
      <c r="AF133" s="47">
        <v>1550.0</v>
      </c>
      <c r="AG133" s="52">
        <f t="shared" si="25"/>
        <v>58.42515178</v>
      </c>
      <c r="AH133" s="53">
        <f t="shared" si="26"/>
        <v>40</v>
      </c>
      <c r="AI133" s="53">
        <v>1690.0</v>
      </c>
      <c r="AJ133" s="53">
        <v>1590.0</v>
      </c>
      <c r="AK133" s="55">
        <f t="shared" si="27"/>
        <v>62.5135428</v>
      </c>
      <c r="AL133" s="55"/>
      <c r="AM133" s="55">
        <f t="shared" si="365"/>
        <v>2.51572327</v>
      </c>
      <c r="AN133" s="55">
        <f t="shared" si="29"/>
        <v>4.088391014</v>
      </c>
      <c r="AO133" s="56">
        <f t="shared" si="30"/>
        <v>1.625135428</v>
      </c>
      <c r="AP133" s="55">
        <f t="shared" si="31"/>
        <v>-1.0030056</v>
      </c>
      <c r="AQ133" s="55">
        <f t="shared" si="32"/>
        <v>4.539</v>
      </c>
      <c r="AR133" s="57">
        <f t="shared" ref="AR133:AS133" si="432">AI133/94</f>
        <v>17.9787234</v>
      </c>
      <c r="AS133" s="57">
        <f t="shared" si="432"/>
        <v>16.91489362</v>
      </c>
      <c r="AT133" s="58">
        <f t="shared" ref="AT133:AU133" si="433">AI133/24</f>
        <v>70.41666667</v>
      </c>
      <c r="AU133" s="58">
        <f t="shared" si="433"/>
        <v>66.25</v>
      </c>
      <c r="AV133" s="58">
        <f t="shared" ref="AV133:AW133" si="434">AI133/125</f>
        <v>13.52</v>
      </c>
      <c r="AW133" s="58">
        <f t="shared" si="434"/>
        <v>12.72</v>
      </c>
      <c r="AX133" s="47"/>
      <c r="AY133" s="47"/>
    </row>
    <row r="134" ht="15.0" customHeight="1">
      <c r="A134" s="2" t="s">
        <v>302</v>
      </c>
      <c r="B134" s="2" t="s">
        <v>285</v>
      </c>
      <c r="C134" s="2" t="s">
        <v>303</v>
      </c>
      <c r="D134" s="10">
        <v>175.0</v>
      </c>
      <c r="F134" s="1">
        <v>35.0</v>
      </c>
      <c r="G134" s="10">
        <v>9.4041E7</v>
      </c>
      <c r="H134" s="59">
        <v>0.18</v>
      </c>
      <c r="I134" s="2">
        <f t="shared" si="4"/>
        <v>31.5</v>
      </c>
      <c r="K134" s="1">
        <v>20.0</v>
      </c>
      <c r="L134" s="4">
        <f t="shared" si="5"/>
        <v>261.5</v>
      </c>
      <c r="M134" s="2">
        <f t="shared" si="6"/>
        <v>1.75</v>
      </c>
      <c r="N134" s="12">
        <f t="shared" si="7"/>
        <v>20.92</v>
      </c>
      <c r="O134" s="12">
        <f t="shared" si="8"/>
        <v>26.15</v>
      </c>
      <c r="P134" s="12">
        <f t="shared" si="9"/>
        <v>13.075</v>
      </c>
      <c r="Q134" s="12">
        <f t="shared" si="10"/>
        <v>5.23</v>
      </c>
      <c r="R134" s="12">
        <f t="shared" si="48"/>
        <v>1.8375</v>
      </c>
      <c r="S134" s="12">
        <f t="shared" si="12"/>
        <v>2.615</v>
      </c>
      <c r="T134" s="60">
        <f t="shared" si="13"/>
        <v>69.74</v>
      </c>
      <c r="U134" s="2">
        <f t="shared" si="14"/>
        <v>3.675</v>
      </c>
      <c r="V134" s="42">
        <f t="shared" si="15"/>
        <v>18.375</v>
      </c>
      <c r="W134" s="2">
        <f t="shared" si="16"/>
        <v>3.675</v>
      </c>
      <c r="X134" s="2">
        <f t="shared" si="17"/>
        <v>29.4</v>
      </c>
      <c r="Y134" s="2">
        <f t="shared" si="18"/>
        <v>55.125</v>
      </c>
      <c r="Z134" s="60">
        <f t="shared" si="19"/>
        <v>386.365</v>
      </c>
      <c r="AA134" s="11">
        <f t="shared" si="20"/>
        <v>77.273</v>
      </c>
      <c r="AB134" s="12">
        <f t="shared" si="49"/>
        <v>463.638</v>
      </c>
      <c r="AC134" s="2">
        <f t="shared" si="22"/>
        <v>367.5</v>
      </c>
      <c r="AD134" s="12">
        <f t="shared" si="23"/>
        <v>96.138</v>
      </c>
      <c r="AE134" s="12">
        <f t="shared" si="24"/>
        <v>20.73557387</v>
      </c>
      <c r="AF134" s="61">
        <v>395.0</v>
      </c>
      <c r="AG134" s="62">
        <f t="shared" si="25"/>
        <v>51.05162524</v>
      </c>
      <c r="AH134" s="63">
        <f t="shared" si="26"/>
        <v>30</v>
      </c>
      <c r="AI134" s="64">
        <v>499.0</v>
      </c>
      <c r="AJ134" s="65">
        <v>425.0</v>
      </c>
      <c r="AK134" s="66">
        <f t="shared" si="27"/>
        <v>62.52390057</v>
      </c>
      <c r="AL134" s="66"/>
      <c r="AM134" s="14">
        <f t="shared" si="365"/>
        <v>7.058823529</v>
      </c>
      <c r="AN134" s="67">
        <f t="shared" si="29"/>
        <v>11.47227533</v>
      </c>
      <c r="AO134" s="68">
        <f t="shared" si="30"/>
        <v>1.625239006</v>
      </c>
      <c r="AP134" s="69">
        <f t="shared" si="31"/>
        <v>-0.38638</v>
      </c>
      <c r="AQ134" s="70">
        <f t="shared" si="32"/>
        <v>0.575</v>
      </c>
      <c r="AR134" s="71">
        <f t="shared" ref="AR134:AS134" si="435">AI134/94</f>
        <v>5.308510638</v>
      </c>
      <c r="AS134" s="71">
        <f t="shared" si="435"/>
        <v>4.521276596</v>
      </c>
      <c r="AT134" s="72">
        <f t="shared" ref="AT134:AU134" si="436">AI134/24</f>
        <v>20.79166667</v>
      </c>
      <c r="AU134" s="72">
        <f t="shared" si="436"/>
        <v>17.70833333</v>
      </c>
      <c r="AV134" s="73">
        <f t="shared" ref="AV134:AW134" si="437">AI134/125</f>
        <v>3.992</v>
      </c>
      <c r="AW134" s="73">
        <f t="shared" si="437"/>
        <v>3.4</v>
      </c>
    </row>
    <row r="135" ht="15.75" customHeight="1">
      <c r="A135" s="2"/>
      <c r="B135" s="2" t="s">
        <v>278</v>
      </c>
      <c r="C135" s="2" t="s">
        <v>304</v>
      </c>
      <c r="D135" s="10">
        <v>175.0</v>
      </c>
      <c r="F135" s="1">
        <v>35.0</v>
      </c>
      <c r="G135" s="10">
        <v>9.4041E7</v>
      </c>
      <c r="H135" s="59">
        <v>0.18</v>
      </c>
      <c r="I135" s="2">
        <f t="shared" si="4"/>
        <v>31.5</v>
      </c>
      <c r="K135" s="1">
        <v>20.0</v>
      </c>
      <c r="L135" s="4">
        <f t="shared" si="5"/>
        <v>261.5</v>
      </c>
      <c r="M135" s="2">
        <f t="shared" si="6"/>
        <v>1.75</v>
      </c>
      <c r="N135" s="12">
        <f t="shared" si="7"/>
        <v>20.92</v>
      </c>
      <c r="O135" s="12">
        <f t="shared" si="8"/>
        <v>26.15</v>
      </c>
      <c r="P135" s="12">
        <f t="shared" si="9"/>
        <v>13.075</v>
      </c>
      <c r="Q135" s="12">
        <f t="shared" si="10"/>
        <v>5.23</v>
      </c>
      <c r="R135" s="12">
        <f t="shared" si="48"/>
        <v>1.8375</v>
      </c>
      <c r="S135" s="12">
        <f t="shared" si="12"/>
        <v>2.615</v>
      </c>
      <c r="T135" s="60">
        <f t="shared" si="13"/>
        <v>69.74</v>
      </c>
      <c r="U135" s="2">
        <f t="shared" si="14"/>
        <v>3.675</v>
      </c>
      <c r="V135" s="42">
        <f t="shared" si="15"/>
        <v>18.375</v>
      </c>
      <c r="W135" s="2">
        <f t="shared" si="16"/>
        <v>3.675</v>
      </c>
      <c r="X135" s="2">
        <f t="shared" si="17"/>
        <v>29.4</v>
      </c>
      <c r="Y135" s="2">
        <f t="shared" si="18"/>
        <v>55.125</v>
      </c>
      <c r="Z135" s="60">
        <f t="shared" si="19"/>
        <v>386.365</v>
      </c>
      <c r="AA135" s="11">
        <f t="shared" si="20"/>
        <v>77.273</v>
      </c>
      <c r="AB135" s="12">
        <f t="shared" si="49"/>
        <v>463.638</v>
      </c>
      <c r="AC135" s="2">
        <f t="shared" si="22"/>
        <v>367.5</v>
      </c>
      <c r="AD135" s="12">
        <f t="shared" si="23"/>
        <v>96.138</v>
      </c>
      <c r="AE135" s="12">
        <f t="shared" si="24"/>
        <v>20.73557387</v>
      </c>
      <c r="AF135" s="61">
        <v>395.0</v>
      </c>
      <c r="AG135" s="62">
        <f t="shared" si="25"/>
        <v>51.05162524</v>
      </c>
      <c r="AH135" s="63">
        <f t="shared" si="26"/>
        <v>30</v>
      </c>
      <c r="AI135" s="64">
        <v>499.0</v>
      </c>
      <c r="AJ135" s="65">
        <v>425.0</v>
      </c>
      <c r="AK135" s="66">
        <f t="shared" si="27"/>
        <v>62.52390057</v>
      </c>
      <c r="AL135" s="66"/>
      <c r="AM135" s="14">
        <f t="shared" si="365"/>
        <v>7.058823529</v>
      </c>
      <c r="AN135" s="67">
        <f t="shared" si="29"/>
        <v>11.47227533</v>
      </c>
      <c r="AO135" s="68">
        <f t="shared" si="30"/>
        <v>1.625239006</v>
      </c>
      <c r="AP135" s="69">
        <f t="shared" si="31"/>
        <v>-0.38638</v>
      </c>
      <c r="AQ135" s="70">
        <f t="shared" si="32"/>
        <v>0.575</v>
      </c>
      <c r="AR135" s="71">
        <f t="shared" ref="AR135:AS135" si="438">AI135/94</f>
        <v>5.308510638</v>
      </c>
      <c r="AS135" s="71">
        <f t="shared" si="438"/>
        <v>4.521276596</v>
      </c>
      <c r="AT135" s="72">
        <f t="shared" ref="AT135:AU135" si="439">AI135/24</f>
        <v>20.79166667</v>
      </c>
      <c r="AU135" s="72">
        <f t="shared" si="439"/>
        <v>17.70833333</v>
      </c>
      <c r="AV135" s="73">
        <f t="shared" ref="AV135:AW135" si="440">AI135/125</f>
        <v>3.992</v>
      </c>
      <c r="AW135" s="73">
        <f t="shared" si="440"/>
        <v>3.4</v>
      </c>
    </row>
    <row r="136" ht="15.75" customHeight="1">
      <c r="A136" s="2"/>
      <c r="B136" s="2" t="s">
        <v>293</v>
      </c>
      <c r="C136" s="2" t="s">
        <v>305</v>
      </c>
      <c r="D136" s="10">
        <v>175.0</v>
      </c>
      <c r="E136" s="76"/>
      <c r="F136" s="1">
        <v>35.0</v>
      </c>
      <c r="G136" s="10">
        <v>9.4041E7</v>
      </c>
      <c r="H136" s="59">
        <v>0.18</v>
      </c>
      <c r="I136" s="2">
        <f t="shared" si="4"/>
        <v>31.5</v>
      </c>
      <c r="K136" s="1">
        <v>20.0</v>
      </c>
      <c r="L136" s="4">
        <f t="shared" si="5"/>
        <v>261.5</v>
      </c>
      <c r="M136" s="2">
        <f t="shared" si="6"/>
        <v>1.75</v>
      </c>
      <c r="N136" s="12">
        <f t="shared" si="7"/>
        <v>20.92</v>
      </c>
      <c r="O136" s="12">
        <f t="shared" si="8"/>
        <v>26.15</v>
      </c>
      <c r="P136" s="12">
        <f t="shared" si="9"/>
        <v>13.075</v>
      </c>
      <c r="Q136" s="12">
        <f t="shared" si="10"/>
        <v>5.23</v>
      </c>
      <c r="R136" s="12">
        <f t="shared" si="48"/>
        <v>1.8375</v>
      </c>
      <c r="S136" s="12">
        <f t="shared" si="12"/>
        <v>2.615</v>
      </c>
      <c r="T136" s="60">
        <f t="shared" si="13"/>
        <v>69.74</v>
      </c>
      <c r="U136" s="2">
        <f t="shared" si="14"/>
        <v>3.675</v>
      </c>
      <c r="V136" s="42">
        <f t="shared" si="15"/>
        <v>18.375</v>
      </c>
      <c r="W136" s="2">
        <f t="shared" si="16"/>
        <v>3.675</v>
      </c>
      <c r="X136" s="2">
        <f t="shared" si="17"/>
        <v>29.4</v>
      </c>
      <c r="Y136" s="2">
        <f t="shared" si="18"/>
        <v>55.125</v>
      </c>
      <c r="Z136" s="60">
        <f t="shared" si="19"/>
        <v>386.365</v>
      </c>
      <c r="AA136" s="11">
        <f t="shared" si="20"/>
        <v>77.273</v>
      </c>
      <c r="AB136" s="12">
        <f t="shared" si="49"/>
        <v>463.638</v>
      </c>
      <c r="AC136" s="2">
        <f t="shared" si="22"/>
        <v>367.5</v>
      </c>
      <c r="AD136" s="12">
        <f t="shared" si="23"/>
        <v>96.138</v>
      </c>
      <c r="AE136" s="12">
        <f t="shared" si="24"/>
        <v>20.73557387</v>
      </c>
      <c r="AF136" s="61">
        <v>395.0</v>
      </c>
      <c r="AG136" s="62">
        <f t="shared" si="25"/>
        <v>51.05162524</v>
      </c>
      <c r="AH136" s="63">
        <f t="shared" si="26"/>
        <v>30</v>
      </c>
      <c r="AI136" s="64">
        <v>499.0</v>
      </c>
      <c r="AJ136" s="65">
        <v>425.0</v>
      </c>
      <c r="AK136" s="66">
        <f t="shared" si="27"/>
        <v>62.52390057</v>
      </c>
      <c r="AL136" s="66"/>
      <c r="AM136" s="14">
        <f t="shared" si="365"/>
        <v>7.058823529</v>
      </c>
      <c r="AN136" s="67">
        <f t="shared" si="29"/>
        <v>11.47227533</v>
      </c>
      <c r="AO136" s="68">
        <f t="shared" si="30"/>
        <v>1.625239006</v>
      </c>
      <c r="AP136" s="69">
        <f t="shared" si="31"/>
        <v>-0.38638</v>
      </c>
      <c r="AQ136" s="70">
        <f t="shared" si="32"/>
        <v>0.575</v>
      </c>
      <c r="AR136" s="71">
        <f t="shared" ref="AR136:AS136" si="441">AI136/94</f>
        <v>5.308510638</v>
      </c>
      <c r="AS136" s="71">
        <f t="shared" si="441"/>
        <v>4.521276596</v>
      </c>
      <c r="AT136" s="72">
        <f t="shared" ref="AT136:AU136" si="442">AI136/24</f>
        <v>20.79166667</v>
      </c>
      <c r="AU136" s="72">
        <f t="shared" si="442"/>
        <v>17.70833333</v>
      </c>
      <c r="AV136" s="73">
        <f t="shared" ref="AV136:AW136" si="443">AI136/125</f>
        <v>3.992</v>
      </c>
      <c r="AW136" s="73">
        <f t="shared" si="443"/>
        <v>3.4</v>
      </c>
    </row>
    <row r="137" ht="15.75" customHeight="1">
      <c r="A137" s="2"/>
      <c r="B137" s="2" t="s">
        <v>283</v>
      </c>
      <c r="C137" s="2" t="s">
        <v>306</v>
      </c>
      <c r="D137" s="10">
        <v>175.0</v>
      </c>
      <c r="F137" s="1">
        <v>35.0</v>
      </c>
      <c r="G137" s="10">
        <v>9.4041E7</v>
      </c>
      <c r="H137" s="59">
        <v>0.18</v>
      </c>
      <c r="I137" s="2">
        <f t="shared" si="4"/>
        <v>31.5</v>
      </c>
      <c r="K137" s="1">
        <v>20.0</v>
      </c>
      <c r="L137" s="4">
        <f t="shared" si="5"/>
        <v>261.5</v>
      </c>
      <c r="M137" s="2">
        <f t="shared" si="6"/>
        <v>1.75</v>
      </c>
      <c r="N137" s="12">
        <f t="shared" si="7"/>
        <v>20.92</v>
      </c>
      <c r="O137" s="12">
        <f t="shared" si="8"/>
        <v>26.15</v>
      </c>
      <c r="P137" s="12">
        <f t="shared" si="9"/>
        <v>13.075</v>
      </c>
      <c r="Q137" s="12">
        <f t="shared" si="10"/>
        <v>5.23</v>
      </c>
      <c r="R137" s="12">
        <f t="shared" si="48"/>
        <v>1.8375</v>
      </c>
      <c r="S137" s="12">
        <f t="shared" si="12"/>
        <v>2.615</v>
      </c>
      <c r="T137" s="60">
        <f t="shared" si="13"/>
        <v>69.74</v>
      </c>
      <c r="U137" s="2">
        <f t="shared" si="14"/>
        <v>3.675</v>
      </c>
      <c r="V137" s="42">
        <f t="shared" si="15"/>
        <v>18.375</v>
      </c>
      <c r="W137" s="2">
        <f t="shared" si="16"/>
        <v>3.675</v>
      </c>
      <c r="X137" s="2">
        <f t="shared" si="17"/>
        <v>29.4</v>
      </c>
      <c r="Y137" s="2">
        <f t="shared" si="18"/>
        <v>55.125</v>
      </c>
      <c r="Z137" s="60">
        <f t="shared" si="19"/>
        <v>386.365</v>
      </c>
      <c r="AA137" s="11">
        <f t="shared" si="20"/>
        <v>77.273</v>
      </c>
      <c r="AB137" s="12">
        <f t="shared" si="49"/>
        <v>463.638</v>
      </c>
      <c r="AC137" s="2">
        <f t="shared" si="22"/>
        <v>367.5</v>
      </c>
      <c r="AD137" s="12">
        <f t="shared" si="23"/>
        <v>96.138</v>
      </c>
      <c r="AE137" s="12">
        <f t="shared" si="24"/>
        <v>20.73557387</v>
      </c>
      <c r="AF137" s="61">
        <v>395.0</v>
      </c>
      <c r="AG137" s="62">
        <f t="shared" si="25"/>
        <v>51.05162524</v>
      </c>
      <c r="AH137" s="63">
        <f t="shared" si="26"/>
        <v>30</v>
      </c>
      <c r="AI137" s="64">
        <v>499.0</v>
      </c>
      <c r="AJ137" s="65">
        <v>425.0</v>
      </c>
      <c r="AK137" s="66">
        <f t="shared" si="27"/>
        <v>62.52390057</v>
      </c>
      <c r="AL137" s="66"/>
      <c r="AM137" s="14">
        <f t="shared" si="365"/>
        <v>7.058823529</v>
      </c>
      <c r="AN137" s="67">
        <f t="shared" si="29"/>
        <v>11.47227533</v>
      </c>
      <c r="AO137" s="68">
        <f t="shared" si="30"/>
        <v>1.625239006</v>
      </c>
      <c r="AP137" s="69">
        <f t="shared" si="31"/>
        <v>-0.38638</v>
      </c>
      <c r="AQ137" s="70">
        <f t="shared" si="32"/>
        <v>0.575</v>
      </c>
      <c r="AR137" s="71">
        <f t="shared" ref="AR137:AS137" si="444">AI137/94</f>
        <v>5.308510638</v>
      </c>
      <c r="AS137" s="71">
        <f t="shared" si="444"/>
        <v>4.521276596</v>
      </c>
      <c r="AT137" s="72">
        <f t="shared" ref="AT137:AU137" si="445">AI137/24</f>
        <v>20.79166667</v>
      </c>
      <c r="AU137" s="72">
        <f t="shared" si="445"/>
        <v>17.70833333</v>
      </c>
      <c r="AV137" s="73">
        <f t="shared" ref="AV137:AW137" si="446">AI137/125</f>
        <v>3.992</v>
      </c>
      <c r="AW137" s="73">
        <f t="shared" si="446"/>
        <v>3.4</v>
      </c>
    </row>
    <row r="138" ht="15.75" customHeight="1">
      <c r="A138" s="2"/>
      <c r="B138" s="2" t="s">
        <v>289</v>
      </c>
      <c r="C138" s="2" t="s">
        <v>307</v>
      </c>
      <c r="D138" s="10">
        <v>175.0</v>
      </c>
      <c r="F138" s="1">
        <v>35.0</v>
      </c>
      <c r="G138" s="10">
        <v>9.4041E7</v>
      </c>
      <c r="H138" s="59">
        <v>0.18</v>
      </c>
      <c r="I138" s="2">
        <f t="shared" si="4"/>
        <v>31.5</v>
      </c>
      <c r="K138" s="1">
        <v>20.0</v>
      </c>
      <c r="L138" s="4">
        <f t="shared" si="5"/>
        <v>261.5</v>
      </c>
      <c r="M138" s="2">
        <f t="shared" si="6"/>
        <v>1.75</v>
      </c>
      <c r="N138" s="12">
        <f t="shared" si="7"/>
        <v>20.92</v>
      </c>
      <c r="O138" s="12">
        <f t="shared" si="8"/>
        <v>26.15</v>
      </c>
      <c r="P138" s="12">
        <f t="shared" si="9"/>
        <v>13.075</v>
      </c>
      <c r="Q138" s="12">
        <f t="shared" si="10"/>
        <v>5.23</v>
      </c>
      <c r="R138" s="12">
        <f t="shared" si="48"/>
        <v>1.8375</v>
      </c>
      <c r="S138" s="12">
        <f t="shared" si="12"/>
        <v>2.615</v>
      </c>
      <c r="T138" s="60">
        <f t="shared" si="13"/>
        <v>69.74</v>
      </c>
      <c r="U138" s="2">
        <f t="shared" si="14"/>
        <v>3.675</v>
      </c>
      <c r="V138" s="42">
        <f t="shared" si="15"/>
        <v>18.375</v>
      </c>
      <c r="W138" s="2">
        <f t="shared" si="16"/>
        <v>3.675</v>
      </c>
      <c r="X138" s="2">
        <f t="shared" si="17"/>
        <v>29.4</v>
      </c>
      <c r="Y138" s="2">
        <f t="shared" si="18"/>
        <v>55.125</v>
      </c>
      <c r="Z138" s="60">
        <f t="shared" si="19"/>
        <v>386.365</v>
      </c>
      <c r="AA138" s="11">
        <f t="shared" si="20"/>
        <v>77.273</v>
      </c>
      <c r="AB138" s="12">
        <f t="shared" si="49"/>
        <v>463.638</v>
      </c>
      <c r="AC138" s="2">
        <f t="shared" si="22"/>
        <v>367.5</v>
      </c>
      <c r="AD138" s="12">
        <f t="shared" si="23"/>
        <v>96.138</v>
      </c>
      <c r="AE138" s="12">
        <f t="shared" si="24"/>
        <v>20.73557387</v>
      </c>
      <c r="AF138" s="61">
        <v>395.0</v>
      </c>
      <c r="AG138" s="62">
        <f t="shared" si="25"/>
        <v>51.05162524</v>
      </c>
      <c r="AH138" s="63">
        <f t="shared" si="26"/>
        <v>30</v>
      </c>
      <c r="AI138" s="64">
        <v>499.0</v>
      </c>
      <c r="AJ138" s="65">
        <v>425.0</v>
      </c>
      <c r="AK138" s="66">
        <f t="shared" si="27"/>
        <v>62.52390057</v>
      </c>
      <c r="AL138" s="66"/>
      <c r="AM138" s="14">
        <f t="shared" si="365"/>
        <v>7.058823529</v>
      </c>
      <c r="AN138" s="67">
        <f t="shared" si="29"/>
        <v>11.47227533</v>
      </c>
      <c r="AO138" s="68">
        <f t="shared" si="30"/>
        <v>1.625239006</v>
      </c>
      <c r="AP138" s="69">
        <f t="shared" si="31"/>
        <v>-0.38638</v>
      </c>
      <c r="AQ138" s="70">
        <f t="shared" si="32"/>
        <v>0.575</v>
      </c>
      <c r="AR138" s="71">
        <f t="shared" ref="AR138:AS138" si="447">AI138/94</f>
        <v>5.308510638</v>
      </c>
      <c r="AS138" s="71">
        <f t="shared" si="447"/>
        <v>4.521276596</v>
      </c>
      <c r="AT138" s="72">
        <f t="shared" ref="AT138:AU138" si="448">AI138/24</f>
        <v>20.79166667</v>
      </c>
      <c r="AU138" s="72">
        <f t="shared" si="448"/>
        <v>17.70833333</v>
      </c>
      <c r="AV138" s="73">
        <f t="shared" ref="AV138:AW138" si="449">AI138/125</f>
        <v>3.992</v>
      </c>
      <c r="AW138" s="73">
        <f t="shared" si="449"/>
        <v>3.4</v>
      </c>
    </row>
    <row r="139" ht="15.0" customHeight="1">
      <c r="A139" s="2" t="s">
        <v>308</v>
      </c>
      <c r="B139" s="2" t="s">
        <v>278</v>
      </c>
      <c r="C139" s="2" t="s">
        <v>309</v>
      </c>
      <c r="D139" s="10">
        <v>445.0</v>
      </c>
      <c r="F139" s="1">
        <v>140.0</v>
      </c>
      <c r="G139" s="74">
        <v>9.4041E7</v>
      </c>
      <c r="H139" s="59">
        <v>0.18</v>
      </c>
      <c r="I139" s="2">
        <f t="shared" si="4"/>
        <v>80.1</v>
      </c>
      <c r="K139" s="94">
        <v>100.0</v>
      </c>
      <c r="L139" s="4">
        <f t="shared" si="5"/>
        <v>765.1</v>
      </c>
      <c r="M139" s="2">
        <f t="shared" si="6"/>
        <v>4.45</v>
      </c>
      <c r="N139" s="12">
        <f t="shared" si="7"/>
        <v>61.208</v>
      </c>
      <c r="O139" s="12">
        <f t="shared" si="8"/>
        <v>76.51</v>
      </c>
      <c r="P139" s="12">
        <f t="shared" si="9"/>
        <v>38.255</v>
      </c>
      <c r="Q139" s="12">
        <f t="shared" si="10"/>
        <v>15.302</v>
      </c>
      <c r="R139" s="12">
        <f t="shared" si="48"/>
        <v>4.6725</v>
      </c>
      <c r="S139" s="12">
        <f t="shared" si="12"/>
        <v>7.651</v>
      </c>
      <c r="T139" s="60">
        <f t="shared" si="13"/>
        <v>203.376</v>
      </c>
      <c r="U139" s="2">
        <f t="shared" si="14"/>
        <v>9.345</v>
      </c>
      <c r="V139" s="42">
        <f t="shared" si="15"/>
        <v>46.725</v>
      </c>
      <c r="W139" s="2">
        <f t="shared" si="16"/>
        <v>9.345</v>
      </c>
      <c r="X139" s="2">
        <f t="shared" si="17"/>
        <v>74.76</v>
      </c>
      <c r="Y139" s="2">
        <f t="shared" si="18"/>
        <v>140.175</v>
      </c>
      <c r="Z139" s="60">
        <f t="shared" si="19"/>
        <v>1108.651</v>
      </c>
      <c r="AA139" s="11">
        <f t="shared" si="20"/>
        <v>221.7302</v>
      </c>
      <c r="AB139" s="12">
        <f t="shared" si="49"/>
        <v>1330.3812</v>
      </c>
      <c r="AC139" s="2">
        <f t="shared" si="22"/>
        <v>934.5</v>
      </c>
      <c r="AD139" s="12">
        <f t="shared" si="23"/>
        <v>395.8812</v>
      </c>
      <c r="AE139" s="12">
        <f t="shared" si="24"/>
        <v>29.75697492</v>
      </c>
      <c r="AF139" s="61">
        <v>1085.0</v>
      </c>
      <c r="AG139" s="62">
        <f t="shared" si="25"/>
        <v>41.8115279</v>
      </c>
      <c r="AH139" s="63">
        <f t="shared" si="26"/>
        <v>205</v>
      </c>
      <c r="AI139" s="64">
        <v>1290.0</v>
      </c>
      <c r="AJ139" s="65">
        <v>1290.0</v>
      </c>
      <c r="AK139" s="66">
        <f t="shared" si="27"/>
        <v>68.60541106</v>
      </c>
      <c r="AL139" s="66"/>
      <c r="AM139" s="14">
        <f t="shared" si="365"/>
        <v>15.89147287</v>
      </c>
      <c r="AN139" s="67">
        <f t="shared" si="29"/>
        <v>26.79388315</v>
      </c>
      <c r="AO139" s="68">
        <f t="shared" si="30"/>
        <v>1.686054111</v>
      </c>
      <c r="AP139" s="69">
        <f t="shared" si="31"/>
        <v>-0.403812</v>
      </c>
      <c r="AQ139" s="70">
        <f t="shared" si="32"/>
        <v>3.555</v>
      </c>
      <c r="AR139" s="71">
        <f t="shared" ref="AR139:AS139" si="450">AI139/94</f>
        <v>13.72340426</v>
      </c>
      <c r="AS139" s="71">
        <f t="shared" si="450"/>
        <v>13.72340426</v>
      </c>
      <c r="AT139" s="72">
        <f t="shared" ref="AT139:AU139" si="451">AI139/24</f>
        <v>53.75</v>
      </c>
      <c r="AU139" s="72">
        <f t="shared" si="451"/>
        <v>53.75</v>
      </c>
      <c r="AV139" s="73">
        <f t="shared" ref="AV139:AW139" si="452">AI139/125</f>
        <v>10.32</v>
      </c>
      <c r="AW139" s="73">
        <f t="shared" si="452"/>
        <v>10.32</v>
      </c>
    </row>
    <row r="140" ht="15.75" customHeight="1">
      <c r="A140" s="2"/>
      <c r="B140" s="2" t="s">
        <v>310</v>
      </c>
      <c r="C140" s="2" t="s">
        <v>311</v>
      </c>
      <c r="D140" s="10">
        <v>445.0</v>
      </c>
      <c r="F140" s="1">
        <v>140.0</v>
      </c>
      <c r="G140" s="74">
        <v>9.4041E7</v>
      </c>
      <c r="H140" s="59">
        <v>0.18</v>
      </c>
      <c r="I140" s="2">
        <f t="shared" si="4"/>
        <v>80.1</v>
      </c>
      <c r="K140" s="94">
        <v>100.0</v>
      </c>
      <c r="L140" s="4">
        <f t="shared" si="5"/>
        <v>765.1</v>
      </c>
      <c r="M140" s="2">
        <f t="shared" si="6"/>
        <v>4.45</v>
      </c>
      <c r="N140" s="12">
        <f t="shared" si="7"/>
        <v>61.208</v>
      </c>
      <c r="O140" s="12">
        <f t="shared" si="8"/>
        <v>76.51</v>
      </c>
      <c r="P140" s="12">
        <f t="shared" si="9"/>
        <v>38.255</v>
      </c>
      <c r="Q140" s="12">
        <f t="shared" si="10"/>
        <v>15.302</v>
      </c>
      <c r="R140" s="12">
        <f t="shared" si="48"/>
        <v>4.6725</v>
      </c>
      <c r="S140" s="12">
        <f t="shared" si="12"/>
        <v>7.651</v>
      </c>
      <c r="T140" s="60">
        <f t="shared" si="13"/>
        <v>203.376</v>
      </c>
      <c r="U140" s="2">
        <f t="shared" si="14"/>
        <v>9.345</v>
      </c>
      <c r="V140" s="42">
        <f t="shared" si="15"/>
        <v>46.725</v>
      </c>
      <c r="W140" s="2">
        <f t="shared" si="16"/>
        <v>9.345</v>
      </c>
      <c r="X140" s="2">
        <f t="shared" si="17"/>
        <v>74.76</v>
      </c>
      <c r="Y140" s="2">
        <f t="shared" si="18"/>
        <v>140.175</v>
      </c>
      <c r="Z140" s="60">
        <f t="shared" si="19"/>
        <v>1108.651</v>
      </c>
      <c r="AA140" s="11">
        <f t="shared" si="20"/>
        <v>221.7302</v>
      </c>
      <c r="AB140" s="12">
        <f t="shared" si="49"/>
        <v>1330.3812</v>
      </c>
      <c r="AC140" s="2">
        <f t="shared" si="22"/>
        <v>934.5</v>
      </c>
      <c r="AD140" s="12">
        <f t="shared" si="23"/>
        <v>395.8812</v>
      </c>
      <c r="AE140" s="12">
        <f t="shared" si="24"/>
        <v>29.75697492</v>
      </c>
      <c r="AF140" s="61">
        <v>1085.0</v>
      </c>
      <c r="AG140" s="62">
        <f t="shared" si="25"/>
        <v>41.8115279</v>
      </c>
      <c r="AH140" s="63">
        <f t="shared" si="26"/>
        <v>205</v>
      </c>
      <c r="AI140" s="64">
        <v>1290.0</v>
      </c>
      <c r="AJ140" s="65">
        <v>1290.0</v>
      </c>
      <c r="AK140" s="66">
        <f t="shared" si="27"/>
        <v>68.60541106</v>
      </c>
      <c r="AL140" s="66"/>
      <c r="AM140" s="14">
        <f t="shared" si="365"/>
        <v>15.89147287</v>
      </c>
      <c r="AN140" s="67">
        <f t="shared" si="29"/>
        <v>26.79388315</v>
      </c>
      <c r="AO140" s="68">
        <f t="shared" si="30"/>
        <v>1.686054111</v>
      </c>
      <c r="AP140" s="69">
        <f t="shared" si="31"/>
        <v>-0.403812</v>
      </c>
      <c r="AQ140" s="70">
        <f t="shared" si="32"/>
        <v>3.555</v>
      </c>
      <c r="AR140" s="71">
        <f t="shared" ref="AR140:AS140" si="453">AI140/94</f>
        <v>13.72340426</v>
      </c>
      <c r="AS140" s="71">
        <f t="shared" si="453"/>
        <v>13.72340426</v>
      </c>
      <c r="AT140" s="72">
        <f t="shared" ref="AT140:AU140" si="454">AI140/24</f>
        <v>53.75</v>
      </c>
      <c r="AU140" s="72">
        <f t="shared" si="454"/>
        <v>53.75</v>
      </c>
      <c r="AV140" s="73">
        <f t="shared" ref="AV140:AW140" si="455">AI140/125</f>
        <v>10.32</v>
      </c>
      <c r="AW140" s="73">
        <f t="shared" si="455"/>
        <v>10.32</v>
      </c>
    </row>
    <row r="141" ht="15.75" customHeight="1">
      <c r="A141" s="2"/>
      <c r="B141" s="2" t="s">
        <v>312</v>
      </c>
      <c r="C141" s="2" t="s">
        <v>313</v>
      </c>
      <c r="D141" s="10">
        <v>445.0</v>
      </c>
      <c r="F141" s="1">
        <v>140.0</v>
      </c>
      <c r="G141" s="10">
        <v>9.4041E7</v>
      </c>
      <c r="H141" s="59">
        <v>0.18</v>
      </c>
      <c r="I141" s="2">
        <f t="shared" si="4"/>
        <v>80.1</v>
      </c>
      <c r="K141" s="94">
        <v>100.0</v>
      </c>
      <c r="L141" s="4">
        <f t="shared" si="5"/>
        <v>765.1</v>
      </c>
      <c r="M141" s="2">
        <f t="shared" si="6"/>
        <v>4.45</v>
      </c>
      <c r="N141" s="12">
        <f t="shared" si="7"/>
        <v>61.208</v>
      </c>
      <c r="O141" s="12">
        <f t="shared" si="8"/>
        <v>76.51</v>
      </c>
      <c r="P141" s="12">
        <f t="shared" si="9"/>
        <v>38.255</v>
      </c>
      <c r="Q141" s="12">
        <f t="shared" si="10"/>
        <v>15.302</v>
      </c>
      <c r="R141" s="12">
        <f t="shared" si="48"/>
        <v>4.6725</v>
      </c>
      <c r="S141" s="12">
        <f t="shared" si="12"/>
        <v>7.651</v>
      </c>
      <c r="T141" s="60">
        <f t="shared" si="13"/>
        <v>203.376</v>
      </c>
      <c r="U141" s="2">
        <f t="shared" si="14"/>
        <v>9.345</v>
      </c>
      <c r="V141" s="42">
        <f t="shared" si="15"/>
        <v>46.725</v>
      </c>
      <c r="W141" s="2">
        <f t="shared" si="16"/>
        <v>9.345</v>
      </c>
      <c r="X141" s="2">
        <f t="shared" si="17"/>
        <v>74.76</v>
      </c>
      <c r="Y141" s="2">
        <f t="shared" si="18"/>
        <v>140.175</v>
      </c>
      <c r="Z141" s="60">
        <f t="shared" si="19"/>
        <v>1108.651</v>
      </c>
      <c r="AA141" s="11">
        <f t="shared" si="20"/>
        <v>221.7302</v>
      </c>
      <c r="AB141" s="12">
        <f t="shared" si="49"/>
        <v>1330.3812</v>
      </c>
      <c r="AC141" s="2">
        <f t="shared" si="22"/>
        <v>934.5</v>
      </c>
      <c r="AD141" s="12">
        <f t="shared" si="23"/>
        <v>395.8812</v>
      </c>
      <c r="AE141" s="12">
        <f t="shared" si="24"/>
        <v>29.75697492</v>
      </c>
      <c r="AF141" s="61">
        <v>1085.0</v>
      </c>
      <c r="AG141" s="62">
        <f t="shared" si="25"/>
        <v>41.8115279</v>
      </c>
      <c r="AH141" s="63">
        <f t="shared" si="26"/>
        <v>205</v>
      </c>
      <c r="AI141" s="64">
        <v>1290.0</v>
      </c>
      <c r="AJ141" s="65">
        <v>1290.0</v>
      </c>
      <c r="AK141" s="66">
        <f t="shared" si="27"/>
        <v>68.60541106</v>
      </c>
      <c r="AL141" s="66"/>
      <c r="AM141" s="14">
        <f t="shared" si="365"/>
        <v>15.89147287</v>
      </c>
      <c r="AN141" s="67">
        <f t="shared" si="29"/>
        <v>26.79388315</v>
      </c>
      <c r="AO141" s="68">
        <f t="shared" si="30"/>
        <v>1.686054111</v>
      </c>
      <c r="AP141" s="69">
        <f t="shared" si="31"/>
        <v>-0.403812</v>
      </c>
      <c r="AQ141" s="70">
        <f t="shared" si="32"/>
        <v>3.555</v>
      </c>
      <c r="AR141" s="71">
        <f t="shared" ref="AR141:AS141" si="456">AI141/94</f>
        <v>13.72340426</v>
      </c>
      <c r="AS141" s="71">
        <f t="shared" si="456"/>
        <v>13.72340426</v>
      </c>
      <c r="AT141" s="72">
        <f t="shared" ref="AT141:AU141" si="457">AI141/24</f>
        <v>53.75</v>
      </c>
      <c r="AU141" s="72">
        <f t="shared" si="457"/>
        <v>53.75</v>
      </c>
      <c r="AV141" s="73">
        <f t="shared" ref="AV141:AW141" si="458">AI141/125</f>
        <v>10.32</v>
      </c>
      <c r="AW141" s="73">
        <f t="shared" si="458"/>
        <v>10.32</v>
      </c>
    </row>
    <row r="142" ht="15.75" customHeight="1">
      <c r="A142" s="2"/>
      <c r="B142" s="2" t="s">
        <v>289</v>
      </c>
      <c r="C142" s="2" t="s">
        <v>314</v>
      </c>
      <c r="D142" s="10">
        <v>445.0</v>
      </c>
      <c r="F142" s="1">
        <v>140.0</v>
      </c>
      <c r="G142" s="10">
        <v>9.4041E7</v>
      </c>
      <c r="H142" s="59">
        <v>0.18</v>
      </c>
      <c r="I142" s="2">
        <f t="shared" si="4"/>
        <v>80.1</v>
      </c>
      <c r="K142" s="94">
        <v>100.0</v>
      </c>
      <c r="L142" s="4">
        <f t="shared" si="5"/>
        <v>765.1</v>
      </c>
      <c r="M142" s="2">
        <f t="shared" si="6"/>
        <v>4.45</v>
      </c>
      <c r="N142" s="12">
        <f t="shared" si="7"/>
        <v>61.208</v>
      </c>
      <c r="O142" s="12">
        <f t="shared" si="8"/>
        <v>76.51</v>
      </c>
      <c r="P142" s="12">
        <f t="shared" si="9"/>
        <v>38.255</v>
      </c>
      <c r="Q142" s="12">
        <f t="shared" si="10"/>
        <v>15.302</v>
      </c>
      <c r="R142" s="12">
        <f t="shared" si="48"/>
        <v>4.6725</v>
      </c>
      <c r="S142" s="12">
        <f t="shared" si="12"/>
        <v>7.651</v>
      </c>
      <c r="T142" s="60">
        <f t="shared" si="13"/>
        <v>203.376</v>
      </c>
      <c r="U142" s="2">
        <f t="shared" si="14"/>
        <v>9.345</v>
      </c>
      <c r="V142" s="42">
        <f t="shared" si="15"/>
        <v>46.725</v>
      </c>
      <c r="W142" s="2">
        <f t="shared" si="16"/>
        <v>9.345</v>
      </c>
      <c r="X142" s="2">
        <f t="shared" si="17"/>
        <v>74.76</v>
      </c>
      <c r="Y142" s="2">
        <f t="shared" si="18"/>
        <v>140.175</v>
      </c>
      <c r="Z142" s="60">
        <f t="shared" si="19"/>
        <v>1108.651</v>
      </c>
      <c r="AA142" s="11">
        <f t="shared" si="20"/>
        <v>221.7302</v>
      </c>
      <c r="AB142" s="12">
        <f t="shared" si="49"/>
        <v>1330.3812</v>
      </c>
      <c r="AC142" s="2">
        <f t="shared" si="22"/>
        <v>934.5</v>
      </c>
      <c r="AD142" s="12">
        <f t="shared" si="23"/>
        <v>395.8812</v>
      </c>
      <c r="AE142" s="12">
        <f t="shared" si="24"/>
        <v>29.75697492</v>
      </c>
      <c r="AF142" s="61">
        <v>1085.0</v>
      </c>
      <c r="AG142" s="62">
        <f t="shared" si="25"/>
        <v>41.8115279</v>
      </c>
      <c r="AH142" s="63">
        <f t="shared" si="26"/>
        <v>205</v>
      </c>
      <c r="AI142" s="64">
        <v>1290.0</v>
      </c>
      <c r="AJ142" s="65">
        <v>1290.0</v>
      </c>
      <c r="AK142" s="66">
        <f t="shared" si="27"/>
        <v>68.60541106</v>
      </c>
      <c r="AL142" s="66"/>
      <c r="AM142" s="14">
        <f t="shared" si="365"/>
        <v>15.89147287</v>
      </c>
      <c r="AN142" s="67">
        <f t="shared" si="29"/>
        <v>26.79388315</v>
      </c>
      <c r="AO142" s="68">
        <f t="shared" si="30"/>
        <v>1.686054111</v>
      </c>
      <c r="AP142" s="69">
        <f t="shared" si="31"/>
        <v>-0.403812</v>
      </c>
      <c r="AQ142" s="70">
        <f t="shared" si="32"/>
        <v>3.555</v>
      </c>
      <c r="AR142" s="71">
        <f t="shared" ref="AR142:AS142" si="459">AI142/94</f>
        <v>13.72340426</v>
      </c>
      <c r="AS142" s="71">
        <f t="shared" si="459"/>
        <v>13.72340426</v>
      </c>
      <c r="AT142" s="72">
        <f t="shared" ref="AT142:AU142" si="460">AI142/24</f>
        <v>53.75</v>
      </c>
      <c r="AU142" s="72">
        <f t="shared" si="460"/>
        <v>53.75</v>
      </c>
      <c r="AV142" s="73">
        <f t="shared" ref="AV142:AW142" si="461">AI142/125</f>
        <v>10.32</v>
      </c>
      <c r="AW142" s="73">
        <f t="shared" si="461"/>
        <v>10.32</v>
      </c>
    </row>
    <row r="143" ht="15.75" customHeight="1">
      <c r="A143" s="2"/>
      <c r="B143" s="2" t="s">
        <v>285</v>
      </c>
      <c r="C143" s="2" t="s">
        <v>315</v>
      </c>
      <c r="D143" s="10">
        <v>445.0</v>
      </c>
      <c r="F143" s="1">
        <v>140.0</v>
      </c>
      <c r="G143" s="10">
        <v>9.4041E7</v>
      </c>
      <c r="H143" s="59">
        <v>0.18</v>
      </c>
      <c r="I143" s="2">
        <f t="shared" si="4"/>
        <v>80.1</v>
      </c>
      <c r="K143" s="94">
        <v>100.0</v>
      </c>
      <c r="L143" s="4">
        <f t="shared" si="5"/>
        <v>765.1</v>
      </c>
      <c r="M143" s="2">
        <f t="shared" si="6"/>
        <v>4.45</v>
      </c>
      <c r="N143" s="12">
        <f t="shared" si="7"/>
        <v>61.208</v>
      </c>
      <c r="O143" s="12">
        <f t="shared" si="8"/>
        <v>76.51</v>
      </c>
      <c r="P143" s="12">
        <f t="shared" si="9"/>
        <v>38.255</v>
      </c>
      <c r="Q143" s="12">
        <f t="shared" si="10"/>
        <v>15.302</v>
      </c>
      <c r="R143" s="12">
        <f t="shared" si="48"/>
        <v>4.6725</v>
      </c>
      <c r="S143" s="12">
        <f t="shared" si="12"/>
        <v>7.651</v>
      </c>
      <c r="T143" s="60">
        <f t="shared" si="13"/>
        <v>203.376</v>
      </c>
      <c r="U143" s="2">
        <f t="shared" si="14"/>
        <v>9.345</v>
      </c>
      <c r="V143" s="42">
        <f t="shared" si="15"/>
        <v>46.725</v>
      </c>
      <c r="W143" s="2">
        <f t="shared" si="16"/>
        <v>9.345</v>
      </c>
      <c r="X143" s="2">
        <f t="shared" si="17"/>
        <v>74.76</v>
      </c>
      <c r="Y143" s="2">
        <f t="shared" si="18"/>
        <v>140.175</v>
      </c>
      <c r="Z143" s="60">
        <f t="shared" si="19"/>
        <v>1108.651</v>
      </c>
      <c r="AA143" s="11">
        <f t="shared" si="20"/>
        <v>221.7302</v>
      </c>
      <c r="AB143" s="12">
        <f t="shared" si="49"/>
        <v>1330.3812</v>
      </c>
      <c r="AC143" s="2">
        <f t="shared" si="22"/>
        <v>934.5</v>
      </c>
      <c r="AD143" s="12">
        <f t="shared" si="23"/>
        <v>395.8812</v>
      </c>
      <c r="AE143" s="12">
        <f t="shared" si="24"/>
        <v>29.75697492</v>
      </c>
      <c r="AF143" s="61">
        <v>1085.0</v>
      </c>
      <c r="AG143" s="62">
        <f t="shared" si="25"/>
        <v>41.8115279</v>
      </c>
      <c r="AH143" s="63">
        <f t="shared" si="26"/>
        <v>205</v>
      </c>
      <c r="AI143" s="64">
        <v>1290.0</v>
      </c>
      <c r="AJ143" s="65">
        <v>1290.0</v>
      </c>
      <c r="AK143" s="66">
        <f t="shared" si="27"/>
        <v>68.60541106</v>
      </c>
      <c r="AL143" s="66"/>
      <c r="AM143" s="14">
        <f t="shared" si="365"/>
        <v>15.89147287</v>
      </c>
      <c r="AN143" s="67">
        <f t="shared" si="29"/>
        <v>26.79388315</v>
      </c>
      <c r="AO143" s="68">
        <f t="shared" si="30"/>
        <v>1.686054111</v>
      </c>
      <c r="AP143" s="69">
        <f t="shared" si="31"/>
        <v>-0.403812</v>
      </c>
      <c r="AQ143" s="70">
        <f t="shared" si="32"/>
        <v>3.555</v>
      </c>
      <c r="AR143" s="71">
        <f t="shared" ref="AR143:AS143" si="462">AI143/94</f>
        <v>13.72340426</v>
      </c>
      <c r="AS143" s="71">
        <f t="shared" si="462"/>
        <v>13.72340426</v>
      </c>
      <c r="AT143" s="72">
        <f t="shared" ref="AT143:AU143" si="463">AI143/24</f>
        <v>53.75</v>
      </c>
      <c r="AU143" s="72">
        <f t="shared" si="463"/>
        <v>53.75</v>
      </c>
      <c r="AV143" s="73">
        <f t="shared" ref="AV143:AW143" si="464">AI143/125</f>
        <v>10.32</v>
      </c>
      <c r="AW143" s="73">
        <f t="shared" si="464"/>
        <v>10.32</v>
      </c>
    </row>
    <row r="144" ht="15.0" customHeight="1">
      <c r="A144" s="2" t="s">
        <v>316</v>
      </c>
      <c r="B144" s="2" t="s">
        <v>317</v>
      </c>
      <c r="C144" s="2" t="s">
        <v>318</v>
      </c>
      <c r="D144" s="10">
        <v>145.0</v>
      </c>
      <c r="F144" s="1">
        <v>40.0</v>
      </c>
      <c r="G144" s="10">
        <v>9.4041E7</v>
      </c>
      <c r="H144" s="59">
        <v>0.18</v>
      </c>
      <c r="I144" s="2">
        <f t="shared" si="4"/>
        <v>26.1</v>
      </c>
      <c r="K144" s="1">
        <v>20.0</v>
      </c>
      <c r="L144" s="4">
        <f t="shared" si="5"/>
        <v>231.1</v>
      </c>
      <c r="M144" s="2">
        <f t="shared" si="6"/>
        <v>1.45</v>
      </c>
      <c r="N144" s="12">
        <f t="shared" si="7"/>
        <v>18.488</v>
      </c>
      <c r="O144" s="12">
        <f t="shared" si="8"/>
        <v>23.11</v>
      </c>
      <c r="P144" s="12">
        <f t="shared" si="9"/>
        <v>11.555</v>
      </c>
      <c r="Q144" s="12">
        <f t="shared" si="10"/>
        <v>4.622</v>
      </c>
      <c r="R144" s="12">
        <f t="shared" si="48"/>
        <v>1.5225</v>
      </c>
      <c r="S144" s="12">
        <f t="shared" si="12"/>
        <v>2.311</v>
      </c>
      <c r="T144" s="60">
        <f t="shared" si="13"/>
        <v>61.536</v>
      </c>
      <c r="U144" s="2">
        <f t="shared" si="14"/>
        <v>3.045</v>
      </c>
      <c r="V144" s="42">
        <f t="shared" si="15"/>
        <v>15.225</v>
      </c>
      <c r="W144" s="2">
        <f t="shared" si="16"/>
        <v>3.045</v>
      </c>
      <c r="X144" s="2">
        <f t="shared" si="17"/>
        <v>24.36</v>
      </c>
      <c r="Y144" s="2">
        <f t="shared" si="18"/>
        <v>45.675</v>
      </c>
      <c r="Z144" s="60">
        <f t="shared" si="19"/>
        <v>338.311</v>
      </c>
      <c r="AA144" s="11">
        <f t="shared" si="20"/>
        <v>67.6622</v>
      </c>
      <c r="AB144" s="12">
        <f t="shared" si="49"/>
        <v>405.9732</v>
      </c>
      <c r="AC144" s="2">
        <f t="shared" si="22"/>
        <v>304.5</v>
      </c>
      <c r="AD144" s="12">
        <f t="shared" si="23"/>
        <v>101.4732</v>
      </c>
      <c r="AE144" s="12">
        <f t="shared" si="24"/>
        <v>24.99504893</v>
      </c>
      <c r="AF144" s="61">
        <v>345.0</v>
      </c>
      <c r="AG144" s="62">
        <f t="shared" si="25"/>
        <v>49.28602337</v>
      </c>
      <c r="AH144" s="63">
        <f t="shared" si="26"/>
        <v>32.555076</v>
      </c>
      <c r="AI144" s="64">
        <f t="shared" ref="AI144:AI181" si="468">AB144</f>
        <v>405.9732</v>
      </c>
      <c r="AJ144" s="64">
        <f t="shared" ref="AJ144:AJ148" si="469">AI144-(AI144*7%)</f>
        <v>377.555076</v>
      </c>
      <c r="AK144" s="66">
        <f t="shared" si="27"/>
        <v>63.37303159</v>
      </c>
      <c r="AL144" s="66"/>
      <c r="AM144" s="14">
        <f t="shared" si="365"/>
        <v>8.622603183</v>
      </c>
      <c r="AN144" s="67">
        <f t="shared" si="29"/>
        <v>14.08700822</v>
      </c>
      <c r="AO144" s="68">
        <f t="shared" si="30"/>
        <v>1.633730316</v>
      </c>
      <c r="AP144" s="69">
        <f t="shared" si="31"/>
        <v>-0.28418124</v>
      </c>
      <c r="AQ144" s="70">
        <f t="shared" si="32"/>
        <v>0.73055076</v>
      </c>
      <c r="AR144" s="71">
        <f t="shared" ref="AR144:AS144" si="465">AI144/94</f>
        <v>4.31886383</v>
      </c>
      <c r="AS144" s="71">
        <f t="shared" si="465"/>
        <v>4.016543362</v>
      </c>
      <c r="AT144" s="72">
        <f t="shared" ref="AT144:AU144" si="466">AI144/24</f>
        <v>16.91555</v>
      </c>
      <c r="AU144" s="72">
        <f t="shared" si="466"/>
        <v>15.7314615</v>
      </c>
      <c r="AV144" s="73">
        <f t="shared" ref="AV144:AW144" si="467">AI144/125</f>
        <v>3.2477856</v>
      </c>
      <c r="AW144" s="73">
        <f t="shared" si="467"/>
        <v>3.020440608</v>
      </c>
    </row>
    <row r="145" ht="15.75" customHeight="1">
      <c r="A145" s="2"/>
      <c r="B145" s="2" t="s">
        <v>319</v>
      </c>
      <c r="C145" s="2" t="s">
        <v>320</v>
      </c>
      <c r="D145" s="10">
        <v>145.0</v>
      </c>
      <c r="F145" s="1">
        <v>40.0</v>
      </c>
      <c r="G145" s="10">
        <v>9.4041E7</v>
      </c>
      <c r="H145" s="59">
        <v>0.18</v>
      </c>
      <c r="I145" s="2">
        <f t="shared" si="4"/>
        <v>26.1</v>
      </c>
      <c r="K145" s="1">
        <v>20.0</v>
      </c>
      <c r="L145" s="4">
        <f t="shared" si="5"/>
        <v>231.1</v>
      </c>
      <c r="M145" s="2">
        <f t="shared" si="6"/>
        <v>1.45</v>
      </c>
      <c r="N145" s="12">
        <f t="shared" si="7"/>
        <v>18.488</v>
      </c>
      <c r="O145" s="12">
        <f t="shared" si="8"/>
        <v>23.11</v>
      </c>
      <c r="P145" s="12">
        <f t="shared" si="9"/>
        <v>11.555</v>
      </c>
      <c r="Q145" s="12">
        <f t="shared" si="10"/>
        <v>4.622</v>
      </c>
      <c r="R145" s="12">
        <f t="shared" si="48"/>
        <v>1.5225</v>
      </c>
      <c r="S145" s="12">
        <f t="shared" si="12"/>
        <v>2.311</v>
      </c>
      <c r="T145" s="60">
        <f t="shared" si="13"/>
        <v>61.536</v>
      </c>
      <c r="U145" s="2">
        <f t="shared" si="14"/>
        <v>3.045</v>
      </c>
      <c r="V145" s="42">
        <f t="shared" si="15"/>
        <v>15.225</v>
      </c>
      <c r="W145" s="2">
        <f t="shared" si="16"/>
        <v>3.045</v>
      </c>
      <c r="X145" s="2">
        <f t="shared" si="17"/>
        <v>24.36</v>
      </c>
      <c r="Y145" s="2">
        <f t="shared" si="18"/>
        <v>45.675</v>
      </c>
      <c r="Z145" s="60">
        <f t="shared" si="19"/>
        <v>338.311</v>
      </c>
      <c r="AA145" s="11">
        <f t="shared" si="20"/>
        <v>67.6622</v>
      </c>
      <c r="AB145" s="12">
        <f t="shared" si="49"/>
        <v>405.9732</v>
      </c>
      <c r="AC145" s="2">
        <f t="shared" si="22"/>
        <v>304.5</v>
      </c>
      <c r="AD145" s="12">
        <f t="shared" si="23"/>
        <v>101.4732</v>
      </c>
      <c r="AE145" s="12">
        <f t="shared" si="24"/>
        <v>24.99504893</v>
      </c>
      <c r="AF145" s="61">
        <v>345.0</v>
      </c>
      <c r="AG145" s="62">
        <f t="shared" si="25"/>
        <v>49.28602337</v>
      </c>
      <c r="AH145" s="63">
        <f t="shared" si="26"/>
        <v>32.555076</v>
      </c>
      <c r="AI145" s="64">
        <f t="shared" si="468"/>
        <v>405.9732</v>
      </c>
      <c r="AJ145" s="64">
        <f t="shared" si="469"/>
        <v>377.555076</v>
      </c>
      <c r="AK145" s="66">
        <f t="shared" si="27"/>
        <v>63.37303159</v>
      </c>
      <c r="AL145" s="66"/>
      <c r="AM145" s="14">
        <f t="shared" si="365"/>
        <v>8.622603183</v>
      </c>
      <c r="AN145" s="67">
        <f t="shared" si="29"/>
        <v>14.08700822</v>
      </c>
      <c r="AO145" s="68">
        <f t="shared" si="30"/>
        <v>1.633730316</v>
      </c>
      <c r="AP145" s="69">
        <f t="shared" si="31"/>
        <v>-0.28418124</v>
      </c>
      <c r="AQ145" s="70">
        <f t="shared" si="32"/>
        <v>0.73055076</v>
      </c>
      <c r="AR145" s="71">
        <f t="shared" ref="AR145:AS145" si="470">AI145/94</f>
        <v>4.31886383</v>
      </c>
      <c r="AS145" s="71">
        <f t="shared" si="470"/>
        <v>4.016543362</v>
      </c>
      <c r="AT145" s="72">
        <f t="shared" ref="AT145:AU145" si="471">AI145/24</f>
        <v>16.91555</v>
      </c>
      <c r="AU145" s="72">
        <f t="shared" si="471"/>
        <v>15.7314615</v>
      </c>
      <c r="AV145" s="73">
        <f t="shared" ref="AV145:AW145" si="472">AI145/125</f>
        <v>3.2477856</v>
      </c>
      <c r="AW145" s="73">
        <f t="shared" si="472"/>
        <v>3.020440608</v>
      </c>
    </row>
    <row r="146" ht="15.75" customHeight="1">
      <c r="A146" s="2"/>
      <c r="B146" s="2" t="s">
        <v>274</v>
      </c>
      <c r="C146" s="2" t="s">
        <v>321</v>
      </c>
      <c r="D146" s="10">
        <v>145.0</v>
      </c>
      <c r="F146" s="1">
        <v>40.0</v>
      </c>
      <c r="G146" s="10">
        <v>9.4041E7</v>
      </c>
      <c r="H146" s="59">
        <v>0.18</v>
      </c>
      <c r="I146" s="2">
        <f t="shared" si="4"/>
        <v>26.1</v>
      </c>
      <c r="K146" s="1">
        <v>20.0</v>
      </c>
      <c r="L146" s="4">
        <f t="shared" si="5"/>
        <v>231.1</v>
      </c>
      <c r="M146" s="2">
        <f t="shared" si="6"/>
        <v>1.45</v>
      </c>
      <c r="N146" s="12">
        <f t="shared" si="7"/>
        <v>18.488</v>
      </c>
      <c r="O146" s="12">
        <f t="shared" si="8"/>
        <v>23.11</v>
      </c>
      <c r="P146" s="12">
        <f t="shared" si="9"/>
        <v>11.555</v>
      </c>
      <c r="Q146" s="12">
        <f t="shared" si="10"/>
        <v>4.622</v>
      </c>
      <c r="R146" s="12">
        <f t="shared" si="48"/>
        <v>1.5225</v>
      </c>
      <c r="S146" s="12">
        <f t="shared" si="12"/>
        <v>2.311</v>
      </c>
      <c r="T146" s="60">
        <f t="shared" si="13"/>
        <v>61.536</v>
      </c>
      <c r="U146" s="2">
        <f t="shared" si="14"/>
        <v>3.045</v>
      </c>
      <c r="V146" s="42">
        <f t="shared" si="15"/>
        <v>15.225</v>
      </c>
      <c r="W146" s="2">
        <f t="shared" si="16"/>
        <v>3.045</v>
      </c>
      <c r="X146" s="2">
        <f t="shared" si="17"/>
        <v>24.36</v>
      </c>
      <c r="Y146" s="2">
        <f t="shared" si="18"/>
        <v>45.675</v>
      </c>
      <c r="Z146" s="60">
        <f t="shared" si="19"/>
        <v>338.311</v>
      </c>
      <c r="AA146" s="11">
        <f t="shared" si="20"/>
        <v>67.6622</v>
      </c>
      <c r="AB146" s="12">
        <f t="shared" si="49"/>
        <v>405.9732</v>
      </c>
      <c r="AC146" s="2">
        <f t="shared" si="22"/>
        <v>304.5</v>
      </c>
      <c r="AD146" s="12">
        <f t="shared" si="23"/>
        <v>101.4732</v>
      </c>
      <c r="AE146" s="12">
        <f t="shared" si="24"/>
        <v>24.99504893</v>
      </c>
      <c r="AF146" s="61">
        <v>345.0</v>
      </c>
      <c r="AG146" s="62">
        <f t="shared" si="25"/>
        <v>49.28602337</v>
      </c>
      <c r="AH146" s="63">
        <f t="shared" si="26"/>
        <v>32.555076</v>
      </c>
      <c r="AI146" s="64">
        <f t="shared" si="468"/>
        <v>405.9732</v>
      </c>
      <c r="AJ146" s="64">
        <f t="shared" si="469"/>
        <v>377.555076</v>
      </c>
      <c r="AK146" s="66">
        <f t="shared" si="27"/>
        <v>63.37303159</v>
      </c>
      <c r="AL146" s="66"/>
      <c r="AM146" s="14">
        <f t="shared" si="365"/>
        <v>8.622603183</v>
      </c>
      <c r="AN146" s="67">
        <f t="shared" si="29"/>
        <v>14.08700822</v>
      </c>
      <c r="AO146" s="68">
        <f t="shared" si="30"/>
        <v>1.633730316</v>
      </c>
      <c r="AP146" s="69">
        <f t="shared" si="31"/>
        <v>-0.28418124</v>
      </c>
      <c r="AQ146" s="70">
        <f t="shared" si="32"/>
        <v>0.73055076</v>
      </c>
      <c r="AR146" s="71">
        <f t="shared" ref="AR146:AS146" si="473">AI146/94</f>
        <v>4.31886383</v>
      </c>
      <c r="AS146" s="71">
        <f t="shared" si="473"/>
        <v>4.016543362</v>
      </c>
      <c r="AT146" s="72">
        <f t="shared" ref="AT146:AU146" si="474">AI146/24</f>
        <v>16.91555</v>
      </c>
      <c r="AU146" s="72">
        <f t="shared" si="474"/>
        <v>15.7314615</v>
      </c>
      <c r="AV146" s="73">
        <f t="shared" ref="AV146:AW146" si="475">AI146/125</f>
        <v>3.2477856</v>
      </c>
      <c r="AW146" s="73">
        <f t="shared" si="475"/>
        <v>3.020440608</v>
      </c>
    </row>
    <row r="147" ht="15.75" customHeight="1">
      <c r="A147" s="2"/>
      <c r="B147" s="2" t="s">
        <v>283</v>
      </c>
      <c r="C147" s="2" t="s">
        <v>322</v>
      </c>
      <c r="D147" s="10">
        <v>145.0</v>
      </c>
      <c r="F147" s="1">
        <v>40.0</v>
      </c>
      <c r="G147" s="10">
        <v>9.4041E7</v>
      </c>
      <c r="H147" s="59">
        <v>0.18</v>
      </c>
      <c r="I147" s="2">
        <f t="shared" si="4"/>
        <v>26.1</v>
      </c>
      <c r="K147" s="1">
        <v>20.0</v>
      </c>
      <c r="L147" s="4">
        <f t="shared" si="5"/>
        <v>231.1</v>
      </c>
      <c r="M147" s="2">
        <f t="shared" si="6"/>
        <v>1.45</v>
      </c>
      <c r="N147" s="12">
        <f t="shared" si="7"/>
        <v>18.488</v>
      </c>
      <c r="O147" s="12">
        <f t="shared" si="8"/>
        <v>23.11</v>
      </c>
      <c r="P147" s="12">
        <f t="shared" si="9"/>
        <v>11.555</v>
      </c>
      <c r="Q147" s="12">
        <f t="shared" si="10"/>
        <v>4.622</v>
      </c>
      <c r="R147" s="12">
        <f t="shared" si="48"/>
        <v>1.5225</v>
      </c>
      <c r="S147" s="12">
        <f t="shared" si="12"/>
        <v>2.311</v>
      </c>
      <c r="T147" s="60">
        <f t="shared" si="13"/>
        <v>61.536</v>
      </c>
      <c r="U147" s="2">
        <f t="shared" si="14"/>
        <v>3.045</v>
      </c>
      <c r="V147" s="42">
        <f t="shared" si="15"/>
        <v>15.225</v>
      </c>
      <c r="W147" s="2">
        <f t="shared" si="16"/>
        <v>3.045</v>
      </c>
      <c r="X147" s="2">
        <f t="shared" si="17"/>
        <v>24.36</v>
      </c>
      <c r="Y147" s="2">
        <f t="shared" si="18"/>
        <v>45.675</v>
      </c>
      <c r="Z147" s="60">
        <f t="shared" si="19"/>
        <v>338.311</v>
      </c>
      <c r="AA147" s="11">
        <f t="shared" si="20"/>
        <v>67.6622</v>
      </c>
      <c r="AB147" s="12">
        <f t="shared" si="49"/>
        <v>405.9732</v>
      </c>
      <c r="AC147" s="2">
        <f t="shared" si="22"/>
        <v>304.5</v>
      </c>
      <c r="AD147" s="12">
        <f t="shared" si="23"/>
        <v>101.4732</v>
      </c>
      <c r="AE147" s="12">
        <f t="shared" si="24"/>
        <v>24.99504893</v>
      </c>
      <c r="AF147" s="61">
        <v>345.0</v>
      </c>
      <c r="AG147" s="62">
        <f t="shared" si="25"/>
        <v>49.28602337</v>
      </c>
      <c r="AH147" s="63">
        <f t="shared" si="26"/>
        <v>32.555076</v>
      </c>
      <c r="AI147" s="64">
        <f t="shared" si="468"/>
        <v>405.9732</v>
      </c>
      <c r="AJ147" s="64">
        <f t="shared" si="469"/>
        <v>377.555076</v>
      </c>
      <c r="AK147" s="66">
        <f t="shared" si="27"/>
        <v>63.37303159</v>
      </c>
      <c r="AL147" s="66"/>
      <c r="AM147" s="14">
        <f t="shared" si="365"/>
        <v>8.622603183</v>
      </c>
      <c r="AN147" s="67">
        <f t="shared" si="29"/>
        <v>14.08700822</v>
      </c>
      <c r="AO147" s="68">
        <f t="shared" si="30"/>
        <v>1.633730316</v>
      </c>
      <c r="AP147" s="69">
        <f t="shared" si="31"/>
        <v>-0.28418124</v>
      </c>
      <c r="AQ147" s="70">
        <f t="shared" si="32"/>
        <v>0.73055076</v>
      </c>
      <c r="AR147" s="71">
        <f t="shared" ref="AR147:AS147" si="476">AI147/94</f>
        <v>4.31886383</v>
      </c>
      <c r="AS147" s="71">
        <f t="shared" si="476"/>
        <v>4.016543362</v>
      </c>
      <c r="AT147" s="72">
        <f t="shared" ref="AT147:AU147" si="477">AI147/24</f>
        <v>16.91555</v>
      </c>
      <c r="AU147" s="72">
        <f t="shared" si="477"/>
        <v>15.7314615</v>
      </c>
      <c r="AV147" s="73">
        <f t="shared" ref="AV147:AW147" si="478">AI147/125</f>
        <v>3.2477856</v>
      </c>
      <c r="AW147" s="73">
        <f t="shared" si="478"/>
        <v>3.020440608</v>
      </c>
    </row>
    <row r="148" ht="15.75" customHeight="1">
      <c r="A148" s="2"/>
      <c r="B148" s="2" t="s">
        <v>285</v>
      </c>
      <c r="C148" s="2" t="s">
        <v>323</v>
      </c>
      <c r="D148" s="10">
        <v>145.0</v>
      </c>
      <c r="F148" s="1">
        <v>40.0</v>
      </c>
      <c r="G148" s="10">
        <v>9.4041E7</v>
      </c>
      <c r="H148" s="59">
        <v>0.18</v>
      </c>
      <c r="I148" s="2">
        <f t="shared" si="4"/>
        <v>26.1</v>
      </c>
      <c r="K148" s="1">
        <v>20.0</v>
      </c>
      <c r="L148" s="4">
        <f t="shared" si="5"/>
        <v>231.1</v>
      </c>
      <c r="M148" s="2">
        <f t="shared" si="6"/>
        <v>1.45</v>
      </c>
      <c r="N148" s="12">
        <f t="shared" si="7"/>
        <v>18.488</v>
      </c>
      <c r="O148" s="12">
        <f t="shared" si="8"/>
        <v>23.11</v>
      </c>
      <c r="P148" s="12">
        <f t="shared" si="9"/>
        <v>11.555</v>
      </c>
      <c r="Q148" s="12">
        <f t="shared" si="10"/>
        <v>4.622</v>
      </c>
      <c r="R148" s="12">
        <f t="shared" si="48"/>
        <v>1.5225</v>
      </c>
      <c r="S148" s="12">
        <f t="shared" si="12"/>
        <v>2.311</v>
      </c>
      <c r="T148" s="60">
        <f t="shared" si="13"/>
        <v>61.536</v>
      </c>
      <c r="U148" s="2">
        <f t="shared" si="14"/>
        <v>3.045</v>
      </c>
      <c r="V148" s="42">
        <f t="shared" si="15"/>
        <v>15.225</v>
      </c>
      <c r="W148" s="2">
        <f t="shared" si="16"/>
        <v>3.045</v>
      </c>
      <c r="X148" s="2">
        <f t="shared" si="17"/>
        <v>24.36</v>
      </c>
      <c r="Y148" s="2">
        <f t="shared" si="18"/>
        <v>45.675</v>
      </c>
      <c r="Z148" s="60">
        <f t="shared" si="19"/>
        <v>338.311</v>
      </c>
      <c r="AA148" s="11">
        <f t="shared" si="20"/>
        <v>67.6622</v>
      </c>
      <c r="AB148" s="12">
        <f t="shared" si="49"/>
        <v>405.9732</v>
      </c>
      <c r="AC148" s="2">
        <f t="shared" si="22"/>
        <v>304.5</v>
      </c>
      <c r="AD148" s="12">
        <f t="shared" si="23"/>
        <v>101.4732</v>
      </c>
      <c r="AE148" s="12">
        <f t="shared" si="24"/>
        <v>24.99504893</v>
      </c>
      <c r="AF148" s="61">
        <v>345.0</v>
      </c>
      <c r="AG148" s="62">
        <f t="shared" si="25"/>
        <v>49.28602337</v>
      </c>
      <c r="AH148" s="63">
        <f t="shared" si="26"/>
        <v>32.555076</v>
      </c>
      <c r="AI148" s="64">
        <f t="shared" si="468"/>
        <v>405.9732</v>
      </c>
      <c r="AJ148" s="64">
        <f t="shared" si="469"/>
        <v>377.555076</v>
      </c>
      <c r="AK148" s="66">
        <f t="shared" si="27"/>
        <v>63.37303159</v>
      </c>
      <c r="AL148" s="66"/>
      <c r="AM148" s="14">
        <f t="shared" si="365"/>
        <v>8.622603183</v>
      </c>
      <c r="AN148" s="67">
        <f t="shared" si="29"/>
        <v>14.08700822</v>
      </c>
      <c r="AO148" s="68">
        <f t="shared" si="30"/>
        <v>1.633730316</v>
      </c>
      <c r="AP148" s="69">
        <f t="shared" si="31"/>
        <v>-0.28418124</v>
      </c>
      <c r="AQ148" s="70">
        <f t="shared" si="32"/>
        <v>0.73055076</v>
      </c>
      <c r="AR148" s="71">
        <f t="shared" ref="AR148:AS148" si="479">AI148/94</f>
        <v>4.31886383</v>
      </c>
      <c r="AS148" s="71">
        <f t="shared" si="479"/>
        <v>4.016543362</v>
      </c>
      <c r="AT148" s="72">
        <f t="shared" ref="AT148:AU148" si="480">AI148/24</f>
        <v>16.91555</v>
      </c>
      <c r="AU148" s="72">
        <f t="shared" si="480"/>
        <v>15.7314615</v>
      </c>
      <c r="AV148" s="73">
        <f t="shared" ref="AV148:AW148" si="481">AI148/125</f>
        <v>3.2477856</v>
      </c>
      <c r="AW148" s="73">
        <f t="shared" si="481"/>
        <v>3.020440608</v>
      </c>
    </row>
    <row r="149" ht="15.0" customHeight="1">
      <c r="A149" s="2" t="s">
        <v>324</v>
      </c>
      <c r="B149" s="2" t="s">
        <v>325</v>
      </c>
      <c r="C149" s="2" t="s">
        <v>326</v>
      </c>
      <c r="D149" s="10">
        <v>690.0</v>
      </c>
      <c r="F149" s="1">
        <v>75.0</v>
      </c>
      <c r="G149" s="10">
        <v>9.4041E7</v>
      </c>
      <c r="H149" s="59">
        <v>0.18</v>
      </c>
      <c r="I149" s="2">
        <f t="shared" si="4"/>
        <v>124.2</v>
      </c>
      <c r="K149" s="2">
        <v>100.0</v>
      </c>
      <c r="L149" s="4">
        <f t="shared" si="5"/>
        <v>989.2</v>
      </c>
      <c r="M149" s="2">
        <f t="shared" si="6"/>
        <v>6.9</v>
      </c>
      <c r="N149" s="12">
        <f t="shared" si="7"/>
        <v>79.136</v>
      </c>
      <c r="O149" s="12">
        <f t="shared" si="8"/>
        <v>98.92</v>
      </c>
      <c r="P149" s="12">
        <f t="shared" si="9"/>
        <v>49.46</v>
      </c>
      <c r="Q149" s="12">
        <f t="shared" si="10"/>
        <v>19.784</v>
      </c>
      <c r="R149" s="12">
        <f t="shared" si="48"/>
        <v>7.245</v>
      </c>
      <c r="S149" s="12">
        <f t="shared" si="12"/>
        <v>9.892</v>
      </c>
      <c r="T149" s="60">
        <f t="shared" si="13"/>
        <v>264.092</v>
      </c>
      <c r="U149" s="2">
        <f t="shared" si="14"/>
        <v>14.49</v>
      </c>
      <c r="V149" s="42">
        <f t="shared" si="15"/>
        <v>72.45</v>
      </c>
      <c r="W149" s="2">
        <f t="shared" si="16"/>
        <v>14.49</v>
      </c>
      <c r="X149" s="2">
        <f t="shared" si="17"/>
        <v>115.92</v>
      </c>
      <c r="Y149" s="2">
        <f t="shared" si="18"/>
        <v>217.35</v>
      </c>
      <c r="Z149" s="60">
        <f t="shared" si="19"/>
        <v>1470.642</v>
      </c>
      <c r="AA149" s="11">
        <f t="shared" si="20"/>
        <v>294.1284</v>
      </c>
      <c r="AB149" s="12">
        <f t="shared" si="49"/>
        <v>1764.7704</v>
      </c>
      <c r="AC149" s="2">
        <f t="shared" si="22"/>
        <v>1449</v>
      </c>
      <c r="AD149" s="12">
        <f t="shared" si="23"/>
        <v>315.7704</v>
      </c>
      <c r="AE149" s="12">
        <f t="shared" si="24"/>
        <v>17.89300183</v>
      </c>
      <c r="AF149" s="61">
        <v>1395.0</v>
      </c>
      <c r="AG149" s="62">
        <f t="shared" si="25"/>
        <v>41.02304893</v>
      </c>
      <c r="AH149" s="63">
        <f t="shared" si="26"/>
        <v>290</v>
      </c>
      <c r="AI149" s="64">
        <f t="shared" si="468"/>
        <v>1764.7704</v>
      </c>
      <c r="AJ149" s="65">
        <v>1685.0</v>
      </c>
      <c r="AK149" s="66">
        <f t="shared" si="27"/>
        <v>70.33966842</v>
      </c>
      <c r="AL149" s="66"/>
      <c r="AM149" s="14">
        <f t="shared" si="365"/>
        <v>17.21068249</v>
      </c>
      <c r="AN149" s="67">
        <f t="shared" si="29"/>
        <v>29.31661949</v>
      </c>
      <c r="AO149" s="68">
        <f t="shared" si="30"/>
        <v>1.703396684</v>
      </c>
      <c r="AP149" s="69">
        <f t="shared" si="31"/>
        <v>-0.797704</v>
      </c>
      <c r="AQ149" s="70">
        <f t="shared" si="32"/>
        <v>2.36</v>
      </c>
      <c r="AR149" s="71">
        <f t="shared" ref="AR149:AS149" si="482">AI149/94</f>
        <v>18.77415319</v>
      </c>
      <c r="AS149" s="71">
        <f t="shared" si="482"/>
        <v>17.92553191</v>
      </c>
      <c r="AT149" s="72">
        <f t="shared" ref="AT149:AU149" si="483">AI149/24</f>
        <v>73.5321</v>
      </c>
      <c r="AU149" s="72">
        <f t="shared" si="483"/>
        <v>70.20833333</v>
      </c>
      <c r="AV149" s="73">
        <f t="shared" ref="AV149:AW149" si="484">AI149/125</f>
        <v>14.1181632</v>
      </c>
      <c r="AW149" s="73">
        <f t="shared" si="484"/>
        <v>13.48</v>
      </c>
    </row>
    <row r="150" ht="15.75" customHeight="1">
      <c r="A150" s="2"/>
      <c r="B150" s="2" t="s">
        <v>276</v>
      </c>
      <c r="C150" s="2" t="s">
        <v>327</v>
      </c>
      <c r="D150" s="10">
        <v>690.0</v>
      </c>
      <c r="F150" s="1">
        <v>75.0</v>
      </c>
      <c r="G150" s="10">
        <v>9.4041E7</v>
      </c>
      <c r="H150" s="59">
        <v>0.18</v>
      </c>
      <c r="I150" s="2">
        <f t="shared" si="4"/>
        <v>124.2</v>
      </c>
      <c r="K150" s="2">
        <v>100.0</v>
      </c>
      <c r="L150" s="4">
        <f t="shared" si="5"/>
        <v>989.2</v>
      </c>
      <c r="M150" s="2">
        <f t="shared" si="6"/>
        <v>6.9</v>
      </c>
      <c r="N150" s="12">
        <f t="shared" si="7"/>
        <v>79.136</v>
      </c>
      <c r="O150" s="12">
        <f t="shared" si="8"/>
        <v>98.92</v>
      </c>
      <c r="P150" s="12">
        <f t="shared" si="9"/>
        <v>49.46</v>
      </c>
      <c r="Q150" s="12">
        <f t="shared" si="10"/>
        <v>19.784</v>
      </c>
      <c r="R150" s="12">
        <f t="shared" si="48"/>
        <v>7.245</v>
      </c>
      <c r="S150" s="12">
        <f t="shared" si="12"/>
        <v>9.892</v>
      </c>
      <c r="T150" s="60">
        <f t="shared" si="13"/>
        <v>264.092</v>
      </c>
      <c r="U150" s="2">
        <f t="shared" si="14"/>
        <v>14.49</v>
      </c>
      <c r="V150" s="42">
        <f t="shared" si="15"/>
        <v>72.45</v>
      </c>
      <c r="W150" s="2">
        <f t="shared" si="16"/>
        <v>14.49</v>
      </c>
      <c r="X150" s="2">
        <f t="shared" si="17"/>
        <v>115.92</v>
      </c>
      <c r="Y150" s="2">
        <f t="shared" si="18"/>
        <v>217.35</v>
      </c>
      <c r="Z150" s="60">
        <f t="shared" si="19"/>
        <v>1470.642</v>
      </c>
      <c r="AA150" s="11">
        <f t="shared" si="20"/>
        <v>294.1284</v>
      </c>
      <c r="AB150" s="12">
        <f t="shared" si="49"/>
        <v>1764.7704</v>
      </c>
      <c r="AC150" s="2">
        <f t="shared" si="22"/>
        <v>1449</v>
      </c>
      <c r="AD150" s="12">
        <f t="shared" si="23"/>
        <v>315.7704</v>
      </c>
      <c r="AE150" s="12">
        <f t="shared" si="24"/>
        <v>17.89300183</v>
      </c>
      <c r="AF150" s="61">
        <v>1395.0</v>
      </c>
      <c r="AG150" s="62">
        <f t="shared" si="25"/>
        <v>41.02304893</v>
      </c>
      <c r="AH150" s="63">
        <f t="shared" si="26"/>
        <v>290</v>
      </c>
      <c r="AI150" s="64">
        <f t="shared" si="468"/>
        <v>1764.7704</v>
      </c>
      <c r="AJ150" s="65">
        <v>1685.0</v>
      </c>
      <c r="AK150" s="66">
        <f t="shared" si="27"/>
        <v>70.33966842</v>
      </c>
      <c r="AL150" s="66"/>
      <c r="AM150" s="14">
        <f t="shared" si="365"/>
        <v>17.21068249</v>
      </c>
      <c r="AN150" s="67">
        <f t="shared" si="29"/>
        <v>29.31661949</v>
      </c>
      <c r="AO150" s="68">
        <f t="shared" si="30"/>
        <v>1.703396684</v>
      </c>
      <c r="AP150" s="69">
        <f t="shared" si="31"/>
        <v>-0.797704</v>
      </c>
      <c r="AQ150" s="70">
        <f t="shared" si="32"/>
        <v>2.36</v>
      </c>
      <c r="AR150" s="71">
        <f t="shared" ref="AR150:AS150" si="485">AI150/94</f>
        <v>18.77415319</v>
      </c>
      <c r="AS150" s="71">
        <f t="shared" si="485"/>
        <v>17.92553191</v>
      </c>
      <c r="AT150" s="72">
        <f t="shared" ref="AT150:AU150" si="486">AI150/24</f>
        <v>73.5321</v>
      </c>
      <c r="AU150" s="72">
        <f t="shared" si="486"/>
        <v>70.20833333</v>
      </c>
      <c r="AV150" s="73">
        <f t="shared" ref="AV150:AW150" si="487">AI150/125</f>
        <v>14.1181632</v>
      </c>
      <c r="AW150" s="73">
        <f t="shared" si="487"/>
        <v>13.48</v>
      </c>
    </row>
    <row r="151" ht="15.75" customHeight="1">
      <c r="A151" s="2"/>
      <c r="B151" s="2" t="s">
        <v>328</v>
      </c>
      <c r="C151" s="2" t="s">
        <v>329</v>
      </c>
      <c r="D151" s="10">
        <v>595.0</v>
      </c>
      <c r="F151" s="1">
        <v>75.0</v>
      </c>
      <c r="G151" s="10">
        <v>9.4041E7</v>
      </c>
      <c r="H151" s="59">
        <v>0.18</v>
      </c>
      <c r="I151" s="2">
        <f t="shared" si="4"/>
        <v>107.1</v>
      </c>
      <c r="K151" s="2">
        <v>100.0</v>
      </c>
      <c r="L151" s="4">
        <f t="shared" si="5"/>
        <v>877.1</v>
      </c>
      <c r="M151" s="2">
        <f t="shared" si="6"/>
        <v>5.95</v>
      </c>
      <c r="N151" s="12">
        <f t="shared" si="7"/>
        <v>70.168</v>
      </c>
      <c r="O151" s="12">
        <f t="shared" si="8"/>
        <v>87.71</v>
      </c>
      <c r="P151" s="12">
        <f t="shared" si="9"/>
        <v>43.855</v>
      </c>
      <c r="Q151" s="12">
        <f t="shared" si="10"/>
        <v>17.542</v>
      </c>
      <c r="R151" s="12">
        <f t="shared" si="48"/>
        <v>6.2475</v>
      </c>
      <c r="S151" s="12">
        <f t="shared" si="12"/>
        <v>8.771</v>
      </c>
      <c r="T151" s="60">
        <f t="shared" si="13"/>
        <v>233.996</v>
      </c>
      <c r="U151" s="2">
        <f t="shared" si="14"/>
        <v>12.495</v>
      </c>
      <c r="V151" s="42">
        <f t="shared" si="15"/>
        <v>62.475</v>
      </c>
      <c r="W151" s="2">
        <f t="shared" si="16"/>
        <v>12.495</v>
      </c>
      <c r="X151" s="2">
        <f t="shared" si="17"/>
        <v>99.96</v>
      </c>
      <c r="Y151" s="2">
        <f t="shared" si="18"/>
        <v>187.425</v>
      </c>
      <c r="Z151" s="60">
        <f t="shared" si="19"/>
        <v>1298.521</v>
      </c>
      <c r="AA151" s="11">
        <f t="shared" si="20"/>
        <v>259.7042</v>
      </c>
      <c r="AB151" s="12">
        <f t="shared" si="49"/>
        <v>1558.2252</v>
      </c>
      <c r="AC151" s="2">
        <f t="shared" si="22"/>
        <v>1249.5</v>
      </c>
      <c r="AD151" s="12">
        <f t="shared" si="23"/>
        <v>308.7252</v>
      </c>
      <c r="AE151" s="12">
        <f t="shared" si="24"/>
        <v>19.81261759</v>
      </c>
      <c r="AF151" s="61">
        <v>1295.0</v>
      </c>
      <c r="AG151" s="62">
        <f t="shared" si="25"/>
        <v>47.64565044</v>
      </c>
      <c r="AH151" s="63">
        <f t="shared" si="26"/>
        <v>195</v>
      </c>
      <c r="AI151" s="64">
        <f t="shared" si="468"/>
        <v>1558.2252</v>
      </c>
      <c r="AJ151" s="65">
        <v>1490.0</v>
      </c>
      <c r="AK151" s="66">
        <f t="shared" si="27"/>
        <v>69.87800707</v>
      </c>
      <c r="AL151" s="66"/>
      <c r="AM151" s="14">
        <f t="shared" si="365"/>
        <v>13.08724832</v>
      </c>
      <c r="AN151" s="67">
        <f t="shared" si="29"/>
        <v>22.23235663</v>
      </c>
      <c r="AO151" s="68">
        <f t="shared" si="30"/>
        <v>1.698780071</v>
      </c>
      <c r="AP151" s="69">
        <f t="shared" si="31"/>
        <v>-0.682252</v>
      </c>
      <c r="AQ151" s="70">
        <f t="shared" si="32"/>
        <v>2.405</v>
      </c>
      <c r="AR151" s="71">
        <f t="shared" ref="AR151:AS151" si="488">AI151/94</f>
        <v>16.57686383</v>
      </c>
      <c r="AS151" s="71">
        <f t="shared" si="488"/>
        <v>15.85106383</v>
      </c>
      <c r="AT151" s="72">
        <f t="shared" ref="AT151:AU151" si="489">AI151/24</f>
        <v>64.92605</v>
      </c>
      <c r="AU151" s="72">
        <f t="shared" si="489"/>
        <v>62.08333333</v>
      </c>
      <c r="AV151" s="73">
        <f t="shared" ref="AV151:AW151" si="490">AI151/125</f>
        <v>12.4658016</v>
      </c>
      <c r="AW151" s="73">
        <f t="shared" si="490"/>
        <v>11.92</v>
      </c>
    </row>
    <row r="152" ht="15.0" customHeight="1">
      <c r="A152" s="42" t="s">
        <v>330</v>
      </c>
      <c r="B152" s="42" t="s">
        <v>283</v>
      </c>
      <c r="C152" s="42" t="s">
        <v>331</v>
      </c>
      <c r="D152" s="45">
        <v>1080.0</v>
      </c>
      <c r="E152" s="47"/>
      <c r="F152" s="44">
        <v>125.0</v>
      </c>
      <c r="G152" s="45">
        <v>9.4041E7</v>
      </c>
      <c r="H152" s="46">
        <v>0.18</v>
      </c>
      <c r="I152" s="42">
        <f t="shared" si="4"/>
        <v>194.4</v>
      </c>
      <c r="J152" s="47"/>
      <c r="K152" s="44">
        <v>150.0</v>
      </c>
      <c r="L152" s="48">
        <f t="shared" si="5"/>
        <v>1549.4</v>
      </c>
      <c r="M152" s="42">
        <f t="shared" si="6"/>
        <v>10.8</v>
      </c>
      <c r="N152" s="49">
        <f t="shared" si="7"/>
        <v>123.952</v>
      </c>
      <c r="O152" s="49">
        <f t="shared" si="8"/>
        <v>154.94</v>
      </c>
      <c r="P152" s="49">
        <f t="shared" si="9"/>
        <v>77.47</v>
      </c>
      <c r="Q152" s="49">
        <f t="shared" si="10"/>
        <v>30.988</v>
      </c>
      <c r="R152" s="49">
        <f t="shared" si="48"/>
        <v>11.34</v>
      </c>
      <c r="S152" s="49">
        <f t="shared" si="12"/>
        <v>15.494</v>
      </c>
      <c r="T152" s="50">
        <f t="shared" si="13"/>
        <v>413.644</v>
      </c>
      <c r="U152" s="42">
        <f t="shared" si="14"/>
        <v>22.68</v>
      </c>
      <c r="V152" s="42">
        <f t="shared" si="15"/>
        <v>113.4</v>
      </c>
      <c r="W152" s="42">
        <f t="shared" si="16"/>
        <v>22.68</v>
      </c>
      <c r="X152" s="42">
        <f t="shared" si="17"/>
        <v>181.44</v>
      </c>
      <c r="Y152" s="42">
        <f t="shared" si="18"/>
        <v>340.2</v>
      </c>
      <c r="Z152" s="50">
        <f t="shared" si="19"/>
        <v>2303.244</v>
      </c>
      <c r="AA152" s="51">
        <f t="shared" si="20"/>
        <v>460.6488</v>
      </c>
      <c r="AB152" s="49">
        <f t="shared" si="49"/>
        <v>2763.8928</v>
      </c>
      <c r="AC152" s="42">
        <f t="shared" si="22"/>
        <v>2268</v>
      </c>
      <c r="AD152" s="49">
        <f t="shared" si="23"/>
        <v>495.8928</v>
      </c>
      <c r="AE152" s="49">
        <f t="shared" si="24"/>
        <v>17.94182466</v>
      </c>
      <c r="AF152" s="47">
        <v>1995.0</v>
      </c>
      <c r="AG152" s="52">
        <f t="shared" si="25"/>
        <v>28.75951981</v>
      </c>
      <c r="AH152" s="53">
        <f t="shared" si="26"/>
        <v>400</v>
      </c>
      <c r="AI152" s="53">
        <f t="shared" si="468"/>
        <v>2763.8928</v>
      </c>
      <c r="AJ152" s="54">
        <v>2395.0</v>
      </c>
      <c r="AK152" s="55">
        <f t="shared" si="27"/>
        <v>54.57596489</v>
      </c>
      <c r="AL152" s="55"/>
      <c r="AM152" s="55">
        <f t="shared" si="365"/>
        <v>16.70146138</v>
      </c>
      <c r="AN152" s="55">
        <f t="shared" si="29"/>
        <v>25.81644508</v>
      </c>
      <c r="AO152" s="56">
        <f t="shared" si="30"/>
        <v>1.545759649</v>
      </c>
      <c r="AP152" s="55">
        <f t="shared" si="31"/>
        <v>-3.688928</v>
      </c>
      <c r="AQ152" s="55">
        <f t="shared" si="32"/>
        <v>1.27</v>
      </c>
      <c r="AR152" s="57">
        <f t="shared" ref="AR152:AS152" si="491">AI152/94</f>
        <v>29.40311489</v>
      </c>
      <c r="AS152" s="57">
        <f t="shared" si="491"/>
        <v>25.4787234</v>
      </c>
      <c r="AT152" s="58">
        <f t="shared" ref="AT152:AU152" si="492">AI152/24</f>
        <v>115.1622</v>
      </c>
      <c r="AU152" s="58">
        <f t="shared" si="492"/>
        <v>99.79166667</v>
      </c>
      <c r="AV152" s="58">
        <f t="shared" ref="AV152:AW152" si="493">AI152/125</f>
        <v>22.1111424</v>
      </c>
      <c r="AW152" s="58">
        <f t="shared" si="493"/>
        <v>19.16</v>
      </c>
      <c r="AX152" s="47"/>
      <c r="AY152" s="47"/>
    </row>
    <row r="153" ht="15.75" customHeight="1">
      <c r="A153" s="42"/>
      <c r="B153" s="42" t="s">
        <v>293</v>
      </c>
      <c r="C153" s="42" t="s">
        <v>332</v>
      </c>
      <c r="D153" s="45">
        <v>1080.0</v>
      </c>
      <c r="E153" s="47"/>
      <c r="F153" s="44">
        <v>125.0</v>
      </c>
      <c r="G153" s="45">
        <v>9.4041E7</v>
      </c>
      <c r="H153" s="46">
        <v>0.18</v>
      </c>
      <c r="I153" s="42">
        <f t="shared" si="4"/>
        <v>194.4</v>
      </c>
      <c r="J153" s="47"/>
      <c r="K153" s="44">
        <v>150.0</v>
      </c>
      <c r="L153" s="48">
        <f t="shared" si="5"/>
        <v>1549.4</v>
      </c>
      <c r="M153" s="42">
        <f t="shared" si="6"/>
        <v>10.8</v>
      </c>
      <c r="N153" s="49">
        <f t="shared" si="7"/>
        <v>123.952</v>
      </c>
      <c r="O153" s="49">
        <f t="shared" si="8"/>
        <v>154.94</v>
      </c>
      <c r="P153" s="49">
        <f t="shared" si="9"/>
        <v>77.47</v>
      </c>
      <c r="Q153" s="49">
        <f t="shared" si="10"/>
        <v>30.988</v>
      </c>
      <c r="R153" s="49">
        <f t="shared" si="48"/>
        <v>11.34</v>
      </c>
      <c r="S153" s="49">
        <f t="shared" si="12"/>
        <v>15.494</v>
      </c>
      <c r="T153" s="50">
        <f t="shared" si="13"/>
        <v>413.644</v>
      </c>
      <c r="U153" s="42">
        <f t="shared" si="14"/>
        <v>22.68</v>
      </c>
      <c r="V153" s="42">
        <f t="shared" si="15"/>
        <v>113.4</v>
      </c>
      <c r="W153" s="42">
        <f t="shared" si="16"/>
        <v>22.68</v>
      </c>
      <c r="X153" s="42">
        <f t="shared" si="17"/>
        <v>181.44</v>
      </c>
      <c r="Y153" s="42">
        <f t="shared" si="18"/>
        <v>340.2</v>
      </c>
      <c r="Z153" s="50">
        <f t="shared" si="19"/>
        <v>2303.244</v>
      </c>
      <c r="AA153" s="51">
        <f t="shared" si="20"/>
        <v>460.6488</v>
      </c>
      <c r="AB153" s="49">
        <f t="shared" si="49"/>
        <v>2763.8928</v>
      </c>
      <c r="AC153" s="42">
        <f t="shared" si="22"/>
        <v>2268</v>
      </c>
      <c r="AD153" s="49">
        <f t="shared" si="23"/>
        <v>495.8928</v>
      </c>
      <c r="AE153" s="49">
        <f t="shared" si="24"/>
        <v>17.94182466</v>
      </c>
      <c r="AF153" s="47">
        <v>1995.0</v>
      </c>
      <c r="AG153" s="52">
        <f t="shared" si="25"/>
        <v>28.75951981</v>
      </c>
      <c r="AH153" s="53">
        <f t="shared" si="26"/>
        <v>400</v>
      </c>
      <c r="AI153" s="53">
        <f t="shared" si="468"/>
        <v>2763.8928</v>
      </c>
      <c r="AJ153" s="54">
        <v>2395.0</v>
      </c>
      <c r="AK153" s="55">
        <f t="shared" si="27"/>
        <v>54.57596489</v>
      </c>
      <c r="AL153" s="55"/>
      <c r="AM153" s="55">
        <f t="shared" si="365"/>
        <v>16.70146138</v>
      </c>
      <c r="AN153" s="55">
        <f t="shared" si="29"/>
        <v>25.81644508</v>
      </c>
      <c r="AO153" s="56">
        <f t="shared" si="30"/>
        <v>1.545759649</v>
      </c>
      <c r="AP153" s="55">
        <f t="shared" si="31"/>
        <v>-3.688928</v>
      </c>
      <c r="AQ153" s="55">
        <f t="shared" si="32"/>
        <v>1.27</v>
      </c>
      <c r="AR153" s="57">
        <f t="shared" ref="AR153:AS153" si="494">AI153/94</f>
        <v>29.40311489</v>
      </c>
      <c r="AS153" s="57">
        <f t="shared" si="494"/>
        <v>25.4787234</v>
      </c>
      <c r="AT153" s="58">
        <f t="shared" ref="AT153:AU153" si="495">AI153/24</f>
        <v>115.1622</v>
      </c>
      <c r="AU153" s="58">
        <f t="shared" si="495"/>
        <v>99.79166667</v>
      </c>
      <c r="AV153" s="58">
        <f t="shared" ref="AV153:AW153" si="496">AI153/125</f>
        <v>22.1111424</v>
      </c>
      <c r="AW153" s="58">
        <f t="shared" si="496"/>
        <v>19.16</v>
      </c>
      <c r="AX153" s="47"/>
      <c r="AY153" s="47"/>
    </row>
    <row r="154" ht="15.75" customHeight="1">
      <c r="A154" s="42"/>
      <c r="B154" s="42" t="s">
        <v>333</v>
      </c>
      <c r="C154" s="42" t="s">
        <v>334</v>
      </c>
      <c r="D154" s="45">
        <v>1080.0</v>
      </c>
      <c r="E154" s="47"/>
      <c r="F154" s="44">
        <v>125.0</v>
      </c>
      <c r="G154" s="45">
        <v>9.4041E7</v>
      </c>
      <c r="H154" s="46">
        <v>0.18</v>
      </c>
      <c r="I154" s="42">
        <f t="shared" si="4"/>
        <v>194.4</v>
      </c>
      <c r="J154" s="47"/>
      <c r="K154" s="44">
        <v>150.0</v>
      </c>
      <c r="L154" s="48">
        <f t="shared" si="5"/>
        <v>1549.4</v>
      </c>
      <c r="M154" s="42">
        <f t="shared" si="6"/>
        <v>10.8</v>
      </c>
      <c r="N154" s="49">
        <f t="shared" si="7"/>
        <v>123.952</v>
      </c>
      <c r="O154" s="49">
        <f t="shared" si="8"/>
        <v>154.94</v>
      </c>
      <c r="P154" s="49">
        <f t="shared" si="9"/>
        <v>77.47</v>
      </c>
      <c r="Q154" s="49">
        <f t="shared" si="10"/>
        <v>30.988</v>
      </c>
      <c r="R154" s="49">
        <f t="shared" si="48"/>
        <v>11.34</v>
      </c>
      <c r="S154" s="49">
        <f t="shared" si="12"/>
        <v>15.494</v>
      </c>
      <c r="T154" s="50">
        <f t="shared" si="13"/>
        <v>413.644</v>
      </c>
      <c r="U154" s="42">
        <f t="shared" si="14"/>
        <v>22.68</v>
      </c>
      <c r="V154" s="42">
        <f t="shared" si="15"/>
        <v>113.4</v>
      </c>
      <c r="W154" s="42">
        <f t="shared" si="16"/>
        <v>22.68</v>
      </c>
      <c r="X154" s="42">
        <f t="shared" si="17"/>
        <v>181.44</v>
      </c>
      <c r="Y154" s="42">
        <f t="shared" si="18"/>
        <v>340.2</v>
      </c>
      <c r="Z154" s="50">
        <f t="shared" si="19"/>
        <v>2303.244</v>
      </c>
      <c r="AA154" s="51">
        <f t="shared" si="20"/>
        <v>460.6488</v>
      </c>
      <c r="AB154" s="49">
        <f t="shared" si="49"/>
        <v>2763.8928</v>
      </c>
      <c r="AC154" s="42">
        <f t="shared" si="22"/>
        <v>2268</v>
      </c>
      <c r="AD154" s="49">
        <f t="shared" si="23"/>
        <v>495.8928</v>
      </c>
      <c r="AE154" s="49">
        <f t="shared" si="24"/>
        <v>17.94182466</v>
      </c>
      <c r="AF154" s="47">
        <v>1995.0</v>
      </c>
      <c r="AG154" s="52">
        <f t="shared" si="25"/>
        <v>28.75951981</v>
      </c>
      <c r="AH154" s="53">
        <f t="shared" si="26"/>
        <v>400</v>
      </c>
      <c r="AI154" s="53">
        <f t="shared" si="468"/>
        <v>2763.8928</v>
      </c>
      <c r="AJ154" s="54">
        <v>2395.0</v>
      </c>
      <c r="AK154" s="55">
        <f t="shared" si="27"/>
        <v>54.57596489</v>
      </c>
      <c r="AL154" s="55"/>
      <c r="AM154" s="55">
        <f t="shared" si="365"/>
        <v>16.70146138</v>
      </c>
      <c r="AN154" s="55">
        <f t="shared" si="29"/>
        <v>25.81644508</v>
      </c>
      <c r="AO154" s="56">
        <f t="shared" si="30"/>
        <v>1.545759649</v>
      </c>
      <c r="AP154" s="55">
        <f t="shared" si="31"/>
        <v>-3.688928</v>
      </c>
      <c r="AQ154" s="55">
        <f t="shared" si="32"/>
        <v>1.27</v>
      </c>
      <c r="AR154" s="57">
        <f t="shared" ref="AR154:AS154" si="497">AI154/94</f>
        <v>29.40311489</v>
      </c>
      <c r="AS154" s="57">
        <f t="shared" si="497"/>
        <v>25.4787234</v>
      </c>
      <c r="AT154" s="58">
        <f t="shared" ref="AT154:AU154" si="498">AI154/24</f>
        <v>115.1622</v>
      </c>
      <c r="AU154" s="58">
        <f t="shared" si="498"/>
        <v>99.79166667</v>
      </c>
      <c r="AV154" s="58">
        <f t="shared" ref="AV154:AW154" si="499">AI154/125</f>
        <v>22.1111424</v>
      </c>
      <c r="AW154" s="58">
        <f t="shared" si="499"/>
        <v>19.16</v>
      </c>
      <c r="AX154" s="47"/>
      <c r="AY154" s="47"/>
    </row>
    <row r="155" ht="15.75" customHeight="1">
      <c r="A155" s="42"/>
      <c r="B155" s="42" t="s">
        <v>312</v>
      </c>
      <c r="C155" s="42" t="s">
        <v>335</v>
      </c>
      <c r="D155" s="45">
        <v>1080.0</v>
      </c>
      <c r="E155" s="47"/>
      <c r="F155" s="44">
        <v>125.0</v>
      </c>
      <c r="G155" s="45">
        <v>9.4041E7</v>
      </c>
      <c r="H155" s="46">
        <v>0.18</v>
      </c>
      <c r="I155" s="42">
        <f t="shared" si="4"/>
        <v>194.4</v>
      </c>
      <c r="J155" s="47"/>
      <c r="K155" s="44">
        <v>150.0</v>
      </c>
      <c r="L155" s="48">
        <f t="shared" si="5"/>
        <v>1549.4</v>
      </c>
      <c r="M155" s="42">
        <f t="shared" si="6"/>
        <v>10.8</v>
      </c>
      <c r="N155" s="49">
        <f t="shared" si="7"/>
        <v>123.952</v>
      </c>
      <c r="O155" s="49">
        <f t="shared" si="8"/>
        <v>154.94</v>
      </c>
      <c r="P155" s="49">
        <f t="shared" si="9"/>
        <v>77.47</v>
      </c>
      <c r="Q155" s="49">
        <f t="shared" si="10"/>
        <v>30.988</v>
      </c>
      <c r="R155" s="49">
        <f t="shared" si="48"/>
        <v>11.34</v>
      </c>
      <c r="S155" s="49">
        <f t="shared" si="12"/>
        <v>15.494</v>
      </c>
      <c r="T155" s="50">
        <f t="shared" si="13"/>
        <v>413.644</v>
      </c>
      <c r="U155" s="42">
        <f t="shared" si="14"/>
        <v>22.68</v>
      </c>
      <c r="V155" s="42">
        <f t="shared" si="15"/>
        <v>113.4</v>
      </c>
      <c r="W155" s="42">
        <f t="shared" si="16"/>
        <v>22.68</v>
      </c>
      <c r="X155" s="42">
        <f t="shared" si="17"/>
        <v>181.44</v>
      </c>
      <c r="Y155" s="42">
        <f t="shared" si="18"/>
        <v>340.2</v>
      </c>
      <c r="Z155" s="50">
        <f t="shared" si="19"/>
        <v>2303.244</v>
      </c>
      <c r="AA155" s="51">
        <f t="shared" si="20"/>
        <v>460.6488</v>
      </c>
      <c r="AB155" s="49">
        <f t="shared" si="49"/>
        <v>2763.8928</v>
      </c>
      <c r="AC155" s="42">
        <f t="shared" si="22"/>
        <v>2268</v>
      </c>
      <c r="AD155" s="49">
        <f t="shared" si="23"/>
        <v>495.8928</v>
      </c>
      <c r="AE155" s="49">
        <f t="shared" si="24"/>
        <v>17.94182466</v>
      </c>
      <c r="AF155" s="47">
        <v>1995.0</v>
      </c>
      <c r="AG155" s="52">
        <f t="shared" si="25"/>
        <v>28.75951981</v>
      </c>
      <c r="AH155" s="53">
        <f t="shared" si="26"/>
        <v>400</v>
      </c>
      <c r="AI155" s="53">
        <f t="shared" si="468"/>
        <v>2763.8928</v>
      </c>
      <c r="AJ155" s="54">
        <v>2395.0</v>
      </c>
      <c r="AK155" s="55">
        <f t="shared" si="27"/>
        <v>54.57596489</v>
      </c>
      <c r="AL155" s="55"/>
      <c r="AM155" s="55">
        <f t="shared" si="365"/>
        <v>16.70146138</v>
      </c>
      <c r="AN155" s="55">
        <f t="shared" si="29"/>
        <v>25.81644508</v>
      </c>
      <c r="AO155" s="56">
        <f t="shared" si="30"/>
        <v>1.545759649</v>
      </c>
      <c r="AP155" s="55">
        <f t="shared" si="31"/>
        <v>-3.688928</v>
      </c>
      <c r="AQ155" s="55">
        <f t="shared" si="32"/>
        <v>1.27</v>
      </c>
      <c r="AR155" s="57">
        <f t="shared" ref="AR155:AS155" si="500">AI155/94</f>
        <v>29.40311489</v>
      </c>
      <c r="AS155" s="57">
        <f t="shared" si="500"/>
        <v>25.4787234</v>
      </c>
      <c r="AT155" s="58">
        <f t="shared" ref="AT155:AU155" si="501">AI155/24</f>
        <v>115.1622</v>
      </c>
      <c r="AU155" s="58">
        <f t="shared" si="501"/>
        <v>99.79166667</v>
      </c>
      <c r="AV155" s="58">
        <f t="shared" ref="AV155:AW155" si="502">AI155/125</f>
        <v>22.1111424</v>
      </c>
      <c r="AW155" s="58">
        <f t="shared" si="502"/>
        <v>19.16</v>
      </c>
      <c r="AX155" s="47"/>
      <c r="AY155" s="47"/>
    </row>
    <row r="156" ht="15.75" customHeight="1">
      <c r="A156" s="42"/>
      <c r="B156" s="42" t="s">
        <v>310</v>
      </c>
      <c r="C156" s="42" t="s">
        <v>336</v>
      </c>
      <c r="D156" s="45">
        <v>1080.0</v>
      </c>
      <c r="E156" s="47"/>
      <c r="F156" s="44">
        <v>125.0</v>
      </c>
      <c r="G156" s="45">
        <v>9.4041E7</v>
      </c>
      <c r="H156" s="46">
        <v>0.18</v>
      </c>
      <c r="I156" s="42">
        <f t="shared" si="4"/>
        <v>194.4</v>
      </c>
      <c r="J156" s="47"/>
      <c r="K156" s="44">
        <v>150.0</v>
      </c>
      <c r="L156" s="48">
        <f t="shared" si="5"/>
        <v>1549.4</v>
      </c>
      <c r="M156" s="42">
        <f t="shared" si="6"/>
        <v>10.8</v>
      </c>
      <c r="N156" s="49">
        <f t="shared" si="7"/>
        <v>123.952</v>
      </c>
      <c r="O156" s="49">
        <f t="shared" si="8"/>
        <v>154.94</v>
      </c>
      <c r="P156" s="49">
        <f t="shared" si="9"/>
        <v>77.47</v>
      </c>
      <c r="Q156" s="49">
        <f t="shared" si="10"/>
        <v>30.988</v>
      </c>
      <c r="R156" s="49">
        <f t="shared" si="48"/>
        <v>11.34</v>
      </c>
      <c r="S156" s="49">
        <f t="shared" si="12"/>
        <v>15.494</v>
      </c>
      <c r="T156" s="50">
        <f t="shared" si="13"/>
        <v>413.644</v>
      </c>
      <c r="U156" s="42">
        <f t="shared" si="14"/>
        <v>22.68</v>
      </c>
      <c r="V156" s="42">
        <f t="shared" si="15"/>
        <v>113.4</v>
      </c>
      <c r="W156" s="42">
        <f t="shared" si="16"/>
        <v>22.68</v>
      </c>
      <c r="X156" s="42">
        <f t="shared" si="17"/>
        <v>181.44</v>
      </c>
      <c r="Y156" s="42">
        <f t="shared" si="18"/>
        <v>340.2</v>
      </c>
      <c r="Z156" s="50">
        <f t="shared" si="19"/>
        <v>2303.244</v>
      </c>
      <c r="AA156" s="51">
        <f t="shared" si="20"/>
        <v>460.6488</v>
      </c>
      <c r="AB156" s="49">
        <f t="shared" si="49"/>
        <v>2763.8928</v>
      </c>
      <c r="AC156" s="42">
        <f t="shared" si="22"/>
        <v>2268</v>
      </c>
      <c r="AD156" s="49">
        <f t="shared" si="23"/>
        <v>495.8928</v>
      </c>
      <c r="AE156" s="49">
        <f t="shared" si="24"/>
        <v>17.94182466</v>
      </c>
      <c r="AF156" s="47">
        <v>1995.0</v>
      </c>
      <c r="AG156" s="52">
        <f t="shared" si="25"/>
        <v>28.75951981</v>
      </c>
      <c r="AH156" s="53">
        <f t="shared" si="26"/>
        <v>400</v>
      </c>
      <c r="AI156" s="53">
        <f t="shared" si="468"/>
        <v>2763.8928</v>
      </c>
      <c r="AJ156" s="54">
        <v>2395.0</v>
      </c>
      <c r="AK156" s="55">
        <f t="shared" si="27"/>
        <v>54.57596489</v>
      </c>
      <c r="AL156" s="55"/>
      <c r="AM156" s="55">
        <f t="shared" si="365"/>
        <v>16.70146138</v>
      </c>
      <c r="AN156" s="55">
        <f t="shared" si="29"/>
        <v>25.81644508</v>
      </c>
      <c r="AO156" s="56">
        <f t="shared" si="30"/>
        <v>1.545759649</v>
      </c>
      <c r="AP156" s="55">
        <f t="shared" si="31"/>
        <v>-3.688928</v>
      </c>
      <c r="AQ156" s="55">
        <f t="shared" si="32"/>
        <v>1.27</v>
      </c>
      <c r="AR156" s="57">
        <f t="shared" ref="AR156:AS156" si="503">AI156/94</f>
        <v>29.40311489</v>
      </c>
      <c r="AS156" s="57">
        <f t="shared" si="503"/>
        <v>25.4787234</v>
      </c>
      <c r="AT156" s="58">
        <f t="shared" ref="AT156:AU156" si="504">AI156/24</f>
        <v>115.1622</v>
      </c>
      <c r="AU156" s="58">
        <f t="shared" si="504"/>
        <v>99.79166667</v>
      </c>
      <c r="AV156" s="58">
        <f t="shared" ref="AV156:AW156" si="505">AI156/125</f>
        <v>22.1111424</v>
      </c>
      <c r="AW156" s="58">
        <f t="shared" si="505"/>
        <v>19.16</v>
      </c>
      <c r="AX156" s="47"/>
      <c r="AY156" s="47"/>
    </row>
    <row r="157" ht="15.75" customHeight="1">
      <c r="A157" s="2" t="s">
        <v>337</v>
      </c>
      <c r="B157" s="42" t="s">
        <v>333</v>
      </c>
      <c r="C157" s="42" t="s">
        <v>338</v>
      </c>
      <c r="D157" s="43">
        <v>1480.0</v>
      </c>
      <c r="E157" s="47"/>
      <c r="F157" s="44">
        <v>125.0</v>
      </c>
      <c r="G157" s="45">
        <v>9.4041E7</v>
      </c>
      <c r="H157" s="46">
        <v>0.18</v>
      </c>
      <c r="I157" s="42">
        <f t="shared" si="4"/>
        <v>266.4</v>
      </c>
      <c r="J157" s="47"/>
      <c r="K157" s="44">
        <v>250.0</v>
      </c>
      <c r="L157" s="48">
        <f t="shared" si="5"/>
        <v>2121.4</v>
      </c>
      <c r="M157" s="42">
        <f t="shared" si="6"/>
        <v>14.8</v>
      </c>
      <c r="N157" s="49">
        <f t="shared" si="7"/>
        <v>169.712</v>
      </c>
      <c r="O157" s="49">
        <f t="shared" si="8"/>
        <v>212.14</v>
      </c>
      <c r="P157" s="49">
        <f t="shared" si="9"/>
        <v>106.07</v>
      </c>
      <c r="Q157" s="49">
        <f t="shared" si="10"/>
        <v>42.428</v>
      </c>
      <c r="R157" s="49">
        <f t="shared" si="48"/>
        <v>15.54</v>
      </c>
      <c r="S157" s="49">
        <f t="shared" si="12"/>
        <v>21.214</v>
      </c>
      <c r="T157" s="50">
        <f t="shared" si="13"/>
        <v>566.364</v>
      </c>
      <c r="U157" s="42">
        <f t="shared" si="14"/>
        <v>31.08</v>
      </c>
      <c r="V157" s="42">
        <f t="shared" si="15"/>
        <v>155.4</v>
      </c>
      <c r="W157" s="42">
        <f t="shared" si="16"/>
        <v>31.08</v>
      </c>
      <c r="X157" s="42">
        <f t="shared" si="17"/>
        <v>248.64</v>
      </c>
      <c r="Y157" s="42">
        <f t="shared" si="18"/>
        <v>466.2</v>
      </c>
      <c r="Z157" s="50">
        <f t="shared" si="19"/>
        <v>3153.964</v>
      </c>
      <c r="AA157" s="51">
        <f t="shared" si="20"/>
        <v>630.7928</v>
      </c>
      <c r="AB157" s="49">
        <f t="shared" si="49"/>
        <v>3784.7568</v>
      </c>
      <c r="AC157" s="42">
        <f t="shared" si="22"/>
        <v>3108</v>
      </c>
      <c r="AD157" s="49">
        <f t="shared" si="23"/>
        <v>676.7568</v>
      </c>
      <c r="AE157" s="49">
        <f t="shared" si="24"/>
        <v>17.88111722</v>
      </c>
      <c r="AF157" s="47">
        <v>1995.0</v>
      </c>
      <c r="AG157" s="52">
        <f t="shared" si="25"/>
        <v>-5.958329405</v>
      </c>
      <c r="AH157" s="53">
        <f t="shared" si="26"/>
        <v>1395</v>
      </c>
      <c r="AI157" s="53">
        <f t="shared" si="468"/>
        <v>3784.7568</v>
      </c>
      <c r="AJ157" s="65">
        <v>3390.0</v>
      </c>
      <c r="AK157" s="55">
        <f t="shared" si="27"/>
        <v>59.80013199</v>
      </c>
      <c r="AL157" s="55"/>
      <c r="AM157" s="55">
        <f t="shared" si="365"/>
        <v>41.15044248</v>
      </c>
      <c r="AN157" s="55">
        <f t="shared" si="29"/>
        <v>65.75846139</v>
      </c>
      <c r="AO157" s="56">
        <f t="shared" si="30"/>
        <v>1.59800132</v>
      </c>
      <c r="AP157" s="55">
        <f t="shared" si="31"/>
        <v>-3.947568</v>
      </c>
      <c r="AQ157" s="55">
        <f t="shared" si="32"/>
        <v>2.82</v>
      </c>
      <c r="AR157" s="57">
        <f t="shared" ref="AR157:AS157" si="506">AI157/94</f>
        <v>40.26337021</v>
      </c>
      <c r="AS157" s="57">
        <f t="shared" si="506"/>
        <v>36.06382979</v>
      </c>
      <c r="AT157" s="58">
        <f t="shared" ref="AT157:AU157" si="507">AI157/24</f>
        <v>157.6982</v>
      </c>
      <c r="AU157" s="58">
        <f t="shared" si="507"/>
        <v>141.25</v>
      </c>
      <c r="AV157" s="58">
        <f t="shared" ref="AV157:AW157" si="508">AI157/125</f>
        <v>30.2780544</v>
      </c>
      <c r="AW157" s="58">
        <f t="shared" si="508"/>
        <v>27.12</v>
      </c>
      <c r="AX157" s="47"/>
      <c r="AY157" s="47"/>
    </row>
    <row r="158" ht="15.75" customHeight="1">
      <c r="A158" s="42"/>
      <c r="B158" s="42" t="s">
        <v>312</v>
      </c>
      <c r="C158" s="42" t="s">
        <v>339</v>
      </c>
      <c r="D158" s="43">
        <v>1480.0</v>
      </c>
      <c r="E158" s="47"/>
      <c r="F158" s="44">
        <v>125.0</v>
      </c>
      <c r="G158" s="45">
        <v>9.4041E7</v>
      </c>
      <c r="H158" s="46">
        <v>0.18</v>
      </c>
      <c r="I158" s="42">
        <f t="shared" si="4"/>
        <v>266.4</v>
      </c>
      <c r="J158" s="47"/>
      <c r="K158" s="44">
        <v>250.0</v>
      </c>
      <c r="L158" s="48">
        <f t="shared" si="5"/>
        <v>2121.4</v>
      </c>
      <c r="M158" s="42">
        <f t="shared" si="6"/>
        <v>14.8</v>
      </c>
      <c r="N158" s="49">
        <f t="shared" si="7"/>
        <v>169.712</v>
      </c>
      <c r="O158" s="49">
        <f t="shared" si="8"/>
        <v>212.14</v>
      </c>
      <c r="P158" s="49">
        <f t="shared" si="9"/>
        <v>106.07</v>
      </c>
      <c r="Q158" s="49">
        <f t="shared" si="10"/>
        <v>42.428</v>
      </c>
      <c r="R158" s="49">
        <f t="shared" si="48"/>
        <v>15.54</v>
      </c>
      <c r="S158" s="49">
        <f t="shared" si="12"/>
        <v>21.214</v>
      </c>
      <c r="T158" s="50">
        <f t="shared" si="13"/>
        <v>566.364</v>
      </c>
      <c r="U158" s="42">
        <f t="shared" si="14"/>
        <v>31.08</v>
      </c>
      <c r="V158" s="42">
        <f t="shared" si="15"/>
        <v>155.4</v>
      </c>
      <c r="W158" s="42">
        <f t="shared" si="16"/>
        <v>31.08</v>
      </c>
      <c r="X158" s="42">
        <f t="shared" si="17"/>
        <v>248.64</v>
      </c>
      <c r="Y158" s="42">
        <f t="shared" si="18"/>
        <v>466.2</v>
      </c>
      <c r="Z158" s="50">
        <f t="shared" si="19"/>
        <v>3153.964</v>
      </c>
      <c r="AA158" s="51">
        <f t="shared" si="20"/>
        <v>630.7928</v>
      </c>
      <c r="AB158" s="49">
        <f t="shared" si="49"/>
        <v>3784.7568</v>
      </c>
      <c r="AC158" s="42">
        <f t="shared" si="22"/>
        <v>3108</v>
      </c>
      <c r="AD158" s="49">
        <f t="shared" si="23"/>
        <v>676.7568</v>
      </c>
      <c r="AE158" s="49">
        <f t="shared" si="24"/>
        <v>17.88111722</v>
      </c>
      <c r="AF158" s="47">
        <v>1995.0</v>
      </c>
      <c r="AG158" s="52">
        <f t="shared" si="25"/>
        <v>-5.958329405</v>
      </c>
      <c r="AH158" s="53">
        <f t="shared" si="26"/>
        <v>1395</v>
      </c>
      <c r="AI158" s="53">
        <f t="shared" si="468"/>
        <v>3784.7568</v>
      </c>
      <c r="AJ158" s="65">
        <v>3390.0</v>
      </c>
      <c r="AK158" s="55">
        <f t="shared" si="27"/>
        <v>59.80013199</v>
      </c>
      <c r="AL158" s="55"/>
      <c r="AM158" s="55">
        <f t="shared" si="365"/>
        <v>41.15044248</v>
      </c>
      <c r="AN158" s="55">
        <f t="shared" si="29"/>
        <v>65.75846139</v>
      </c>
      <c r="AO158" s="56">
        <f t="shared" si="30"/>
        <v>1.59800132</v>
      </c>
      <c r="AP158" s="55">
        <f t="shared" si="31"/>
        <v>-3.947568</v>
      </c>
      <c r="AQ158" s="55">
        <f t="shared" si="32"/>
        <v>2.82</v>
      </c>
      <c r="AR158" s="57">
        <f t="shared" ref="AR158:AS158" si="509">AI158/94</f>
        <v>40.26337021</v>
      </c>
      <c r="AS158" s="57">
        <f t="shared" si="509"/>
        <v>36.06382979</v>
      </c>
      <c r="AT158" s="58">
        <f t="shared" ref="AT158:AU158" si="510">AI158/24</f>
        <v>157.6982</v>
      </c>
      <c r="AU158" s="58">
        <f t="shared" si="510"/>
        <v>141.25</v>
      </c>
      <c r="AV158" s="58">
        <f t="shared" ref="AV158:AW158" si="511">AI158/125</f>
        <v>30.2780544</v>
      </c>
      <c r="AW158" s="58">
        <f t="shared" si="511"/>
        <v>27.12</v>
      </c>
      <c r="AX158" s="47"/>
      <c r="AY158" s="47"/>
    </row>
    <row r="159" ht="15.75" customHeight="1">
      <c r="A159" s="42"/>
      <c r="B159" s="42" t="s">
        <v>310</v>
      </c>
      <c r="C159" s="42" t="s">
        <v>340</v>
      </c>
      <c r="D159" s="43">
        <v>1480.0</v>
      </c>
      <c r="E159" s="47"/>
      <c r="F159" s="44">
        <v>125.0</v>
      </c>
      <c r="G159" s="45">
        <v>9.4041E7</v>
      </c>
      <c r="H159" s="46">
        <v>0.18</v>
      </c>
      <c r="I159" s="42">
        <f t="shared" si="4"/>
        <v>266.4</v>
      </c>
      <c r="J159" s="47"/>
      <c r="K159" s="44">
        <v>250.0</v>
      </c>
      <c r="L159" s="48">
        <f t="shared" si="5"/>
        <v>2121.4</v>
      </c>
      <c r="M159" s="42">
        <f t="shared" si="6"/>
        <v>14.8</v>
      </c>
      <c r="N159" s="49">
        <f t="shared" si="7"/>
        <v>169.712</v>
      </c>
      <c r="O159" s="49">
        <f t="shared" si="8"/>
        <v>212.14</v>
      </c>
      <c r="P159" s="49">
        <f t="shared" si="9"/>
        <v>106.07</v>
      </c>
      <c r="Q159" s="49">
        <f t="shared" si="10"/>
        <v>42.428</v>
      </c>
      <c r="R159" s="49">
        <f t="shared" si="48"/>
        <v>15.54</v>
      </c>
      <c r="S159" s="49">
        <f t="shared" si="12"/>
        <v>21.214</v>
      </c>
      <c r="T159" s="50">
        <f t="shared" si="13"/>
        <v>566.364</v>
      </c>
      <c r="U159" s="42">
        <f t="shared" si="14"/>
        <v>31.08</v>
      </c>
      <c r="V159" s="42">
        <f t="shared" si="15"/>
        <v>155.4</v>
      </c>
      <c r="W159" s="42">
        <f t="shared" si="16"/>
        <v>31.08</v>
      </c>
      <c r="X159" s="42">
        <f t="shared" si="17"/>
        <v>248.64</v>
      </c>
      <c r="Y159" s="42">
        <f t="shared" si="18"/>
        <v>466.2</v>
      </c>
      <c r="Z159" s="50">
        <f t="shared" si="19"/>
        <v>3153.964</v>
      </c>
      <c r="AA159" s="51">
        <f t="shared" si="20"/>
        <v>630.7928</v>
      </c>
      <c r="AB159" s="49">
        <f t="shared" si="49"/>
        <v>3784.7568</v>
      </c>
      <c r="AC159" s="42">
        <f t="shared" si="22"/>
        <v>3108</v>
      </c>
      <c r="AD159" s="49">
        <f t="shared" si="23"/>
        <v>676.7568</v>
      </c>
      <c r="AE159" s="49">
        <f t="shared" si="24"/>
        <v>17.88111722</v>
      </c>
      <c r="AF159" s="47">
        <v>1995.0</v>
      </c>
      <c r="AG159" s="52">
        <f t="shared" si="25"/>
        <v>-5.958329405</v>
      </c>
      <c r="AH159" s="53">
        <f t="shared" si="26"/>
        <v>1395</v>
      </c>
      <c r="AI159" s="53">
        <f t="shared" si="468"/>
        <v>3784.7568</v>
      </c>
      <c r="AJ159" s="65">
        <v>3390.0</v>
      </c>
      <c r="AK159" s="55">
        <f t="shared" si="27"/>
        <v>59.80013199</v>
      </c>
      <c r="AL159" s="55"/>
      <c r="AM159" s="55">
        <f t="shared" si="365"/>
        <v>41.15044248</v>
      </c>
      <c r="AN159" s="55">
        <f t="shared" si="29"/>
        <v>65.75846139</v>
      </c>
      <c r="AO159" s="56">
        <f t="shared" si="30"/>
        <v>1.59800132</v>
      </c>
      <c r="AP159" s="55">
        <f t="shared" si="31"/>
        <v>-3.947568</v>
      </c>
      <c r="AQ159" s="55">
        <f t="shared" si="32"/>
        <v>2.82</v>
      </c>
      <c r="AR159" s="57">
        <f t="shared" ref="AR159:AS159" si="512">AI159/94</f>
        <v>40.26337021</v>
      </c>
      <c r="AS159" s="57">
        <f t="shared" si="512"/>
        <v>36.06382979</v>
      </c>
      <c r="AT159" s="58">
        <f t="shared" ref="AT159:AU159" si="513">AI159/24</f>
        <v>157.6982</v>
      </c>
      <c r="AU159" s="58">
        <f t="shared" si="513"/>
        <v>141.25</v>
      </c>
      <c r="AV159" s="58">
        <f t="shared" ref="AV159:AW159" si="514">AI159/125</f>
        <v>30.2780544</v>
      </c>
      <c r="AW159" s="58">
        <f t="shared" si="514"/>
        <v>27.12</v>
      </c>
      <c r="AX159" s="47"/>
      <c r="AY159" s="47"/>
    </row>
    <row r="160" ht="15.75" customHeight="1">
      <c r="A160" s="42"/>
      <c r="B160" s="42" t="s">
        <v>283</v>
      </c>
      <c r="C160" s="42" t="s">
        <v>341</v>
      </c>
      <c r="D160" s="43">
        <v>1480.0</v>
      </c>
      <c r="E160" s="47"/>
      <c r="F160" s="44">
        <v>125.0</v>
      </c>
      <c r="G160" s="45">
        <v>9.4041E7</v>
      </c>
      <c r="H160" s="46">
        <v>0.18</v>
      </c>
      <c r="I160" s="42">
        <f t="shared" si="4"/>
        <v>266.4</v>
      </c>
      <c r="J160" s="47"/>
      <c r="K160" s="44">
        <v>250.0</v>
      </c>
      <c r="L160" s="48">
        <f t="shared" si="5"/>
        <v>2121.4</v>
      </c>
      <c r="M160" s="42">
        <f t="shared" si="6"/>
        <v>14.8</v>
      </c>
      <c r="N160" s="49">
        <f t="shared" si="7"/>
        <v>169.712</v>
      </c>
      <c r="O160" s="49">
        <f t="shared" si="8"/>
        <v>212.14</v>
      </c>
      <c r="P160" s="49">
        <f t="shared" si="9"/>
        <v>106.07</v>
      </c>
      <c r="Q160" s="49">
        <f t="shared" si="10"/>
        <v>42.428</v>
      </c>
      <c r="R160" s="49">
        <f t="shared" si="48"/>
        <v>15.54</v>
      </c>
      <c r="S160" s="49">
        <f t="shared" si="12"/>
        <v>21.214</v>
      </c>
      <c r="T160" s="50">
        <f t="shared" si="13"/>
        <v>566.364</v>
      </c>
      <c r="U160" s="42">
        <f t="shared" si="14"/>
        <v>31.08</v>
      </c>
      <c r="V160" s="42">
        <f t="shared" si="15"/>
        <v>155.4</v>
      </c>
      <c r="W160" s="42">
        <f t="shared" si="16"/>
        <v>31.08</v>
      </c>
      <c r="X160" s="42">
        <f t="shared" si="17"/>
        <v>248.64</v>
      </c>
      <c r="Y160" s="42">
        <f t="shared" si="18"/>
        <v>466.2</v>
      </c>
      <c r="Z160" s="50">
        <f t="shared" si="19"/>
        <v>3153.964</v>
      </c>
      <c r="AA160" s="51">
        <f t="shared" si="20"/>
        <v>630.7928</v>
      </c>
      <c r="AB160" s="49">
        <f t="shared" si="49"/>
        <v>3784.7568</v>
      </c>
      <c r="AC160" s="42">
        <f t="shared" si="22"/>
        <v>3108</v>
      </c>
      <c r="AD160" s="49">
        <f t="shared" si="23"/>
        <v>676.7568</v>
      </c>
      <c r="AE160" s="49">
        <f t="shared" si="24"/>
        <v>17.88111722</v>
      </c>
      <c r="AF160" s="47">
        <v>1995.0</v>
      </c>
      <c r="AG160" s="52">
        <f t="shared" si="25"/>
        <v>-5.958329405</v>
      </c>
      <c r="AH160" s="53">
        <f t="shared" si="26"/>
        <v>1395</v>
      </c>
      <c r="AI160" s="53">
        <f t="shared" si="468"/>
        <v>3784.7568</v>
      </c>
      <c r="AJ160" s="65">
        <v>3390.0</v>
      </c>
      <c r="AK160" s="55">
        <f t="shared" si="27"/>
        <v>59.80013199</v>
      </c>
      <c r="AL160" s="55"/>
      <c r="AM160" s="55">
        <f t="shared" si="365"/>
        <v>41.15044248</v>
      </c>
      <c r="AN160" s="55">
        <f t="shared" si="29"/>
        <v>65.75846139</v>
      </c>
      <c r="AO160" s="56">
        <f t="shared" si="30"/>
        <v>1.59800132</v>
      </c>
      <c r="AP160" s="55">
        <f t="shared" si="31"/>
        <v>-3.947568</v>
      </c>
      <c r="AQ160" s="55">
        <f t="shared" si="32"/>
        <v>2.82</v>
      </c>
      <c r="AR160" s="57">
        <f t="shared" ref="AR160:AS160" si="515">AI160/94</f>
        <v>40.26337021</v>
      </c>
      <c r="AS160" s="57">
        <f t="shared" si="515"/>
        <v>36.06382979</v>
      </c>
      <c r="AT160" s="58">
        <f t="shared" ref="AT160:AU160" si="516">AI160/24</f>
        <v>157.6982</v>
      </c>
      <c r="AU160" s="58">
        <f t="shared" si="516"/>
        <v>141.25</v>
      </c>
      <c r="AV160" s="58">
        <f t="shared" ref="AV160:AW160" si="517">AI160/125</f>
        <v>30.2780544</v>
      </c>
      <c r="AW160" s="58">
        <f t="shared" si="517"/>
        <v>27.12</v>
      </c>
      <c r="AX160" s="47"/>
      <c r="AY160" s="47"/>
    </row>
    <row r="161" ht="15.0" customHeight="1">
      <c r="B161" s="2" t="s">
        <v>312</v>
      </c>
      <c r="C161" s="2" t="s">
        <v>342</v>
      </c>
      <c r="D161" s="43">
        <v>1545.0</v>
      </c>
      <c r="F161" s="1">
        <v>125.0</v>
      </c>
      <c r="G161" s="10">
        <v>9.4041E7</v>
      </c>
      <c r="H161" s="59">
        <v>0.18</v>
      </c>
      <c r="I161" s="2">
        <f t="shared" si="4"/>
        <v>278.1</v>
      </c>
      <c r="J161" s="2">
        <f t="shared" ref="J161:J178" si="521">D161*5%</f>
        <v>77.25</v>
      </c>
      <c r="K161" s="44">
        <v>250.0</v>
      </c>
      <c r="L161" s="4">
        <f t="shared" si="5"/>
        <v>2275.35</v>
      </c>
      <c r="M161" s="2">
        <f t="shared" si="6"/>
        <v>15.45</v>
      </c>
      <c r="N161" s="12">
        <f t="shared" si="7"/>
        <v>182.028</v>
      </c>
      <c r="O161" s="12">
        <f t="shared" si="8"/>
        <v>227.535</v>
      </c>
      <c r="P161" s="12">
        <f t="shared" si="9"/>
        <v>113.7675</v>
      </c>
      <c r="Q161" s="12">
        <f t="shared" si="10"/>
        <v>45.507</v>
      </c>
      <c r="R161" s="12">
        <f t="shared" si="48"/>
        <v>16.2225</v>
      </c>
      <c r="S161" s="12">
        <f t="shared" si="12"/>
        <v>22.7535</v>
      </c>
      <c r="T161" s="60">
        <f t="shared" si="13"/>
        <v>607.041</v>
      </c>
      <c r="U161" s="2">
        <f t="shared" si="14"/>
        <v>32.445</v>
      </c>
      <c r="V161" s="42">
        <f t="shared" si="15"/>
        <v>162.225</v>
      </c>
      <c r="W161" s="2">
        <f t="shared" si="16"/>
        <v>32.445</v>
      </c>
      <c r="X161" s="2">
        <f t="shared" si="17"/>
        <v>259.56</v>
      </c>
      <c r="Y161" s="2">
        <f t="shared" si="18"/>
        <v>486.675</v>
      </c>
      <c r="Z161" s="60">
        <f t="shared" si="19"/>
        <v>3369.066</v>
      </c>
      <c r="AA161" s="11">
        <f t="shared" si="20"/>
        <v>673.8132</v>
      </c>
      <c r="AB161" s="12">
        <f t="shared" si="49"/>
        <v>4042.8792</v>
      </c>
      <c r="AC161" s="2">
        <f t="shared" si="22"/>
        <v>3244.5</v>
      </c>
      <c r="AD161" s="12">
        <f t="shared" si="23"/>
        <v>798.3792</v>
      </c>
      <c r="AE161" s="12">
        <f t="shared" si="24"/>
        <v>19.74778767</v>
      </c>
      <c r="AF161" s="61">
        <v>2995.0</v>
      </c>
      <c r="AG161" s="62">
        <f t="shared" si="25"/>
        <v>31.62810117</v>
      </c>
      <c r="AH161" s="63">
        <f t="shared" si="26"/>
        <v>595</v>
      </c>
      <c r="AI161" s="64">
        <f t="shared" si="468"/>
        <v>4042.8792</v>
      </c>
      <c r="AJ161" s="65">
        <v>3590.0</v>
      </c>
      <c r="AK161" s="66">
        <f t="shared" si="27"/>
        <v>57.77792428</v>
      </c>
      <c r="AL161" s="66"/>
      <c r="AM161" s="14">
        <f t="shared" si="365"/>
        <v>16.57381616</v>
      </c>
      <c r="AN161" s="67">
        <f t="shared" si="29"/>
        <v>26.1498231</v>
      </c>
      <c r="AO161" s="68">
        <f t="shared" si="30"/>
        <v>1.577779243</v>
      </c>
      <c r="AP161" s="69">
        <f t="shared" si="31"/>
        <v>-4.528792</v>
      </c>
      <c r="AQ161" s="70">
        <f t="shared" si="32"/>
        <v>3.455</v>
      </c>
      <c r="AR161" s="71">
        <f t="shared" ref="AR161:AS161" si="518">AI161/94</f>
        <v>43.00935319</v>
      </c>
      <c r="AS161" s="71">
        <f t="shared" si="518"/>
        <v>38.19148936</v>
      </c>
      <c r="AT161" s="72">
        <f t="shared" ref="AT161:AU161" si="519">AI161/24</f>
        <v>168.4533</v>
      </c>
      <c r="AU161" s="72">
        <f t="shared" si="519"/>
        <v>149.5833333</v>
      </c>
      <c r="AV161" s="73">
        <f t="shared" ref="AV161:AW161" si="520">AI161/125</f>
        <v>32.3430336</v>
      </c>
      <c r="AW161" s="73">
        <f t="shared" si="520"/>
        <v>28.72</v>
      </c>
    </row>
    <row r="162" ht="15.75" customHeight="1">
      <c r="A162" s="2"/>
      <c r="B162" s="2" t="s">
        <v>333</v>
      </c>
      <c r="C162" s="2" t="s">
        <v>343</v>
      </c>
      <c r="D162" s="43">
        <v>1545.0</v>
      </c>
      <c r="F162" s="1">
        <v>125.0</v>
      </c>
      <c r="G162" s="10">
        <v>9.4041E7</v>
      </c>
      <c r="H162" s="59">
        <v>0.18</v>
      </c>
      <c r="I162" s="2">
        <f t="shared" si="4"/>
        <v>278.1</v>
      </c>
      <c r="J162" s="2">
        <f t="shared" si="521"/>
        <v>77.25</v>
      </c>
      <c r="K162" s="1">
        <v>250.0</v>
      </c>
      <c r="L162" s="4">
        <f t="shared" si="5"/>
        <v>2275.35</v>
      </c>
      <c r="M162" s="2">
        <f t="shared" si="6"/>
        <v>15.45</v>
      </c>
      <c r="N162" s="12">
        <f t="shared" si="7"/>
        <v>182.028</v>
      </c>
      <c r="O162" s="12">
        <f t="shared" si="8"/>
        <v>227.535</v>
      </c>
      <c r="P162" s="12">
        <f t="shared" si="9"/>
        <v>113.7675</v>
      </c>
      <c r="Q162" s="12">
        <f t="shared" si="10"/>
        <v>45.507</v>
      </c>
      <c r="R162" s="12">
        <f t="shared" si="48"/>
        <v>16.2225</v>
      </c>
      <c r="S162" s="12">
        <f t="shared" si="12"/>
        <v>22.7535</v>
      </c>
      <c r="T162" s="60">
        <f t="shared" si="13"/>
        <v>607.041</v>
      </c>
      <c r="U162" s="2">
        <f t="shared" si="14"/>
        <v>32.445</v>
      </c>
      <c r="V162" s="42">
        <f t="shared" si="15"/>
        <v>162.225</v>
      </c>
      <c r="W162" s="2">
        <f t="shared" si="16"/>
        <v>32.445</v>
      </c>
      <c r="X162" s="2">
        <f t="shared" si="17"/>
        <v>259.56</v>
      </c>
      <c r="Y162" s="2">
        <f t="shared" si="18"/>
        <v>486.675</v>
      </c>
      <c r="Z162" s="60">
        <f t="shared" si="19"/>
        <v>3369.066</v>
      </c>
      <c r="AA162" s="11">
        <f t="shared" si="20"/>
        <v>673.8132</v>
      </c>
      <c r="AB162" s="12">
        <f t="shared" si="49"/>
        <v>4042.8792</v>
      </c>
      <c r="AC162" s="2">
        <f t="shared" si="22"/>
        <v>3244.5</v>
      </c>
      <c r="AD162" s="12">
        <f t="shared" si="23"/>
        <v>798.3792</v>
      </c>
      <c r="AE162" s="12">
        <f t="shared" si="24"/>
        <v>19.74778767</v>
      </c>
      <c r="AF162" s="61">
        <v>2995.0</v>
      </c>
      <c r="AG162" s="62">
        <f t="shared" si="25"/>
        <v>31.62810117</v>
      </c>
      <c r="AH162" s="63">
        <f t="shared" si="26"/>
        <v>595</v>
      </c>
      <c r="AI162" s="64">
        <f t="shared" si="468"/>
        <v>4042.8792</v>
      </c>
      <c r="AJ162" s="65">
        <v>3590.0</v>
      </c>
      <c r="AK162" s="66">
        <f t="shared" si="27"/>
        <v>57.77792428</v>
      </c>
      <c r="AL162" s="66"/>
      <c r="AM162" s="14">
        <f t="shared" si="365"/>
        <v>16.57381616</v>
      </c>
      <c r="AN162" s="67">
        <f t="shared" si="29"/>
        <v>26.1498231</v>
      </c>
      <c r="AO162" s="68">
        <f t="shared" si="30"/>
        <v>1.577779243</v>
      </c>
      <c r="AP162" s="69">
        <f t="shared" si="31"/>
        <v>-4.528792</v>
      </c>
      <c r="AQ162" s="70">
        <f t="shared" si="32"/>
        <v>3.455</v>
      </c>
      <c r="AR162" s="71">
        <f t="shared" ref="AR162:AS162" si="522">AI162/94</f>
        <v>43.00935319</v>
      </c>
      <c r="AS162" s="71">
        <f t="shared" si="522"/>
        <v>38.19148936</v>
      </c>
      <c r="AT162" s="72">
        <f t="shared" ref="AT162:AU162" si="523">AI162/24</f>
        <v>168.4533</v>
      </c>
      <c r="AU162" s="72">
        <f t="shared" si="523"/>
        <v>149.5833333</v>
      </c>
      <c r="AV162" s="73">
        <f t="shared" ref="AV162:AW162" si="524">AI162/125</f>
        <v>32.3430336</v>
      </c>
      <c r="AW162" s="73">
        <f t="shared" si="524"/>
        <v>28.72</v>
      </c>
    </row>
    <row r="163" ht="15.75" customHeight="1">
      <c r="A163" s="2"/>
      <c r="B163" s="2" t="s">
        <v>310</v>
      </c>
      <c r="C163" s="2" t="s">
        <v>344</v>
      </c>
      <c r="D163" s="43">
        <v>1545.0</v>
      </c>
      <c r="F163" s="1">
        <v>125.0</v>
      </c>
      <c r="G163" s="10">
        <v>9.4041E7</v>
      </c>
      <c r="H163" s="59">
        <v>0.18</v>
      </c>
      <c r="I163" s="2">
        <f t="shared" si="4"/>
        <v>278.1</v>
      </c>
      <c r="J163" s="2">
        <f t="shared" si="521"/>
        <v>77.25</v>
      </c>
      <c r="K163" s="1">
        <v>250.0</v>
      </c>
      <c r="L163" s="4">
        <f t="shared" si="5"/>
        <v>2275.35</v>
      </c>
      <c r="M163" s="2">
        <f t="shared" si="6"/>
        <v>15.45</v>
      </c>
      <c r="N163" s="12">
        <f t="shared" si="7"/>
        <v>182.028</v>
      </c>
      <c r="O163" s="12">
        <f t="shared" si="8"/>
        <v>227.535</v>
      </c>
      <c r="P163" s="12">
        <f t="shared" si="9"/>
        <v>113.7675</v>
      </c>
      <c r="Q163" s="12">
        <f t="shared" si="10"/>
        <v>45.507</v>
      </c>
      <c r="R163" s="12">
        <f t="shared" si="48"/>
        <v>16.2225</v>
      </c>
      <c r="S163" s="12">
        <f t="shared" si="12"/>
        <v>22.7535</v>
      </c>
      <c r="T163" s="60">
        <f t="shared" si="13"/>
        <v>607.041</v>
      </c>
      <c r="U163" s="2">
        <f t="shared" si="14"/>
        <v>32.445</v>
      </c>
      <c r="V163" s="42">
        <f t="shared" si="15"/>
        <v>162.225</v>
      </c>
      <c r="W163" s="2">
        <f t="shared" si="16"/>
        <v>32.445</v>
      </c>
      <c r="X163" s="2">
        <f t="shared" si="17"/>
        <v>259.56</v>
      </c>
      <c r="Y163" s="2">
        <f t="shared" si="18"/>
        <v>486.675</v>
      </c>
      <c r="Z163" s="60">
        <f t="shared" si="19"/>
        <v>3369.066</v>
      </c>
      <c r="AA163" s="11">
        <f t="shared" si="20"/>
        <v>673.8132</v>
      </c>
      <c r="AB163" s="12">
        <f t="shared" si="49"/>
        <v>4042.8792</v>
      </c>
      <c r="AC163" s="2">
        <f t="shared" si="22"/>
        <v>3244.5</v>
      </c>
      <c r="AD163" s="12">
        <f t="shared" si="23"/>
        <v>798.3792</v>
      </c>
      <c r="AE163" s="12">
        <f t="shared" si="24"/>
        <v>19.74778767</v>
      </c>
      <c r="AF163" s="61">
        <v>2995.0</v>
      </c>
      <c r="AG163" s="62">
        <f t="shared" si="25"/>
        <v>31.62810117</v>
      </c>
      <c r="AH163" s="63">
        <f t="shared" si="26"/>
        <v>595</v>
      </c>
      <c r="AI163" s="64">
        <f t="shared" si="468"/>
        <v>4042.8792</v>
      </c>
      <c r="AJ163" s="65">
        <v>3590.0</v>
      </c>
      <c r="AK163" s="66">
        <f t="shared" si="27"/>
        <v>57.77792428</v>
      </c>
      <c r="AL163" s="66"/>
      <c r="AM163" s="14">
        <f t="shared" si="365"/>
        <v>16.57381616</v>
      </c>
      <c r="AN163" s="67">
        <f t="shared" si="29"/>
        <v>26.1498231</v>
      </c>
      <c r="AO163" s="68">
        <f t="shared" si="30"/>
        <v>1.577779243</v>
      </c>
      <c r="AP163" s="69">
        <f t="shared" si="31"/>
        <v>-4.528792</v>
      </c>
      <c r="AQ163" s="70">
        <f t="shared" si="32"/>
        <v>3.455</v>
      </c>
      <c r="AR163" s="71">
        <f t="shared" ref="AR163:AS163" si="525">AI163/94</f>
        <v>43.00935319</v>
      </c>
      <c r="AS163" s="71">
        <f t="shared" si="525"/>
        <v>38.19148936</v>
      </c>
      <c r="AT163" s="72">
        <f t="shared" ref="AT163:AU163" si="526">AI163/24</f>
        <v>168.4533</v>
      </c>
      <c r="AU163" s="72">
        <f t="shared" si="526"/>
        <v>149.5833333</v>
      </c>
      <c r="AV163" s="73">
        <f t="shared" ref="AV163:AW163" si="527">AI163/125</f>
        <v>32.3430336</v>
      </c>
      <c r="AW163" s="73">
        <f t="shared" si="527"/>
        <v>28.72</v>
      </c>
    </row>
    <row r="164" ht="15.0" customHeight="1">
      <c r="A164" s="2" t="s">
        <v>345</v>
      </c>
      <c r="B164" s="2" t="s">
        <v>285</v>
      </c>
      <c r="C164" s="2" t="s">
        <v>346</v>
      </c>
      <c r="D164" s="10">
        <v>524.0</v>
      </c>
      <c r="F164" s="1">
        <v>125.0</v>
      </c>
      <c r="G164" s="10">
        <v>9.4041E7</v>
      </c>
      <c r="H164" s="59">
        <v>0.18</v>
      </c>
      <c r="I164" s="2">
        <f t="shared" si="4"/>
        <v>94.32</v>
      </c>
      <c r="J164" s="2">
        <f t="shared" si="521"/>
        <v>26.2</v>
      </c>
      <c r="K164" s="1">
        <v>100.0</v>
      </c>
      <c r="L164" s="4">
        <f t="shared" si="5"/>
        <v>869.52</v>
      </c>
      <c r="M164" s="2">
        <f t="shared" si="6"/>
        <v>5.24</v>
      </c>
      <c r="N164" s="12">
        <f t="shared" si="7"/>
        <v>69.5616</v>
      </c>
      <c r="O164" s="12">
        <f t="shared" si="8"/>
        <v>86.952</v>
      </c>
      <c r="P164" s="12">
        <f t="shared" si="9"/>
        <v>43.476</v>
      </c>
      <c r="Q164" s="12">
        <f t="shared" si="10"/>
        <v>17.3904</v>
      </c>
      <c r="R164" s="12">
        <f t="shared" si="48"/>
        <v>5.502</v>
      </c>
      <c r="S164" s="12">
        <f t="shared" si="12"/>
        <v>8.6952</v>
      </c>
      <c r="T164" s="60">
        <f t="shared" si="13"/>
        <v>231.3152</v>
      </c>
      <c r="U164" s="2">
        <f t="shared" si="14"/>
        <v>11.004</v>
      </c>
      <c r="V164" s="42">
        <f t="shared" si="15"/>
        <v>55.02</v>
      </c>
      <c r="W164" s="2">
        <f t="shared" si="16"/>
        <v>11.004</v>
      </c>
      <c r="X164" s="2">
        <f t="shared" si="17"/>
        <v>88.032</v>
      </c>
      <c r="Y164" s="2">
        <f t="shared" si="18"/>
        <v>165.06</v>
      </c>
      <c r="Z164" s="60">
        <f t="shared" si="19"/>
        <v>1265.8952</v>
      </c>
      <c r="AA164" s="11">
        <f t="shared" si="20"/>
        <v>253.17904</v>
      </c>
      <c r="AB164" s="12">
        <f t="shared" si="49"/>
        <v>1519.07424</v>
      </c>
      <c r="AC164" s="2">
        <f t="shared" si="22"/>
        <v>1100.4</v>
      </c>
      <c r="AD164" s="12">
        <f t="shared" si="23"/>
        <v>418.67424</v>
      </c>
      <c r="AE164" s="12">
        <f t="shared" si="24"/>
        <v>27.56114408</v>
      </c>
      <c r="AF164" s="61">
        <v>1385.0</v>
      </c>
      <c r="AG164" s="62">
        <f t="shared" si="25"/>
        <v>59.28328273</v>
      </c>
      <c r="AH164" s="63">
        <f t="shared" si="26"/>
        <v>205</v>
      </c>
      <c r="AI164" s="64">
        <f t="shared" si="468"/>
        <v>1519.07424</v>
      </c>
      <c r="AJ164" s="65">
        <v>1590.0</v>
      </c>
      <c r="AK164" s="66">
        <f t="shared" si="27"/>
        <v>82.85950869</v>
      </c>
      <c r="AL164" s="66"/>
      <c r="AM164" s="14">
        <f t="shared" si="365"/>
        <v>12.89308176</v>
      </c>
      <c r="AN164" s="67">
        <f t="shared" si="29"/>
        <v>23.57622596</v>
      </c>
      <c r="AO164" s="68">
        <f t="shared" si="30"/>
        <v>1.828595087</v>
      </c>
      <c r="AP164" s="69">
        <f t="shared" si="31"/>
        <v>0.7092576</v>
      </c>
      <c r="AQ164" s="70">
        <f t="shared" si="32"/>
        <v>4.896</v>
      </c>
      <c r="AR164" s="71">
        <f t="shared" ref="AR164:AS164" si="528">AI164/94</f>
        <v>16.16036426</v>
      </c>
      <c r="AS164" s="71">
        <f t="shared" si="528"/>
        <v>16.91489362</v>
      </c>
      <c r="AT164" s="72">
        <f t="shared" ref="AT164:AU164" si="529">AI164/24</f>
        <v>63.29476</v>
      </c>
      <c r="AU164" s="72">
        <f t="shared" si="529"/>
        <v>66.25</v>
      </c>
      <c r="AV164" s="73">
        <f t="shared" ref="AV164:AW164" si="530">AI164/125</f>
        <v>12.15259392</v>
      </c>
      <c r="AW164" s="73">
        <f t="shared" si="530"/>
        <v>12.72</v>
      </c>
    </row>
    <row r="165" ht="15.75" customHeight="1">
      <c r="A165" s="2"/>
      <c r="B165" s="2" t="s">
        <v>333</v>
      </c>
      <c r="C165" s="2" t="s">
        <v>347</v>
      </c>
      <c r="D165" s="10">
        <v>524.0</v>
      </c>
      <c r="F165" s="1">
        <v>125.0</v>
      </c>
      <c r="G165" s="10">
        <v>9.4041E7</v>
      </c>
      <c r="H165" s="59">
        <v>0.18</v>
      </c>
      <c r="I165" s="2">
        <f t="shared" si="4"/>
        <v>94.32</v>
      </c>
      <c r="J165" s="2">
        <f t="shared" si="521"/>
        <v>26.2</v>
      </c>
      <c r="K165" s="1">
        <v>100.0</v>
      </c>
      <c r="L165" s="4">
        <f t="shared" si="5"/>
        <v>869.52</v>
      </c>
      <c r="M165" s="2">
        <f t="shared" si="6"/>
        <v>5.24</v>
      </c>
      <c r="N165" s="12">
        <f t="shared" si="7"/>
        <v>69.5616</v>
      </c>
      <c r="O165" s="12">
        <f t="shared" si="8"/>
        <v>86.952</v>
      </c>
      <c r="P165" s="12">
        <f t="shared" si="9"/>
        <v>43.476</v>
      </c>
      <c r="Q165" s="12">
        <f t="shared" si="10"/>
        <v>17.3904</v>
      </c>
      <c r="R165" s="12">
        <f t="shared" si="48"/>
        <v>5.502</v>
      </c>
      <c r="S165" s="12">
        <f t="shared" si="12"/>
        <v>8.6952</v>
      </c>
      <c r="T165" s="60">
        <f t="shared" si="13"/>
        <v>231.3152</v>
      </c>
      <c r="U165" s="2">
        <f t="shared" si="14"/>
        <v>11.004</v>
      </c>
      <c r="V165" s="42">
        <f t="shared" si="15"/>
        <v>55.02</v>
      </c>
      <c r="W165" s="2">
        <f t="shared" si="16"/>
        <v>11.004</v>
      </c>
      <c r="X165" s="2">
        <f t="shared" si="17"/>
        <v>88.032</v>
      </c>
      <c r="Y165" s="2">
        <f t="shared" si="18"/>
        <v>165.06</v>
      </c>
      <c r="Z165" s="60">
        <f t="shared" si="19"/>
        <v>1265.8952</v>
      </c>
      <c r="AA165" s="11">
        <f t="shared" si="20"/>
        <v>253.17904</v>
      </c>
      <c r="AB165" s="12">
        <f t="shared" si="49"/>
        <v>1519.07424</v>
      </c>
      <c r="AC165" s="2">
        <f t="shared" si="22"/>
        <v>1100.4</v>
      </c>
      <c r="AD165" s="12">
        <f t="shared" si="23"/>
        <v>418.67424</v>
      </c>
      <c r="AE165" s="12">
        <f t="shared" si="24"/>
        <v>27.56114408</v>
      </c>
      <c r="AF165" s="61">
        <v>1385.0</v>
      </c>
      <c r="AG165" s="62">
        <f t="shared" si="25"/>
        <v>59.28328273</v>
      </c>
      <c r="AH165" s="63">
        <f t="shared" si="26"/>
        <v>205</v>
      </c>
      <c r="AI165" s="64">
        <f t="shared" si="468"/>
        <v>1519.07424</v>
      </c>
      <c r="AJ165" s="65">
        <v>1590.0</v>
      </c>
      <c r="AK165" s="66">
        <f t="shared" si="27"/>
        <v>82.85950869</v>
      </c>
      <c r="AL165" s="66"/>
      <c r="AM165" s="14">
        <f t="shared" si="365"/>
        <v>12.89308176</v>
      </c>
      <c r="AN165" s="67">
        <f t="shared" si="29"/>
        <v>23.57622596</v>
      </c>
      <c r="AO165" s="68">
        <f t="shared" si="30"/>
        <v>1.828595087</v>
      </c>
      <c r="AP165" s="69">
        <f t="shared" si="31"/>
        <v>0.7092576</v>
      </c>
      <c r="AQ165" s="70">
        <f t="shared" si="32"/>
        <v>4.896</v>
      </c>
      <c r="AR165" s="71">
        <f t="shared" ref="AR165:AS165" si="531">AI165/94</f>
        <v>16.16036426</v>
      </c>
      <c r="AS165" s="71">
        <f t="shared" si="531"/>
        <v>16.91489362</v>
      </c>
      <c r="AT165" s="72">
        <f t="shared" ref="AT165:AU165" si="532">AI165/24</f>
        <v>63.29476</v>
      </c>
      <c r="AU165" s="72">
        <f t="shared" si="532"/>
        <v>66.25</v>
      </c>
      <c r="AV165" s="73">
        <f t="shared" ref="AV165:AW165" si="533">AI165/125</f>
        <v>12.15259392</v>
      </c>
      <c r="AW165" s="73">
        <f t="shared" si="533"/>
        <v>12.72</v>
      </c>
    </row>
    <row r="166" ht="15.75" customHeight="1">
      <c r="A166" s="2"/>
      <c r="B166" s="2" t="s">
        <v>312</v>
      </c>
      <c r="C166" s="2" t="s">
        <v>348</v>
      </c>
      <c r="D166" s="10">
        <v>524.0</v>
      </c>
      <c r="F166" s="1">
        <v>125.0</v>
      </c>
      <c r="G166" s="10">
        <v>9.4041E7</v>
      </c>
      <c r="H166" s="59">
        <v>0.18</v>
      </c>
      <c r="I166" s="2">
        <f t="shared" si="4"/>
        <v>94.32</v>
      </c>
      <c r="J166" s="2">
        <f t="shared" si="521"/>
        <v>26.2</v>
      </c>
      <c r="K166" s="1">
        <v>100.0</v>
      </c>
      <c r="L166" s="4">
        <f t="shared" si="5"/>
        <v>869.52</v>
      </c>
      <c r="M166" s="2">
        <f t="shared" si="6"/>
        <v>5.24</v>
      </c>
      <c r="N166" s="12">
        <f t="shared" si="7"/>
        <v>69.5616</v>
      </c>
      <c r="O166" s="12">
        <f t="shared" si="8"/>
        <v>86.952</v>
      </c>
      <c r="P166" s="12">
        <f t="shared" si="9"/>
        <v>43.476</v>
      </c>
      <c r="Q166" s="12">
        <f t="shared" si="10"/>
        <v>17.3904</v>
      </c>
      <c r="R166" s="12">
        <f t="shared" si="48"/>
        <v>5.502</v>
      </c>
      <c r="S166" s="12">
        <f t="shared" si="12"/>
        <v>8.6952</v>
      </c>
      <c r="T166" s="60">
        <f t="shared" si="13"/>
        <v>231.3152</v>
      </c>
      <c r="U166" s="2">
        <f t="shared" si="14"/>
        <v>11.004</v>
      </c>
      <c r="V166" s="42">
        <f t="shared" si="15"/>
        <v>55.02</v>
      </c>
      <c r="W166" s="2">
        <f t="shared" si="16"/>
        <v>11.004</v>
      </c>
      <c r="X166" s="2">
        <f t="shared" si="17"/>
        <v>88.032</v>
      </c>
      <c r="Y166" s="2">
        <f t="shared" si="18"/>
        <v>165.06</v>
      </c>
      <c r="Z166" s="60">
        <f t="shared" si="19"/>
        <v>1265.8952</v>
      </c>
      <c r="AA166" s="11">
        <f t="shared" si="20"/>
        <v>253.17904</v>
      </c>
      <c r="AB166" s="12">
        <f t="shared" si="49"/>
        <v>1519.07424</v>
      </c>
      <c r="AC166" s="2">
        <f t="shared" si="22"/>
        <v>1100.4</v>
      </c>
      <c r="AD166" s="12">
        <f t="shared" si="23"/>
        <v>418.67424</v>
      </c>
      <c r="AE166" s="12">
        <f t="shared" si="24"/>
        <v>27.56114408</v>
      </c>
      <c r="AF166" s="61">
        <v>1385.0</v>
      </c>
      <c r="AG166" s="62">
        <f t="shared" si="25"/>
        <v>59.28328273</v>
      </c>
      <c r="AH166" s="63">
        <f t="shared" si="26"/>
        <v>205</v>
      </c>
      <c r="AI166" s="64">
        <f t="shared" si="468"/>
        <v>1519.07424</v>
      </c>
      <c r="AJ166" s="65">
        <v>1590.0</v>
      </c>
      <c r="AK166" s="66">
        <f t="shared" si="27"/>
        <v>82.85950869</v>
      </c>
      <c r="AL166" s="66"/>
      <c r="AM166" s="14">
        <f t="shared" si="365"/>
        <v>12.89308176</v>
      </c>
      <c r="AN166" s="67">
        <f t="shared" si="29"/>
        <v>23.57622596</v>
      </c>
      <c r="AO166" s="68">
        <f t="shared" si="30"/>
        <v>1.828595087</v>
      </c>
      <c r="AP166" s="69">
        <f t="shared" si="31"/>
        <v>0.7092576</v>
      </c>
      <c r="AQ166" s="70">
        <f t="shared" si="32"/>
        <v>4.896</v>
      </c>
      <c r="AR166" s="71">
        <f t="shared" ref="AR166:AS166" si="534">AI166/94</f>
        <v>16.16036426</v>
      </c>
      <c r="AS166" s="71">
        <f t="shared" si="534"/>
        <v>16.91489362</v>
      </c>
      <c r="AT166" s="72">
        <f t="shared" ref="AT166:AU166" si="535">AI166/24</f>
        <v>63.29476</v>
      </c>
      <c r="AU166" s="72">
        <f t="shared" si="535"/>
        <v>66.25</v>
      </c>
      <c r="AV166" s="73">
        <f t="shared" ref="AV166:AW166" si="536">AI166/125</f>
        <v>12.15259392</v>
      </c>
      <c r="AW166" s="73">
        <f t="shared" si="536"/>
        <v>12.72</v>
      </c>
    </row>
    <row r="167" ht="15.75" customHeight="1">
      <c r="A167" s="2"/>
      <c r="B167" s="2" t="s">
        <v>310</v>
      </c>
      <c r="C167" s="2" t="s">
        <v>349</v>
      </c>
      <c r="D167" s="10">
        <v>524.0</v>
      </c>
      <c r="F167" s="1">
        <v>125.0</v>
      </c>
      <c r="G167" s="10">
        <v>9.4041E7</v>
      </c>
      <c r="H167" s="59">
        <v>0.18</v>
      </c>
      <c r="I167" s="2">
        <f t="shared" si="4"/>
        <v>94.32</v>
      </c>
      <c r="J167" s="2">
        <f t="shared" si="521"/>
        <v>26.2</v>
      </c>
      <c r="K167" s="1">
        <v>100.0</v>
      </c>
      <c r="L167" s="4">
        <f t="shared" si="5"/>
        <v>869.52</v>
      </c>
      <c r="M167" s="2">
        <f t="shared" si="6"/>
        <v>5.24</v>
      </c>
      <c r="N167" s="12">
        <f t="shared" si="7"/>
        <v>69.5616</v>
      </c>
      <c r="O167" s="12">
        <f t="shared" si="8"/>
        <v>86.952</v>
      </c>
      <c r="P167" s="12">
        <f t="shared" si="9"/>
        <v>43.476</v>
      </c>
      <c r="Q167" s="12">
        <f t="shared" si="10"/>
        <v>17.3904</v>
      </c>
      <c r="R167" s="12">
        <f t="shared" si="48"/>
        <v>5.502</v>
      </c>
      <c r="S167" s="12">
        <f t="shared" si="12"/>
        <v>8.6952</v>
      </c>
      <c r="T167" s="60">
        <f t="shared" si="13"/>
        <v>231.3152</v>
      </c>
      <c r="U167" s="2">
        <f t="shared" si="14"/>
        <v>11.004</v>
      </c>
      <c r="V167" s="42">
        <f t="shared" si="15"/>
        <v>55.02</v>
      </c>
      <c r="W167" s="2">
        <f t="shared" si="16"/>
        <v>11.004</v>
      </c>
      <c r="X167" s="2">
        <f t="shared" si="17"/>
        <v>88.032</v>
      </c>
      <c r="Y167" s="2">
        <f t="shared" si="18"/>
        <v>165.06</v>
      </c>
      <c r="Z167" s="60">
        <f t="shared" si="19"/>
        <v>1265.8952</v>
      </c>
      <c r="AA167" s="11">
        <f t="shared" si="20"/>
        <v>253.17904</v>
      </c>
      <c r="AB167" s="12">
        <f t="shared" si="49"/>
        <v>1519.07424</v>
      </c>
      <c r="AC167" s="2">
        <f t="shared" si="22"/>
        <v>1100.4</v>
      </c>
      <c r="AD167" s="12">
        <f t="shared" si="23"/>
        <v>418.67424</v>
      </c>
      <c r="AE167" s="12">
        <f t="shared" si="24"/>
        <v>27.56114408</v>
      </c>
      <c r="AF167" s="61">
        <v>1385.0</v>
      </c>
      <c r="AG167" s="62">
        <f t="shared" si="25"/>
        <v>59.28328273</v>
      </c>
      <c r="AH167" s="63">
        <f t="shared" si="26"/>
        <v>205</v>
      </c>
      <c r="AI167" s="64">
        <f t="shared" si="468"/>
        <v>1519.07424</v>
      </c>
      <c r="AJ167" s="65">
        <v>1590.0</v>
      </c>
      <c r="AK167" s="66">
        <f t="shared" si="27"/>
        <v>82.85950869</v>
      </c>
      <c r="AL167" s="66"/>
      <c r="AM167" s="14">
        <f t="shared" si="365"/>
        <v>12.89308176</v>
      </c>
      <c r="AN167" s="67">
        <f t="shared" si="29"/>
        <v>23.57622596</v>
      </c>
      <c r="AO167" s="68">
        <f t="shared" si="30"/>
        <v>1.828595087</v>
      </c>
      <c r="AP167" s="69">
        <f t="shared" si="31"/>
        <v>0.7092576</v>
      </c>
      <c r="AQ167" s="70">
        <f t="shared" si="32"/>
        <v>4.896</v>
      </c>
      <c r="AR167" s="71">
        <f t="shared" ref="AR167:AS167" si="537">AI167/94</f>
        <v>16.16036426</v>
      </c>
      <c r="AS167" s="71">
        <f t="shared" si="537"/>
        <v>16.91489362</v>
      </c>
      <c r="AT167" s="72">
        <f t="shared" ref="AT167:AU167" si="538">AI167/24</f>
        <v>63.29476</v>
      </c>
      <c r="AU167" s="72">
        <f t="shared" si="538"/>
        <v>66.25</v>
      </c>
      <c r="AV167" s="73">
        <f t="shared" ref="AV167:AW167" si="539">AI167/125</f>
        <v>12.15259392</v>
      </c>
      <c r="AW167" s="73">
        <f t="shared" si="539"/>
        <v>12.72</v>
      </c>
    </row>
    <row r="168" ht="15.75" customHeight="1">
      <c r="A168" s="2"/>
      <c r="B168" s="2" t="s">
        <v>289</v>
      </c>
      <c r="C168" s="2" t="s">
        <v>350</v>
      </c>
      <c r="D168" s="10">
        <v>524.0</v>
      </c>
      <c r="F168" s="1">
        <v>125.0</v>
      </c>
      <c r="G168" s="10">
        <v>9.4041E7</v>
      </c>
      <c r="H168" s="59">
        <v>0.18</v>
      </c>
      <c r="I168" s="2">
        <f t="shared" si="4"/>
        <v>94.32</v>
      </c>
      <c r="J168" s="2">
        <f t="shared" si="521"/>
        <v>26.2</v>
      </c>
      <c r="K168" s="1">
        <v>100.0</v>
      </c>
      <c r="L168" s="4">
        <f t="shared" si="5"/>
        <v>869.52</v>
      </c>
      <c r="M168" s="2">
        <f t="shared" si="6"/>
        <v>5.24</v>
      </c>
      <c r="N168" s="12">
        <f t="shared" si="7"/>
        <v>69.5616</v>
      </c>
      <c r="O168" s="12">
        <f t="shared" si="8"/>
        <v>86.952</v>
      </c>
      <c r="P168" s="12">
        <f t="shared" si="9"/>
        <v>43.476</v>
      </c>
      <c r="Q168" s="12">
        <f t="shared" si="10"/>
        <v>17.3904</v>
      </c>
      <c r="R168" s="12">
        <f t="shared" si="48"/>
        <v>5.502</v>
      </c>
      <c r="S168" s="12">
        <f t="shared" si="12"/>
        <v>8.6952</v>
      </c>
      <c r="T168" s="60">
        <f t="shared" si="13"/>
        <v>231.3152</v>
      </c>
      <c r="U168" s="2">
        <f t="shared" si="14"/>
        <v>11.004</v>
      </c>
      <c r="V168" s="42">
        <f t="shared" si="15"/>
        <v>55.02</v>
      </c>
      <c r="W168" s="2">
        <f t="shared" si="16"/>
        <v>11.004</v>
      </c>
      <c r="X168" s="2">
        <f t="shared" si="17"/>
        <v>88.032</v>
      </c>
      <c r="Y168" s="2">
        <f t="shared" si="18"/>
        <v>165.06</v>
      </c>
      <c r="Z168" s="60">
        <f t="shared" si="19"/>
        <v>1265.8952</v>
      </c>
      <c r="AA168" s="11">
        <f t="shared" si="20"/>
        <v>253.17904</v>
      </c>
      <c r="AB168" s="12">
        <f t="shared" si="49"/>
        <v>1519.07424</v>
      </c>
      <c r="AC168" s="2">
        <f t="shared" si="22"/>
        <v>1100.4</v>
      </c>
      <c r="AD168" s="12">
        <f t="shared" si="23"/>
        <v>418.67424</v>
      </c>
      <c r="AE168" s="12">
        <f t="shared" si="24"/>
        <v>27.56114408</v>
      </c>
      <c r="AF168" s="61">
        <v>1385.0</v>
      </c>
      <c r="AG168" s="62">
        <f t="shared" si="25"/>
        <v>59.28328273</v>
      </c>
      <c r="AH168" s="63">
        <f t="shared" si="26"/>
        <v>205</v>
      </c>
      <c r="AI168" s="64">
        <f t="shared" si="468"/>
        <v>1519.07424</v>
      </c>
      <c r="AJ168" s="65">
        <v>1590.0</v>
      </c>
      <c r="AK168" s="66">
        <f t="shared" si="27"/>
        <v>82.85950869</v>
      </c>
      <c r="AL168" s="66"/>
      <c r="AM168" s="14">
        <f t="shared" si="365"/>
        <v>12.89308176</v>
      </c>
      <c r="AN168" s="67">
        <f t="shared" si="29"/>
        <v>23.57622596</v>
      </c>
      <c r="AO168" s="68">
        <f t="shared" si="30"/>
        <v>1.828595087</v>
      </c>
      <c r="AP168" s="69">
        <f t="shared" si="31"/>
        <v>0.7092576</v>
      </c>
      <c r="AQ168" s="70">
        <f t="shared" si="32"/>
        <v>4.896</v>
      </c>
      <c r="AR168" s="71">
        <f t="shared" ref="AR168:AS168" si="540">AI168/94</f>
        <v>16.16036426</v>
      </c>
      <c r="AS168" s="71">
        <f t="shared" si="540"/>
        <v>16.91489362</v>
      </c>
      <c r="AT168" s="72">
        <f t="shared" ref="AT168:AU168" si="541">AI168/24</f>
        <v>63.29476</v>
      </c>
      <c r="AU168" s="72">
        <f t="shared" si="541"/>
        <v>66.25</v>
      </c>
      <c r="AV168" s="73">
        <f t="shared" ref="AV168:AW168" si="542">AI168/125</f>
        <v>12.15259392</v>
      </c>
      <c r="AW168" s="73">
        <f t="shared" si="542"/>
        <v>12.72</v>
      </c>
    </row>
    <row r="169" ht="15.0" customHeight="1">
      <c r="A169" s="2" t="s">
        <v>351</v>
      </c>
      <c r="B169" s="2" t="s">
        <v>278</v>
      </c>
      <c r="C169" s="2" t="s">
        <v>352</v>
      </c>
      <c r="D169" s="10">
        <v>465.0</v>
      </c>
      <c r="F169" s="1">
        <v>125.0</v>
      </c>
      <c r="G169" s="10">
        <v>9.4041E7</v>
      </c>
      <c r="H169" s="59">
        <v>0.18</v>
      </c>
      <c r="I169" s="2">
        <f t="shared" si="4"/>
        <v>83.7</v>
      </c>
      <c r="J169" s="2">
        <f t="shared" si="521"/>
        <v>23.25</v>
      </c>
      <c r="K169" s="1">
        <v>100.0</v>
      </c>
      <c r="L169" s="4">
        <f t="shared" si="5"/>
        <v>796.95</v>
      </c>
      <c r="M169" s="2">
        <f t="shared" si="6"/>
        <v>4.65</v>
      </c>
      <c r="N169" s="12">
        <f t="shared" si="7"/>
        <v>63.756</v>
      </c>
      <c r="O169" s="12">
        <f t="shared" si="8"/>
        <v>79.695</v>
      </c>
      <c r="P169" s="12">
        <f t="shared" si="9"/>
        <v>39.8475</v>
      </c>
      <c r="Q169" s="12">
        <f t="shared" si="10"/>
        <v>15.939</v>
      </c>
      <c r="R169" s="12">
        <f t="shared" si="48"/>
        <v>4.8825</v>
      </c>
      <c r="S169" s="12">
        <f t="shared" si="12"/>
        <v>7.9695</v>
      </c>
      <c r="T169" s="60">
        <f t="shared" si="13"/>
        <v>211.857</v>
      </c>
      <c r="U169" s="2">
        <f t="shared" si="14"/>
        <v>9.765</v>
      </c>
      <c r="V169" s="42">
        <f t="shared" si="15"/>
        <v>48.825</v>
      </c>
      <c r="W169" s="2">
        <f t="shared" si="16"/>
        <v>9.765</v>
      </c>
      <c r="X169" s="2">
        <f t="shared" si="17"/>
        <v>78.12</v>
      </c>
      <c r="Y169" s="2">
        <f t="shared" si="18"/>
        <v>146.475</v>
      </c>
      <c r="Z169" s="60">
        <f t="shared" si="19"/>
        <v>1155.282</v>
      </c>
      <c r="AA169" s="11">
        <f t="shared" si="20"/>
        <v>231.0564</v>
      </c>
      <c r="AB169" s="12">
        <f t="shared" si="49"/>
        <v>1386.3384</v>
      </c>
      <c r="AC169" s="2">
        <f t="shared" si="22"/>
        <v>976.5</v>
      </c>
      <c r="AD169" s="12">
        <f t="shared" si="23"/>
        <v>409.8384</v>
      </c>
      <c r="AE169" s="12">
        <f t="shared" si="24"/>
        <v>29.56265224</v>
      </c>
      <c r="AF169" s="61">
        <v>1185.0</v>
      </c>
      <c r="AG169" s="62">
        <f t="shared" si="25"/>
        <v>48.69188782</v>
      </c>
      <c r="AH169" s="63">
        <f t="shared" si="26"/>
        <v>305</v>
      </c>
      <c r="AI169" s="64">
        <f t="shared" si="468"/>
        <v>1386.3384</v>
      </c>
      <c r="AJ169" s="65">
        <v>1490.0</v>
      </c>
      <c r="AK169" s="66">
        <f t="shared" si="27"/>
        <v>86.96279566</v>
      </c>
      <c r="AL169" s="66"/>
      <c r="AM169" s="14">
        <f t="shared" si="365"/>
        <v>20.46979866</v>
      </c>
      <c r="AN169" s="67">
        <f t="shared" si="29"/>
        <v>38.27090784</v>
      </c>
      <c r="AO169" s="68">
        <f t="shared" si="30"/>
        <v>1.869627957</v>
      </c>
      <c r="AP169" s="69">
        <f t="shared" si="31"/>
        <v>1.036616</v>
      </c>
      <c r="AQ169" s="70">
        <f t="shared" si="32"/>
        <v>5.135</v>
      </c>
      <c r="AR169" s="71">
        <f t="shared" ref="AR169:AS169" si="543">AI169/94</f>
        <v>14.74828085</v>
      </c>
      <c r="AS169" s="71">
        <f t="shared" si="543"/>
        <v>15.85106383</v>
      </c>
      <c r="AT169" s="72">
        <f t="shared" ref="AT169:AU169" si="544">AI169/24</f>
        <v>57.7641</v>
      </c>
      <c r="AU169" s="72">
        <f t="shared" si="544"/>
        <v>62.08333333</v>
      </c>
      <c r="AV169" s="73">
        <f t="shared" ref="AV169:AW169" si="545">AI169/125</f>
        <v>11.0907072</v>
      </c>
      <c r="AW169" s="73">
        <f t="shared" si="545"/>
        <v>11.92</v>
      </c>
    </row>
    <row r="170" ht="15.75" customHeight="1">
      <c r="A170" s="2"/>
      <c r="B170" s="2" t="s">
        <v>293</v>
      </c>
      <c r="C170" s="2" t="s">
        <v>353</v>
      </c>
      <c r="D170" s="10">
        <v>465.0</v>
      </c>
      <c r="F170" s="1">
        <v>125.0</v>
      </c>
      <c r="G170" s="10">
        <v>9.4041E7</v>
      </c>
      <c r="H170" s="59">
        <v>0.18</v>
      </c>
      <c r="I170" s="2">
        <f t="shared" si="4"/>
        <v>83.7</v>
      </c>
      <c r="J170" s="2">
        <f t="shared" si="521"/>
        <v>23.25</v>
      </c>
      <c r="K170" s="1">
        <v>100.0</v>
      </c>
      <c r="L170" s="4">
        <f t="shared" si="5"/>
        <v>796.95</v>
      </c>
      <c r="M170" s="2">
        <f t="shared" si="6"/>
        <v>4.65</v>
      </c>
      <c r="N170" s="12">
        <f t="shared" si="7"/>
        <v>63.756</v>
      </c>
      <c r="O170" s="12">
        <f t="shared" si="8"/>
        <v>79.695</v>
      </c>
      <c r="P170" s="12">
        <f t="shared" si="9"/>
        <v>39.8475</v>
      </c>
      <c r="Q170" s="12">
        <f t="shared" si="10"/>
        <v>15.939</v>
      </c>
      <c r="R170" s="12">
        <f t="shared" si="48"/>
        <v>4.8825</v>
      </c>
      <c r="S170" s="12">
        <f t="shared" si="12"/>
        <v>7.9695</v>
      </c>
      <c r="T170" s="60">
        <f t="shared" si="13"/>
        <v>211.857</v>
      </c>
      <c r="U170" s="2">
        <f t="shared" si="14"/>
        <v>9.765</v>
      </c>
      <c r="V170" s="42">
        <f t="shared" si="15"/>
        <v>48.825</v>
      </c>
      <c r="W170" s="2">
        <f t="shared" si="16"/>
        <v>9.765</v>
      </c>
      <c r="X170" s="2">
        <f t="shared" si="17"/>
        <v>78.12</v>
      </c>
      <c r="Y170" s="2">
        <f t="shared" si="18"/>
        <v>146.475</v>
      </c>
      <c r="Z170" s="60">
        <f t="shared" si="19"/>
        <v>1155.282</v>
      </c>
      <c r="AA170" s="11">
        <f t="shared" si="20"/>
        <v>231.0564</v>
      </c>
      <c r="AB170" s="12">
        <f t="shared" si="49"/>
        <v>1386.3384</v>
      </c>
      <c r="AC170" s="2">
        <f t="shared" si="22"/>
        <v>976.5</v>
      </c>
      <c r="AD170" s="12">
        <f t="shared" si="23"/>
        <v>409.8384</v>
      </c>
      <c r="AE170" s="12">
        <f t="shared" si="24"/>
        <v>29.56265224</v>
      </c>
      <c r="AF170" s="61">
        <v>1185.0</v>
      </c>
      <c r="AG170" s="62">
        <f t="shared" si="25"/>
        <v>48.69188782</v>
      </c>
      <c r="AH170" s="63">
        <f t="shared" si="26"/>
        <v>305</v>
      </c>
      <c r="AI170" s="64">
        <f t="shared" si="468"/>
        <v>1386.3384</v>
      </c>
      <c r="AJ170" s="65">
        <v>1490.0</v>
      </c>
      <c r="AK170" s="66">
        <f t="shared" si="27"/>
        <v>86.96279566</v>
      </c>
      <c r="AL170" s="66"/>
      <c r="AM170" s="14">
        <f t="shared" si="365"/>
        <v>20.46979866</v>
      </c>
      <c r="AN170" s="67">
        <f t="shared" si="29"/>
        <v>38.27090784</v>
      </c>
      <c r="AO170" s="68">
        <f t="shared" si="30"/>
        <v>1.869627957</v>
      </c>
      <c r="AP170" s="69">
        <f t="shared" si="31"/>
        <v>1.036616</v>
      </c>
      <c r="AQ170" s="70">
        <f t="shared" si="32"/>
        <v>5.135</v>
      </c>
      <c r="AR170" s="71">
        <f t="shared" ref="AR170:AS170" si="546">AI170/94</f>
        <v>14.74828085</v>
      </c>
      <c r="AS170" s="71">
        <f t="shared" si="546"/>
        <v>15.85106383</v>
      </c>
      <c r="AT170" s="72">
        <f t="shared" ref="AT170:AU170" si="547">AI170/24</f>
        <v>57.7641</v>
      </c>
      <c r="AU170" s="72">
        <f t="shared" si="547"/>
        <v>62.08333333</v>
      </c>
      <c r="AV170" s="73">
        <f t="shared" ref="AV170:AW170" si="548">AI170/125</f>
        <v>11.0907072</v>
      </c>
      <c r="AW170" s="73">
        <f t="shared" si="548"/>
        <v>11.92</v>
      </c>
    </row>
    <row r="171" ht="15.75" customHeight="1">
      <c r="A171" s="2"/>
      <c r="B171" s="2" t="s">
        <v>283</v>
      </c>
      <c r="C171" s="2" t="s">
        <v>354</v>
      </c>
      <c r="D171" s="10">
        <v>465.0</v>
      </c>
      <c r="F171" s="1">
        <v>125.0</v>
      </c>
      <c r="G171" s="10">
        <v>9.4041E7</v>
      </c>
      <c r="H171" s="59">
        <v>0.18</v>
      </c>
      <c r="I171" s="2">
        <f t="shared" si="4"/>
        <v>83.7</v>
      </c>
      <c r="J171" s="2">
        <f t="shared" si="521"/>
        <v>23.25</v>
      </c>
      <c r="K171" s="1">
        <v>100.0</v>
      </c>
      <c r="L171" s="4">
        <f t="shared" si="5"/>
        <v>796.95</v>
      </c>
      <c r="M171" s="2">
        <f t="shared" si="6"/>
        <v>4.65</v>
      </c>
      <c r="N171" s="12">
        <f t="shared" si="7"/>
        <v>63.756</v>
      </c>
      <c r="O171" s="12">
        <f t="shared" si="8"/>
        <v>79.695</v>
      </c>
      <c r="P171" s="12">
        <f t="shared" si="9"/>
        <v>39.8475</v>
      </c>
      <c r="Q171" s="12">
        <f t="shared" si="10"/>
        <v>15.939</v>
      </c>
      <c r="R171" s="12">
        <f t="shared" si="48"/>
        <v>4.8825</v>
      </c>
      <c r="S171" s="12">
        <f t="shared" si="12"/>
        <v>7.9695</v>
      </c>
      <c r="T171" s="60">
        <f t="shared" si="13"/>
        <v>211.857</v>
      </c>
      <c r="U171" s="2">
        <f t="shared" si="14"/>
        <v>9.765</v>
      </c>
      <c r="V171" s="42">
        <f t="shared" si="15"/>
        <v>48.825</v>
      </c>
      <c r="W171" s="2">
        <f t="shared" si="16"/>
        <v>9.765</v>
      </c>
      <c r="X171" s="2">
        <f t="shared" si="17"/>
        <v>78.12</v>
      </c>
      <c r="Y171" s="2">
        <f t="shared" si="18"/>
        <v>146.475</v>
      </c>
      <c r="Z171" s="60">
        <f t="shared" si="19"/>
        <v>1155.282</v>
      </c>
      <c r="AA171" s="11">
        <f t="shared" si="20"/>
        <v>231.0564</v>
      </c>
      <c r="AB171" s="12">
        <f t="shared" si="49"/>
        <v>1386.3384</v>
      </c>
      <c r="AC171" s="2">
        <f t="shared" si="22"/>
        <v>976.5</v>
      </c>
      <c r="AD171" s="12">
        <f t="shared" si="23"/>
        <v>409.8384</v>
      </c>
      <c r="AE171" s="12">
        <f t="shared" si="24"/>
        <v>29.56265224</v>
      </c>
      <c r="AF171" s="61">
        <v>1185.0</v>
      </c>
      <c r="AG171" s="62">
        <f t="shared" si="25"/>
        <v>48.69188782</v>
      </c>
      <c r="AH171" s="63">
        <f t="shared" si="26"/>
        <v>305</v>
      </c>
      <c r="AI171" s="64">
        <f t="shared" si="468"/>
        <v>1386.3384</v>
      </c>
      <c r="AJ171" s="65">
        <v>1490.0</v>
      </c>
      <c r="AK171" s="66">
        <f t="shared" si="27"/>
        <v>86.96279566</v>
      </c>
      <c r="AL171" s="66"/>
      <c r="AM171" s="14">
        <f t="shared" si="365"/>
        <v>20.46979866</v>
      </c>
      <c r="AN171" s="67">
        <f t="shared" si="29"/>
        <v>38.27090784</v>
      </c>
      <c r="AO171" s="68">
        <f t="shared" si="30"/>
        <v>1.869627957</v>
      </c>
      <c r="AP171" s="69">
        <f t="shared" si="31"/>
        <v>1.036616</v>
      </c>
      <c r="AQ171" s="70">
        <f t="shared" si="32"/>
        <v>5.135</v>
      </c>
      <c r="AR171" s="71">
        <f t="shared" ref="AR171:AS171" si="549">AI171/94</f>
        <v>14.74828085</v>
      </c>
      <c r="AS171" s="71">
        <f t="shared" si="549"/>
        <v>15.85106383</v>
      </c>
      <c r="AT171" s="72">
        <f t="shared" ref="AT171:AU171" si="550">AI171/24</f>
        <v>57.7641</v>
      </c>
      <c r="AU171" s="72">
        <f t="shared" si="550"/>
        <v>62.08333333</v>
      </c>
      <c r="AV171" s="73">
        <f t="shared" ref="AV171:AW171" si="551">AI171/125</f>
        <v>11.0907072</v>
      </c>
      <c r="AW171" s="73">
        <f t="shared" si="551"/>
        <v>11.92</v>
      </c>
    </row>
    <row r="172" ht="15.75" customHeight="1">
      <c r="A172" s="2"/>
      <c r="B172" s="2" t="s">
        <v>280</v>
      </c>
      <c r="C172" s="2" t="s">
        <v>355</v>
      </c>
      <c r="D172" s="10">
        <v>465.0</v>
      </c>
      <c r="F172" s="1">
        <v>125.0</v>
      </c>
      <c r="G172" s="10">
        <v>9.4041E7</v>
      </c>
      <c r="H172" s="59">
        <v>0.18</v>
      </c>
      <c r="I172" s="2">
        <f t="shared" si="4"/>
        <v>83.7</v>
      </c>
      <c r="J172" s="2">
        <f t="shared" si="521"/>
        <v>23.25</v>
      </c>
      <c r="K172" s="1">
        <v>100.0</v>
      </c>
      <c r="L172" s="4">
        <f t="shared" si="5"/>
        <v>796.95</v>
      </c>
      <c r="M172" s="2">
        <f t="shared" si="6"/>
        <v>4.65</v>
      </c>
      <c r="N172" s="12">
        <f t="shared" si="7"/>
        <v>63.756</v>
      </c>
      <c r="O172" s="12">
        <f t="shared" si="8"/>
        <v>79.695</v>
      </c>
      <c r="P172" s="12">
        <f t="shared" si="9"/>
        <v>39.8475</v>
      </c>
      <c r="Q172" s="12">
        <f t="shared" si="10"/>
        <v>15.939</v>
      </c>
      <c r="R172" s="12">
        <f t="shared" si="48"/>
        <v>4.8825</v>
      </c>
      <c r="S172" s="12">
        <f t="shared" si="12"/>
        <v>7.9695</v>
      </c>
      <c r="T172" s="60">
        <f t="shared" si="13"/>
        <v>211.857</v>
      </c>
      <c r="U172" s="2">
        <f t="shared" si="14"/>
        <v>9.765</v>
      </c>
      <c r="V172" s="42">
        <f t="shared" si="15"/>
        <v>48.825</v>
      </c>
      <c r="W172" s="2">
        <f t="shared" si="16"/>
        <v>9.765</v>
      </c>
      <c r="X172" s="2">
        <f t="shared" si="17"/>
        <v>78.12</v>
      </c>
      <c r="Y172" s="2">
        <f t="shared" si="18"/>
        <v>146.475</v>
      </c>
      <c r="Z172" s="60">
        <f t="shared" si="19"/>
        <v>1155.282</v>
      </c>
      <c r="AA172" s="11">
        <f t="shared" si="20"/>
        <v>231.0564</v>
      </c>
      <c r="AB172" s="12">
        <f t="shared" si="49"/>
        <v>1386.3384</v>
      </c>
      <c r="AC172" s="2">
        <f t="shared" si="22"/>
        <v>976.5</v>
      </c>
      <c r="AD172" s="12">
        <f t="shared" si="23"/>
        <v>409.8384</v>
      </c>
      <c r="AE172" s="12">
        <f t="shared" si="24"/>
        <v>29.56265224</v>
      </c>
      <c r="AF172" s="61">
        <v>1185.0</v>
      </c>
      <c r="AG172" s="62">
        <f t="shared" si="25"/>
        <v>48.69188782</v>
      </c>
      <c r="AH172" s="63">
        <f t="shared" si="26"/>
        <v>305</v>
      </c>
      <c r="AI172" s="64">
        <f t="shared" si="468"/>
        <v>1386.3384</v>
      </c>
      <c r="AJ172" s="65">
        <v>1490.0</v>
      </c>
      <c r="AK172" s="66">
        <f t="shared" si="27"/>
        <v>86.96279566</v>
      </c>
      <c r="AL172" s="66"/>
      <c r="AM172" s="14">
        <f t="shared" si="365"/>
        <v>20.46979866</v>
      </c>
      <c r="AN172" s="67">
        <f t="shared" si="29"/>
        <v>38.27090784</v>
      </c>
      <c r="AO172" s="68">
        <f t="shared" si="30"/>
        <v>1.869627957</v>
      </c>
      <c r="AP172" s="69">
        <f t="shared" si="31"/>
        <v>1.036616</v>
      </c>
      <c r="AQ172" s="70">
        <f t="shared" si="32"/>
        <v>5.135</v>
      </c>
      <c r="AR172" s="71">
        <f t="shared" ref="AR172:AS172" si="552">AI172/94</f>
        <v>14.74828085</v>
      </c>
      <c r="AS172" s="71">
        <f t="shared" si="552"/>
        <v>15.85106383</v>
      </c>
      <c r="AT172" s="72">
        <f t="shared" ref="AT172:AU172" si="553">AI172/24</f>
        <v>57.7641</v>
      </c>
      <c r="AU172" s="72">
        <f t="shared" si="553"/>
        <v>62.08333333</v>
      </c>
      <c r="AV172" s="73">
        <f t="shared" ref="AV172:AW172" si="554">AI172/125</f>
        <v>11.0907072</v>
      </c>
      <c r="AW172" s="73">
        <f t="shared" si="554"/>
        <v>11.92</v>
      </c>
    </row>
    <row r="173" ht="15.75" customHeight="1">
      <c r="A173" s="2"/>
      <c r="B173" s="2" t="s">
        <v>285</v>
      </c>
      <c r="C173" s="2" t="s">
        <v>356</v>
      </c>
      <c r="D173" s="10">
        <v>465.0</v>
      </c>
      <c r="F173" s="1">
        <v>125.0</v>
      </c>
      <c r="G173" s="10">
        <v>9.4041E7</v>
      </c>
      <c r="H173" s="59">
        <v>0.18</v>
      </c>
      <c r="I173" s="2">
        <f t="shared" si="4"/>
        <v>83.7</v>
      </c>
      <c r="J173" s="2">
        <f t="shared" si="521"/>
        <v>23.25</v>
      </c>
      <c r="K173" s="1">
        <v>100.0</v>
      </c>
      <c r="L173" s="4">
        <f t="shared" si="5"/>
        <v>796.95</v>
      </c>
      <c r="M173" s="2">
        <f t="shared" si="6"/>
        <v>4.65</v>
      </c>
      <c r="N173" s="12">
        <f t="shared" si="7"/>
        <v>63.756</v>
      </c>
      <c r="O173" s="12">
        <f t="shared" si="8"/>
        <v>79.695</v>
      </c>
      <c r="P173" s="12">
        <f t="shared" si="9"/>
        <v>39.8475</v>
      </c>
      <c r="Q173" s="12">
        <f t="shared" si="10"/>
        <v>15.939</v>
      </c>
      <c r="R173" s="12">
        <f t="shared" si="48"/>
        <v>4.8825</v>
      </c>
      <c r="S173" s="12">
        <f t="shared" si="12"/>
        <v>7.9695</v>
      </c>
      <c r="T173" s="60">
        <f t="shared" si="13"/>
        <v>211.857</v>
      </c>
      <c r="U173" s="2">
        <f t="shared" si="14"/>
        <v>9.765</v>
      </c>
      <c r="V173" s="42">
        <f t="shared" si="15"/>
        <v>48.825</v>
      </c>
      <c r="W173" s="2">
        <f t="shared" si="16"/>
        <v>9.765</v>
      </c>
      <c r="X173" s="2">
        <f t="shared" si="17"/>
        <v>78.12</v>
      </c>
      <c r="Y173" s="2">
        <f t="shared" si="18"/>
        <v>146.475</v>
      </c>
      <c r="Z173" s="60">
        <f t="shared" si="19"/>
        <v>1155.282</v>
      </c>
      <c r="AA173" s="11">
        <f t="shared" si="20"/>
        <v>231.0564</v>
      </c>
      <c r="AB173" s="12">
        <f t="shared" si="49"/>
        <v>1386.3384</v>
      </c>
      <c r="AC173" s="2">
        <f t="shared" si="22"/>
        <v>976.5</v>
      </c>
      <c r="AD173" s="12">
        <f t="shared" si="23"/>
        <v>409.8384</v>
      </c>
      <c r="AE173" s="12">
        <f t="shared" si="24"/>
        <v>29.56265224</v>
      </c>
      <c r="AF173" s="61">
        <v>1185.0</v>
      </c>
      <c r="AG173" s="62">
        <f t="shared" si="25"/>
        <v>48.69188782</v>
      </c>
      <c r="AH173" s="63">
        <f t="shared" si="26"/>
        <v>305</v>
      </c>
      <c r="AI173" s="64">
        <f t="shared" si="468"/>
        <v>1386.3384</v>
      </c>
      <c r="AJ173" s="65">
        <v>1490.0</v>
      </c>
      <c r="AK173" s="66">
        <f t="shared" si="27"/>
        <v>86.96279566</v>
      </c>
      <c r="AL173" s="66"/>
      <c r="AM173" s="14">
        <f t="shared" si="365"/>
        <v>20.46979866</v>
      </c>
      <c r="AN173" s="67">
        <f t="shared" si="29"/>
        <v>38.27090784</v>
      </c>
      <c r="AO173" s="68">
        <f t="shared" si="30"/>
        <v>1.869627957</v>
      </c>
      <c r="AP173" s="69">
        <f t="shared" si="31"/>
        <v>1.036616</v>
      </c>
      <c r="AQ173" s="70">
        <f t="shared" si="32"/>
        <v>5.135</v>
      </c>
      <c r="AR173" s="71">
        <f t="shared" ref="AR173:AS173" si="555">AI173/94</f>
        <v>14.74828085</v>
      </c>
      <c r="AS173" s="71">
        <f t="shared" si="555"/>
        <v>15.85106383</v>
      </c>
      <c r="AT173" s="72">
        <f t="shared" ref="AT173:AU173" si="556">AI173/24</f>
        <v>57.7641</v>
      </c>
      <c r="AU173" s="72">
        <f t="shared" si="556"/>
        <v>62.08333333</v>
      </c>
      <c r="AV173" s="73">
        <f t="shared" ref="AV173:AW173" si="557">AI173/125</f>
        <v>11.0907072</v>
      </c>
      <c r="AW173" s="73">
        <f t="shared" si="557"/>
        <v>11.92</v>
      </c>
    </row>
    <row r="174" ht="15.75" customHeight="1">
      <c r="A174" s="2"/>
      <c r="B174" s="2" t="s">
        <v>289</v>
      </c>
      <c r="C174" s="2" t="s">
        <v>357</v>
      </c>
      <c r="D174" s="10">
        <v>465.0</v>
      </c>
      <c r="F174" s="1">
        <v>125.0</v>
      </c>
      <c r="G174" s="10">
        <v>9.4041E7</v>
      </c>
      <c r="H174" s="59">
        <v>0.18</v>
      </c>
      <c r="I174" s="2">
        <f t="shared" si="4"/>
        <v>83.7</v>
      </c>
      <c r="J174" s="2">
        <f t="shared" si="521"/>
        <v>23.25</v>
      </c>
      <c r="K174" s="1">
        <v>100.0</v>
      </c>
      <c r="L174" s="4">
        <f t="shared" si="5"/>
        <v>796.95</v>
      </c>
      <c r="M174" s="2">
        <f t="shared" si="6"/>
        <v>4.65</v>
      </c>
      <c r="N174" s="12">
        <f t="shared" si="7"/>
        <v>63.756</v>
      </c>
      <c r="O174" s="12">
        <f t="shared" si="8"/>
        <v>79.695</v>
      </c>
      <c r="P174" s="12">
        <f t="shared" si="9"/>
        <v>39.8475</v>
      </c>
      <c r="Q174" s="12">
        <f t="shared" si="10"/>
        <v>15.939</v>
      </c>
      <c r="R174" s="12">
        <f t="shared" si="48"/>
        <v>4.8825</v>
      </c>
      <c r="S174" s="12">
        <f t="shared" si="12"/>
        <v>7.9695</v>
      </c>
      <c r="T174" s="60">
        <f t="shared" si="13"/>
        <v>211.857</v>
      </c>
      <c r="U174" s="2">
        <f t="shared" si="14"/>
        <v>9.765</v>
      </c>
      <c r="V174" s="42">
        <f t="shared" si="15"/>
        <v>48.825</v>
      </c>
      <c r="W174" s="2">
        <f t="shared" si="16"/>
        <v>9.765</v>
      </c>
      <c r="X174" s="2">
        <f t="shared" si="17"/>
        <v>78.12</v>
      </c>
      <c r="Y174" s="2">
        <f t="shared" si="18"/>
        <v>146.475</v>
      </c>
      <c r="Z174" s="60">
        <f t="shared" si="19"/>
        <v>1155.282</v>
      </c>
      <c r="AA174" s="11">
        <f t="shared" si="20"/>
        <v>231.0564</v>
      </c>
      <c r="AB174" s="12">
        <f t="shared" si="49"/>
        <v>1386.3384</v>
      </c>
      <c r="AC174" s="2">
        <f t="shared" si="22"/>
        <v>976.5</v>
      </c>
      <c r="AD174" s="12">
        <f t="shared" si="23"/>
        <v>409.8384</v>
      </c>
      <c r="AE174" s="12">
        <f t="shared" si="24"/>
        <v>29.56265224</v>
      </c>
      <c r="AF174" s="61">
        <v>1185.0</v>
      </c>
      <c r="AG174" s="62">
        <f t="shared" si="25"/>
        <v>48.69188782</v>
      </c>
      <c r="AH174" s="63">
        <f t="shared" si="26"/>
        <v>305</v>
      </c>
      <c r="AI174" s="64">
        <f t="shared" si="468"/>
        <v>1386.3384</v>
      </c>
      <c r="AJ174" s="65">
        <v>1490.0</v>
      </c>
      <c r="AK174" s="66">
        <f t="shared" si="27"/>
        <v>86.96279566</v>
      </c>
      <c r="AL174" s="66"/>
      <c r="AM174" s="14">
        <f t="shared" si="365"/>
        <v>20.46979866</v>
      </c>
      <c r="AN174" s="67">
        <f t="shared" si="29"/>
        <v>38.27090784</v>
      </c>
      <c r="AO174" s="68">
        <f t="shared" si="30"/>
        <v>1.869627957</v>
      </c>
      <c r="AP174" s="69">
        <f t="shared" si="31"/>
        <v>1.036616</v>
      </c>
      <c r="AQ174" s="70">
        <f t="shared" si="32"/>
        <v>5.135</v>
      </c>
      <c r="AR174" s="71">
        <f t="shared" ref="AR174:AS174" si="558">AI174/94</f>
        <v>14.74828085</v>
      </c>
      <c r="AS174" s="71">
        <f t="shared" si="558"/>
        <v>15.85106383</v>
      </c>
      <c r="AT174" s="72">
        <f t="shared" ref="AT174:AU174" si="559">AI174/24</f>
        <v>57.7641</v>
      </c>
      <c r="AU174" s="72">
        <f t="shared" si="559"/>
        <v>62.08333333</v>
      </c>
      <c r="AV174" s="73">
        <f t="shared" ref="AV174:AW174" si="560">AI174/125</f>
        <v>11.0907072</v>
      </c>
      <c r="AW174" s="73">
        <f t="shared" si="560"/>
        <v>11.92</v>
      </c>
    </row>
    <row r="175" ht="15.75" customHeight="1">
      <c r="A175" s="2"/>
      <c r="B175" s="2" t="s">
        <v>333</v>
      </c>
      <c r="C175" s="2" t="s">
        <v>358</v>
      </c>
      <c r="D175" s="10">
        <v>465.0</v>
      </c>
      <c r="F175" s="1">
        <v>125.0</v>
      </c>
      <c r="G175" s="10">
        <v>9.4041E7</v>
      </c>
      <c r="H175" s="59">
        <v>0.18</v>
      </c>
      <c r="I175" s="2">
        <f t="shared" si="4"/>
        <v>83.7</v>
      </c>
      <c r="J175" s="2">
        <f t="shared" si="521"/>
        <v>23.25</v>
      </c>
      <c r="K175" s="1">
        <v>100.0</v>
      </c>
      <c r="L175" s="4">
        <f t="shared" si="5"/>
        <v>796.95</v>
      </c>
      <c r="M175" s="2">
        <f t="shared" si="6"/>
        <v>4.65</v>
      </c>
      <c r="N175" s="12">
        <f t="shared" si="7"/>
        <v>63.756</v>
      </c>
      <c r="O175" s="12">
        <f t="shared" si="8"/>
        <v>79.695</v>
      </c>
      <c r="P175" s="12">
        <f t="shared" si="9"/>
        <v>39.8475</v>
      </c>
      <c r="Q175" s="12">
        <f t="shared" si="10"/>
        <v>15.939</v>
      </c>
      <c r="R175" s="12">
        <f t="shared" si="48"/>
        <v>4.8825</v>
      </c>
      <c r="S175" s="12">
        <f t="shared" si="12"/>
        <v>7.9695</v>
      </c>
      <c r="T175" s="60">
        <f t="shared" si="13"/>
        <v>211.857</v>
      </c>
      <c r="U175" s="2">
        <f t="shared" si="14"/>
        <v>9.765</v>
      </c>
      <c r="V175" s="42">
        <f t="shared" si="15"/>
        <v>48.825</v>
      </c>
      <c r="W175" s="2">
        <f t="shared" si="16"/>
        <v>9.765</v>
      </c>
      <c r="X175" s="2">
        <f t="shared" si="17"/>
        <v>78.12</v>
      </c>
      <c r="Y175" s="2">
        <f t="shared" si="18"/>
        <v>146.475</v>
      </c>
      <c r="Z175" s="60">
        <f t="shared" si="19"/>
        <v>1155.282</v>
      </c>
      <c r="AA175" s="11">
        <f t="shared" si="20"/>
        <v>231.0564</v>
      </c>
      <c r="AB175" s="12">
        <f t="shared" si="49"/>
        <v>1386.3384</v>
      </c>
      <c r="AC175" s="2">
        <f t="shared" si="22"/>
        <v>976.5</v>
      </c>
      <c r="AD175" s="12">
        <f t="shared" si="23"/>
        <v>409.8384</v>
      </c>
      <c r="AE175" s="12">
        <f t="shared" si="24"/>
        <v>29.56265224</v>
      </c>
      <c r="AF175" s="61">
        <v>1185.0</v>
      </c>
      <c r="AG175" s="62">
        <f t="shared" si="25"/>
        <v>48.69188782</v>
      </c>
      <c r="AH175" s="63">
        <f t="shared" si="26"/>
        <v>305</v>
      </c>
      <c r="AI175" s="64">
        <f t="shared" si="468"/>
        <v>1386.3384</v>
      </c>
      <c r="AJ175" s="65">
        <v>1490.0</v>
      </c>
      <c r="AK175" s="66">
        <f t="shared" si="27"/>
        <v>86.96279566</v>
      </c>
      <c r="AL175" s="66"/>
      <c r="AM175" s="14">
        <f t="shared" si="365"/>
        <v>20.46979866</v>
      </c>
      <c r="AN175" s="67">
        <f t="shared" si="29"/>
        <v>38.27090784</v>
      </c>
      <c r="AO175" s="68">
        <f t="shared" si="30"/>
        <v>1.869627957</v>
      </c>
      <c r="AP175" s="69">
        <f t="shared" si="31"/>
        <v>1.036616</v>
      </c>
      <c r="AQ175" s="70">
        <f t="shared" si="32"/>
        <v>5.135</v>
      </c>
      <c r="AR175" s="71">
        <f t="shared" ref="AR175:AS175" si="561">AI175/94</f>
        <v>14.74828085</v>
      </c>
      <c r="AS175" s="71">
        <f t="shared" si="561"/>
        <v>15.85106383</v>
      </c>
      <c r="AT175" s="72">
        <f t="shared" ref="AT175:AU175" si="562">AI175/24</f>
        <v>57.7641</v>
      </c>
      <c r="AU175" s="72">
        <f t="shared" si="562"/>
        <v>62.08333333</v>
      </c>
      <c r="AV175" s="73">
        <f t="shared" ref="AV175:AW175" si="563">AI175/125</f>
        <v>11.0907072</v>
      </c>
      <c r="AW175" s="73">
        <f t="shared" si="563"/>
        <v>11.92</v>
      </c>
    </row>
    <row r="176" ht="15.75" customHeight="1">
      <c r="A176" s="2"/>
      <c r="B176" s="2" t="s">
        <v>312</v>
      </c>
      <c r="C176" s="2" t="s">
        <v>359</v>
      </c>
      <c r="D176" s="10">
        <v>465.0</v>
      </c>
      <c r="F176" s="1">
        <v>125.0</v>
      </c>
      <c r="G176" s="10">
        <v>9.4041E7</v>
      </c>
      <c r="H176" s="59">
        <v>0.18</v>
      </c>
      <c r="I176" s="2">
        <f t="shared" si="4"/>
        <v>83.7</v>
      </c>
      <c r="J176" s="2">
        <f t="shared" si="521"/>
        <v>23.25</v>
      </c>
      <c r="K176" s="1">
        <v>100.0</v>
      </c>
      <c r="L176" s="4">
        <f t="shared" si="5"/>
        <v>796.95</v>
      </c>
      <c r="M176" s="2">
        <f t="shared" si="6"/>
        <v>4.65</v>
      </c>
      <c r="N176" s="12">
        <f t="shared" si="7"/>
        <v>63.756</v>
      </c>
      <c r="O176" s="12">
        <f t="shared" si="8"/>
        <v>79.695</v>
      </c>
      <c r="P176" s="12">
        <f t="shared" si="9"/>
        <v>39.8475</v>
      </c>
      <c r="Q176" s="12">
        <f t="shared" si="10"/>
        <v>15.939</v>
      </c>
      <c r="R176" s="12">
        <f t="shared" si="48"/>
        <v>4.8825</v>
      </c>
      <c r="S176" s="12">
        <f t="shared" si="12"/>
        <v>7.9695</v>
      </c>
      <c r="T176" s="60">
        <f t="shared" si="13"/>
        <v>211.857</v>
      </c>
      <c r="U176" s="2">
        <f t="shared" si="14"/>
        <v>9.765</v>
      </c>
      <c r="V176" s="42">
        <f t="shared" si="15"/>
        <v>48.825</v>
      </c>
      <c r="W176" s="2">
        <f t="shared" si="16"/>
        <v>9.765</v>
      </c>
      <c r="X176" s="2">
        <f t="shared" si="17"/>
        <v>78.12</v>
      </c>
      <c r="Y176" s="2">
        <f t="shared" si="18"/>
        <v>146.475</v>
      </c>
      <c r="Z176" s="60">
        <f t="shared" si="19"/>
        <v>1155.282</v>
      </c>
      <c r="AA176" s="11">
        <f t="shared" si="20"/>
        <v>231.0564</v>
      </c>
      <c r="AB176" s="12">
        <f t="shared" si="49"/>
        <v>1386.3384</v>
      </c>
      <c r="AC176" s="2">
        <f t="shared" si="22"/>
        <v>976.5</v>
      </c>
      <c r="AD176" s="12">
        <f t="shared" si="23"/>
        <v>409.8384</v>
      </c>
      <c r="AE176" s="12">
        <f t="shared" si="24"/>
        <v>29.56265224</v>
      </c>
      <c r="AF176" s="61">
        <v>1185.0</v>
      </c>
      <c r="AG176" s="62">
        <f t="shared" si="25"/>
        <v>48.69188782</v>
      </c>
      <c r="AH176" s="63">
        <f t="shared" si="26"/>
        <v>305</v>
      </c>
      <c r="AI176" s="64">
        <f t="shared" si="468"/>
        <v>1386.3384</v>
      </c>
      <c r="AJ176" s="65">
        <v>1490.0</v>
      </c>
      <c r="AK176" s="66">
        <f t="shared" si="27"/>
        <v>86.96279566</v>
      </c>
      <c r="AL176" s="66"/>
      <c r="AM176" s="14">
        <f t="shared" si="365"/>
        <v>20.46979866</v>
      </c>
      <c r="AN176" s="67">
        <f t="shared" si="29"/>
        <v>38.27090784</v>
      </c>
      <c r="AO176" s="68">
        <f t="shared" si="30"/>
        <v>1.869627957</v>
      </c>
      <c r="AP176" s="69">
        <f t="shared" si="31"/>
        <v>1.036616</v>
      </c>
      <c r="AQ176" s="70">
        <f t="shared" si="32"/>
        <v>5.135</v>
      </c>
      <c r="AR176" s="71">
        <f t="shared" ref="AR176:AS176" si="564">AI176/94</f>
        <v>14.74828085</v>
      </c>
      <c r="AS176" s="71">
        <f t="shared" si="564"/>
        <v>15.85106383</v>
      </c>
      <c r="AT176" s="72">
        <f t="shared" ref="AT176:AU176" si="565">AI176/24</f>
        <v>57.7641</v>
      </c>
      <c r="AU176" s="72">
        <f t="shared" si="565"/>
        <v>62.08333333</v>
      </c>
      <c r="AV176" s="73">
        <f t="shared" ref="AV176:AW176" si="566">AI176/125</f>
        <v>11.0907072</v>
      </c>
      <c r="AW176" s="73">
        <f t="shared" si="566"/>
        <v>11.92</v>
      </c>
    </row>
    <row r="177" ht="15.75" customHeight="1">
      <c r="A177" s="2"/>
      <c r="B177" s="2" t="s">
        <v>310</v>
      </c>
      <c r="C177" s="2" t="s">
        <v>360</v>
      </c>
      <c r="D177" s="10">
        <v>465.0</v>
      </c>
      <c r="F177" s="1">
        <v>125.0</v>
      </c>
      <c r="G177" s="10">
        <v>9.4041E7</v>
      </c>
      <c r="H177" s="59">
        <v>0.18</v>
      </c>
      <c r="I177" s="2">
        <f t="shared" si="4"/>
        <v>83.7</v>
      </c>
      <c r="J177" s="2">
        <f t="shared" si="521"/>
        <v>23.25</v>
      </c>
      <c r="K177" s="1">
        <v>100.0</v>
      </c>
      <c r="L177" s="4">
        <f t="shared" si="5"/>
        <v>796.95</v>
      </c>
      <c r="M177" s="2">
        <f t="shared" si="6"/>
        <v>4.65</v>
      </c>
      <c r="N177" s="12">
        <f t="shared" si="7"/>
        <v>63.756</v>
      </c>
      <c r="O177" s="12">
        <f t="shared" si="8"/>
        <v>79.695</v>
      </c>
      <c r="P177" s="12">
        <f t="shared" si="9"/>
        <v>39.8475</v>
      </c>
      <c r="Q177" s="12">
        <f t="shared" si="10"/>
        <v>15.939</v>
      </c>
      <c r="R177" s="12">
        <f t="shared" si="48"/>
        <v>4.8825</v>
      </c>
      <c r="S177" s="12">
        <f t="shared" si="12"/>
        <v>7.9695</v>
      </c>
      <c r="T177" s="60">
        <f t="shared" si="13"/>
        <v>211.857</v>
      </c>
      <c r="U177" s="2">
        <f t="shared" si="14"/>
        <v>9.765</v>
      </c>
      <c r="V177" s="42">
        <f t="shared" si="15"/>
        <v>48.825</v>
      </c>
      <c r="W177" s="2">
        <f t="shared" si="16"/>
        <v>9.765</v>
      </c>
      <c r="X177" s="2">
        <f t="shared" si="17"/>
        <v>78.12</v>
      </c>
      <c r="Y177" s="2">
        <f t="shared" si="18"/>
        <v>146.475</v>
      </c>
      <c r="Z177" s="60">
        <f t="shared" si="19"/>
        <v>1155.282</v>
      </c>
      <c r="AA177" s="11">
        <f t="shared" si="20"/>
        <v>231.0564</v>
      </c>
      <c r="AB177" s="12">
        <f t="shared" si="49"/>
        <v>1386.3384</v>
      </c>
      <c r="AC177" s="2">
        <f t="shared" si="22"/>
        <v>976.5</v>
      </c>
      <c r="AD177" s="12">
        <f t="shared" si="23"/>
        <v>409.8384</v>
      </c>
      <c r="AE177" s="12">
        <f t="shared" si="24"/>
        <v>29.56265224</v>
      </c>
      <c r="AF177" s="61">
        <v>1185.0</v>
      </c>
      <c r="AG177" s="62">
        <f t="shared" si="25"/>
        <v>48.69188782</v>
      </c>
      <c r="AH177" s="63">
        <f t="shared" si="26"/>
        <v>305</v>
      </c>
      <c r="AI177" s="64">
        <f t="shared" si="468"/>
        <v>1386.3384</v>
      </c>
      <c r="AJ177" s="65">
        <v>1490.0</v>
      </c>
      <c r="AK177" s="66">
        <f t="shared" si="27"/>
        <v>86.96279566</v>
      </c>
      <c r="AL177" s="66"/>
      <c r="AM177" s="14">
        <f t="shared" si="365"/>
        <v>20.46979866</v>
      </c>
      <c r="AN177" s="67">
        <f t="shared" si="29"/>
        <v>38.27090784</v>
      </c>
      <c r="AO177" s="68">
        <f t="shared" si="30"/>
        <v>1.869627957</v>
      </c>
      <c r="AP177" s="69">
        <f t="shared" si="31"/>
        <v>1.036616</v>
      </c>
      <c r="AQ177" s="70">
        <f t="shared" si="32"/>
        <v>5.135</v>
      </c>
      <c r="AR177" s="71">
        <f t="shared" ref="AR177:AS177" si="567">AI177/94</f>
        <v>14.74828085</v>
      </c>
      <c r="AS177" s="71">
        <f t="shared" si="567"/>
        <v>15.85106383</v>
      </c>
      <c r="AT177" s="72">
        <f t="shared" ref="AT177:AU177" si="568">AI177/24</f>
        <v>57.7641</v>
      </c>
      <c r="AU177" s="72">
        <f t="shared" si="568"/>
        <v>62.08333333</v>
      </c>
      <c r="AV177" s="73">
        <f t="shared" ref="AV177:AW177" si="569">AI177/125</f>
        <v>11.0907072</v>
      </c>
      <c r="AW177" s="73">
        <f t="shared" si="569"/>
        <v>11.92</v>
      </c>
    </row>
    <row r="178" ht="15.75" customHeight="1">
      <c r="A178" s="2"/>
      <c r="B178" s="2" t="s">
        <v>325</v>
      </c>
      <c r="C178" s="2" t="s">
        <v>361</v>
      </c>
      <c r="D178" s="10">
        <v>465.0</v>
      </c>
      <c r="F178" s="1">
        <v>125.0</v>
      </c>
      <c r="G178" s="10">
        <v>9.4041E7</v>
      </c>
      <c r="H178" s="59">
        <v>0.18</v>
      </c>
      <c r="I178" s="2">
        <f t="shared" si="4"/>
        <v>83.7</v>
      </c>
      <c r="J178" s="2">
        <f t="shared" si="521"/>
        <v>23.25</v>
      </c>
      <c r="K178" s="1">
        <v>100.0</v>
      </c>
      <c r="L178" s="4">
        <f t="shared" si="5"/>
        <v>796.95</v>
      </c>
      <c r="M178" s="2">
        <f t="shared" si="6"/>
        <v>4.65</v>
      </c>
      <c r="N178" s="12">
        <f t="shared" si="7"/>
        <v>63.756</v>
      </c>
      <c r="O178" s="12">
        <f t="shared" si="8"/>
        <v>79.695</v>
      </c>
      <c r="P178" s="12">
        <f t="shared" si="9"/>
        <v>39.8475</v>
      </c>
      <c r="Q178" s="12">
        <f t="shared" si="10"/>
        <v>15.939</v>
      </c>
      <c r="R178" s="12">
        <f t="shared" si="48"/>
        <v>4.8825</v>
      </c>
      <c r="S178" s="12">
        <f t="shared" si="12"/>
        <v>7.9695</v>
      </c>
      <c r="T178" s="60">
        <f t="shared" si="13"/>
        <v>211.857</v>
      </c>
      <c r="U178" s="2">
        <f t="shared" si="14"/>
        <v>9.765</v>
      </c>
      <c r="V178" s="42">
        <f t="shared" si="15"/>
        <v>48.825</v>
      </c>
      <c r="W178" s="2">
        <f t="shared" si="16"/>
        <v>9.765</v>
      </c>
      <c r="X178" s="2">
        <f t="shared" si="17"/>
        <v>78.12</v>
      </c>
      <c r="Y178" s="2">
        <f t="shared" si="18"/>
        <v>146.475</v>
      </c>
      <c r="Z178" s="60">
        <f t="shared" si="19"/>
        <v>1155.282</v>
      </c>
      <c r="AA178" s="11">
        <f t="shared" si="20"/>
        <v>231.0564</v>
      </c>
      <c r="AB178" s="12">
        <f t="shared" si="49"/>
        <v>1386.3384</v>
      </c>
      <c r="AC178" s="2">
        <f t="shared" si="22"/>
        <v>976.5</v>
      </c>
      <c r="AD178" s="12">
        <f t="shared" si="23"/>
        <v>409.8384</v>
      </c>
      <c r="AE178" s="12">
        <f t="shared" si="24"/>
        <v>29.56265224</v>
      </c>
      <c r="AF178" s="61">
        <v>1185.0</v>
      </c>
      <c r="AG178" s="62">
        <f t="shared" si="25"/>
        <v>48.69188782</v>
      </c>
      <c r="AH178" s="63">
        <f t="shared" si="26"/>
        <v>305</v>
      </c>
      <c r="AI178" s="64">
        <f t="shared" si="468"/>
        <v>1386.3384</v>
      </c>
      <c r="AJ178" s="65">
        <v>1490.0</v>
      </c>
      <c r="AK178" s="66">
        <f t="shared" si="27"/>
        <v>86.96279566</v>
      </c>
      <c r="AL178" s="66"/>
      <c r="AM178" s="14">
        <f t="shared" si="365"/>
        <v>20.46979866</v>
      </c>
      <c r="AN178" s="67">
        <f t="shared" si="29"/>
        <v>38.27090784</v>
      </c>
      <c r="AO178" s="68">
        <f t="shared" si="30"/>
        <v>1.869627957</v>
      </c>
      <c r="AP178" s="69">
        <f t="shared" si="31"/>
        <v>1.036616</v>
      </c>
      <c r="AQ178" s="70">
        <f t="shared" si="32"/>
        <v>5.135</v>
      </c>
      <c r="AR178" s="71">
        <f t="shared" ref="AR178:AS178" si="570">AI178/94</f>
        <v>14.74828085</v>
      </c>
      <c r="AS178" s="71">
        <f t="shared" si="570"/>
        <v>15.85106383</v>
      </c>
      <c r="AT178" s="72">
        <f t="shared" ref="AT178:AU178" si="571">AI178/24</f>
        <v>57.7641</v>
      </c>
      <c r="AU178" s="72">
        <f t="shared" si="571"/>
        <v>62.08333333</v>
      </c>
      <c r="AV178" s="73">
        <f t="shared" ref="AV178:AW178" si="572">AI178/125</f>
        <v>11.0907072</v>
      </c>
      <c r="AW178" s="73">
        <f t="shared" si="572"/>
        <v>11.92</v>
      </c>
    </row>
    <row r="179" ht="15.0" customHeight="1">
      <c r="A179" s="42" t="s">
        <v>362</v>
      </c>
      <c r="B179" s="42" t="s">
        <v>363</v>
      </c>
      <c r="C179" s="95" t="s">
        <v>364</v>
      </c>
      <c r="D179" s="96">
        <v>2000.0</v>
      </c>
      <c r="E179" s="97">
        <v>300.0</v>
      </c>
      <c r="F179" s="44">
        <v>145.0</v>
      </c>
      <c r="G179" s="45">
        <v>9403.0</v>
      </c>
      <c r="H179" s="46">
        <v>0.18</v>
      </c>
      <c r="I179" s="42">
        <f t="shared" si="4"/>
        <v>360</v>
      </c>
      <c r="J179" s="47"/>
      <c r="K179" s="44">
        <v>100.0</v>
      </c>
      <c r="L179" s="48">
        <f t="shared" si="5"/>
        <v>2905</v>
      </c>
      <c r="M179" s="42">
        <f t="shared" si="6"/>
        <v>20</v>
      </c>
      <c r="N179" s="49">
        <f t="shared" si="7"/>
        <v>232.4</v>
      </c>
      <c r="O179" s="49">
        <f t="shared" si="8"/>
        <v>290.5</v>
      </c>
      <c r="P179" s="49">
        <f t="shared" si="9"/>
        <v>145.25</v>
      </c>
      <c r="Q179" s="49">
        <f t="shared" si="10"/>
        <v>58.1</v>
      </c>
      <c r="R179" s="49">
        <f t="shared" si="48"/>
        <v>21</v>
      </c>
      <c r="S179" s="49">
        <f t="shared" si="12"/>
        <v>29.05</v>
      </c>
      <c r="T179" s="50">
        <f t="shared" si="13"/>
        <v>775.3</v>
      </c>
      <c r="U179" s="42">
        <f t="shared" si="14"/>
        <v>42</v>
      </c>
      <c r="V179" s="42">
        <f t="shared" si="15"/>
        <v>210</v>
      </c>
      <c r="W179" s="42">
        <f t="shared" si="16"/>
        <v>42</v>
      </c>
      <c r="X179" s="42">
        <f t="shared" si="17"/>
        <v>336</v>
      </c>
      <c r="Y179" s="42">
        <f t="shared" si="18"/>
        <v>630</v>
      </c>
      <c r="Z179" s="50">
        <f t="shared" si="19"/>
        <v>4310.3</v>
      </c>
      <c r="AA179" s="51">
        <f t="shared" si="20"/>
        <v>862.06</v>
      </c>
      <c r="AB179" s="49">
        <f t="shared" si="49"/>
        <v>5172.36</v>
      </c>
      <c r="AC179" s="42">
        <f t="shared" si="22"/>
        <v>4200</v>
      </c>
      <c r="AD179" s="49">
        <f t="shared" si="23"/>
        <v>972.36</v>
      </c>
      <c r="AE179" s="49">
        <f t="shared" si="24"/>
        <v>18.79915551</v>
      </c>
      <c r="AF179" s="97">
        <v>3250.0</v>
      </c>
      <c r="AG179" s="52">
        <f t="shared" si="25"/>
        <v>11.87607573</v>
      </c>
      <c r="AH179" s="53">
        <f t="shared" si="26"/>
        <v>1840</v>
      </c>
      <c r="AI179" s="53">
        <f t="shared" si="468"/>
        <v>5172.36</v>
      </c>
      <c r="AJ179" s="54">
        <v>5090.0</v>
      </c>
      <c r="AK179" s="55">
        <f t="shared" si="27"/>
        <v>75.2151463</v>
      </c>
      <c r="AL179" s="55"/>
      <c r="AM179" s="55">
        <f t="shared" si="365"/>
        <v>36.14931238</v>
      </c>
      <c r="AN179" s="55">
        <f t="shared" si="29"/>
        <v>63.33907057</v>
      </c>
      <c r="AO179" s="56">
        <f t="shared" si="30"/>
        <v>1.752151463</v>
      </c>
      <c r="AP179" s="55">
        <f t="shared" si="31"/>
        <v>-0.8236</v>
      </c>
      <c r="AQ179" s="55">
        <f t="shared" si="32"/>
        <v>8.9</v>
      </c>
      <c r="AR179" s="57">
        <f t="shared" ref="AR179:AS179" si="573">AI179/94</f>
        <v>55.02510638</v>
      </c>
      <c r="AS179" s="57">
        <f t="shared" si="573"/>
        <v>54.14893617</v>
      </c>
      <c r="AT179" s="58">
        <f t="shared" ref="AT179:AU179" si="574">AI179/24</f>
        <v>215.515</v>
      </c>
      <c r="AU179" s="58">
        <f t="shared" si="574"/>
        <v>212.0833333</v>
      </c>
      <c r="AV179" s="58">
        <f t="shared" ref="AV179:AW179" si="575">AI179/125</f>
        <v>41.37888</v>
      </c>
      <c r="AW179" s="58">
        <f t="shared" si="575"/>
        <v>40.72</v>
      </c>
      <c r="AX179" s="47"/>
      <c r="AY179" s="47"/>
    </row>
    <row r="180" ht="15.75" customHeight="1">
      <c r="A180" s="42"/>
      <c r="B180" s="42" t="s">
        <v>365</v>
      </c>
      <c r="C180" s="95" t="s">
        <v>366</v>
      </c>
      <c r="D180" s="98">
        <v>2100.0</v>
      </c>
      <c r="E180" s="97">
        <v>300.0</v>
      </c>
      <c r="F180" s="44">
        <v>145.0</v>
      </c>
      <c r="G180" s="45">
        <v>9403.0</v>
      </c>
      <c r="H180" s="46">
        <v>0.18</v>
      </c>
      <c r="I180" s="42">
        <f t="shared" si="4"/>
        <v>378</v>
      </c>
      <c r="J180" s="47"/>
      <c r="K180" s="44">
        <v>100.0</v>
      </c>
      <c r="L180" s="48">
        <f t="shared" si="5"/>
        <v>3023</v>
      </c>
      <c r="M180" s="42">
        <f t="shared" si="6"/>
        <v>21</v>
      </c>
      <c r="N180" s="49">
        <f t="shared" si="7"/>
        <v>241.84</v>
      </c>
      <c r="O180" s="49">
        <f t="shared" si="8"/>
        <v>302.3</v>
      </c>
      <c r="P180" s="49">
        <f t="shared" si="9"/>
        <v>151.15</v>
      </c>
      <c r="Q180" s="49">
        <f t="shared" si="10"/>
        <v>60.46</v>
      </c>
      <c r="R180" s="49">
        <f t="shared" si="48"/>
        <v>22.05</v>
      </c>
      <c r="S180" s="49">
        <f t="shared" si="12"/>
        <v>30.23</v>
      </c>
      <c r="T180" s="50">
        <f t="shared" si="13"/>
        <v>806.98</v>
      </c>
      <c r="U180" s="42">
        <f t="shared" si="14"/>
        <v>44.1</v>
      </c>
      <c r="V180" s="42">
        <f t="shared" si="15"/>
        <v>220.5</v>
      </c>
      <c r="W180" s="42">
        <f t="shared" si="16"/>
        <v>44.1</v>
      </c>
      <c r="X180" s="42">
        <f t="shared" si="17"/>
        <v>352.8</v>
      </c>
      <c r="Y180" s="42">
        <f t="shared" si="18"/>
        <v>661.5</v>
      </c>
      <c r="Z180" s="50">
        <f t="shared" si="19"/>
        <v>4491.48</v>
      </c>
      <c r="AA180" s="51">
        <f t="shared" si="20"/>
        <v>898.296</v>
      </c>
      <c r="AB180" s="49">
        <f t="shared" si="49"/>
        <v>5389.776</v>
      </c>
      <c r="AC180" s="42">
        <f t="shared" si="22"/>
        <v>4410</v>
      </c>
      <c r="AD180" s="49">
        <f t="shared" si="23"/>
        <v>979.776</v>
      </c>
      <c r="AE180" s="49">
        <f t="shared" si="24"/>
        <v>18.1784178</v>
      </c>
      <c r="AF180" s="97">
        <v>3450.0</v>
      </c>
      <c r="AG180" s="52">
        <f t="shared" si="25"/>
        <v>14.12504135</v>
      </c>
      <c r="AH180" s="53">
        <f t="shared" si="26"/>
        <v>1840</v>
      </c>
      <c r="AI180" s="53">
        <f t="shared" si="468"/>
        <v>5389.776</v>
      </c>
      <c r="AJ180" s="54">
        <v>5290.0</v>
      </c>
      <c r="AK180" s="55">
        <f t="shared" si="27"/>
        <v>74.99173007</v>
      </c>
      <c r="AL180" s="55"/>
      <c r="AM180" s="55">
        <f t="shared" si="365"/>
        <v>34.7826087</v>
      </c>
      <c r="AN180" s="55">
        <f t="shared" si="29"/>
        <v>60.86668872</v>
      </c>
      <c r="AO180" s="56">
        <f t="shared" si="30"/>
        <v>1.749917301</v>
      </c>
      <c r="AP180" s="55">
        <f t="shared" si="31"/>
        <v>-0.99776</v>
      </c>
      <c r="AQ180" s="55">
        <f t="shared" si="32"/>
        <v>8.8</v>
      </c>
      <c r="AR180" s="57">
        <f t="shared" ref="AR180:AS180" si="576">AI180/94</f>
        <v>57.33804255</v>
      </c>
      <c r="AS180" s="57">
        <f t="shared" si="576"/>
        <v>56.27659574</v>
      </c>
      <c r="AT180" s="58">
        <f t="shared" ref="AT180:AU180" si="577">AI180/24</f>
        <v>224.574</v>
      </c>
      <c r="AU180" s="58">
        <f t="shared" si="577"/>
        <v>220.4166667</v>
      </c>
      <c r="AV180" s="58">
        <f t="shared" ref="AV180:AW180" si="578">AI180/125</f>
        <v>43.118208</v>
      </c>
      <c r="AW180" s="58">
        <f t="shared" si="578"/>
        <v>42.32</v>
      </c>
      <c r="AX180" s="47"/>
      <c r="AY180" s="47"/>
    </row>
    <row r="181" ht="15.75" customHeight="1">
      <c r="A181" s="42"/>
      <c r="B181" s="42" t="s">
        <v>367</v>
      </c>
      <c r="C181" s="95" t="s">
        <v>368</v>
      </c>
      <c r="D181" s="96">
        <v>2200.0</v>
      </c>
      <c r="E181" s="97">
        <v>300.0</v>
      </c>
      <c r="F181" s="44">
        <v>145.0</v>
      </c>
      <c r="G181" s="45">
        <v>9403.0</v>
      </c>
      <c r="H181" s="46">
        <v>0.18</v>
      </c>
      <c r="I181" s="42">
        <f t="shared" si="4"/>
        <v>396</v>
      </c>
      <c r="J181" s="47"/>
      <c r="K181" s="44">
        <v>100.0</v>
      </c>
      <c r="L181" s="48">
        <f t="shared" si="5"/>
        <v>3141</v>
      </c>
      <c r="M181" s="42">
        <f t="shared" si="6"/>
        <v>22</v>
      </c>
      <c r="N181" s="49">
        <f t="shared" si="7"/>
        <v>251.28</v>
      </c>
      <c r="O181" s="49">
        <f t="shared" si="8"/>
        <v>314.1</v>
      </c>
      <c r="P181" s="49">
        <f t="shared" si="9"/>
        <v>157.05</v>
      </c>
      <c r="Q181" s="49">
        <f t="shared" si="10"/>
        <v>62.82</v>
      </c>
      <c r="R181" s="49">
        <f t="shared" si="48"/>
        <v>23.1</v>
      </c>
      <c r="S181" s="49">
        <f t="shared" si="12"/>
        <v>31.41</v>
      </c>
      <c r="T181" s="50">
        <f t="shared" si="13"/>
        <v>838.66</v>
      </c>
      <c r="U181" s="42">
        <f t="shared" si="14"/>
        <v>46.2</v>
      </c>
      <c r="V181" s="42">
        <f t="shared" si="15"/>
        <v>231</v>
      </c>
      <c r="W181" s="42">
        <f t="shared" si="16"/>
        <v>46.2</v>
      </c>
      <c r="X181" s="42">
        <f t="shared" si="17"/>
        <v>369.6</v>
      </c>
      <c r="Y181" s="42">
        <f t="shared" si="18"/>
        <v>693</v>
      </c>
      <c r="Z181" s="50">
        <f t="shared" si="19"/>
        <v>4672.66</v>
      </c>
      <c r="AA181" s="51">
        <f t="shared" si="20"/>
        <v>934.532</v>
      </c>
      <c r="AB181" s="49">
        <f t="shared" si="49"/>
        <v>5607.192</v>
      </c>
      <c r="AC181" s="42">
        <f t="shared" si="22"/>
        <v>4620</v>
      </c>
      <c r="AD181" s="49">
        <f t="shared" si="23"/>
        <v>987.192</v>
      </c>
      <c r="AE181" s="49">
        <f t="shared" si="24"/>
        <v>17.60581767</v>
      </c>
      <c r="AF181" s="97">
        <v>3650.0</v>
      </c>
      <c r="AG181" s="52">
        <f t="shared" si="25"/>
        <v>16.20503025</v>
      </c>
      <c r="AH181" s="53">
        <f t="shared" si="26"/>
        <v>1840</v>
      </c>
      <c r="AI181" s="53">
        <f t="shared" si="468"/>
        <v>5607.192</v>
      </c>
      <c r="AJ181" s="54">
        <v>5490.0</v>
      </c>
      <c r="AK181" s="55">
        <f t="shared" si="27"/>
        <v>74.78510029</v>
      </c>
      <c r="AL181" s="55"/>
      <c r="AM181" s="55">
        <f t="shared" si="365"/>
        <v>33.5154827</v>
      </c>
      <c r="AN181" s="55">
        <f t="shared" si="29"/>
        <v>58.58007004</v>
      </c>
      <c r="AO181" s="56">
        <f t="shared" si="30"/>
        <v>1.747851003</v>
      </c>
      <c r="AP181" s="55">
        <f t="shared" si="31"/>
        <v>-1.17192</v>
      </c>
      <c r="AQ181" s="55">
        <f t="shared" si="32"/>
        <v>8.7</v>
      </c>
      <c r="AR181" s="57">
        <f t="shared" ref="AR181:AS181" si="579">AI181/94</f>
        <v>59.65097872</v>
      </c>
      <c r="AS181" s="57">
        <f t="shared" si="579"/>
        <v>58.40425532</v>
      </c>
      <c r="AT181" s="58">
        <f t="shared" ref="AT181:AU181" si="580">AI181/24</f>
        <v>233.633</v>
      </c>
      <c r="AU181" s="58">
        <f t="shared" si="580"/>
        <v>228.75</v>
      </c>
      <c r="AV181" s="58">
        <f t="shared" ref="AV181:AW181" si="581">AI181/125</f>
        <v>44.857536</v>
      </c>
      <c r="AW181" s="58">
        <f t="shared" si="581"/>
        <v>43.92</v>
      </c>
      <c r="AX181" s="47"/>
      <c r="AY181" s="47"/>
    </row>
    <row r="182" ht="15.0" customHeight="1">
      <c r="A182" s="2" t="s">
        <v>369</v>
      </c>
      <c r="B182" s="2" t="s">
        <v>370</v>
      </c>
      <c r="C182" s="2" t="s">
        <v>371</v>
      </c>
      <c r="D182" s="10">
        <v>445.0</v>
      </c>
      <c r="F182" s="1">
        <v>140.0</v>
      </c>
      <c r="G182" s="10">
        <v>9.4041E7</v>
      </c>
      <c r="H182" s="59">
        <v>0.18</v>
      </c>
      <c r="I182" s="2">
        <f t="shared" si="4"/>
        <v>80.1</v>
      </c>
      <c r="K182" s="94">
        <v>100.0</v>
      </c>
      <c r="L182" s="4">
        <f t="shared" si="5"/>
        <v>765.1</v>
      </c>
      <c r="M182" s="2">
        <f t="shared" si="6"/>
        <v>4.45</v>
      </c>
      <c r="N182" s="12">
        <f t="shared" si="7"/>
        <v>61.208</v>
      </c>
      <c r="O182" s="12">
        <f t="shared" si="8"/>
        <v>76.51</v>
      </c>
      <c r="P182" s="12">
        <f t="shared" si="9"/>
        <v>38.255</v>
      </c>
      <c r="Q182" s="12">
        <f t="shared" si="10"/>
        <v>15.302</v>
      </c>
      <c r="R182" s="12">
        <f t="shared" si="48"/>
        <v>4.6725</v>
      </c>
      <c r="S182" s="12">
        <f t="shared" si="12"/>
        <v>7.651</v>
      </c>
      <c r="T182" s="60">
        <f t="shared" si="13"/>
        <v>203.376</v>
      </c>
      <c r="U182" s="2">
        <f t="shared" si="14"/>
        <v>9.345</v>
      </c>
      <c r="V182" s="42">
        <f t="shared" si="15"/>
        <v>46.725</v>
      </c>
      <c r="W182" s="2">
        <f t="shared" si="16"/>
        <v>9.345</v>
      </c>
      <c r="X182" s="2">
        <f t="shared" si="17"/>
        <v>74.76</v>
      </c>
      <c r="Y182" s="2">
        <f t="shared" si="18"/>
        <v>140.175</v>
      </c>
      <c r="Z182" s="60">
        <f t="shared" si="19"/>
        <v>1108.651</v>
      </c>
      <c r="AA182" s="11">
        <f t="shared" si="20"/>
        <v>221.7302</v>
      </c>
      <c r="AB182" s="12">
        <f t="shared" si="49"/>
        <v>1330.3812</v>
      </c>
      <c r="AC182" s="2">
        <f t="shared" si="22"/>
        <v>934.5</v>
      </c>
      <c r="AD182" s="12">
        <f t="shared" si="23"/>
        <v>395.8812</v>
      </c>
      <c r="AE182" s="12">
        <f t="shared" si="24"/>
        <v>29.75697492</v>
      </c>
      <c r="AF182" s="61">
        <v>1145.0</v>
      </c>
      <c r="AG182" s="62">
        <f t="shared" si="25"/>
        <v>49.65364005</v>
      </c>
      <c r="AH182" s="63">
        <f t="shared" si="26"/>
        <v>150</v>
      </c>
      <c r="AI182" s="64">
        <v>1290.0</v>
      </c>
      <c r="AJ182" s="65">
        <v>1295.0</v>
      </c>
      <c r="AK182" s="66">
        <f t="shared" si="27"/>
        <v>69.2589204</v>
      </c>
      <c r="AL182" s="66"/>
      <c r="AM182" s="14">
        <f t="shared" si="365"/>
        <v>11.58301158</v>
      </c>
      <c r="AN182" s="67">
        <f t="shared" si="29"/>
        <v>19.60528036</v>
      </c>
      <c r="AO182" s="68">
        <f t="shared" si="30"/>
        <v>1.692589204</v>
      </c>
      <c r="AP182" s="69">
        <f t="shared" si="31"/>
        <v>-0.353812</v>
      </c>
      <c r="AQ182" s="70">
        <f t="shared" si="32"/>
        <v>3.605</v>
      </c>
      <c r="AR182" s="71">
        <f t="shared" ref="AR182:AS182" si="582">AI182/94</f>
        <v>13.72340426</v>
      </c>
      <c r="AS182" s="71">
        <f t="shared" si="582"/>
        <v>13.77659574</v>
      </c>
      <c r="AT182" s="72">
        <f t="shared" ref="AT182:AU182" si="583">AI182/24</f>
        <v>53.75</v>
      </c>
      <c r="AU182" s="72">
        <f t="shared" si="583"/>
        <v>53.95833333</v>
      </c>
      <c r="AV182" s="73">
        <f t="shared" ref="AV182:AW182" si="584">AI182/125</f>
        <v>10.32</v>
      </c>
      <c r="AW182" s="73">
        <f t="shared" si="584"/>
        <v>10.36</v>
      </c>
    </row>
    <row r="183" ht="15.75" customHeight="1">
      <c r="A183" s="2"/>
      <c r="B183" s="2" t="s">
        <v>372</v>
      </c>
      <c r="C183" s="2" t="s">
        <v>373</v>
      </c>
      <c r="D183" s="10">
        <v>445.0</v>
      </c>
      <c r="F183" s="1">
        <v>140.0</v>
      </c>
      <c r="G183" s="10">
        <v>9.4041E7</v>
      </c>
      <c r="H183" s="59">
        <v>0.18</v>
      </c>
      <c r="I183" s="2">
        <f t="shared" si="4"/>
        <v>80.1</v>
      </c>
      <c r="K183" s="94">
        <v>100.0</v>
      </c>
      <c r="L183" s="4">
        <f t="shared" si="5"/>
        <v>765.1</v>
      </c>
      <c r="M183" s="2">
        <f t="shared" si="6"/>
        <v>4.45</v>
      </c>
      <c r="N183" s="12">
        <f t="shared" si="7"/>
        <v>61.208</v>
      </c>
      <c r="O183" s="12">
        <f t="shared" si="8"/>
        <v>76.51</v>
      </c>
      <c r="P183" s="12">
        <f t="shared" si="9"/>
        <v>38.255</v>
      </c>
      <c r="Q183" s="12">
        <f t="shared" si="10"/>
        <v>15.302</v>
      </c>
      <c r="R183" s="12">
        <f t="shared" si="48"/>
        <v>4.6725</v>
      </c>
      <c r="S183" s="12">
        <f t="shared" si="12"/>
        <v>7.651</v>
      </c>
      <c r="T183" s="60">
        <f t="shared" si="13"/>
        <v>203.376</v>
      </c>
      <c r="U183" s="2">
        <f t="shared" si="14"/>
        <v>9.345</v>
      </c>
      <c r="V183" s="42">
        <f t="shared" si="15"/>
        <v>46.725</v>
      </c>
      <c r="W183" s="2">
        <f t="shared" si="16"/>
        <v>9.345</v>
      </c>
      <c r="X183" s="2">
        <f t="shared" si="17"/>
        <v>74.76</v>
      </c>
      <c r="Y183" s="2">
        <f t="shared" si="18"/>
        <v>140.175</v>
      </c>
      <c r="Z183" s="60">
        <f t="shared" si="19"/>
        <v>1108.651</v>
      </c>
      <c r="AA183" s="11">
        <f t="shared" si="20"/>
        <v>221.7302</v>
      </c>
      <c r="AB183" s="12">
        <f t="shared" si="49"/>
        <v>1330.3812</v>
      </c>
      <c r="AC183" s="2">
        <f t="shared" si="22"/>
        <v>934.5</v>
      </c>
      <c r="AD183" s="12">
        <f t="shared" si="23"/>
        <v>395.8812</v>
      </c>
      <c r="AE183" s="12">
        <f t="shared" si="24"/>
        <v>29.75697492</v>
      </c>
      <c r="AF183" s="61">
        <v>1145.0</v>
      </c>
      <c r="AG183" s="62">
        <f t="shared" si="25"/>
        <v>49.65364005</v>
      </c>
      <c r="AH183" s="63">
        <f t="shared" si="26"/>
        <v>150</v>
      </c>
      <c r="AI183" s="64">
        <v>1290.0</v>
      </c>
      <c r="AJ183" s="65">
        <v>1295.0</v>
      </c>
      <c r="AK183" s="66">
        <f t="shared" si="27"/>
        <v>69.2589204</v>
      </c>
      <c r="AL183" s="66"/>
      <c r="AM183" s="14">
        <f t="shared" si="365"/>
        <v>11.58301158</v>
      </c>
      <c r="AN183" s="67">
        <f t="shared" si="29"/>
        <v>19.60528036</v>
      </c>
      <c r="AO183" s="68">
        <f t="shared" si="30"/>
        <v>1.692589204</v>
      </c>
      <c r="AP183" s="69">
        <f t="shared" si="31"/>
        <v>-0.353812</v>
      </c>
      <c r="AQ183" s="70">
        <f t="shared" si="32"/>
        <v>3.605</v>
      </c>
      <c r="AR183" s="71">
        <f t="shared" ref="AR183:AS183" si="585">AI183/94</f>
        <v>13.72340426</v>
      </c>
      <c r="AS183" s="71">
        <f t="shared" si="585"/>
        <v>13.77659574</v>
      </c>
      <c r="AT183" s="72">
        <f t="shared" ref="AT183:AU183" si="586">AI183/24</f>
        <v>53.75</v>
      </c>
      <c r="AU183" s="72">
        <f t="shared" si="586"/>
        <v>53.95833333</v>
      </c>
      <c r="AV183" s="73">
        <f t="shared" ref="AV183:AW183" si="587">AI183/125</f>
        <v>10.32</v>
      </c>
      <c r="AW183" s="73">
        <f t="shared" si="587"/>
        <v>10.36</v>
      </c>
    </row>
    <row r="184" ht="15.75" customHeight="1">
      <c r="A184" s="2"/>
      <c r="B184" s="2" t="s">
        <v>374</v>
      </c>
      <c r="C184" s="2" t="s">
        <v>375</v>
      </c>
      <c r="D184" s="10">
        <v>445.0</v>
      </c>
      <c r="F184" s="1">
        <v>140.0</v>
      </c>
      <c r="G184" s="10">
        <v>9.4041E7</v>
      </c>
      <c r="H184" s="59">
        <v>0.18</v>
      </c>
      <c r="I184" s="2">
        <f t="shared" si="4"/>
        <v>80.1</v>
      </c>
      <c r="K184" s="94">
        <v>100.0</v>
      </c>
      <c r="L184" s="4">
        <f t="shared" si="5"/>
        <v>765.1</v>
      </c>
      <c r="M184" s="2">
        <f t="shared" si="6"/>
        <v>4.45</v>
      </c>
      <c r="N184" s="12">
        <f t="shared" si="7"/>
        <v>61.208</v>
      </c>
      <c r="O184" s="12">
        <f t="shared" si="8"/>
        <v>76.51</v>
      </c>
      <c r="P184" s="12">
        <f t="shared" si="9"/>
        <v>38.255</v>
      </c>
      <c r="Q184" s="12">
        <f t="shared" si="10"/>
        <v>15.302</v>
      </c>
      <c r="R184" s="12">
        <f t="shared" si="48"/>
        <v>4.6725</v>
      </c>
      <c r="S184" s="12">
        <f t="shared" si="12"/>
        <v>7.651</v>
      </c>
      <c r="T184" s="60">
        <f t="shared" si="13"/>
        <v>203.376</v>
      </c>
      <c r="U184" s="2">
        <f t="shared" si="14"/>
        <v>9.345</v>
      </c>
      <c r="V184" s="42">
        <f t="shared" si="15"/>
        <v>46.725</v>
      </c>
      <c r="W184" s="2">
        <f t="shared" si="16"/>
        <v>9.345</v>
      </c>
      <c r="X184" s="2">
        <f t="shared" si="17"/>
        <v>74.76</v>
      </c>
      <c r="Y184" s="2">
        <f t="shared" si="18"/>
        <v>140.175</v>
      </c>
      <c r="Z184" s="60">
        <f t="shared" si="19"/>
        <v>1108.651</v>
      </c>
      <c r="AA184" s="11">
        <f t="shared" si="20"/>
        <v>221.7302</v>
      </c>
      <c r="AB184" s="12">
        <f t="shared" si="49"/>
        <v>1330.3812</v>
      </c>
      <c r="AC184" s="2">
        <f t="shared" si="22"/>
        <v>934.5</v>
      </c>
      <c r="AD184" s="12">
        <f t="shared" si="23"/>
        <v>395.8812</v>
      </c>
      <c r="AE184" s="12">
        <f t="shared" si="24"/>
        <v>29.75697492</v>
      </c>
      <c r="AF184" s="61">
        <v>1145.0</v>
      </c>
      <c r="AG184" s="62">
        <f t="shared" si="25"/>
        <v>49.65364005</v>
      </c>
      <c r="AH184" s="63">
        <f t="shared" si="26"/>
        <v>150</v>
      </c>
      <c r="AI184" s="64">
        <v>1290.0</v>
      </c>
      <c r="AJ184" s="65">
        <v>1295.0</v>
      </c>
      <c r="AK184" s="66">
        <f t="shared" si="27"/>
        <v>69.2589204</v>
      </c>
      <c r="AL184" s="66"/>
      <c r="AM184" s="14">
        <f t="shared" si="365"/>
        <v>11.58301158</v>
      </c>
      <c r="AN184" s="67">
        <f t="shared" si="29"/>
        <v>19.60528036</v>
      </c>
      <c r="AO184" s="68">
        <f t="shared" si="30"/>
        <v>1.692589204</v>
      </c>
      <c r="AP184" s="69">
        <f t="shared" si="31"/>
        <v>-0.353812</v>
      </c>
      <c r="AQ184" s="70">
        <f t="shared" si="32"/>
        <v>3.605</v>
      </c>
      <c r="AR184" s="71">
        <f t="shared" ref="AR184:AS184" si="588">AI184/94</f>
        <v>13.72340426</v>
      </c>
      <c r="AS184" s="71">
        <f t="shared" si="588"/>
        <v>13.77659574</v>
      </c>
      <c r="AT184" s="72">
        <f t="shared" ref="AT184:AU184" si="589">AI184/24</f>
        <v>53.75</v>
      </c>
      <c r="AU184" s="72">
        <f t="shared" si="589"/>
        <v>53.95833333</v>
      </c>
      <c r="AV184" s="73">
        <f t="shared" ref="AV184:AW184" si="590">AI184/125</f>
        <v>10.32</v>
      </c>
      <c r="AW184" s="73">
        <f t="shared" si="590"/>
        <v>10.36</v>
      </c>
    </row>
    <row r="185" ht="15.0" customHeight="1">
      <c r="A185" s="2" t="s">
        <v>376</v>
      </c>
      <c r="B185" s="2" t="s">
        <v>289</v>
      </c>
      <c r="C185" s="2" t="s">
        <v>377</v>
      </c>
      <c r="D185" s="10">
        <v>490.0</v>
      </c>
      <c r="F185" s="1">
        <v>145.0</v>
      </c>
      <c r="G185" s="10">
        <v>9.4041E7</v>
      </c>
      <c r="H185" s="59">
        <v>0.18</v>
      </c>
      <c r="I185" s="2">
        <f t="shared" si="4"/>
        <v>88.2</v>
      </c>
      <c r="K185" s="1">
        <v>150.0</v>
      </c>
      <c r="L185" s="4">
        <f t="shared" si="5"/>
        <v>873.2</v>
      </c>
      <c r="M185" s="2">
        <f t="shared" si="6"/>
        <v>4.9</v>
      </c>
      <c r="N185" s="12">
        <f t="shared" si="7"/>
        <v>69.856</v>
      </c>
      <c r="O185" s="12">
        <f t="shared" si="8"/>
        <v>87.32</v>
      </c>
      <c r="P185" s="12">
        <f t="shared" si="9"/>
        <v>43.66</v>
      </c>
      <c r="Q185" s="12">
        <f t="shared" si="10"/>
        <v>17.464</v>
      </c>
      <c r="R185" s="12">
        <f t="shared" si="48"/>
        <v>5.145</v>
      </c>
      <c r="S185" s="12">
        <f t="shared" si="12"/>
        <v>8.732</v>
      </c>
      <c r="T185" s="60">
        <f t="shared" si="13"/>
        <v>231.932</v>
      </c>
      <c r="U185" s="2">
        <f t="shared" si="14"/>
        <v>10.29</v>
      </c>
      <c r="V185" s="42">
        <f t="shared" si="15"/>
        <v>51.45</v>
      </c>
      <c r="W185" s="2">
        <f t="shared" si="16"/>
        <v>10.29</v>
      </c>
      <c r="X185" s="2">
        <f t="shared" si="17"/>
        <v>82.32</v>
      </c>
      <c r="Y185" s="2">
        <f t="shared" si="18"/>
        <v>154.35</v>
      </c>
      <c r="Z185" s="60">
        <f t="shared" si="19"/>
        <v>1259.482</v>
      </c>
      <c r="AA185" s="11">
        <f t="shared" si="20"/>
        <v>251.8964</v>
      </c>
      <c r="AB185" s="12">
        <f t="shared" si="49"/>
        <v>1511.3784</v>
      </c>
      <c r="AC185" s="2">
        <f t="shared" si="22"/>
        <v>1029</v>
      </c>
      <c r="AD185" s="12">
        <f t="shared" si="23"/>
        <v>482.3784</v>
      </c>
      <c r="AE185" s="12">
        <f t="shared" si="24"/>
        <v>31.91645454</v>
      </c>
      <c r="AF185" s="61">
        <v>1485.0</v>
      </c>
      <c r="AG185" s="62">
        <f t="shared" si="25"/>
        <v>70.06413193</v>
      </c>
      <c r="AH185" s="63">
        <f t="shared" si="26"/>
        <v>10</v>
      </c>
      <c r="AI185" s="65">
        <v>1790.0</v>
      </c>
      <c r="AJ185" s="65">
        <v>1495.0</v>
      </c>
      <c r="AK185" s="66">
        <f t="shared" si="27"/>
        <v>71.20934494</v>
      </c>
      <c r="AL185" s="66"/>
      <c r="AM185" s="14">
        <f t="shared" si="365"/>
        <v>0.6688963211</v>
      </c>
      <c r="AN185" s="67">
        <f t="shared" si="29"/>
        <v>1.14521301</v>
      </c>
      <c r="AO185" s="68">
        <f t="shared" si="30"/>
        <v>1.712093449</v>
      </c>
      <c r="AP185" s="69">
        <f t="shared" si="31"/>
        <v>-0.163784</v>
      </c>
      <c r="AQ185" s="70">
        <f t="shared" si="32"/>
        <v>4.66</v>
      </c>
      <c r="AR185" s="71">
        <f t="shared" ref="AR185:AS185" si="591">AI185/94</f>
        <v>19.04255319</v>
      </c>
      <c r="AS185" s="71">
        <f t="shared" si="591"/>
        <v>15.90425532</v>
      </c>
      <c r="AT185" s="72">
        <f t="shared" ref="AT185:AU185" si="592">AI185/24</f>
        <v>74.58333333</v>
      </c>
      <c r="AU185" s="72">
        <f t="shared" si="592"/>
        <v>62.29166667</v>
      </c>
      <c r="AV185" s="73">
        <f t="shared" ref="AV185:AW185" si="593">AI185/125</f>
        <v>14.32</v>
      </c>
      <c r="AW185" s="73">
        <f t="shared" si="593"/>
        <v>11.96</v>
      </c>
    </row>
    <row r="186" ht="15.75" customHeight="1">
      <c r="A186" s="2"/>
      <c r="B186" s="2" t="s">
        <v>312</v>
      </c>
      <c r="C186" s="2" t="s">
        <v>378</v>
      </c>
      <c r="D186" s="10">
        <v>490.0</v>
      </c>
      <c r="F186" s="1">
        <v>145.0</v>
      </c>
      <c r="G186" s="10">
        <v>9.4041E7</v>
      </c>
      <c r="H186" s="59">
        <v>0.18</v>
      </c>
      <c r="I186" s="2">
        <f t="shared" si="4"/>
        <v>88.2</v>
      </c>
      <c r="K186" s="1">
        <v>150.0</v>
      </c>
      <c r="L186" s="4">
        <f t="shared" si="5"/>
        <v>873.2</v>
      </c>
      <c r="M186" s="2">
        <f t="shared" si="6"/>
        <v>4.9</v>
      </c>
      <c r="N186" s="12">
        <f t="shared" si="7"/>
        <v>69.856</v>
      </c>
      <c r="O186" s="12">
        <f t="shared" si="8"/>
        <v>87.32</v>
      </c>
      <c r="P186" s="12">
        <f t="shared" si="9"/>
        <v>43.66</v>
      </c>
      <c r="Q186" s="12">
        <f t="shared" si="10"/>
        <v>17.464</v>
      </c>
      <c r="R186" s="12">
        <f t="shared" si="48"/>
        <v>5.145</v>
      </c>
      <c r="S186" s="12">
        <f t="shared" si="12"/>
        <v>8.732</v>
      </c>
      <c r="T186" s="60">
        <f t="shared" si="13"/>
        <v>231.932</v>
      </c>
      <c r="U186" s="2">
        <f t="shared" si="14"/>
        <v>10.29</v>
      </c>
      <c r="V186" s="42">
        <f t="shared" si="15"/>
        <v>51.45</v>
      </c>
      <c r="W186" s="2">
        <f t="shared" si="16"/>
        <v>10.29</v>
      </c>
      <c r="X186" s="2">
        <f t="shared" si="17"/>
        <v>82.32</v>
      </c>
      <c r="Y186" s="2">
        <f t="shared" si="18"/>
        <v>154.35</v>
      </c>
      <c r="Z186" s="60">
        <f t="shared" si="19"/>
        <v>1259.482</v>
      </c>
      <c r="AA186" s="11">
        <f t="shared" si="20"/>
        <v>251.8964</v>
      </c>
      <c r="AB186" s="12">
        <f t="shared" si="49"/>
        <v>1511.3784</v>
      </c>
      <c r="AC186" s="2">
        <f t="shared" si="22"/>
        <v>1029</v>
      </c>
      <c r="AD186" s="12">
        <f t="shared" si="23"/>
        <v>482.3784</v>
      </c>
      <c r="AE186" s="12">
        <f t="shared" si="24"/>
        <v>31.91645454</v>
      </c>
      <c r="AF186" s="61">
        <v>1485.0</v>
      </c>
      <c r="AG186" s="62">
        <f t="shared" si="25"/>
        <v>70.06413193</v>
      </c>
      <c r="AH186" s="63">
        <f t="shared" si="26"/>
        <v>10</v>
      </c>
      <c r="AI186" s="65">
        <v>1790.0</v>
      </c>
      <c r="AJ186" s="65">
        <v>1495.0</v>
      </c>
      <c r="AK186" s="66">
        <f t="shared" si="27"/>
        <v>71.20934494</v>
      </c>
      <c r="AL186" s="66"/>
      <c r="AM186" s="14">
        <f t="shared" si="365"/>
        <v>0.6688963211</v>
      </c>
      <c r="AN186" s="67">
        <f t="shared" si="29"/>
        <v>1.14521301</v>
      </c>
      <c r="AO186" s="68">
        <f t="shared" si="30"/>
        <v>1.712093449</v>
      </c>
      <c r="AP186" s="69">
        <f t="shared" si="31"/>
        <v>-0.163784</v>
      </c>
      <c r="AQ186" s="70">
        <f t="shared" si="32"/>
        <v>4.66</v>
      </c>
      <c r="AR186" s="71">
        <f t="shared" ref="AR186:AS186" si="594">AI186/94</f>
        <v>19.04255319</v>
      </c>
      <c r="AS186" s="71">
        <f t="shared" si="594"/>
        <v>15.90425532</v>
      </c>
      <c r="AT186" s="72">
        <f t="shared" ref="AT186:AU186" si="595">AI186/24</f>
        <v>74.58333333</v>
      </c>
      <c r="AU186" s="72">
        <f t="shared" si="595"/>
        <v>62.29166667</v>
      </c>
      <c r="AV186" s="73">
        <f t="shared" ref="AV186:AW186" si="596">AI186/125</f>
        <v>14.32</v>
      </c>
      <c r="AW186" s="73">
        <f t="shared" si="596"/>
        <v>11.96</v>
      </c>
    </row>
    <row r="187" ht="15.75" customHeight="1">
      <c r="A187" s="2"/>
      <c r="B187" s="2" t="s">
        <v>333</v>
      </c>
      <c r="C187" s="2" t="s">
        <v>379</v>
      </c>
      <c r="D187" s="10">
        <v>490.0</v>
      </c>
      <c r="F187" s="1">
        <v>145.0</v>
      </c>
      <c r="G187" s="10">
        <v>9.4041E7</v>
      </c>
      <c r="H187" s="59">
        <v>0.18</v>
      </c>
      <c r="I187" s="2">
        <f t="shared" si="4"/>
        <v>88.2</v>
      </c>
      <c r="K187" s="1">
        <v>150.0</v>
      </c>
      <c r="L187" s="4">
        <f t="shared" si="5"/>
        <v>873.2</v>
      </c>
      <c r="M187" s="2">
        <f t="shared" si="6"/>
        <v>4.9</v>
      </c>
      <c r="N187" s="12">
        <f t="shared" si="7"/>
        <v>69.856</v>
      </c>
      <c r="O187" s="12">
        <f t="shared" si="8"/>
        <v>87.32</v>
      </c>
      <c r="P187" s="12">
        <f t="shared" si="9"/>
        <v>43.66</v>
      </c>
      <c r="Q187" s="12">
        <f t="shared" si="10"/>
        <v>17.464</v>
      </c>
      <c r="R187" s="12">
        <f t="shared" si="48"/>
        <v>5.145</v>
      </c>
      <c r="S187" s="12">
        <f t="shared" si="12"/>
        <v>8.732</v>
      </c>
      <c r="T187" s="60">
        <f t="shared" si="13"/>
        <v>231.932</v>
      </c>
      <c r="U187" s="2">
        <f t="shared" si="14"/>
        <v>10.29</v>
      </c>
      <c r="V187" s="42">
        <f t="shared" si="15"/>
        <v>51.45</v>
      </c>
      <c r="W187" s="2">
        <f t="shared" si="16"/>
        <v>10.29</v>
      </c>
      <c r="X187" s="2">
        <f t="shared" si="17"/>
        <v>82.32</v>
      </c>
      <c r="Y187" s="2">
        <f t="shared" si="18"/>
        <v>154.35</v>
      </c>
      <c r="Z187" s="60">
        <f t="shared" si="19"/>
        <v>1259.482</v>
      </c>
      <c r="AA187" s="11">
        <f t="shared" si="20"/>
        <v>251.8964</v>
      </c>
      <c r="AB187" s="12">
        <f t="shared" si="49"/>
        <v>1511.3784</v>
      </c>
      <c r="AC187" s="2">
        <f t="shared" si="22"/>
        <v>1029</v>
      </c>
      <c r="AD187" s="12">
        <f t="shared" si="23"/>
        <v>482.3784</v>
      </c>
      <c r="AE187" s="12">
        <f t="shared" si="24"/>
        <v>31.91645454</v>
      </c>
      <c r="AF187" s="61">
        <v>1485.0</v>
      </c>
      <c r="AG187" s="62">
        <f t="shared" si="25"/>
        <v>70.06413193</v>
      </c>
      <c r="AH187" s="63">
        <f t="shared" si="26"/>
        <v>10</v>
      </c>
      <c r="AI187" s="65">
        <v>1790.0</v>
      </c>
      <c r="AJ187" s="65">
        <v>1495.0</v>
      </c>
      <c r="AK187" s="66">
        <f t="shared" si="27"/>
        <v>71.20934494</v>
      </c>
      <c r="AL187" s="66"/>
      <c r="AM187" s="14">
        <f t="shared" si="365"/>
        <v>0.6688963211</v>
      </c>
      <c r="AN187" s="67">
        <f t="shared" si="29"/>
        <v>1.14521301</v>
      </c>
      <c r="AO187" s="68">
        <f t="shared" si="30"/>
        <v>1.712093449</v>
      </c>
      <c r="AP187" s="69">
        <f t="shared" si="31"/>
        <v>-0.163784</v>
      </c>
      <c r="AQ187" s="70">
        <f t="shared" si="32"/>
        <v>4.66</v>
      </c>
      <c r="AR187" s="71">
        <f t="shared" ref="AR187:AS187" si="597">AI187/94</f>
        <v>19.04255319</v>
      </c>
      <c r="AS187" s="71">
        <f t="shared" si="597"/>
        <v>15.90425532</v>
      </c>
      <c r="AT187" s="72">
        <f t="shared" ref="AT187:AU187" si="598">AI187/24</f>
        <v>74.58333333</v>
      </c>
      <c r="AU187" s="72">
        <f t="shared" si="598"/>
        <v>62.29166667</v>
      </c>
      <c r="AV187" s="73">
        <f t="shared" ref="AV187:AW187" si="599">AI187/125</f>
        <v>14.32</v>
      </c>
      <c r="AW187" s="73">
        <f t="shared" si="599"/>
        <v>11.96</v>
      </c>
    </row>
    <row r="188" ht="15.75" customHeight="1">
      <c r="A188" s="2"/>
      <c r="B188" s="2" t="s">
        <v>310</v>
      </c>
      <c r="C188" s="2" t="s">
        <v>380</v>
      </c>
      <c r="D188" s="10">
        <v>490.0</v>
      </c>
      <c r="F188" s="1">
        <v>145.0</v>
      </c>
      <c r="G188" s="10">
        <v>9.4041E7</v>
      </c>
      <c r="H188" s="59">
        <v>0.18</v>
      </c>
      <c r="I188" s="2">
        <f t="shared" si="4"/>
        <v>88.2</v>
      </c>
      <c r="K188" s="1">
        <v>150.0</v>
      </c>
      <c r="L188" s="4">
        <f t="shared" si="5"/>
        <v>873.2</v>
      </c>
      <c r="M188" s="2">
        <f t="shared" si="6"/>
        <v>4.9</v>
      </c>
      <c r="N188" s="12">
        <f t="shared" si="7"/>
        <v>69.856</v>
      </c>
      <c r="O188" s="12">
        <f t="shared" si="8"/>
        <v>87.32</v>
      </c>
      <c r="P188" s="12">
        <f t="shared" si="9"/>
        <v>43.66</v>
      </c>
      <c r="Q188" s="12">
        <f t="shared" si="10"/>
        <v>17.464</v>
      </c>
      <c r="R188" s="12">
        <f t="shared" si="48"/>
        <v>5.145</v>
      </c>
      <c r="S188" s="12">
        <f t="shared" si="12"/>
        <v>8.732</v>
      </c>
      <c r="T188" s="60">
        <f t="shared" si="13"/>
        <v>231.932</v>
      </c>
      <c r="U188" s="2">
        <f t="shared" si="14"/>
        <v>10.29</v>
      </c>
      <c r="V188" s="42">
        <f t="shared" si="15"/>
        <v>51.45</v>
      </c>
      <c r="W188" s="2">
        <f t="shared" si="16"/>
        <v>10.29</v>
      </c>
      <c r="X188" s="2">
        <f t="shared" si="17"/>
        <v>82.32</v>
      </c>
      <c r="Y188" s="2">
        <f t="shared" si="18"/>
        <v>154.35</v>
      </c>
      <c r="Z188" s="60">
        <f t="shared" si="19"/>
        <v>1259.482</v>
      </c>
      <c r="AA188" s="11">
        <f t="shared" si="20"/>
        <v>251.8964</v>
      </c>
      <c r="AB188" s="12">
        <f t="shared" si="49"/>
        <v>1511.3784</v>
      </c>
      <c r="AC188" s="2">
        <f t="shared" si="22"/>
        <v>1029</v>
      </c>
      <c r="AD188" s="12">
        <f t="shared" si="23"/>
        <v>482.3784</v>
      </c>
      <c r="AE188" s="12">
        <f t="shared" si="24"/>
        <v>31.91645454</v>
      </c>
      <c r="AF188" s="61">
        <v>1485.0</v>
      </c>
      <c r="AG188" s="62">
        <f t="shared" si="25"/>
        <v>70.06413193</v>
      </c>
      <c r="AH188" s="63">
        <f t="shared" si="26"/>
        <v>10</v>
      </c>
      <c r="AI188" s="65">
        <v>1790.0</v>
      </c>
      <c r="AJ188" s="65">
        <v>1495.0</v>
      </c>
      <c r="AK188" s="66">
        <f t="shared" si="27"/>
        <v>71.20934494</v>
      </c>
      <c r="AL188" s="66"/>
      <c r="AM188" s="14">
        <f t="shared" si="365"/>
        <v>0.6688963211</v>
      </c>
      <c r="AN188" s="67">
        <f t="shared" si="29"/>
        <v>1.14521301</v>
      </c>
      <c r="AO188" s="68">
        <f t="shared" si="30"/>
        <v>1.712093449</v>
      </c>
      <c r="AP188" s="69">
        <f t="shared" si="31"/>
        <v>-0.163784</v>
      </c>
      <c r="AQ188" s="70">
        <f t="shared" si="32"/>
        <v>4.66</v>
      </c>
      <c r="AR188" s="71">
        <f t="shared" ref="AR188:AS188" si="600">AI188/94</f>
        <v>19.04255319</v>
      </c>
      <c r="AS188" s="71">
        <f t="shared" si="600"/>
        <v>15.90425532</v>
      </c>
      <c r="AT188" s="72">
        <f t="shared" ref="AT188:AU188" si="601">AI188/24</f>
        <v>74.58333333</v>
      </c>
      <c r="AU188" s="72">
        <f t="shared" si="601"/>
        <v>62.29166667</v>
      </c>
      <c r="AV188" s="73">
        <f t="shared" ref="AV188:AW188" si="602">AI188/125</f>
        <v>14.32</v>
      </c>
      <c r="AW188" s="73">
        <f t="shared" si="602"/>
        <v>11.96</v>
      </c>
    </row>
    <row r="189" ht="15.75" customHeight="1">
      <c r="A189" s="2"/>
      <c r="B189" s="2" t="s">
        <v>285</v>
      </c>
      <c r="C189" s="2" t="s">
        <v>381</v>
      </c>
      <c r="D189" s="10">
        <v>490.0</v>
      </c>
      <c r="F189" s="1">
        <v>145.0</v>
      </c>
      <c r="G189" s="10">
        <v>9.4041E7</v>
      </c>
      <c r="H189" s="59">
        <v>0.18</v>
      </c>
      <c r="I189" s="2">
        <f t="shared" si="4"/>
        <v>88.2</v>
      </c>
      <c r="K189" s="1">
        <v>150.0</v>
      </c>
      <c r="L189" s="4">
        <f t="shared" si="5"/>
        <v>873.2</v>
      </c>
      <c r="M189" s="2">
        <f t="shared" si="6"/>
        <v>4.9</v>
      </c>
      <c r="N189" s="12">
        <f t="shared" si="7"/>
        <v>69.856</v>
      </c>
      <c r="O189" s="12">
        <f t="shared" si="8"/>
        <v>87.32</v>
      </c>
      <c r="P189" s="12">
        <f t="shared" si="9"/>
        <v>43.66</v>
      </c>
      <c r="Q189" s="12">
        <f t="shared" si="10"/>
        <v>17.464</v>
      </c>
      <c r="R189" s="12">
        <f t="shared" si="48"/>
        <v>5.145</v>
      </c>
      <c r="S189" s="12">
        <f t="shared" si="12"/>
        <v>8.732</v>
      </c>
      <c r="T189" s="60">
        <f t="shared" si="13"/>
        <v>231.932</v>
      </c>
      <c r="U189" s="2">
        <f t="shared" si="14"/>
        <v>10.29</v>
      </c>
      <c r="V189" s="42">
        <f t="shared" si="15"/>
        <v>51.45</v>
      </c>
      <c r="W189" s="2">
        <f t="shared" si="16"/>
        <v>10.29</v>
      </c>
      <c r="X189" s="2">
        <f t="shared" si="17"/>
        <v>82.32</v>
      </c>
      <c r="Y189" s="2">
        <f t="shared" si="18"/>
        <v>154.35</v>
      </c>
      <c r="Z189" s="60">
        <f t="shared" si="19"/>
        <v>1259.482</v>
      </c>
      <c r="AA189" s="11">
        <f t="shared" si="20"/>
        <v>251.8964</v>
      </c>
      <c r="AB189" s="12">
        <f t="shared" si="49"/>
        <v>1511.3784</v>
      </c>
      <c r="AC189" s="2">
        <f t="shared" si="22"/>
        <v>1029</v>
      </c>
      <c r="AD189" s="12">
        <f t="shared" si="23"/>
        <v>482.3784</v>
      </c>
      <c r="AE189" s="12">
        <f t="shared" si="24"/>
        <v>31.91645454</v>
      </c>
      <c r="AF189" s="61">
        <v>1485.0</v>
      </c>
      <c r="AG189" s="62">
        <f t="shared" si="25"/>
        <v>70.06413193</v>
      </c>
      <c r="AH189" s="63">
        <f t="shared" si="26"/>
        <v>10</v>
      </c>
      <c r="AI189" s="65">
        <v>1790.0</v>
      </c>
      <c r="AJ189" s="65">
        <v>1495.0</v>
      </c>
      <c r="AK189" s="66">
        <f t="shared" si="27"/>
        <v>71.20934494</v>
      </c>
      <c r="AL189" s="66"/>
      <c r="AM189" s="14">
        <f t="shared" si="365"/>
        <v>0.6688963211</v>
      </c>
      <c r="AN189" s="67">
        <f t="shared" si="29"/>
        <v>1.14521301</v>
      </c>
      <c r="AO189" s="68">
        <f t="shared" si="30"/>
        <v>1.712093449</v>
      </c>
      <c r="AP189" s="69">
        <f t="shared" si="31"/>
        <v>-0.163784</v>
      </c>
      <c r="AQ189" s="70">
        <f t="shared" si="32"/>
        <v>4.66</v>
      </c>
      <c r="AR189" s="71">
        <f t="shared" ref="AR189:AS189" si="603">AI189/94</f>
        <v>19.04255319</v>
      </c>
      <c r="AS189" s="71">
        <f t="shared" si="603"/>
        <v>15.90425532</v>
      </c>
      <c r="AT189" s="72">
        <f t="shared" ref="AT189:AU189" si="604">AI189/24</f>
        <v>74.58333333</v>
      </c>
      <c r="AU189" s="72">
        <f t="shared" si="604"/>
        <v>62.29166667</v>
      </c>
      <c r="AV189" s="73">
        <f t="shared" ref="AV189:AW189" si="605">AI189/125</f>
        <v>14.32</v>
      </c>
      <c r="AW189" s="73">
        <f t="shared" si="605"/>
        <v>11.96</v>
      </c>
    </row>
    <row r="190" ht="15.0" customHeight="1">
      <c r="A190" s="2" t="s">
        <v>382</v>
      </c>
      <c r="B190" s="2" t="s">
        <v>383</v>
      </c>
      <c r="C190" s="2" t="s">
        <v>384</v>
      </c>
      <c r="D190" s="10">
        <v>445.0</v>
      </c>
      <c r="F190" s="1">
        <v>145.0</v>
      </c>
      <c r="G190" s="10">
        <v>9.4041E7</v>
      </c>
      <c r="H190" s="59">
        <v>0.18</v>
      </c>
      <c r="I190" s="2">
        <f t="shared" si="4"/>
        <v>80.1</v>
      </c>
      <c r="K190" s="1">
        <v>150.0</v>
      </c>
      <c r="L190" s="4">
        <f t="shared" si="5"/>
        <v>820.1</v>
      </c>
      <c r="M190" s="2">
        <f t="shared" si="6"/>
        <v>4.45</v>
      </c>
      <c r="N190" s="12">
        <f t="shared" si="7"/>
        <v>65.608</v>
      </c>
      <c r="O190" s="12">
        <f t="shared" si="8"/>
        <v>82.01</v>
      </c>
      <c r="P190" s="12">
        <f t="shared" si="9"/>
        <v>41.005</v>
      </c>
      <c r="Q190" s="12">
        <f t="shared" si="10"/>
        <v>16.402</v>
      </c>
      <c r="R190" s="12">
        <f t="shared" si="48"/>
        <v>4.6725</v>
      </c>
      <c r="S190" s="12">
        <f t="shared" si="12"/>
        <v>8.201</v>
      </c>
      <c r="T190" s="60">
        <f t="shared" si="13"/>
        <v>217.676</v>
      </c>
      <c r="U190" s="2">
        <f t="shared" si="14"/>
        <v>9.345</v>
      </c>
      <c r="V190" s="42">
        <f t="shared" si="15"/>
        <v>46.725</v>
      </c>
      <c r="W190" s="2">
        <f t="shared" si="16"/>
        <v>9.345</v>
      </c>
      <c r="X190" s="2">
        <f t="shared" si="17"/>
        <v>74.76</v>
      </c>
      <c r="Y190" s="2">
        <f t="shared" si="18"/>
        <v>140.175</v>
      </c>
      <c r="Z190" s="60">
        <f t="shared" si="19"/>
        <v>1177.951</v>
      </c>
      <c r="AA190" s="11">
        <f t="shared" si="20"/>
        <v>235.5902</v>
      </c>
      <c r="AB190" s="12">
        <f t="shared" si="49"/>
        <v>1413.5412</v>
      </c>
      <c r="AC190" s="2">
        <f t="shared" si="22"/>
        <v>934.5</v>
      </c>
      <c r="AD190" s="12">
        <f t="shared" si="23"/>
        <v>479.0412</v>
      </c>
      <c r="AE190" s="12">
        <f t="shared" si="24"/>
        <v>33.88944022</v>
      </c>
      <c r="AF190" s="61">
        <v>1285.0</v>
      </c>
      <c r="AG190" s="62">
        <f t="shared" si="25"/>
        <v>56.68820876</v>
      </c>
      <c r="AH190" s="63">
        <f t="shared" si="26"/>
        <v>110</v>
      </c>
      <c r="AI190" s="64">
        <f t="shared" ref="AI190:AI202" si="609">AB190</f>
        <v>1413.5412</v>
      </c>
      <c r="AJ190" s="65">
        <v>1395.0</v>
      </c>
      <c r="AK190" s="66">
        <f t="shared" si="27"/>
        <v>70.10120717</v>
      </c>
      <c r="AL190" s="66"/>
      <c r="AM190" s="14">
        <f t="shared" si="365"/>
        <v>7.885304659</v>
      </c>
      <c r="AN190" s="67">
        <f t="shared" si="29"/>
        <v>13.41299841</v>
      </c>
      <c r="AO190" s="68">
        <f t="shared" si="30"/>
        <v>1.701012072</v>
      </c>
      <c r="AP190" s="69">
        <f t="shared" si="31"/>
        <v>-0.185412</v>
      </c>
      <c r="AQ190" s="70">
        <f t="shared" si="32"/>
        <v>4.605</v>
      </c>
      <c r="AR190" s="71">
        <f t="shared" ref="AR190:AS190" si="606">AI190/94</f>
        <v>15.03767234</v>
      </c>
      <c r="AS190" s="71">
        <f t="shared" si="606"/>
        <v>14.84042553</v>
      </c>
      <c r="AT190" s="72">
        <f t="shared" ref="AT190:AU190" si="607">AI190/24</f>
        <v>58.89755</v>
      </c>
      <c r="AU190" s="72">
        <f t="shared" si="607"/>
        <v>58.125</v>
      </c>
      <c r="AV190" s="73">
        <f t="shared" ref="AV190:AW190" si="608">AI190/125</f>
        <v>11.3083296</v>
      </c>
      <c r="AW190" s="73">
        <f t="shared" si="608"/>
        <v>11.16</v>
      </c>
    </row>
    <row r="191" ht="15.75" customHeight="1">
      <c r="A191" s="2"/>
      <c r="B191" s="2" t="s">
        <v>278</v>
      </c>
      <c r="C191" s="2" t="s">
        <v>385</v>
      </c>
      <c r="D191" s="10">
        <v>445.0</v>
      </c>
      <c r="F191" s="1">
        <v>145.0</v>
      </c>
      <c r="G191" s="10">
        <v>9.4041E7</v>
      </c>
      <c r="H191" s="59">
        <v>0.18</v>
      </c>
      <c r="I191" s="2">
        <f t="shared" si="4"/>
        <v>80.1</v>
      </c>
      <c r="K191" s="1">
        <v>150.0</v>
      </c>
      <c r="L191" s="4">
        <f t="shared" si="5"/>
        <v>820.1</v>
      </c>
      <c r="M191" s="2">
        <f t="shared" si="6"/>
        <v>4.45</v>
      </c>
      <c r="N191" s="12">
        <f t="shared" si="7"/>
        <v>65.608</v>
      </c>
      <c r="O191" s="12">
        <f t="shared" si="8"/>
        <v>82.01</v>
      </c>
      <c r="P191" s="12">
        <f t="shared" si="9"/>
        <v>41.005</v>
      </c>
      <c r="Q191" s="12">
        <f t="shared" si="10"/>
        <v>16.402</v>
      </c>
      <c r="R191" s="12">
        <f t="shared" si="48"/>
        <v>4.6725</v>
      </c>
      <c r="S191" s="12">
        <f t="shared" si="12"/>
        <v>8.201</v>
      </c>
      <c r="T191" s="60">
        <f t="shared" si="13"/>
        <v>217.676</v>
      </c>
      <c r="U191" s="2">
        <f t="shared" si="14"/>
        <v>9.345</v>
      </c>
      <c r="V191" s="42">
        <f t="shared" si="15"/>
        <v>46.725</v>
      </c>
      <c r="W191" s="2">
        <f t="shared" si="16"/>
        <v>9.345</v>
      </c>
      <c r="X191" s="2">
        <f t="shared" si="17"/>
        <v>74.76</v>
      </c>
      <c r="Y191" s="2">
        <f t="shared" si="18"/>
        <v>140.175</v>
      </c>
      <c r="Z191" s="60">
        <f t="shared" si="19"/>
        <v>1177.951</v>
      </c>
      <c r="AA191" s="11">
        <f t="shared" si="20"/>
        <v>235.5902</v>
      </c>
      <c r="AB191" s="12">
        <f t="shared" si="49"/>
        <v>1413.5412</v>
      </c>
      <c r="AC191" s="2">
        <f t="shared" si="22"/>
        <v>934.5</v>
      </c>
      <c r="AD191" s="12">
        <f t="shared" si="23"/>
        <v>479.0412</v>
      </c>
      <c r="AE191" s="12">
        <f t="shared" si="24"/>
        <v>33.88944022</v>
      </c>
      <c r="AF191" s="61">
        <v>1285.0</v>
      </c>
      <c r="AG191" s="62">
        <f t="shared" si="25"/>
        <v>56.68820876</v>
      </c>
      <c r="AH191" s="63">
        <f t="shared" si="26"/>
        <v>110</v>
      </c>
      <c r="AI191" s="64">
        <f t="shared" si="609"/>
        <v>1413.5412</v>
      </c>
      <c r="AJ191" s="65">
        <v>1395.0</v>
      </c>
      <c r="AK191" s="66">
        <f t="shared" si="27"/>
        <v>70.10120717</v>
      </c>
      <c r="AL191" s="66"/>
      <c r="AM191" s="14">
        <f t="shared" si="365"/>
        <v>7.885304659</v>
      </c>
      <c r="AN191" s="67">
        <f t="shared" si="29"/>
        <v>13.41299841</v>
      </c>
      <c r="AO191" s="68">
        <f t="shared" si="30"/>
        <v>1.701012072</v>
      </c>
      <c r="AP191" s="69">
        <f t="shared" si="31"/>
        <v>-0.185412</v>
      </c>
      <c r="AQ191" s="70">
        <f t="shared" si="32"/>
        <v>4.605</v>
      </c>
      <c r="AR191" s="71">
        <f t="shared" ref="AR191:AS191" si="610">AI191/94</f>
        <v>15.03767234</v>
      </c>
      <c r="AS191" s="71">
        <f t="shared" si="610"/>
        <v>14.84042553</v>
      </c>
      <c r="AT191" s="72">
        <f t="shared" ref="AT191:AU191" si="611">AI191/24</f>
        <v>58.89755</v>
      </c>
      <c r="AU191" s="72">
        <f t="shared" si="611"/>
        <v>58.125</v>
      </c>
      <c r="AV191" s="73">
        <f t="shared" ref="AV191:AW191" si="612">AI191/125</f>
        <v>11.3083296</v>
      </c>
      <c r="AW191" s="73">
        <f t="shared" si="612"/>
        <v>11.16</v>
      </c>
    </row>
    <row r="192" ht="15.75" customHeight="1">
      <c r="A192" s="2"/>
      <c r="B192" s="2" t="s">
        <v>293</v>
      </c>
      <c r="C192" s="2" t="s">
        <v>386</v>
      </c>
      <c r="D192" s="10">
        <v>445.0</v>
      </c>
      <c r="F192" s="1">
        <v>145.0</v>
      </c>
      <c r="G192" s="10">
        <v>9.4041E7</v>
      </c>
      <c r="H192" s="59">
        <v>0.18</v>
      </c>
      <c r="I192" s="2">
        <f t="shared" si="4"/>
        <v>80.1</v>
      </c>
      <c r="K192" s="1">
        <v>150.0</v>
      </c>
      <c r="L192" s="4">
        <f t="shared" si="5"/>
        <v>820.1</v>
      </c>
      <c r="M192" s="2">
        <f t="shared" si="6"/>
        <v>4.45</v>
      </c>
      <c r="N192" s="12">
        <f t="shared" si="7"/>
        <v>65.608</v>
      </c>
      <c r="O192" s="12">
        <f t="shared" si="8"/>
        <v>82.01</v>
      </c>
      <c r="P192" s="12">
        <f t="shared" si="9"/>
        <v>41.005</v>
      </c>
      <c r="Q192" s="12">
        <f t="shared" si="10"/>
        <v>16.402</v>
      </c>
      <c r="R192" s="12">
        <f t="shared" si="48"/>
        <v>4.6725</v>
      </c>
      <c r="S192" s="12">
        <f t="shared" si="12"/>
        <v>8.201</v>
      </c>
      <c r="T192" s="60">
        <f t="shared" si="13"/>
        <v>217.676</v>
      </c>
      <c r="U192" s="2">
        <f t="shared" si="14"/>
        <v>9.345</v>
      </c>
      <c r="V192" s="42">
        <f t="shared" si="15"/>
        <v>46.725</v>
      </c>
      <c r="W192" s="2">
        <f t="shared" si="16"/>
        <v>9.345</v>
      </c>
      <c r="X192" s="2">
        <f t="shared" si="17"/>
        <v>74.76</v>
      </c>
      <c r="Y192" s="2">
        <f t="shared" si="18"/>
        <v>140.175</v>
      </c>
      <c r="Z192" s="60">
        <f t="shared" si="19"/>
        <v>1177.951</v>
      </c>
      <c r="AA192" s="11">
        <f t="shared" si="20"/>
        <v>235.5902</v>
      </c>
      <c r="AB192" s="12">
        <f t="shared" si="49"/>
        <v>1413.5412</v>
      </c>
      <c r="AC192" s="2">
        <f t="shared" si="22"/>
        <v>934.5</v>
      </c>
      <c r="AD192" s="12">
        <f t="shared" si="23"/>
        <v>479.0412</v>
      </c>
      <c r="AE192" s="12">
        <f t="shared" si="24"/>
        <v>33.88944022</v>
      </c>
      <c r="AF192" s="61">
        <v>1285.0</v>
      </c>
      <c r="AG192" s="62">
        <f t="shared" si="25"/>
        <v>56.68820876</v>
      </c>
      <c r="AH192" s="63">
        <f t="shared" si="26"/>
        <v>110</v>
      </c>
      <c r="AI192" s="64">
        <f t="shared" si="609"/>
        <v>1413.5412</v>
      </c>
      <c r="AJ192" s="65">
        <v>1395.0</v>
      </c>
      <c r="AK192" s="66">
        <f t="shared" si="27"/>
        <v>70.10120717</v>
      </c>
      <c r="AL192" s="66"/>
      <c r="AM192" s="14">
        <f t="shared" si="365"/>
        <v>7.885304659</v>
      </c>
      <c r="AN192" s="67">
        <f t="shared" si="29"/>
        <v>13.41299841</v>
      </c>
      <c r="AO192" s="68">
        <f t="shared" si="30"/>
        <v>1.701012072</v>
      </c>
      <c r="AP192" s="69">
        <f t="shared" si="31"/>
        <v>-0.185412</v>
      </c>
      <c r="AQ192" s="70">
        <f t="shared" si="32"/>
        <v>4.605</v>
      </c>
      <c r="AR192" s="71">
        <f t="shared" ref="AR192:AS192" si="613">AI192/94</f>
        <v>15.03767234</v>
      </c>
      <c r="AS192" s="71">
        <f t="shared" si="613"/>
        <v>14.84042553</v>
      </c>
      <c r="AT192" s="72">
        <f t="shared" ref="AT192:AU192" si="614">AI192/24</f>
        <v>58.89755</v>
      </c>
      <c r="AU192" s="72">
        <f t="shared" si="614"/>
        <v>58.125</v>
      </c>
      <c r="AV192" s="73">
        <f t="shared" ref="AV192:AW192" si="615">AI192/125</f>
        <v>11.3083296</v>
      </c>
      <c r="AW192" s="73">
        <f t="shared" si="615"/>
        <v>11.16</v>
      </c>
    </row>
    <row r="193" ht="15.75" customHeight="1">
      <c r="A193" s="2"/>
      <c r="B193" s="2" t="s">
        <v>387</v>
      </c>
      <c r="C193" s="2" t="s">
        <v>388</v>
      </c>
      <c r="D193" s="10">
        <v>445.0</v>
      </c>
      <c r="F193" s="1">
        <v>145.0</v>
      </c>
      <c r="G193" s="10">
        <v>9.4041E7</v>
      </c>
      <c r="H193" s="59">
        <v>0.18</v>
      </c>
      <c r="I193" s="2">
        <f t="shared" si="4"/>
        <v>80.1</v>
      </c>
      <c r="K193" s="1">
        <v>150.0</v>
      </c>
      <c r="L193" s="4">
        <f t="shared" si="5"/>
        <v>820.1</v>
      </c>
      <c r="M193" s="2">
        <f t="shared" si="6"/>
        <v>4.45</v>
      </c>
      <c r="N193" s="12">
        <f t="shared" si="7"/>
        <v>65.608</v>
      </c>
      <c r="O193" s="12">
        <f t="shared" si="8"/>
        <v>82.01</v>
      </c>
      <c r="P193" s="12">
        <f t="shared" si="9"/>
        <v>41.005</v>
      </c>
      <c r="Q193" s="12">
        <f t="shared" si="10"/>
        <v>16.402</v>
      </c>
      <c r="R193" s="12">
        <f t="shared" si="48"/>
        <v>4.6725</v>
      </c>
      <c r="S193" s="12">
        <f t="shared" si="12"/>
        <v>8.201</v>
      </c>
      <c r="T193" s="60">
        <f t="shared" si="13"/>
        <v>217.676</v>
      </c>
      <c r="U193" s="2">
        <f t="shared" si="14"/>
        <v>9.345</v>
      </c>
      <c r="V193" s="42">
        <f t="shared" si="15"/>
        <v>46.725</v>
      </c>
      <c r="W193" s="2">
        <f t="shared" si="16"/>
        <v>9.345</v>
      </c>
      <c r="X193" s="2">
        <f t="shared" si="17"/>
        <v>74.76</v>
      </c>
      <c r="Y193" s="2">
        <f t="shared" si="18"/>
        <v>140.175</v>
      </c>
      <c r="Z193" s="60">
        <f t="shared" si="19"/>
        <v>1177.951</v>
      </c>
      <c r="AA193" s="11">
        <f t="shared" si="20"/>
        <v>235.5902</v>
      </c>
      <c r="AB193" s="12">
        <f t="shared" si="49"/>
        <v>1413.5412</v>
      </c>
      <c r="AC193" s="2">
        <f t="shared" si="22"/>
        <v>934.5</v>
      </c>
      <c r="AD193" s="12">
        <f t="shared" si="23"/>
        <v>479.0412</v>
      </c>
      <c r="AE193" s="12">
        <f t="shared" si="24"/>
        <v>33.88944022</v>
      </c>
      <c r="AF193" s="61">
        <v>1285.0</v>
      </c>
      <c r="AG193" s="62">
        <f t="shared" si="25"/>
        <v>56.68820876</v>
      </c>
      <c r="AH193" s="63">
        <f t="shared" si="26"/>
        <v>110</v>
      </c>
      <c r="AI193" s="64">
        <f t="shared" si="609"/>
        <v>1413.5412</v>
      </c>
      <c r="AJ193" s="65">
        <v>1395.0</v>
      </c>
      <c r="AK193" s="66">
        <f t="shared" si="27"/>
        <v>70.10120717</v>
      </c>
      <c r="AL193" s="66"/>
      <c r="AM193" s="14">
        <f t="shared" si="365"/>
        <v>7.885304659</v>
      </c>
      <c r="AN193" s="67">
        <f t="shared" si="29"/>
        <v>13.41299841</v>
      </c>
      <c r="AO193" s="68">
        <f t="shared" si="30"/>
        <v>1.701012072</v>
      </c>
      <c r="AP193" s="69">
        <f t="shared" si="31"/>
        <v>-0.185412</v>
      </c>
      <c r="AQ193" s="70">
        <f t="shared" si="32"/>
        <v>4.605</v>
      </c>
      <c r="AR193" s="71">
        <f t="shared" ref="AR193:AS193" si="616">AI193/94</f>
        <v>15.03767234</v>
      </c>
      <c r="AS193" s="71">
        <f t="shared" si="616"/>
        <v>14.84042553</v>
      </c>
      <c r="AT193" s="72">
        <f t="shared" ref="AT193:AU193" si="617">AI193/24</f>
        <v>58.89755</v>
      </c>
      <c r="AU193" s="72">
        <f t="shared" si="617"/>
        <v>58.125</v>
      </c>
      <c r="AV193" s="73">
        <f t="shared" ref="AV193:AW193" si="618">AI193/125</f>
        <v>11.3083296</v>
      </c>
      <c r="AW193" s="73">
        <f t="shared" si="618"/>
        <v>11.16</v>
      </c>
    </row>
    <row r="194" ht="15.75" customHeight="1">
      <c r="A194" s="2"/>
      <c r="B194" s="2" t="s">
        <v>333</v>
      </c>
      <c r="C194" s="2" t="s">
        <v>389</v>
      </c>
      <c r="D194" s="10">
        <v>445.0</v>
      </c>
      <c r="F194" s="1">
        <v>145.0</v>
      </c>
      <c r="G194" s="10">
        <v>9.4041E7</v>
      </c>
      <c r="H194" s="59">
        <v>0.18</v>
      </c>
      <c r="I194" s="2">
        <f t="shared" si="4"/>
        <v>80.1</v>
      </c>
      <c r="K194" s="1">
        <v>150.0</v>
      </c>
      <c r="L194" s="4">
        <f t="shared" si="5"/>
        <v>820.1</v>
      </c>
      <c r="M194" s="2">
        <f t="shared" si="6"/>
        <v>4.45</v>
      </c>
      <c r="N194" s="12">
        <f t="shared" si="7"/>
        <v>65.608</v>
      </c>
      <c r="O194" s="12">
        <f t="shared" si="8"/>
        <v>82.01</v>
      </c>
      <c r="P194" s="12">
        <f t="shared" si="9"/>
        <v>41.005</v>
      </c>
      <c r="Q194" s="12">
        <f t="shared" si="10"/>
        <v>16.402</v>
      </c>
      <c r="R194" s="12">
        <f t="shared" si="48"/>
        <v>4.6725</v>
      </c>
      <c r="S194" s="12">
        <f t="shared" si="12"/>
        <v>8.201</v>
      </c>
      <c r="T194" s="60">
        <f t="shared" si="13"/>
        <v>217.676</v>
      </c>
      <c r="U194" s="2">
        <f t="shared" si="14"/>
        <v>9.345</v>
      </c>
      <c r="V194" s="42">
        <f t="shared" si="15"/>
        <v>46.725</v>
      </c>
      <c r="W194" s="2">
        <f t="shared" si="16"/>
        <v>9.345</v>
      </c>
      <c r="X194" s="2">
        <f t="shared" si="17"/>
        <v>74.76</v>
      </c>
      <c r="Y194" s="2">
        <f t="shared" si="18"/>
        <v>140.175</v>
      </c>
      <c r="Z194" s="60">
        <f t="shared" si="19"/>
        <v>1177.951</v>
      </c>
      <c r="AA194" s="11">
        <f t="shared" si="20"/>
        <v>235.5902</v>
      </c>
      <c r="AB194" s="12">
        <f t="shared" si="49"/>
        <v>1413.5412</v>
      </c>
      <c r="AC194" s="2">
        <f t="shared" si="22"/>
        <v>934.5</v>
      </c>
      <c r="AD194" s="12">
        <f t="shared" si="23"/>
        <v>479.0412</v>
      </c>
      <c r="AE194" s="12">
        <f t="shared" si="24"/>
        <v>33.88944022</v>
      </c>
      <c r="AF194" s="61">
        <v>1285.0</v>
      </c>
      <c r="AG194" s="62">
        <f t="shared" si="25"/>
        <v>56.68820876</v>
      </c>
      <c r="AH194" s="63">
        <f t="shared" si="26"/>
        <v>110</v>
      </c>
      <c r="AI194" s="64">
        <f t="shared" si="609"/>
        <v>1413.5412</v>
      </c>
      <c r="AJ194" s="65">
        <v>1395.0</v>
      </c>
      <c r="AK194" s="66">
        <f t="shared" si="27"/>
        <v>70.10120717</v>
      </c>
      <c r="AL194" s="66"/>
      <c r="AM194" s="14">
        <f t="shared" si="365"/>
        <v>7.885304659</v>
      </c>
      <c r="AN194" s="67">
        <f t="shared" si="29"/>
        <v>13.41299841</v>
      </c>
      <c r="AO194" s="68">
        <f t="shared" si="30"/>
        <v>1.701012072</v>
      </c>
      <c r="AP194" s="69">
        <f t="shared" si="31"/>
        <v>-0.185412</v>
      </c>
      <c r="AQ194" s="70">
        <f t="shared" si="32"/>
        <v>4.605</v>
      </c>
      <c r="AR194" s="71">
        <f t="shared" ref="AR194:AS194" si="619">AI194/94</f>
        <v>15.03767234</v>
      </c>
      <c r="AS194" s="71">
        <f t="shared" si="619"/>
        <v>14.84042553</v>
      </c>
      <c r="AT194" s="72">
        <f t="shared" ref="AT194:AU194" si="620">AI194/24</f>
        <v>58.89755</v>
      </c>
      <c r="AU194" s="72">
        <f t="shared" si="620"/>
        <v>58.125</v>
      </c>
      <c r="AV194" s="73">
        <f t="shared" ref="AV194:AW194" si="621">AI194/125</f>
        <v>11.3083296</v>
      </c>
      <c r="AW194" s="73">
        <f t="shared" si="621"/>
        <v>11.16</v>
      </c>
    </row>
    <row r="195" ht="15.75" customHeight="1">
      <c r="A195" s="2"/>
      <c r="B195" s="2" t="s">
        <v>312</v>
      </c>
      <c r="C195" s="2" t="s">
        <v>390</v>
      </c>
      <c r="D195" s="10">
        <v>445.0</v>
      </c>
      <c r="F195" s="1">
        <v>145.0</v>
      </c>
      <c r="G195" s="10">
        <v>9.4041E7</v>
      </c>
      <c r="H195" s="59">
        <v>0.18</v>
      </c>
      <c r="I195" s="2">
        <f t="shared" si="4"/>
        <v>80.1</v>
      </c>
      <c r="K195" s="1">
        <v>150.0</v>
      </c>
      <c r="L195" s="4">
        <f t="shared" si="5"/>
        <v>820.1</v>
      </c>
      <c r="M195" s="2">
        <f t="shared" si="6"/>
        <v>4.45</v>
      </c>
      <c r="N195" s="12">
        <f t="shared" si="7"/>
        <v>65.608</v>
      </c>
      <c r="O195" s="12">
        <f t="shared" si="8"/>
        <v>82.01</v>
      </c>
      <c r="P195" s="12">
        <f t="shared" si="9"/>
        <v>41.005</v>
      </c>
      <c r="Q195" s="12">
        <f t="shared" si="10"/>
        <v>16.402</v>
      </c>
      <c r="R195" s="12">
        <f t="shared" si="48"/>
        <v>4.6725</v>
      </c>
      <c r="S195" s="12">
        <f t="shared" si="12"/>
        <v>8.201</v>
      </c>
      <c r="T195" s="60">
        <f t="shared" si="13"/>
        <v>217.676</v>
      </c>
      <c r="U195" s="2">
        <f t="shared" si="14"/>
        <v>9.345</v>
      </c>
      <c r="V195" s="42">
        <f t="shared" si="15"/>
        <v>46.725</v>
      </c>
      <c r="W195" s="2">
        <f t="shared" si="16"/>
        <v>9.345</v>
      </c>
      <c r="X195" s="2">
        <f t="shared" si="17"/>
        <v>74.76</v>
      </c>
      <c r="Y195" s="2">
        <f t="shared" si="18"/>
        <v>140.175</v>
      </c>
      <c r="Z195" s="60">
        <f t="shared" si="19"/>
        <v>1177.951</v>
      </c>
      <c r="AA195" s="11">
        <f t="shared" si="20"/>
        <v>235.5902</v>
      </c>
      <c r="AB195" s="12">
        <f t="shared" si="49"/>
        <v>1413.5412</v>
      </c>
      <c r="AC195" s="2">
        <f t="shared" si="22"/>
        <v>934.5</v>
      </c>
      <c r="AD195" s="12">
        <f t="shared" si="23"/>
        <v>479.0412</v>
      </c>
      <c r="AE195" s="12">
        <f t="shared" si="24"/>
        <v>33.88944022</v>
      </c>
      <c r="AF195" s="61">
        <v>1285.0</v>
      </c>
      <c r="AG195" s="62">
        <f t="shared" si="25"/>
        <v>56.68820876</v>
      </c>
      <c r="AH195" s="63">
        <f t="shared" si="26"/>
        <v>110</v>
      </c>
      <c r="AI195" s="64">
        <f t="shared" si="609"/>
        <v>1413.5412</v>
      </c>
      <c r="AJ195" s="65">
        <v>1395.0</v>
      </c>
      <c r="AK195" s="66">
        <f t="shared" si="27"/>
        <v>70.10120717</v>
      </c>
      <c r="AL195" s="66"/>
      <c r="AM195" s="14">
        <f t="shared" si="365"/>
        <v>7.885304659</v>
      </c>
      <c r="AN195" s="67">
        <f t="shared" si="29"/>
        <v>13.41299841</v>
      </c>
      <c r="AO195" s="68">
        <f t="shared" si="30"/>
        <v>1.701012072</v>
      </c>
      <c r="AP195" s="69">
        <f t="shared" si="31"/>
        <v>-0.185412</v>
      </c>
      <c r="AQ195" s="70">
        <f t="shared" si="32"/>
        <v>4.605</v>
      </c>
      <c r="AR195" s="71">
        <f t="shared" ref="AR195:AS195" si="622">AI195/94</f>
        <v>15.03767234</v>
      </c>
      <c r="AS195" s="71">
        <f t="shared" si="622"/>
        <v>14.84042553</v>
      </c>
      <c r="AT195" s="72">
        <f t="shared" ref="AT195:AU195" si="623">AI195/24</f>
        <v>58.89755</v>
      </c>
      <c r="AU195" s="72">
        <f t="shared" si="623"/>
        <v>58.125</v>
      </c>
      <c r="AV195" s="73">
        <f t="shared" ref="AV195:AW195" si="624">AI195/125</f>
        <v>11.3083296</v>
      </c>
      <c r="AW195" s="73">
        <f t="shared" si="624"/>
        <v>11.16</v>
      </c>
    </row>
    <row r="196" ht="15.75" customHeight="1">
      <c r="A196" s="2"/>
      <c r="B196" s="2" t="s">
        <v>295</v>
      </c>
      <c r="C196" s="2" t="s">
        <v>391</v>
      </c>
      <c r="D196" s="10">
        <v>445.0</v>
      </c>
      <c r="F196" s="1">
        <v>145.0</v>
      </c>
      <c r="G196" s="10">
        <v>9.4041E7</v>
      </c>
      <c r="H196" s="59">
        <v>0.18</v>
      </c>
      <c r="I196" s="2">
        <f t="shared" si="4"/>
        <v>80.1</v>
      </c>
      <c r="K196" s="1">
        <v>150.0</v>
      </c>
      <c r="L196" s="4">
        <f t="shared" si="5"/>
        <v>820.1</v>
      </c>
      <c r="M196" s="2">
        <f t="shared" si="6"/>
        <v>4.45</v>
      </c>
      <c r="N196" s="12">
        <f t="shared" si="7"/>
        <v>65.608</v>
      </c>
      <c r="O196" s="12">
        <f t="shared" si="8"/>
        <v>82.01</v>
      </c>
      <c r="P196" s="12">
        <f t="shared" si="9"/>
        <v>41.005</v>
      </c>
      <c r="Q196" s="12">
        <f t="shared" si="10"/>
        <v>16.402</v>
      </c>
      <c r="R196" s="12">
        <f t="shared" si="48"/>
        <v>4.6725</v>
      </c>
      <c r="S196" s="12">
        <f t="shared" si="12"/>
        <v>8.201</v>
      </c>
      <c r="T196" s="60">
        <f t="shared" si="13"/>
        <v>217.676</v>
      </c>
      <c r="U196" s="2">
        <f t="shared" si="14"/>
        <v>9.345</v>
      </c>
      <c r="V196" s="42">
        <f t="shared" si="15"/>
        <v>46.725</v>
      </c>
      <c r="W196" s="2">
        <f t="shared" si="16"/>
        <v>9.345</v>
      </c>
      <c r="X196" s="2">
        <f t="shared" si="17"/>
        <v>74.76</v>
      </c>
      <c r="Y196" s="2">
        <f t="shared" si="18"/>
        <v>140.175</v>
      </c>
      <c r="Z196" s="60">
        <f t="shared" si="19"/>
        <v>1177.951</v>
      </c>
      <c r="AA196" s="11">
        <f t="shared" si="20"/>
        <v>235.5902</v>
      </c>
      <c r="AB196" s="12">
        <f t="shared" si="49"/>
        <v>1413.5412</v>
      </c>
      <c r="AC196" s="2">
        <f t="shared" si="22"/>
        <v>934.5</v>
      </c>
      <c r="AD196" s="12">
        <f t="shared" si="23"/>
        <v>479.0412</v>
      </c>
      <c r="AE196" s="12">
        <f t="shared" si="24"/>
        <v>33.88944022</v>
      </c>
      <c r="AF196" s="61">
        <v>1285.0</v>
      </c>
      <c r="AG196" s="62">
        <f t="shared" si="25"/>
        <v>56.68820876</v>
      </c>
      <c r="AH196" s="63">
        <f t="shared" si="26"/>
        <v>110</v>
      </c>
      <c r="AI196" s="64">
        <f t="shared" si="609"/>
        <v>1413.5412</v>
      </c>
      <c r="AJ196" s="65">
        <v>1395.0</v>
      </c>
      <c r="AK196" s="66">
        <f t="shared" si="27"/>
        <v>70.10120717</v>
      </c>
      <c r="AL196" s="66"/>
      <c r="AM196" s="14">
        <f t="shared" si="365"/>
        <v>7.885304659</v>
      </c>
      <c r="AN196" s="67">
        <f t="shared" si="29"/>
        <v>13.41299841</v>
      </c>
      <c r="AO196" s="68">
        <f t="shared" si="30"/>
        <v>1.701012072</v>
      </c>
      <c r="AP196" s="69">
        <f t="shared" si="31"/>
        <v>-0.185412</v>
      </c>
      <c r="AQ196" s="70">
        <f t="shared" si="32"/>
        <v>4.605</v>
      </c>
      <c r="AR196" s="71">
        <f t="shared" ref="AR196:AS196" si="625">AI196/94</f>
        <v>15.03767234</v>
      </c>
      <c r="AS196" s="71">
        <f t="shared" si="625"/>
        <v>14.84042553</v>
      </c>
      <c r="AT196" s="72">
        <f t="shared" ref="AT196:AU196" si="626">AI196/24</f>
        <v>58.89755</v>
      </c>
      <c r="AU196" s="72">
        <f t="shared" si="626"/>
        <v>58.125</v>
      </c>
      <c r="AV196" s="73">
        <f t="shared" ref="AV196:AW196" si="627">AI196/125</f>
        <v>11.3083296</v>
      </c>
      <c r="AW196" s="73">
        <f t="shared" si="627"/>
        <v>11.16</v>
      </c>
    </row>
    <row r="197" ht="15.75" customHeight="1">
      <c r="A197" s="2"/>
      <c r="B197" s="2" t="s">
        <v>310</v>
      </c>
      <c r="C197" s="2" t="s">
        <v>392</v>
      </c>
      <c r="D197" s="10">
        <v>445.0</v>
      </c>
      <c r="F197" s="1">
        <v>145.0</v>
      </c>
      <c r="G197" s="10">
        <v>9.4041E7</v>
      </c>
      <c r="H197" s="59">
        <v>0.18</v>
      </c>
      <c r="I197" s="2">
        <f t="shared" si="4"/>
        <v>80.1</v>
      </c>
      <c r="K197" s="1">
        <v>150.0</v>
      </c>
      <c r="L197" s="4">
        <f t="shared" si="5"/>
        <v>820.1</v>
      </c>
      <c r="M197" s="2">
        <f t="shared" si="6"/>
        <v>4.45</v>
      </c>
      <c r="N197" s="12">
        <f t="shared" si="7"/>
        <v>65.608</v>
      </c>
      <c r="O197" s="12">
        <f t="shared" si="8"/>
        <v>82.01</v>
      </c>
      <c r="P197" s="12">
        <f t="shared" si="9"/>
        <v>41.005</v>
      </c>
      <c r="Q197" s="12">
        <f t="shared" si="10"/>
        <v>16.402</v>
      </c>
      <c r="R197" s="12">
        <f t="shared" si="48"/>
        <v>4.6725</v>
      </c>
      <c r="S197" s="12">
        <f t="shared" si="12"/>
        <v>8.201</v>
      </c>
      <c r="T197" s="60">
        <f t="shared" si="13"/>
        <v>217.676</v>
      </c>
      <c r="U197" s="2">
        <f t="shared" si="14"/>
        <v>9.345</v>
      </c>
      <c r="V197" s="42">
        <f t="shared" si="15"/>
        <v>46.725</v>
      </c>
      <c r="W197" s="2">
        <f t="shared" si="16"/>
        <v>9.345</v>
      </c>
      <c r="X197" s="2">
        <f t="shared" si="17"/>
        <v>74.76</v>
      </c>
      <c r="Y197" s="2">
        <f t="shared" si="18"/>
        <v>140.175</v>
      </c>
      <c r="Z197" s="60">
        <f t="shared" si="19"/>
        <v>1177.951</v>
      </c>
      <c r="AA197" s="11">
        <f t="shared" si="20"/>
        <v>235.5902</v>
      </c>
      <c r="AB197" s="12">
        <f t="shared" si="49"/>
        <v>1413.5412</v>
      </c>
      <c r="AC197" s="2">
        <f t="shared" si="22"/>
        <v>934.5</v>
      </c>
      <c r="AD197" s="12">
        <f t="shared" si="23"/>
        <v>479.0412</v>
      </c>
      <c r="AE197" s="12">
        <f t="shared" si="24"/>
        <v>33.88944022</v>
      </c>
      <c r="AF197" s="61">
        <v>1285.0</v>
      </c>
      <c r="AG197" s="62">
        <f t="shared" si="25"/>
        <v>56.68820876</v>
      </c>
      <c r="AH197" s="63">
        <f t="shared" si="26"/>
        <v>110</v>
      </c>
      <c r="AI197" s="64">
        <f t="shared" si="609"/>
        <v>1413.5412</v>
      </c>
      <c r="AJ197" s="65">
        <v>1395.0</v>
      </c>
      <c r="AK197" s="66">
        <f t="shared" si="27"/>
        <v>70.10120717</v>
      </c>
      <c r="AL197" s="66"/>
      <c r="AM197" s="14">
        <f t="shared" si="365"/>
        <v>7.885304659</v>
      </c>
      <c r="AN197" s="67">
        <f t="shared" si="29"/>
        <v>13.41299841</v>
      </c>
      <c r="AO197" s="68">
        <f t="shared" si="30"/>
        <v>1.701012072</v>
      </c>
      <c r="AP197" s="69">
        <f t="shared" si="31"/>
        <v>-0.185412</v>
      </c>
      <c r="AQ197" s="70">
        <f t="shared" si="32"/>
        <v>4.605</v>
      </c>
      <c r="AR197" s="71">
        <f t="shared" ref="AR197:AS197" si="628">AI197/94</f>
        <v>15.03767234</v>
      </c>
      <c r="AS197" s="71">
        <f t="shared" si="628"/>
        <v>14.84042553</v>
      </c>
      <c r="AT197" s="72">
        <f t="shared" ref="AT197:AU197" si="629">AI197/24</f>
        <v>58.89755</v>
      </c>
      <c r="AU197" s="72">
        <f t="shared" si="629"/>
        <v>58.125</v>
      </c>
      <c r="AV197" s="73">
        <f t="shared" ref="AV197:AW197" si="630">AI197/125</f>
        <v>11.3083296</v>
      </c>
      <c r="AW197" s="73">
        <f t="shared" si="630"/>
        <v>11.16</v>
      </c>
    </row>
    <row r="198" ht="15.75" customHeight="1">
      <c r="A198" s="2"/>
      <c r="B198" s="2" t="s">
        <v>283</v>
      </c>
      <c r="C198" s="2" t="s">
        <v>393</v>
      </c>
      <c r="D198" s="10">
        <v>445.0</v>
      </c>
      <c r="F198" s="1">
        <v>145.0</v>
      </c>
      <c r="G198" s="10">
        <v>9.4041E7</v>
      </c>
      <c r="H198" s="59">
        <v>0.18</v>
      </c>
      <c r="I198" s="2">
        <f t="shared" si="4"/>
        <v>80.1</v>
      </c>
      <c r="K198" s="1">
        <v>150.0</v>
      </c>
      <c r="L198" s="4">
        <f t="shared" si="5"/>
        <v>820.1</v>
      </c>
      <c r="M198" s="2">
        <f t="shared" si="6"/>
        <v>4.45</v>
      </c>
      <c r="N198" s="12">
        <f t="shared" si="7"/>
        <v>65.608</v>
      </c>
      <c r="O198" s="12">
        <f t="shared" si="8"/>
        <v>82.01</v>
      </c>
      <c r="P198" s="12">
        <f t="shared" si="9"/>
        <v>41.005</v>
      </c>
      <c r="Q198" s="12">
        <f t="shared" si="10"/>
        <v>16.402</v>
      </c>
      <c r="R198" s="12">
        <f t="shared" si="48"/>
        <v>4.6725</v>
      </c>
      <c r="S198" s="12">
        <f t="shared" si="12"/>
        <v>8.201</v>
      </c>
      <c r="T198" s="60">
        <f t="shared" si="13"/>
        <v>217.676</v>
      </c>
      <c r="U198" s="2">
        <f t="shared" si="14"/>
        <v>9.345</v>
      </c>
      <c r="V198" s="42">
        <f t="shared" si="15"/>
        <v>46.725</v>
      </c>
      <c r="W198" s="2">
        <f t="shared" si="16"/>
        <v>9.345</v>
      </c>
      <c r="X198" s="2">
        <f t="shared" si="17"/>
        <v>74.76</v>
      </c>
      <c r="Y198" s="2">
        <f t="shared" si="18"/>
        <v>140.175</v>
      </c>
      <c r="Z198" s="60">
        <f t="shared" si="19"/>
        <v>1177.951</v>
      </c>
      <c r="AA198" s="11">
        <f t="shared" si="20"/>
        <v>235.5902</v>
      </c>
      <c r="AB198" s="12">
        <f t="shared" si="49"/>
        <v>1413.5412</v>
      </c>
      <c r="AC198" s="2">
        <f t="shared" si="22"/>
        <v>934.5</v>
      </c>
      <c r="AD198" s="12">
        <f t="shared" si="23"/>
        <v>479.0412</v>
      </c>
      <c r="AE198" s="12">
        <f t="shared" si="24"/>
        <v>33.88944022</v>
      </c>
      <c r="AF198" s="61">
        <v>1285.0</v>
      </c>
      <c r="AG198" s="62">
        <f t="shared" si="25"/>
        <v>56.68820876</v>
      </c>
      <c r="AH198" s="63">
        <f t="shared" si="26"/>
        <v>110</v>
      </c>
      <c r="AI198" s="64">
        <f t="shared" si="609"/>
        <v>1413.5412</v>
      </c>
      <c r="AJ198" s="65">
        <v>1395.0</v>
      </c>
      <c r="AK198" s="66">
        <f t="shared" si="27"/>
        <v>70.10120717</v>
      </c>
      <c r="AL198" s="66"/>
      <c r="AM198" s="14">
        <f t="shared" si="365"/>
        <v>7.885304659</v>
      </c>
      <c r="AN198" s="67">
        <f t="shared" si="29"/>
        <v>13.41299841</v>
      </c>
      <c r="AO198" s="68">
        <f t="shared" si="30"/>
        <v>1.701012072</v>
      </c>
      <c r="AP198" s="69">
        <f t="shared" si="31"/>
        <v>-0.185412</v>
      </c>
      <c r="AQ198" s="70">
        <f t="shared" si="32"/>
        <v>4.605</v>
      </c>
      <c r="AR198" s="71">
        <f t="shared" ref="AR198:AS198" si="631">AI198/94</f>
        <v>15.03767234</v>
      </c>
      <c r="AS198" s="71">
        <f t="shared" si="631"/>
        <v>14.84042553</v>
      </c>
      <c r="AT198" s="72">
        <f t="shared" ref="AT198:AU198" si="632">AI198/24</f>
        <v>58.89755</v>
      </c>
      <c r="AU198" s="72">
        <f t="shared" si="632"/>
        <v>58.125</v>
      </c>
      <c r="AV198" s="73">
        <f t="shared" ref="AV198:AW198" si="633">AI198/125</f>
        <v>11.3083296</v>
      </c>
      <c r="AW198" s="73">
        <f t="shared" si="633"/>
        <v>11.16</v>
      </c>
    </row>
    <row r="199" ht="15.75" customHeight="1">
      <c r="A199" s="2"/>
      <c r="B199" s="2" t="s">
        <v>285</v>
      </c>
      <c r="C199" s="2" t="s">
        <v>394</v>
      </c>
      <c r="D199" s="10">
        <v>445.0</v>
      </c>
      <c r="F199" s="1">
        <v>145.0</v>
      </c>
      <c r="G199" s="10">
        <v>9.4041E7</v>
      </c>
      <c r="H199" s="59">
        <v>0.18</v>
      </c>
      <c r="I199" s="2">
        <f t="shared" si="4"/>
        <v>80.1</v>
      </c>
      <c r="K199" s="1">
        <v>150.0</v>
      </c>
      <c r="L199" s="4">
        <f t="shared" si="5"/>
        <v>820.1</v>
      </c>
      <c r="M199" s="2">
        <f t="shared" si="6"/>
        <v>4.45</v>
      </c>
      <c r="N199" s="12">
        <f t="shared" si="7"/>
        <v>65.608</v>
      </c>
      <c r="O199" s="12">
        <f t="shared" si="8"/>
        <v>82.01</v>
      </c>
      <c r="P199" s="12">
        <f t="shared" si="9"/>
        <v>41.005</v>
      </c>
      <c r="Q199" s="12">
        <f t="shared" si="10"/>
        <v>16.402</v>
      </c>
      <c r="R199" s="12">
        <f t="shared" si="48"/>
        <v>4.6725</v>
      </c>
      <c r="S199" s="12">
        <f t="shared" si="12"/>
        <v>8.201</v>
      </c>
      <c r="T199" s="60">
        <f t="shared" si="13"/>
        <v>217.676</v>
      </c>
      <c r="U199" s="2">
        <f t="shared" si="14"/>
        <v>9.345</v>
      </c>
      <c r="V199" s="42">
        <f t="shared" si="15"/>
        <v>46.725</v>
      </c>
      <c r="W199" s="2">
        <f t="shared" si="16"/>
        <v>9.345</v>
      </c>
      <c r="X199" s="2">
        <f t="shared" si="17"/>
        <v>74.76</v>
      </c>
      <c r="Y199" s="2">
        <f t="shared" si="18"/>
        <v>140.175</v>
      </c>
      <c r="Z199" s="60">
        <f t="shared" si="19"/>
        <v>1177.951</v>
      </c>
      <c r="AA199" s="11">
        <f t="shared" si="20"/>
        <v>235.5902</v>
      </c>
      <c r="AB199" s="12">
        <f t="shared" si="49"/>
        <v>1413.5412</v>
      </c>
      <c r="AC199" s="2">
        <f t="shared" si="22"/>
        <v>934.5</v>
      </c>
      <c r="AD199" s="12">
        <f t="shared" si="23"/>
        <v>479.0412</v>
      </c>
      <c r="AE199" s="12">
        <f t="shared" si="24"/>
        <v>33.88944022</v>
      </c>
      <c r="AF199" s="61">
        <v>1285.0</v>
      </c>
      <c r="AG199" s="62">
        <f t="shared" si="25"/>
        <v>56.68820876</v>
      </c>
      <c r="AH199" s="63">
        <f t="shared" si="26"/>
        <v>110</v>
      </c>
      <c r="AI199" s="64">
        <f t="shared" si="609"/>
        <v>1413.5412</v>
      </c>
      <c r="AJ199" s="65">
        <v>1395.0</v>
      </c>
      <c r="AK199" s="66">
        <f t="shared" si="27"/>
        <v>70.10120717</v>
      </c>
      <c r="AL199" s="66"/>
      <c r="AM199" s="14">
        <f t="shared" si="365"/>
        <v>7.885304659</v>
      </c>
      <c r="AN199" s="67">
        <f t="shared" si="29"/>
        <v>13.41299841</v>
      </c>
      <c r="AO199" s="68">
        <f t="shared" si="30"/>
        <v>1.701012072</v>
      </c>
      <c r="AP199" s="69">
        <f t="shared" si="31"/>
        <v>-0.185412</v>
      </c>
      <c r="AQ199" s="70">
        <f t="shared" si="32"/>
        <v>4.605</v>
      </c>
      <c r="AR199" s="71">
        <f t="shared" ref="AR199:AS199" si="634">AI199/94</f>
        <v>15.03767234</v>
      </c>
      <c r="AS199" s="71">
        <f t="shared" si="634"/>
        <v>14.84042553</v>
      </c>
      <c r="AT199" s="72">
        <f t="shared" ref="AT199:AU199" si="635">AI199/24</f>
        <v>58.89755</v>
      </c>
      <c r="AU199" s="72">
        <f t="shared" si="635"/>
        <v>58.125</v>
      </c>
      <c r="AV199" s="73">
        <f t="shared" ref="AV199:AW199" si="636">AI199/125</f>
        <v>11.3083296</v>
      </c>
      <c r="AW199" s="73">
        <f t="shared" si="636"/>
        <v>11.16</v>
      </c>
    </row>
    <row r="200" ht="15.75" customHeight="1">
      <c r="A200" s="2"/>
      <c r="B200" s="2" t="s">
        <v>72</v>
      </c>
      <c r="C200" s="2" t="s">
        <v>395</v>
      </c>
      <c r="D200" s="10">
        <v>445.0</v>
      </c>
      <c r="F200" s="1">
        <v>145.0</v>
      </c>
      <c r="G200" s="10">
        <v>9.4041E7</v>
      </c>
      <c r="H200" s="59">
        <v>0.18</v>
      </c>
      <c r="I200" s="2">
        <f t="shared" si="4"/>
        <v>80.1</v>
      </c>
      <c r="K200" s="1">
        <v>150.0</v>
      </c>
      <c r="L200" s="4">
        <f t="shared" si="5"/>
        <v>820.1</v>
      </c>
      <c r="M200" s="2">
        <f t="shared" si="6"/>
        <v>4.45</v>
      </c>
      <c r="N200" s="12">
        <f t="shared" si="7"/>
        <v>65.608</v>
      </c>
      <c r="O200" s="12">
        <f t="shared" si="8"/>
        <v>82.01</v>
      </c>
      <c r="P200" s="12">
        <f t="shared" si="9"/>
        <v>41.005</v>
      </c>
      <c r="Q200" s="12">
        <f t="shared" si="10"/>
        <v>16.402</v>
      </c>
      <c r="R200" s="12">
        <f t="shared" si="48"/>
        <v>4.6725</v>
      </c>
      <c r="S200" s="12">
        <f t="shared" si="12"/>
        <v>8.201</v>
      </c>
      <c r="T200" s="60">
        <f t="shared" si="13"/>
        <v>217.676</v>
      </c>
      <c r="U200" s="2">
        <f t="shared" si="14"/>
        <v>9.345</v>
      </c>
      <c r="V200" s="42">
        <f t="shared" si="15"/>
        <v>46.725</v>
      </c>
      <c r="W200" s="2">
        <f t="shared" si="16"/>
        <v>9.345</v>
      </c>
      <c r="X200" s="2">
        <f t="shared" si="17"/>
        <v>74.76</v>
      </c>
      <c r="Y200" s="2">
        <f t="shared" si="18"/>
        <v>140.175</v>
      </c>
      <c r="Z200" s="60">
        <f t="shared" si="19"/>
        <v>1177.951</v>
      </c>
      <c r="AA200" s="11">
        <f t="shared" si="20"/>
        <v>235.5902</v>
      </c>
      <c r="AB200" s="12">
        <f t="shared" si="49"/>
        <v>1413.5412</v>
      </c>
      <c r="AC200" s="2">
        <f t="shared" si="22"/>
        <v>934.5</v>
      </c>
      <c r="AD200" s="12">
        <f t="shared" si="23"/>
        <v>479.0412</v>
      </c>
      <c r="AE200" s="12">
        <f t="shared" si="24"/>
        <v>33.88944022</v>
      </c>
      <c r="AF200" s="61">
        <v>1285.0</v>
      </c>
      <c r="AG200" s="62">
        <f t="shared" si="25"/>
        <v>56.68820876</v>
      </c>
      <c r="AH200" s="63">
        <f t="shared" si="26"/>
        <v>110</v>
      </c>
      <c r="AI200" s="64">
        <f t="shared" si="609"/>
        <v>1413.5412</v>
      </c>
      <c r="AJ200" s="65">
        <v>1395.0</v>
      </c>
      <c r="AK200" s="66">
        <f t="shared" si="27"/>
        <v>70.10120717</v>
      </c>
      <c r="AL200" s="66"/>
      <c r="AM200" s="14">
        <f t="shared" si="365"/>
        <v>7.885304659</v>
      </c>
      <c r="AN200" s="67">
        <f t="shared" si="29"/>
        <v>13.41299841</v>
      </c>
      <c r="AO200" s="68">
        <f t="shared" si="30"/>
        <v>1.701012072</v>
      </c>
      <c r="AP200" s="69">
        <f t="shared" si="31"/>
        <v>-0.185412</v>
      </c>
      <c r="AQ200" s="70">
        <f t="shared" si="32"/>
        <v>4.605</v>
      </c>
      <c r="AR200" s="71">
        <f t="shared" ref="AR200:AS200" si="637">AI200/94</f>
        <v>15.03767234</v>
      </c>
      <c r="AS200" s="71">
        <f t="shared" si="637"/>
        <v>14.84042553</v>
      </c>
      <c r="AT200" s="72">
        <f t="shared" ref="AT200:AU200" si="638">AI200/24</f>
        <v>58.89755</v>
      </c>
      <c r="AU200" s="72">
        <f t="shared" si="638"/>
        <v>58.125</v>
      </c>
      <c r="AV200" s="73">
        <f t="shared" ref="AV200:AW200" si="639">AI200/125</f>
        <v>11.3083296</v>
      </c>
      <c r="AW200" s="73">
        <f t="shared" si="639"/>
        <v>11.16</v>
      </c>
    </row>
    <row r="201" ht="15.75" customHeight="1">
      <c r="A201" s="2"/>
      <c r="B201" s="2" t="s">
        <v>289</v>
      </c>
      <c r="C201" s="2" t="s">
        <v>396</v>
      </c>
      <c r="D201" s="10">
        <v>445.0</v>
      </c>
      <c r="F201" s="1">
        <v>145.0</v>
      </c>
      <c r="G201" s="10">
        <v>9.4041E7</v>
      </c>
      <c r="H201" s="59">
        <v>0.18</v>
      </c>
      <c r="I201" s="2">
        <f t="shared" si="4"/>
        <v>80.1</v>
      </c>
      <c r="K201" s="1">
        <v>150.0</v>
      </c>
      <c r="L201" s="4">
        <f t="shared" si="5"/>
        <v>820.1</v>
      </c>
      <c r="M201" s="2">
        <f t="shared" si="6"/>
        <v>4.45</v>
      </c>
      <c r="N201" s="12">
        <f t="shared" si="7"/>
        <v>65.608</v>
      </c>
      <c r="O201" s="12">
        <f t="shared" si="8"/>
        <v>82.01</v>
      </c>
      <c r="P201" s="12">
        <f t="shared" si="9"/>
        <v>41.005</v>
      </c>
      <c r="Q201" s="12">
        <f t="shared" si="10"/>
        <v>16.402</v>
      </c>
      <c r="R201" s="12">
        <f t="shared" si="48"/>
        <v>4.6725</v>
      </c>
      <c r="S201" s="12">
        <f t="shared" si="12"/>
        <v>8.201</v>
      </c>
      <c r="T201" s="60">
        <f t="shared" si="13"/>
        <v>217.676</v>
      </c>
      <c r="U201" s="2">
        <f t="shared" si="14"/>
        <v>9.345</v>
      </c>
      <c r="V201" s="42">
        <f t="shared" si="15"/>
        <v>46.725</v>
      </c>
      <c r="W201" s="2">
        <f t="shared" si="16"/>
        <v>9.345</v>
      </c>
      <c r="X201" s="2">
        <f t="shared" si="17"/>
        <v>74.76</v>
      </c>
      <c r="Y201" s="2">
        <f t="shared" si="18"/>
        <v>140.175</v>
      </c>
      <c r="Z201" s="60">
        <f t="shared" si="19"/>
        <v>1177.951</v>
      </c>
      <c r="AA201" s="11">
        <f t="shared" si="20"/>
        <v>235.5902</v>
      </c>
      <c r="AB201" s="12">
        <f t="shared" si="49"/>
        <v>1413.5412</v>
      </c>
      <c r="AC201" s="2">
        <f t="shared" si="22"/>
        <v>934.5</v>
      </c>
      <c r="AD201" s="12">
        <f t="shared" si="23"/>
        <v>479.0412</v>
      </c>
      <c r="AE201" s="12">
        <f t="shared" si="24"/>
        <v>33.88944022</v>
      </c>
      <c r="AF201" s="61">
        <v>1285.0</v>
      </c>
      <c r="AG201" s="62">
        <f t="shared" si="25"/>
        <v>56.68820876</v>
      </c>
      <c r="AH201" s="63">
        <f t="shared" si="26"/>
        <v>110</v>
      </c>
      <c r="AI201" s="64">
        <f t="shared" si="609"/>
        <v>1413.5412</v>
      </c>
      <c r="AJ201" s="65">
        <v>1395.0</v>
      </c>
      <c r="AK201" s="66">
        <f t="shared" si="27"/>
        <v>70.10120717</v>
      </c>
      <c r="AL201" s="66"/>
      <c r="AM201" s="14">
        <f t="shared" si="365"/>
        <v>7.885304659</v>
      </c>
      <c r="AN201" s="67">
        <f t="shared" si="29"/>
        <v>13.41299841</v>
      </c>
      <c r="AO201" s="68">
        <f t="shared" si="30"/>
        <v>1.701012072</v>
      </c>
      <c r="AP201" s="69">
        <f t="shared" si="31"/>
        <v>-0.185412</v>
      </c>
      <c r="AQ201" s="70">
        <f t="shared" si="32"/>
        <v>4.605</v>
      </c>
      <c r="AR201" s="71">
        <f t="shared" ref="AR201:AS201" si="640">AI201/94</f>
        <v>15.03767234</v>
      </c>
      <c r="AS201" s="71">
        <f t="shared" si="640"/>
        <v>14.84042553</v>
      </c>
      <c r="AT201" s="72">
        <f t="shared" ref="AT201:AU201" si="641">AI201/24</f>
        <v>58.89755</v>
      </c>
      <c r="AU201" s="72">
        <f t="shared" si="641"/>
        <v>58.125</v>
      </c>
      <c r="AV201" s="73">
        <f t="shared" ref="AV201:AW201" si="642">AI201/125</f>
        <v>11.3083296</v>
      </c>
      <c r="AW201" s="73">
        <f t="shared" si="642"/>
        <v>11.16</v>
      </c>
    </row>
    <row r="202" ht="15.0" customHeight="1">
      <c r="A202" s="2" t="s">
        <v>397</v>
      </c>
      <c r="B202" s="2" t="s">
        <v>398</v>
      </c>
      <c r="C202" s="2" t="s">
        <v>399</v>
      </c>
      <c r="D202" s="10">
        <v>300.0</v>
      </c>
      <c r="F202" s="1">
        <v>50.0</v>
      </c>
      <c r="G202" s="10">
        <v>4.6029E7</v>
      </c>
      <c r="H202" s="59">
        <v>0.05</v>
      </c>
      <c r="I202" s="2">
        <f t="shared" si="4"/>
        <v>15</v>
      </c>
      <c r="K202" s="2">
        <v>300.0</v>
      </c>
      <c r="L202" s="4">
        <f t="shared" si="5"/>
        <v>665</v>
      </c>
      <c r="M202" s="2">
        <f t="shared" si="6"/>
        <v>3</v>
      </c>
      <c r="N202" s="12">
        <f t="shared" si="7"/>
        <v>53.2</v>
      </c>
      <c r="O202" s="12">
        <f t="shared" si="8"/>
        <v>66.5</v>
      </c>
      <c r="P202" s="12">
        <f t="shared" si="9"/>
        <v>33.25</v>
      </c>
      <c r="Q202" s="12">
        <f t="shared" si="10"/>
        <v>13.3</v>
      </c>
      <c r="R202" s="12">
        <f t="shared" si="48"/>
        <v>3.15</v>
      </c>
      <c r="S202" s="12">
        <f t="shared" si="12"/>
        <v>6.65</v>
      </c>
      <c r="T202" s="60">
        <f t="shared" si="13"/>
        <v>175.9</v>
      </c>
      <c r="U202" s="2">
        <f t="shared" si="14"/>
        <v>6.3</v>
      </c>
      <c r="V202" s="42">
        <f t="shared" si="15"/>
        <v>31.5</v>
      </c>
      <c r="W202" s="2">
        <f t="shared" si="16"/>
        <v>6.3</v>
      </c>
      <c r="X202" s="2">
        <f t="shared" si="17"/>
        <v>50.4</v>
      </c>
      <c r="Y202" s="2">
        <f t="shared" si="18"/>
        <v>94.5</v>
      </c>
      <c r="Z202" s="60">
        <f t="shared" si="19"/>
        <v>935.4</v>
      </c>
      <c r="AA202" s="11">
        <f t="shared" si="20"/>
        <v>187.08</v>
      </c>
      <c r="AB202" s="12">
        <f t="shared" si="49"/>
        <v>1122.48</v>
      </c>
      <c r="AC202" s="2">
        <f t="shared" si="22"/>
        <v>630</v>
      </c>
      <c r="AD202" s="12">
        <f t="shared" si="23"/>
        <v>492.48</v>
      </c>
      <c r="AE202" s="12">
        <f t="shared" si="24"/>
        <v>43.87427838</v>
      </c>
      <c r="AF202" s="61">
        <v>950.0</v>
      </c>
      <c r="AG202" s="62">
        <f t="shared" si="25"/>
        <v>42.85714286</v>
      </c>
      <c r="AH202" s="63">
        <f t="shared" si="26"/>
        <v>40</v>
      </c>
      <c r="AI202" s="64">
        <f t="shared" si="609"/>
        <v>1122.48</v>
      </c>
      <c r="AJ202" s="64">
        <v>990.0</v>
      </c>
      <c r="AK202" s="66">
        <f t="shared" si="27"/>
        <v>48.87218045</v>
      </c>
      <c r="AL202" s="66"/>
      <c r="AM202" s="14">
        <f t="shared" ref="AM202:AM207" si="646">(AH202/AJ202)*100</f>
        <v>4.04040404</v>
      </c>
      <c r="AN202" s="67">
        <f t="shared" si="29"/>
        <v>6.015037594</v>
      </c>
      <c r="AO202" s="68">
        <f t="shared" si="30"/>
        <v>1.488721805</v>
      </c>
      <c r="AP202" s="69">
        <f t="shared" si="31"/>
        <v>-1.3248</v>
      </c>
      <c r="AQ202" s="70">
        <f t="shared" si="32"/>
        <v>3.6</v>
      </c>
      <c r="AR202" s="71">
        <f t="shared" ref="AR202:AS202" si="643">AI202/94</f>
        <v>11.9412766</v>
      </c>
      <c r="AS202" s="71">
        <f t="shared" si="643"/>
        <v>10.53191489</v>
      </c>
      <c r="AT202" s="72">
        <f t="shared" ref="AT202:AU202" si="644">AI202/24</f>
        <v>46.77</v>
      </c>
      <c r="AU202" s="72">
        <f t="shared" si="644"/>
        <v>41.25</v>
      </c>
      <c r="AV202" s="73">
        <f t="shared" ref="AV202:AW202" si="645">AI202/125</f>
        <v>8.97984</v>
      </c>
      <c r="AW202" s="73">
        <f t="shared" si="645"/>
        <v>7.92</v>
      </c>
    </row>
    <row r="203" ht="15.75" customHeight="1">
      <c r="A203" s="2"/>
      <c r="B203" s="2" t="s">
        <v>400</v>
      </c>
      <c r="C203" s="2" t="s">
        <v>401</v>
      </c>
      <c r="D203" s="10">
        <v>350.0</v>
      </c>
      <c r="F203" s="1">
        <v>50.0</v>
      </c>
      <c r="G203" s="10">
        <v>4.6029E7</v>
      </c>
      <c r="H203" s="59">
        <v>0.05</v>
      </c>
      <c r="I203" s="2">
        <f t="shared" si="4"/>
        <v>17.5</v>
      </c>
      <c r="K203" s="2">
        <v>350.0</v>
      </c>
      <c r="L203" s="4">
        <f t="shared" si="5"/>
        <v>767.5</v>
      </c>
      <c r="M203" s="2">
        <f t="shared" si="6"/>
        <v>3.5</v>
      </c>
      <c r="N203" s="12">
        <f t="shared" si="7"/>
        <v>61.4</v>
      </c>
      <c r="O203" s="12">
        <f t="shared" si="8"/>
        <v>76.75</v>
      </c>
      <c r="P203" s="12">
        <f t="shared" si="9"/>
        <v>38.375</v>
      </c>
      <c r="Q203" s="12">
        <f t="shared" si="10"/>
        <v>15.35</v>
      </c>
      <c r="R203" s="12">
        <f t="shared" si="48"/>
        <v>3.675</v>
      </c>
      <c r="S203" s="12">
        <f t="shared" si="12"/>
        <v>7.675</v>
      </c>
      <c r="T203" s="60">
        <f t="shared" si="13"/>
        <v>203.05</v>
      </c>
      <c r="U203" s="2">
        <f t="shared" si="14"/>
        <v>7.35</v>
      </c>
      <c r="V203" s="42">
        <f t="shared" si="15"/>
        <v>36.75</v>
      </c>
      <c r="W203" s="2">
        <f t="shared" si="16"/>
        <v>7.35</v>
      </c>
      <c r="X203" s="2">
        <f t="shared" si="17"/>
        <v>58.8</v>
      </c>
      <c r="Y203" s="2">
        <f t="shared" si="18"/>
        <v>110.25</v>
      </c>
      <c r="Z203" s="60">
        <f t="shared" si="19"/>
        <v>1080.8</v>
      </c>
      <c r="AA203" s="11">
        <f t="shared" si="20"/>
        <v>216.16</v>
      </c>
      <c r="AB203" s="12">
        <f t="shared" si="49"/>
        <v>1296.96</v>
      </c>
      <c r="AC203" s="2">
        <f t="shared" si="22"/>
        <v>735</v>
      </c>
      <c r="AD203" s="12">
        <f t="shared" si="23"/>
        <v>561.96</v>
      </c>
      <c r="AE203" s="12">
        <f t="shared" si="24"/>
        <v>43.32901554</v>
      </c>
      <c r="AF203" s="61">
        <v>950.0</v>
      </c>
      <c r="AG203" s="62">
        <f t="shared" si="25"/>
        <v>23.77850163</v>
      </c>
      <c r="AH203" s="63">
        <f t="shared" si="26"/>
        <v>140</v>
      </c>
      <c r="AI203" s="64">
        <v>1290.0</v>
      </c>
      <c r="AJ203" s="64">
        <v>1090.0</v>
      </c>
      <c r="AK203" s="66">
        <f t="shared" si="27"/>
        <v>42.01954397</v>
      </c>
      <c r="AL203" s="66"/>
      <c r="AM203" s="14">
        <f t="shared" si="646"/>
        <v>12.8440367</v>
      </c>
      <c r="AN203" s="67">
        <f t="shared" si="29"/>
        <v>18.24104235</v>
      </c>
      <c r="AO203" s="68">
        <f t="shared" si="30"/>
        <v>1.42019544</v>
      </c>
      <c r="AP203" s="69">
        <f t="shared" si="31"/>
        <v>-2.0696</v>
      </c>
      <c r="AQ203" s="70">
        <f t="shared" si="32"/>
        <v>3.55</v>
      </c>
      <c r="AR203" s="71">
        <f t="shared" ref="AR203:AS203" si="647">AI203/94</f>
        <v>13.72340426</v>
      </c>
      <c r="AS203" s="71">
        <f t="shared" si="647"/>
        <v>11.59574468</v>
      </c>
      <c r="AT203" s="72">
        <f t="shared" ref="AT203:AU203" si="648">AI203/24</f>
        <v>53.75</v>
      </c>
      <c r="AU203" s="72">
        <f t="shared" si="648"/>
        <v>45.41666667</v>
      </c>
      <c r="AV203" s="73">
        <f t="shared" ref="AV203:AW203" si="649">AI203/125</f>
        <v>10.32</v>
      </c>
      <c r="AW203" s="73">
        <f t="shared" si="649"/>
        <v>8.72</v>
      </c>
    </row>
    <row r="204" ht="15.0" customHeight="1">
      <c r="A204" s="42" t="s">
        <v>402</v>
      </c>
      <c r="B204" s="42" t="s">
        <v>403</v>
      </c>
      <c r="C204" s="42" t="s">
        <v>404</v>
      </c>
      <c r="D204" s="45">
        <v>5700.0</v>
      </c>
      <c r="E204" s="47"/>
      <c r="F204" s="44">
        <v>135.0</v>
      </c>
      <c r="G204" s="45">
        <v>9.206E7</v>
      </c>
      <c r="H204" s="45">
        <v>0.0</v>
      </c>
      <c r="I204" s="42">
        <f t="shared" si="4"/>
        <v>0</v>
      </c>
      <c r="J204" s="47"/>
      <c r="K204" s="44">
        <v>200.0</v>
      </c>
      <c r="L204" s="48">
        <f t="shared" si="5"/>
        <v>6035</v>
      </c>
      <c r="M204" s="42">
        <f t="shared" si="6"/>
        <v>57</v>
      </c>
      <c r="N204" s="49">
        <f t="shared" si="7"/>
        <v>482.8</v>
      </c>
      <c r="O204" s="49">
        <f t="shared" si="8"/>
        <v>603.5</v>
      </c>
      <c r="P204" s="49">
        <f t="shared" si="9"/>
        <v>301.75</v>
      </c>
      <c r="Q204" s="49">
        <f t="shared" si="10"/>
        <v>120.7</v>
      </c>
      <c r="R204" s="49">
        <f t="shared" si="48"/>
        <v>59.85</v>
      </c>
      <c r="S204" s="49">
        <f t="shared" si="12"/>
        <v>60.35</v>
      </c>
      <c r="T204" s="50">
        <f t="shared" si="13"/>
        <v>1626.1</v>
      </c>
      <c r="U204" s="42">
        <f t="shared" si="14"/>
        <v>119.7</v>
      </c>
      <c r="V204" s="42">
        <f t="shared" si="15"/>
        <v>598.5</v>
      </c>
      <c r="W204" s="42">
        <f t="shared" si="16"/>
        <v>119.7</v>
      </c>
      <c r="X204" s="42">
        <f t="shared" si="17"/>
        <v>957.6</v>
      </c>
      <c r="Y204" s="42">
        <f t="shared" si="18"/>
        <v>1795.5</v>
      </c>
      <c r="Z204" s="50">
        <f t="shared" si="19"/>
        <v>9456.6</v>
      </c>
      <c r="AA204" s="51">
        <f t="shared" si="20"/>
        <v>1891.32</v>
      </c>
      <c r="AB204" s="49">
        <f t="shared" si="49"/>
        <v>11347.92</v>
      </c>
      <c r="AC204" s="42">
        <f t="shared" si="22"/>
        <v>11970</v>
      </c>
      <c r="AD204" s="49">
        <f t="shared" si="23"/>
        <v>-622.08</v>
      </c>
      <c r="AE204" s="49">
        <f t="shared" si="24"/>
        <v>-5.481885667</v>
      </c>
      <c r="AF204" s="47">
        <v>7650.0</v>
      </c>
      <c r="AG204" s="52">
        <f t="shared" si="25"/>
        <v>26.76056338</v>
      </c>
      <c r="AH204" s="53">
        <f t="shared" si="26"/>
        <v>1340</v>
      </c>
      <c r="AI204" s="53">
        <v>11990.0</v>
      </c>
      <c r="AJ204" s="54">
        <v>8990.0</v>
      </c>
      <c r="AK204" s="55">
        <f t="shared" si="27"/>
        <v>48.96437448</v>
      </c>
      <c r="AL204" s="55"/>
      <c r="AM204" s="55">
        <f t="shared" si="646"/>
        <v>14.9054505</v>
      </c>
      <c r="AN204" s="55">
        <f t="shared" si="29"/>
        <v>22.2038111</v>
      </c>
      <c r="AO204" s="56">
        <f t="shared" si="30"/>
        <v>1.489643745</v>
      </c>
      <c r="AP204" s="55">
        <f t="shared" si="31"/>
        <v>-23.5792</v>
      </c>
      <c r="AQ204" s="55">
        <f t="shared" si="32"/>
        <v>-29.8</v>
      </c>
      <c r="AR204" s="57">
        <f t="shared" ref="AR204:AS204" si="650">AI204/94</f>
        <v>127.5531915</v>
      </c>
      <c r="AS204" s="57">
        <f t="shared" si="650"/>
        <v>95.63829787</v>
      </c>
      <c r="AT204" s="58">
        <f t="shared" ref="AT204:AU204" si="651">AI204/24</f>
        <v>499.5833333</v>
      </c>
      <c r="AU204" s="58">
        <f t="shared" si="651"/>
        <v>374.5833333</v>
      </c>
      <c r="AV204" s="58">
        <f t="shared" ref="AV204:AW204" si="652">AI204/125</f>
        <v>95.92</v>
      </c>
      <c r="AW204" s="58">
        <f t="shared" si="652"/>
        <v>71.92</v>
      </c>
      <c r="AX204" s="47"/>
      <c r="AY204" s="47"/>
    </row>
    <row r="205" ht="15.75" customHeight="1">
      <c r="A205" s="42"/>
      <c r="B205" s="42" t="s">
        <v>405</v>
      </c>
      <c r="C205" s="42" t="s">
        <v>406</v>
      </c>
      <c r="D205" s="45">
        <v>7500.0</v>
      </c>
      <c r="E205" s="47"/>
      <c r="F205" s="44">
        <v>135.0</v>
      </c>
      <c r="G205" s="45">
        <v>9.206E7</v>
      </c>
      <c r="H205" s="45">
        <v>0.0</v>
      </c>
      <c r="I205" s="42">
        <f t="shared" si="4"/>
        <v>0</v>
      </c>
      <c r="J205" s="47"/>
      <c r="K205" s="44">
        <v>200.0</v>
      </c>
      <c r="L205" s="48">
        <f t="shared" si="5"/>
        <v>7835</v>
      </c>
      <c r="M205" s="42">
        <f t="shared" si="6"/>
        <v>75</v>
      </c>
      <c r="N205" s="49">
        <f t="shared" si="7"/>
        <v>626.8</v>
      </c>
      <c r="O205" s="49">
        <f t="shared" si="8"/>
        <v>783.5</v>
      </c>
      <c r="P205" s="49">
        <f t="shared" si="9"/>
        <v>391.75</v>
      </c>
      <c r="Q205" s="49">
        <f t="shared" si="10"/>
        <v>156.7</v>
      </c>
      <c r="R205" s="49">
        <f t="shared" si="48"/>
        <v>78.75</v>
      </c>
      <c r="S205" s="49">
        <f t="shared" si="12"/>
        <v>78.35</v>
      </c>
      <c r="T205" s="50">
        <f t="shared" si="13"/>
        <v>2112.1</v>
      </c>
      <c r="U205" s="42">
        <f t="shared" si="14"/>
        <v>157.5</v>
      </c>
      <c r="V205" s="42">
        <f t="shared" si="15"/>
        <v>787.5</v>
      </c>
      <c r="W205" s="42">
        <f t="shared" si="16"/>
        <v>157.5</v>
      </c>
      <c r="X205" s="42">
        <f t="shared" si="17"/>
        <v>1260</v>
      </c>
      <c r="Y205" s="42">
        <f t="shared" si="18"/>
        <v>2362.5</v>
      </c>
      <c r="Z205" s="50">
        <f t="shared" si="19"/>
        <v>12309.6</v>
      </c>
      <c r="AA205" s="51">
        <f t="shared" si="20"/>
        <v>2461.92</v>
      </c>
      <c r="AB205" s="49">
        <f t="shared" si="49"/>
        <v>14771.52</v>
      </c>
      <c r="AC205" s="42">
        <f t="shared" si="22"/>
        <v>15750</v>
      </c>
      <c r="AD205" s="49">
        <f t="shared" si="23"/>
        <v>-978.48</v>
      </c>
      <c r="AE205" s="49">
        <f t="shared" si="24"/>
        <v>-6.624098265</v>
      </c>
      <c r="AF205" s="47">
        <v>9350.0</v>
      </c>
      <c r="AG205" s="52">
        <f t="shared" si="25"/>
        <v>19.33631142</v>
      </c>
      <c r="AH205" s="53">
        <f t="shared" si="26"/>
        <v>2300</v>
      </c>
      <c r="AI205" s="53">
        <f>AB205</f>
        <v>14771.52</v>
      </c>
      <c r="AJ205" s="54">
        <v>11650.0</v>
      </c>
      <c r="AK205" s="55">
        <f t="shared" si="27"/>
        <v>48.69176771</v>
      </c>
      <c r="AL205" s="55"/>
      <c r="AM205" s="55">
        <f t="shared" si="646"/>
        <v>19.74248927</v>
      </c>
      <c r="AN205" s="55">
        <f t="shared" si="29"/>
        <v>29.35545629</v>
      </c>
      <c r="AO205" s="56">
        <f t="shared" si="30"/>
        <v>1.486917677</v>
      </c>
      <c r="AP205" s="55">
        <f t="shared" si="31"/>
        <v>-31.2152</v>
      </c>
      <c r="AQ205" s="55">
        <f t="shared" si="32"/>
        <v>-41</v>
      </c>
      <c r="AR205" s="57">
        <f t="shared" ref="AR205:AS205" si="653">AI205/94</f>
        <v>157.1438298</v>
      </c>
      <c r="AS205" s="57">
        <f t="shared" si="653"/>
        <v>123.9361702</v>
      </c>
      <c r="AT205" s="58">
        <f t="shared" ref="AT205:AU205" si="654">AI205/24</f>
        <v>615.48</v>
      </c>
      <c r="AU205" s="58">
        <f t="shared" si="654"/>
        <v>485.4166667</v>
      </c>
      <c r="AV205" s="58">
        <f t="shared" ref="AV205:AW205" si="655">AI205/125</f>
        <v>118.17216</v>
      </c>
      <c r="AW205" s="58">
        <f t="shared" si="655"/>
        <v>93.2</v>
      </c>
      <c r="AX205" s="47"/>
      <c r="AY205" s="47"/>
    </row>
    <row r="206" ht="15.0" customHeight="1">
      <c r="A206" s="42" t="s">
        <v>407</v>
      </c>
      <c r="B206" s="42" t="s">
        <v>408</v>
      </c>
      <c r="C206" s="42" t="s">
        <v>409</v>
      </c>
      <c r="D206" s="45">
        <f>8200*9</f>
        <v>73800</v>
      </c>
      <c r="E206" s="47"/>
      <c r="F206" s="44">
        <v>250.0</v>
      </c>
      <c r="G206" s="45">
        <v>9.203009E7</v>
      </c>
      <c r="H206" s="45">
        <v>0.0</v>
      </c>
      <c r="I206" s="42">
        <f t="shared" si="4"/>
        <v>0</v>
      </c>
      <c r="J206" s="47"/>
      <c r="K206" s="44">
        <v>1500.0</v>
      </c>
      <c r="L206" s="48">
        <f t="shared" si="5"/>
        <v>75550</v>
      </c>
      <c r="M206" s="42">
        <f t="shared" si="6"/>
        <v>738</v>
      </c>
      <c r="N206" s="49">
        <f t="shared" si="7"/>
        <v>6044</v>
      </c>
      <c r="O206" s="49">
        <f t="shared" si="8"/>
        <v>7555</v>
      </c>
      <c r="P206" s="49">
        <f t="shared" si="9"/>
        <v>3777.5</v>
      </c>
      <c r="Q206" s="49">
        <f t="shared" si="10"/>
        <v>1511</v>
      </c>
      <c r="R206" s="49">
        <f t="shared" si="48"/>
        <v>774.9</v>
      </c>
      <c r="S206" s="49">
        <f t="shared" si="12"/>
        <v>755.5</v>
      </c>
      <c r="T206" s="50">
        <f t="shared" si="13"/>
        <v>20381</v>
      </c>
      <c r="U206" s="42">
        <f t="shared" si="14"/>
        <v>1549.8</v>
      </c>
      <c r="V206" s="42">
        <f t="shared" si="15"/>
        <v>7749</v>
      </c>
      <c r="W206" s="42">
        <f t="shared" si="16"/>
        <v>1549.8</v>
      </c>
      <c r="X206" s="42">
        <f t="shared" si="17"/>
        <v>12398.4</v>
      </c>
      <c r="Y206" s="42">
        <f t="shared" si="18"/>
        <v>23247</v>
      </c>
      <c r="Z206" s="50">
        <f t="shared" si="19"/>
        <v>119178</v>
      </c>
      <c r="AA206" s="51">
        <f t="shared" si="20"/>
        <v>23835.6</v>
      </c>
      <c r="AB206" s="49">
        <f t="shared" si="49"/>
        <v>143013.6</v>
      </c>
      <c r="AC206" s="42">
        <f t="shared" si="22"/>
        <v>154980</v>
      </c>
      <c r="AD206" s="49">
        <f t="shared" si="23"/>
        <v>-11966.4</v>
      </c>
      <c r="AE206" s="49">
        <f t="shared" si="24"/>
        <v>-8.367316115</v>
      </c>
      <c r="AF206" s="47">
        <v>81500.0</v>
      </c>
      <c r="AG206" s="52">
        <f t="shared" si="25"/>
        <v>7.875579087</v>
      </c>
      <c r="AH206" s="53">
        <f t="shared" si="26"/>
        <v>18490</v>
      </c>
      <c r="AI206" s="53">
        <v>109000.0</v>
      </c>
      <c r="AJ206" s="53">
        <v>99990.0</v>
      </c>
      <c r="AK206" s="55">
        <f t="shared" si="27"/>
        <v>32.34943746</v>
      </c>
      <c r="AL206" s="55"/>
      <c r="AM206" s="55">
        <f t="shared" si="646"/>
        <v>18.49184918</v>
      </c>
      <c r="AN206" s="55">
        <f t="shared" si="29"/>
        <v>24.47385837</v>
      </c>
      <c r="AO206" s="56">
        <f t="shared" si="30"/>
        <v>1.323494375</v>
      </c>
      <c r="AP206" s="55">
        <f t="shared" si="31"/>
        <v>-430.236</v>
      </c>
      <c r="AQ206" s="55">
        <f t="shared" si="32"/>
        <v>-549.9</v>
      </c>
      <c r="AR206" s="57">
        <f t="shared" ref="AR206:AS206" si="656">AI206/94</f>
        <v>1159.574468</v>
      </c>
      <c r="AS206" s="57">
        <f t="shared" si="656"/>
        <v>1063.723404</v>
      </c>
      <c r="AT206" s="58">
        <f t="shared" ref="AT206:AU206" si="657">AI206/24</f>
        <v>4541.666667</v>
      </c>
      <c r="AU206" s="58">
        <f t="shared" si="657"/>
        <v>4166.25</v>
      </c>
      <c r="AV206" s="58">
        <f t="shared" ref="AV206:AW206" si="658">AI206/125</f>
        <v>872</v>
      </c>
      <c r="AW206" s="58">
        <f t="shared" si="658"/>
        <v>799.92</v>
      </c>
      <c r="AX206" s="47"/>
      <c r="AY206" s="47"/>
    </row>
    <row r="207" ht="15.75" customHeight="1">
      <c r="A207" s="42"/>
      <c r="B207" s="42" t="s">
        <v>410</v>
      </c>
      <c r="C207" s="42" t="s">
        <v>411</v>
      </c>
      <c r="D207" s="45">
        <v>82000.0</v>
      </c>
      <c r="E207" s="47"/>
      <c r="F207" s="44">
        <v>250.0</v>
      </c>
      <c r="G207" s="45">
        <v>9.206E7</v>
      </c>
      <c r="H207" s="45">
        <v>0.0</v>
      </c>
      <c r="I207" s="42">
        <f t="shared" si="4"/>
        <v>0</v>
      </c>
      <c r="J207" s="47"/>
      <c r="K207" s="44">
        <v>1500.0</v>
      </c>
      <c r="L207" s="48">
        <f t="shared" si="5"/>
        <v>83750</v>
      </c>
      <c r="M207" s="42">
        <f t="shared" si="6"/>
        <v>820</v>
      </c>
      <c r="N207" s="49">
        <f t="shared" si="7"/>
        <v>6700</v>
      </c>
      <c r="O207" s="49">
        <f t="shared" si="8"/>
        <v>8375</v>
      </c>
      <c r="P207" s="49">
        <f t="shared" si="9"/>
        <v>4187.5</v>
      </c>
      <c r="Q207" s="49">
        <f t="shared" si="10"/>
        <v>1675</v>
      </c>
      <c r="R207" s="49">
        <f t="shared" si="48"/>
        <v>861</v>
      </c>
      <c r="S207" s="49">
        <f t="shared" si="12"/>
        <v>837.5</v>
      </c>
      <c r="T207" s="50">
        <f t="shared" si="13"/>
        <v>22595</v>
      </c>
      <c r="U207" s="42">
        <f t="shared" si="14"/>
        <v>1722</v>
      </c>
      <c r="V207" s="42">
        <f t="shared" si="15"/>
        <v>8610</v>
      </c>
      <c r="W207" s="42">
        <f t="shared" si="16"/>
        <v>1722</v>
      </c>
      <c r="X207" s="42">
        <f t="shared" si="17"/>
        <v>13776</v>
      </c>
      <c r="Y207" s="42">
        <f t="shared" si="18"/>
        <v>25830</v>
      </c>
      <c r="Z207" s="50">
        <f t="shared" si="19"/>
        <v>132175</v>
      </c>
      <c r="AA207" s="51">
        <f t="shared" si="20"/>
        <v>26435</v>
      </c>
      <c r="AB207" s="49">
        <f t="shared" si="49"/>
        <v>158610</v>
      </c>
      <c r="AC207" s="42">
        <f t="shared" si="22"/>
        <v>172200</v>
      </c>
      <c r="AD207" s="49">
        <f t="shared" si="23"/>
        <v>-13590</v>
      </c>
      <c r="AE207" s="49">
        <f t="shared" si="24"/>
        <v>-8.568186117</v>
      </c>
      <c r="AF207" s="47">
        <v>91500.0</v>
      </c>
      <c r="AG207" s="52">
        <f t="shared" si="25"/>
        <v>9.253731343</v>
      </c>
      <c r="AH207" s="53">
        <f t="shared" si="26"/>
        <v>18490</v>
      </c>
      <c r="AI207" s="53">
        <v>125000.0</v>
      </c>
      <c r="AJ207" s="54">
        <v>109990.0</v>
      </c>
      <c r="AK207" s="55">
        <f t="shared" si="27"/>
        <v>31.33134328</v>
      </c>
      <c r="AL207" s="55"/>
      <c r="AM207" s="55">
        <f t="shared" si="646"/>
        <v>16.81061915</v>
      </c>
      <c r="AN207" s="55">
        <f t="shared" si="29"/>
        <v>22.07761194</v>
      </c>
      <c r="AO207" s="56">
        <f t="shared" si="30"/>
        <v>1.313313433</v>
      </c>
      <c r="AP207" s="55">
        <f t="shared" si="31"/>
        <v>-486.2</v>
      </c>
      <c r="AQ207" s="55">
        <f t="shared" si="32"/>
        <v>-622.1</v>
      </c>
      <c r="AR207" s="57">
        <f t="shared" ref="AR207:AS207" si="659">AI207/94</f>
        <v>1329.787234</v>
      </c>
      <c r="AS207" s="57">
        <f t="shared" si="659"/>
        <v>1170.106383</v>
      </c>
      <c r="AT207" s="58">
        <f t="shared" ref="AT207:AU207" si="660">AI207/24</f>
        <v>5208.333333</v>
      </c>
      <c r="AU207" s="58">
        <f t="shared" si="660"/>
        <v>4582.916667</v>
      </c>
      <c r="AV207" s="58">
        <f t="shared" ref="AV207:AW207" si="661">AI207/125</f>
        <v>1000</v>
      </c>
      <c r="AW207" s="58">
        <f t="shared" si="661"/>
        <v>879.92</v>
      </c>
      <c r="AX207" s="47"/>
      <c r="AY207" s="47"/>
    </row>
    <row r="208">
      <c r="A208" s="44" t="s">
        <v>412</v>
      </c>
      <c r="B208" s="42"/>
      <c r="C208" s="44" t="s">
        <v>413</v>
      </c>
      <c r="D208" s="43">
        <v>1680.0</v>
      </c>
      <c r="E208" s="44">
        <v>250.0</v>
      </c>
      <c r="F208" s="44">
        <v>55.0</v>
      </c>
      <c r="G208" s="43">
        <v>9206000.0</v>
      </c>
      <c r="H208" s="99">
        <v>0.18</v>
      </c>
      <c r="I208" s="42"/>
      <c r="J208" s="47"/>
      <c r="K208" s="44">
        <v>100.0</v>
      </c>
      <c r="L208" s="48">
        <f t="shared" si="5"/>
        <v>2085</v>
      </c>
      <c r="M208" s="42"/>
      <c r="N208" s="49"/>
      <c r="O208" s="49"/>
      <c r="P208" s="49"/>
      <c r="Q208" s="49"/>
      <c r="R208" s="49"/>
      <c r="S208" s="49"/>
      <c r="T208" s="50"/>
      <c r="U208" s="42"/>
      <c r="V208" s="42">
        <f t="shared" si="15"/>
        <v>0</v>
      </c>
      <c r="W208" s="42"/>
      <c r="X208" s="42"/>
      <c r="Y208" s="42"/>
      <c r="Z208" s="50"/>
      <c r="AA208" s="51"/>
      <c r="AB208" s="49"/>
      <c r="AC208" s="42"/>
      <c r="AD208" s="49"/>
      <c r="AE208" s="49"/>
      <c r="AF208" s="97">
        <v>4950.0</v>
      </c>
      <c r="AG208" s="52">
        <f t="shared" si="25"/>
        <v>137.4100719</v>
      </c>
      <c r="AH208" s="53"/>
      <c r="AI208" s="54"/>
      <c r="AJ208" s="100">
        <v>3950.0</v>
      </c>
      <c r="AK208" s="55">
        <f t="shared" si="27"/>
        <v>89.44844125</v>
      </c>
      <c r="AL208" s="55"/>
      <c r="AM208" s="55"/>
      <c r="AN208" s="55"/>
      <c r="AO208" s="56"/>
      <c r="AP208" s="55"/>
      <c r="AQ208" s="55"/>
      <c r="AR208" s="57"/>
      <c r="AS208" s="57"/>
      <c r="AT208" s="58"/>
      <c r="AU208" s="58"/>
      <c r="AV208" s="58"/>
      <c r="AW208" s="58"/>
      <c r="AX208" s="47"/>
      <c r="AY208" s="47"/>
    </row>
    <row r="209" ht="15.0" customHeight="1">
      <c r="A209" s="2" t="s">
        <v>414</v>
      </c>
      <c r="B209" s="2" t="s">
        <v>415</v>
      </c>
      <c r="C209" s="2" t="s">
        <v>416</v>
      </c>
      <c r="D209" s="101">
        <v>550.0</v>
      </c>
      <c r="E209" s="2">
        <v>80.0</v>
      </c>
      <c r="F209" s="1">
        <v>40.0</v>
      </c>
      <c r="G209" s="10">
        <v>4.42019E7</v>
      </c>
      <c r="H209" s="59">
        <v>0.05</v>
      </c>
      <c r="I209" s="2">
        <f t="shared" ref="I209:I225" si="665">D209*H209</f>
        <v>27.5</v>
      </c>
      <c r="K209" s="102">
        <v>30.0</v>
      </c>
      <c r="L209" s="4">
        <f t="shared" si="5"/>
        <v>727.5</v>
      </c>
      <c r="M209" s="2">
        <f t="shared" ref="M209:M281" si="666">D209*1%</f>
        <v>5.5</v>
      </c>
      <c r="N209" s="12">
        <f t="shared" ref="N209:N285" si="667">L209*8%</f>
        <v>58.2</v>
      </c>
      <c r="O209" s="12">
        <f t="shared" ref="O209:O285" si="668">L209*10%</f>
        <v>72.75</v>
      </c>
      <c r="P209" s="12">
        <f t="shared" ref="P209:P285" si="669">L209*5%</f>
        <v>36.375</v>
      </c>
      <c r="Q209" s="12">
        <f t="shared" ref="Q209:Q285" si="670">L209*2%</f>
        <v>14.55</v>
      </c>
      <c r="R209" s="12">
        <f t="shared" ref="R209:R285" si="671">AC209*0.5%</f>
        <v>5.775</v>
      </c>
      <c r="S209" s="12">
        <f t="shared" ref="S209:S285" si="672">L209*1%</f>
        <v>7.275</v>
      </c>
      <c r="T209" s="60">
        <f t="shared" ref="T209:T285" si="673">S209+Q209+P209+O209+N209+M209</f>
        <v>194.65</v>
      </c>
      <c r="U209" s="2">
        <f t="shared" ref="U209:U285" si="674">AC209*1%</f>
        <v>11.55</v>
      </c>
      <c r="V209" s="42">
        <f t="shared" si="15"/>
        <v>57.75</v>
      </c>
      <c r="W209" s="2">
        <f t="shared" ref="W209:W285" si="675">AC209*1%</f>
        <v>11.55</v>
      </c>
      <c r="X209" s="2">
        <f t="shared" ref="X209:X285" si="676">AC209*8%</f>
        <v>92.4</v>
      </c>
      <c r="Y209" s="2">
        <f t="shared" ref="Y209:Y285" si="677">U209+V209+W209+X209</f>
        <v>173.25</v>
      </c>
      <c r="Z209" s="60">
        <f t="shared" ref="Z209:Z285" si="678">Y209+T209+L209</f>
        <v>1095.4</v>
      </c>
      <c r="AA209" s="11">
        <f t="shared" ref="AA209:AA285" si="679">Z209*20%</f>
        <v>219.08</v>
      </c>
      <c r="AB209" s="12">
        <f t="shared" ref="AB209:AB285" si="680">Z209+AA209</f>
        <v>1314.48</v>
      </c>
      <c r="AC209" s="2">
        <f t="shared" ref="AC209:AC281" si="681">D209*2.1</f>
        <v>1155</v>
      </c>
      <c r="AD209" s="12">
        <f t="shared" ref="AD209:AD285" si="682">AB209-AC209</f>
        <v>159.48</v>
      </c>
      <c r="AE209" s="12">
        <f t="shared" ref="AE209:AE285" si="683">AD209/AB209*100</f>
        <v>12.13255432</v>
      </c>
      <c r="AF209" s="61">
        <v>1345.0</v>
      </c>
      <c r="AG209" s="62">
        <f t="shared" si="25"/>
        <v>84.87972509</v>
      </c>
      <c r="AH209" s="63">
        <f t="shared" ref="AH209:AH285" si="684">AJ209-AF209</f>
        <v>0</v>
      </c>
      <c r="AI209" s="64">
        <v>1450.0</v>
      </c>
      <c r="AJ209" s="61">
        <v>1345.0</v>
      </c>
      <c r="AK209" s="66">
        <f t="shared" si="27"/>
        <v>84.87972509</v>
      </c>
      <c r="AL209" s="66"/>
      <c r="AM209" s="14">
        <f t="shared" ref="AM209:AM226" si="685">(AH209/AJ209)*100</f>
        <v>0</v>
      </c>
      <c r="AN209" s="67">
        <f t="shared" ref="AN209:AN285" si="686">AK209-AG209</f>
        <v>0</v>
      </c>
      <c r="AO209" s="68">
        <f t="shared" ref="AO209:AO285" si="687">AJ209/L209</f>
        <v>1.848797251</v>
      </c>
      <c r="AP209" s="69">
        <f t="shared" ref="AP209:AP285" si="688">(AJ209-AB209)/100</f>
        <v>0.3052</v>
      </c>
      <c r="AQ209" s="70">
        <f t="shared" ref="AQ209:AQ285" si="689">(AJ209-AC209)/100</f>
        <v>1.9</v>
      </c>
      <c r="AR209" s="71">
        <f t="shared" ref="AR209:AS209" si="662">AI209/94</f>
        <v>15.42553191</v>
      </c>
      <c r="AS209" s="71">
        <f t="shared" si="662"/>
        <v>14.30851064</v>
      </c>
      <c r="AT209" s="72">
        <f t="shared" ref="AT209:AU209" si="663">AI209/24</f>
        <v>60.41666667</v>
      </c>
      <c r="AU209" s="72">
        <f t="shared" si="663"/>
        <v>56.04166667</v>
      </c>
      <c r="AV209" s="73">
        <f t="shared" ref="AV209:AW209" si="664">AI209/125</f>
        <v>11.6</v>
      </c>
      <c r="AW209" s="73">
        <f t="shared" si="664"/>
        <v>10.76</v>
      </c>
    </row>
    <row r="210" ht="15.75" customHeight="1">
      <c r="A210" s="2"/>
      <c r="B210" s="2" t="s">
        <v>417</v>
      </c>
      <c r="C210" s="2" t="s">
        <v>418</v>
      </c>
      <c r="D210" s="101">
        <v>1100.0</v>
      </c>
      <c r="E210" s="2">
        <v>80.0</v>
      </c>
      <c r="F210" s="1">
        <v>40.0</v>
      </c>
      <c r="G210" s="10">
        <v>4.42019E7</v>
      </c>
      <c r="H210" s="59">
        <v>0.05</v>
      </c>
      <c r="I210" s="2">
        <f t="shared" si="665"/>
        <v>55</v>
      </c>
      <c r="K210" s="102">
        <v>60.0</v>
      </c>
      <c r="L210" s="4">
        <f t="shared" si="5"/>
        <v>1335</v>
      </c>
      <c r="M210" s="2">
        <f t="shared" si="666"/>
        <v>11</v>
      </c>
      <c r="N210" s="12">
        <f t="shared" si="667"/>
        <v>106.8</v>
      </c>
      <c r="O210" s="12">
        <f t="shared" si="668"/>
        <v>133.5</v>
      </c>
      <c r="P210" s="12">
        <f t="shared" si="669"/>
        <v>66.75</v>
      </c>
      <c r="Q210" s="12">
        <f t="shared" si="670"/>
        <v>26.7</v>
      </c>
      <c r="R210" s="12">
        <f t="shared" si="671"/>
        <v>11.55</v>
      </c>
      <c r="S210" s="12">
        <f t="shared" si="672"/>
        <v>13.35</v>
      </c>
      <c r="T210" s="60">
        <f t="shared" si="673"/>
        <v>358.1</v>
      </c>
      <c r="U210" s="2">
        <f t="shared" si="674"/>
        <v>23.1</v>
      </c>
      <c r="V210" s="42">
        <f t="shared" si="15"/>
        <v>115.5</v>
      </c>
      <c r="W210" s="2">
        <f t="shared" si="675"/>
        <v>23.1</v>
      </c>
      <c r="X210" s="2">
        <f t="shared" si="676"/>
        <v>184.8</v>
      </c>
      <c r="Y210" s="2">
        <f t="shared" si="677"/>
        <v>346.5</v>
      </c>
      <c r="Z210" s="60">
        <f t="shared" si="678"/>
        <v>2039.6</v>
      </c>
      <c r="AA210" s="11">
        <f t="shared" si="679"/>
        <v>407.92</v>
      </c>
      <c r="AB210" s="12">
        <f t="shared" si="680"/>
        <v>2447.52</v>
      </c>
      <c r="AC210" s="2">
        <f t="shared" si="681"/>
        <v>2310</v>
      </c>
      <c r="AD210" s="12">
        <f t="shared" si="682"/>
        <v>137.52</v>
      </c>
      <c r="AE210" s="12">
        <f t="shared" si="683"/>
        <v>5.618748774</v>
      </c>
      <c r="AF210" s="61">
        <v>2450.0</v>
      </c>
      <c r="AG210" s="62">
        <f t="shared" si="25"/>
        <v>83.52059925</v>
      </c>
      <c r="AH210" s="63">
        <f t="shared" si="684"/>
        <v>0</v>
      </c>
      <c r="AI210" s="64">
        <v>2950.0</v>
      </c>
      <c r="AJ210" s="61">
        <v>2450.0</v>
      </c>
      <c r="AK210" s="66">
        <f t="shared" si="27"/>
        <v>83.52059925</v>
      </c>
      <c r="AL210" s="66"/>
      <c r="AM210" s="14">
        <f t="shared" si="685"/>
        <v>0</v>
      </c>
      <c r="AN210" s="67">
        <f t="shared" si="686"/>
        <v>0</v>
      </c>
      <c r="AO210" s="68">
        <f t="shared" si="687"/>
        <v>1.835205993</v>
      </c>
      <c r="AP210" s="69">
        <f t="shared" si="688"/>
        <v>0.0248</v>
      </c>
      <c r="AQ210" s="70">
        <f t="shared" si="689"/>
        <v>1.4</v>
      </c>
      <c r="AR210" s="71">
        <f t="shared" ref="AR210:AS210" si="690">AI210/94</f>
        <v>31.38297872</v>
      </c>
      <c r="AS210" s="71">
        <f t="shared" si="690"/>
        <v>26.06382979</v>
      </c>
      <c r="AT210" s="72">
        <f t="shared" ref="AT210:AU210" si="691">AI210/24</f>
        <v>122.9166667</v>
      </c>
      <c r="AU210" s="72">
        <f t="shared" si="691"/>
        <v>102.0833333</v>
      </c>
      <c r="AV210" s="73">
        <f t="shared" ref="AV210:AW210" si="692">AI210/125</f>
        <v>23.6</v>
      </c>
      <c r="AW210" s="73">
        <f t="shared" si="692"/>
        <v>19.6</v>
      </c>
    </row>
    <row r="211" ht="15.75" customHeight="1">
      <c r="A211" s="2"/>
      <c r="B211" s="2" t="s">
        <v>419</v>
      </c>
      <c r="C211" s="2" t="s">
        <v>420</v>
      </c>
      <c r="D211" s="101">
        <v>650.0</v>
      </c>
      <c r="E211" s="2">
        <v>80.0</v>
      </c>
      <c r="F211" s="1">
        <v>40.0</v>
      </c>
      <c r="G211" s="10">
        <v>4.42019E7</v>
      </c>
      <c r="H211" s="59">
        <v>0.05</v>
      </c>
      <c r="I211" s="2">
        <f t="shared" si="665"/>
        <v>32.5</v>
      </c>
      <c r="K211" s="102">
        <v>30.0</v>
      </c>
      <c r="L211" s="4">
        <f t="shared" si="5"/>
        <v>832.5</v>
      </c>
      <c r="M211" s="2">
        <f t="shared" si="666"/>
        <v>6.5</v>
      </c>
      <c r="N211" s="12">
        <f t="shared" si="667"/>
        <v>66.6</v>
      </c>
      <c r="O211" s="12">
        <f t="shared" si="668"/>
        <v>83.25</v>
      </c>
      <c r="P211" s="12">
        <f t="shared" si="669"/>
        <v>41.625</v>
      </c>
      <c r="Q211" s="12">
        <f t="shared" si="670"/>
        <v>16.65</v>
      </c>
      <c r="R211" s="12">
        <f t="shared" si="671"/>
        <v>6.825</v>
      </c>
      <c r="S211" s="12">
        <f t="shared" si="672"/>
        <v>8.325</v>
      </c>
      <c r="T211" s="60">
        <f t="shared" si="673"/>
        <v>222.95</v>
      </c>
      <c r="U211" s="2">
        <f t="shared" si="674"/>
        <v>13.65</v>
      </c>
      <c r="V211" s="42">
        <f t="shared" si="15"/>
        <v>68.25</v>
      </c>
      <c r="W211" s="2">
        <f t="shared" si="675"/>
        <v>13.65</v>
      </c>
      <c r="X211" s="2">
        <f t="shared" si="676"/>
        <v>109.2</v>
      </c>
      <c r="Y211" s="2">
        <f t="shared" si="677"/>
        <v>204.75</v>
      </c>
      <c r="Z211" s="60">
        <f t="shared" si="678"/>
        <v>1260.2</v>
      </c>
      <c r="AA211" s="11">
        <f t="shared" si="679"/>
        <v>252.04</v>
      </c>
      <c r="AB211" s="12">
        <f t="shared" si="680"/>
        <v>1512.24</v>
      </c>
      <c r="AC211" s="2">
        <f t="shared" si="681"/>
        <v>1365</v>
      </c>
      <c r="AD211" s="12">
        <f t="shared" si="682"/>
        <v>147.24</v>
      </c>
      <c r="AE211" s="12">
        <f t="shared" si="683"/>
        <v>9.736549754</v>
      </c>
      <c r="AF211" s="61">
        <v>1555.0</v>
      </c>
      <c r="AG211" s="62">
        <f t="shared" si="25"/>
        <v>86.78678679</v>
      </c>
      <c r="AH211" s="63">
        <f t="shared" si="684"/>
        <v>0</v>
      </c>
      <c r="AI211" s="64">
        <v>1690.0</v>
      </c>
      <c r="AJ211" s="61">
        <v>1555.0</v>
      </c>
      <c r="AK211" s="66">
        <f t="shared" si="27"/>
        <v>86.78678679</v>
      </c>
      <c r="AL211" s="66"/>
      <c r="AM211" s="14">
        <f t="shared" si="685"/>
        <v>0</v>
      </c>
      <c r="AN211" s="67">
        <f t="shared" si="686"/>
        <v>0</v>
      </c>
      <c r="AO211" s="68">
        <f t="shared" si="687"/>
        <v>1.867867868</v>
      </c>
      <c r="AP211" s="69">
        <f t="shared" si="688"/>
        <v>0.4276</v>
      </c>
      <c r="AQ211" s="70">
        <f t="shared" si="689"/>
        <v>1.9</v>
      </c>
      <c r="AR211" s="71">
        <f t="shared" ref="AR211:AS211" si="693">AI211/94</f>
        <v>17.9787234</v>
      </c>
      <c r="AS211" s="71">
        <f t="shared" si="693"/>
        <v>16.54255319</v>
      </c>
      <c r="AT211" s="72">
        <f t="shared" ref="AT211:AU211" si="694">AI211/24</f>
        <v>70.41666667</v>
      </c>
      <c r="AU211" s="72">
        <f t="shared" si="694"/>
        <v>64.79166667</v>
      </c>
      <c r="AV211" s="73">
        <f t="shared" ref="AV211:AW211" si="695">AI211/125</f>
        <v>13.52</v>
      </c>
      <c r="AW211" s="73">
        <f t="shared" si="695"/>
        <v>12.44</v>
      </c>
    </row>
    <row r="212" ht="15.75" customHeight="1">
      <c r="A212" s="2"/>
      <c r="B212" s="2" t="s">
        <v>421</v>
      </c>
      <c r="C212" s="2" t="s">
        <v>422</v>
      </c>
      <c r="D212" s="101">
        <v>1300.0</v>
      </c>
      <c r="E212" s="2">
        <v>80.0</v>
      </c>
      <c r="F212" s="1">
        <v>40.0</v>
      </c>
      <c r="G212" s="10">
        <v>4.42019E7</v>
      </c>
      <c r="H212" s="59">
        <v>0.05</v>
      </c>
      <c r="I212" s="2">
        <f t="shared" si="665"/>
        <v>65</v>
      </c>
      <c r="K212" s="102">
        <v>60.0</v>
      </c>
      <c r="L212" s="4">
        <f t="shared" si="5"/>
        <v>1545</v>
      </c>
      <c r="M212" s="2">
        <f t="shared" si="666"/>
        <v>13</v>
      </c>
      <c r="N212" s="12">
        <f t="shared" si="667"/>
        <v>123.6</v>
      </c>
      <c r="O212" s="12">
        <f t="shared" si="668"/>
        <v>154.5</v>
      </c>
      <c r="P212" s="12">
        <f t="shared" si="669"/>
        <v>77.25</v>
      </c>
      <c r="Q212" s="12">
        <f t="shared" si="670"/>
        <v>30.9</v>
      </c>
      <c r="R212" s="12">
        <f t="shared" si="671"/>
        <v>13.65</v>
      </c>
      <c r="S212" s="12">
        <f t="shared" si="672"/>
        <v>15.45</v>
      </c>
      <c r="T212" s="60">
        <f t="shared" si="673"/>
        <v>414.7</v>
      </c>
      <c r="U212" s="2">
        <f t="shared" si="674"/>
        <v>27.3</v>
      </c>
      <c r="V212" s="42">
        <f t="shared" si="15"/>
        <v>136.5</v>
      </c>
      <c r="W212" s="2">
        <f t="shared" si="675"/>
        <v>27.3</v>
      </c>
      <c r="X212" s="2">
        <f t="shared" si="676"/>
        <v>218.4</v>
      </c>
      <c r="Y212" s="2">
        <f t="shared" si="677"/>
        <v>409.5</v>
      </c>
      <c r="Z212" s="60">
        <f t="shared" si="678"/>
        <v>2369.2</v>
      </c>
      <c r="AA212" s="11">
        <f t="shared" si="679"/>
        <v>473.84</v>
      </c>
      <c r="AB212" s="12">
        <f t="shared" si="680"/>
        <v>2843.04</v>
      </c>
      <c r="AC212" s="2">
        <f t="shared" si="681"/>
        <v>2730</v>
      </c>
      <c r="AD212" s="12">
        <f t="shared" si="682"/>
        <v>113.04</v>
      </c>
      <c r="AE212" s="12">
        <f t="shared" si="683"/>
        <v>3.976025663</v>
      </c>
      <c r="AF212" s="61">
        <v>2700.0</v>
      </c>
      <c r="AG212" s="62">
        <f t="shared" si="25"/>
        <v>74.75728155</v>
      </c>
      <c r="AH212" s="63">
        <f t="shared" si="684"/>
        <v>0</v>
      </c>
      <c r="AI212" s="64">
        <v>2990.0</v>
      </c>
      <c r="AJ212" s="61">
        <v>2700.0</v>
      </c>
      <c r="AK212" s="66">
        <f t="shared" si="27"/>
        <v>74.75728155</v>
      </c>
      <c r="AL212" s="66"/>
      <c r="AM212" s="14">
        <f t="shared" si="685"/>
        <v>0</v>
      </c>
      <c r="AN212" s="67">
        <f t="shared" si="686"/>
        <v>0</v>
      </c>
      <c r="AO212" s="68">
        <f t="shared" si="687"/>
        <v>1.747572816</v>
      </c>
      <c r="AP212" s="69">
        <f t="shared" si="688"/>
        <v>-1.4304</v>
      </c>
      <c r="AQ212" s="70">
        <f t="shared" si="689"/>
        <v>-0.3</v>
      </c>
      <c r="AR212" s="71">
        <f t="shared" ref="AR212:AS212" si="696">AI212/94</f>
        <v>31.80851064</v>
      </c>
      <c r="AS212" s="71">
        <f t="shared" si="696"/>
        <v>28.72340426</v>
      </c>
      <c r="AT212" s="72">
        <f t="shared" ref="AT212:AU212" si="697">AI212/24</f>
        <v>124.5833333</v>
      </c>
      <c r="AU212" s="72">
        <f t="shared" si="697"/>
        <v>112.5</v>
      </c>
      <c r="AV212" s="73">
        <f t="shared" ref="AV212:AW212" si="698">AI212/125</f>
        <v>23.92</v>
      </c>
      <c r="AW212" s="73">
        <f t="shared" si="698"/>
        <v>21.6</v>
      </c>
    </row>
    <row r="213" ht="15.75" customHeight="1">
      <c r="A213" s="2" t="s">
        <v>423</v>
      </c>
      <c r="B213" s="2" t="s">
        <v>218</v>
      </c>
      <c r="C213" s="2" t="s">
        <v>424</v>
      </c>
      <c r="D213" s="103">
        <v>390.0</v>
      </c>
      <c r="F213" s="1">
        <v>40.0</v>
      </c>
      <c r="G213" s="10">
        <v>4.60211E7</v>
      </c>
      <c r="H213" s="59">
        <v>0.05</v>
      </c>
      <c r="I213" s="2">
        <f t="shared" si="665"/>
        <v>19.5</v>
      </c>
      <c r="K213" s="2">
        <f t="shared" ref="K213:K216" si="702">D213*4%</f>
        <v>15.6</v>
      </c>
      <c r="L213" s="4">
        <f t="shared" si="5"/>
        <v>465.1</v>
      </c>
      <c r="M213" s="2">
        <f t="shared" si="666"/>
        <v>3.9</v>
      </c>
      <c r="N213" s="12">
        <f t="shared" si="667"/>
        <v>37.208</v>
      </c>
      <c r="O213" s="12">
        <f t="shared" si="668"/>
        <v>46.51</v>
      </c>
      <c r="P213" s="12">
        <f t="shared" si="669"/>
        <v>23.255</v>
      </c>
      <c r="Q213" s="12">
        <f t="shared" si="670"/>
        <v>9.302</v>
      </c>
      <c r="R213" s="12">
        <f t="shared" si="671"/>
        <v>4.095</v>
      </c>
      <c r="S213" s="12">
        <f t="shared" si="672"/>
        <v>4.651</v>
      </c>
      <c r="T213" s="60">
        <f t="shared" si="673"/>
        <v>124.826</v>
      </c>
      <c r="U213" s="2">
        <f t="shared" si="674"/>
        <v>8.19</v>
      </c>
      <c r="V213" s="42">
        <f t="shared" si="15"/>
        <v>40.95</v>
      </c>
      <c r="W213" s="2">
        <f t="shared" si="675"/>
        <v>8.19</v>
      </c>
      <c r="X213" s="2">
        <f t="shared" si="676"/>
        <v>65.52</v>
      </c>
      <c r="Y213" s="2">
        <f t="shared" si="677"/>
        <v>122.85</v>
      </c>
      <c r="Z213" s="60">
        <f t="shared" si="678"/>
        <v>712.776</v>
      </c>
      <c r="AA213" s="11">
        <f t="shared" si="679"/>
        <v>142.5552</v>
      </c>
      <c r="AB213" s="12">
        <f t="shared" si="680"/>
        <v>855.3312</v>
      </c>
      <c r="AC213" s="2">
        <f t="shared" si="681"/>
        <v>819</v>
      </c>
      <c r="AD213" s="12">
        <f t="shared" si="682"/>
        <v>36.3312</v>
      </c>
      <c r="AE213" s="12">
        <f t="shared" si="683"/>
        <v>4.247617765</v>
      </c>
      <c r="AF213" s="61">
        <v>745.0</v>
      </c>
      <c r="AG213" s="62">
        <f t="shared" si="25"/>
        <v>60.18060632</v>
      </c>
      <c r="AH213" s="63">
        <f t="shared" si="684"/>
        <v>50.458016</v>
      </c>
      <c r="AI213" s="64">
        <f t="shared" ref="AI213:AI214" si="703">AB213</f>
        <v>855.3312</v>
      </c>
      <c r="AJ213" s="64">
        <f>AI213-(AI213*7%)</f>
        <v>795.458016</v>
      </c>
      <c r="AK213" s="66">
        <f t="shared" si="27"/>
        <v>71.02945947</v>
      </c>
      <c r="AL213" s="66"/>
      <c r="AM213" s="14">
        <f t="shared" si="685"/>
        <v>6.343265765</v>
      </c>
      <c r="AN213" s="67">
        <f t="shared" si="686"/>
        <v>10.84885315</v>
      </c>
      <c r="AO213" s="68">
        <f t="shared" si="687"/>
        <v>1.710294595</v>
      </c>
      <c r="AP213" s="69">
        <f t="shared" si="688"/>
        <v>-0.59873184</v>
      </c>
      <c r="AQ213" s="70">
        <f t="shared" si="689"/>
        <v>-0.23541984</v>
      </c>
      <c r="AR213" s="71">
        <f t="shared" ref="AR213:AS213" si="699">AI213/94</f>
        <v>9.099268085</v>
      </c>
      <c r="AS213" s="71">
        <f t="shared" si="699"/>
        <v>8.462319319</v>
      </c>
      <c r="AT213" s="72">
        <f t="shared" ref="AT213:AU213" si="700">AI213/24</f>
        <v>35.6388</v>
      </c>
      <c r="AU213" s="72">
        <f t="shared" si="700"/>
        <v>33.144084</v>
      </c>
      <c r="AV213" s="73">
        <f t="shared" ref="AV213:AW213" si="701">AI213/125</f>
        <v>6.8426496</v>
      </c>
      <c r="AW213" s="73">
        <f t="shared" si="701"/>
        <v>6.363664128</v>
      </c>
    </row>
    <row r="214" ht="15.75" customHeight="1">
      <c r="A214" s="2" t="s">
        <v>425</v>
      </c>
      <c r="B214" s="2" t="s">
        <v>218</v>
      </c>
      <c r="C214" s="2" t="s">
        <v>426</v>
      </c>
      <c r="D214" s="10">
        <v>1450.0</v>
      </c>
      <c r="E214" s="2">
        <v>150.0</v>
      </c>
      <c r="F214" s="1">
        <v>40.0</v>
      </c>
      <c r="G214" s="10">
        <v>4.60211E7</v>
      </c>
      <c r="H214" s="59">
        <v>0.05</v>
      </c>
      <c r="I214" s="2">
        <f t="shared" si="665"/>
        <v>72.5</v>
      </c>
      <c r="K214" s="2">
        <f t="shared" si="702"/>
        <v>58</v>
      </c>
      <c r="L214" s="4">
        <f t="shared" si="5"/>
        <v>1770.5</v>
      </c>
      <c r="M214" s="2">
        <f t="shared" si="666"/>
        <v>14.5</v>
      </c>
      <c r="N214" s="12">
        <f t="shared" si="667"/>
        <v>141.64</v>
      </c>
      <c r="O214" s="12">
        <f t="shared" si="668"/>
        <v>177.05</v>
      </c>
      <c r="P214" s="12">
        <f t="shared" si="669"/>
        <v>88.525</v>
      </c>
      <c r="Q214" s="12">
        <f t="shared" si="670"/>
        <v>35.41</v>
      </c>
      <c r="R214" s="12">
        <f t="shared" si="671"/>
        <v>15.225</v>
      </c>
      <c r="S214" s="12">
        <f t="shared" si="672"/>
        <v>17.705</v>
      </c>
      <c r="T214" s="60">
        <f t="shared" si="673"/>
        <v>474.83</v>
      </c>
      <c r="U214" s="2">
        <f t="shared" si="674"/>
        <v>30.45</v>
      </c>
      <c r="V214" s="42">
        <f t="shared" si="15"/>
        <v>152.25</v>
      </c>
      <c r="W214" s="2">
        <f t="shared" si="675"/>
        <v>30.45</v>
      </c>
      <c r="X214" s="2">
        <f t="shared" si="676"/>
        <v>243.6</v>
      </c>
      <c r="Y214" s="2">
        <f t="shared" si="677"/>
        <v>456.75</v>
      </c>
      <c r="Z214" s="60">
        <f t="shared" si="678"/>
        <v>2702.08</v>
      </c>
      <c r="AA214" s="11">
        <f t="shared" si="679"/>
        <v>540.416</v>
      </c>
      <c r="AB214" s="12">
        <f t="shared" si="680"/>
        <v>3242.496</v>
      </c>
      <c r="AC214" s="2">
        <f t="shared" si="681"/>
        <v>3045</v>
      </c>
      <c r="AD214" s="12">
        <f t="shared" si="682"/>
        <v>197.496</v>
      </c>
      <c r="AE214" s="12">
        <f t="shared" si="683"/>
        <v>6.090863335</v>
      </c>
      <c r="AF214" s="61">
        <v>2950.0</v>
      </c>
      <c r="AG214" s="62">
        <f t="shared" si="25"/>
        <v>66.61959898</v>
      </c>
      <c r="AH214" s="63">
        <f t="shared" si="684"/>
        <v>40</v>
      </c>
      <c r="AI214" s="64">
        <f t="shared" si="703"/>
        <v>3242.496</v>
      </c>
      <c r="AJ214" s="64">
        <v>2990.0</v>
      </c>
      <c r="AK214" s="66">
        <f t="shared" si="27"/>
        <v>68.87884778</v>
      </c>
      <c r="AL214" s="66"/>
      <c r="AM214" s="14">
        <f t="shared" si="685"/>
        <v>1.337792642</v>
      </c>
      <c r="AN214" s="67">
        <f t="shared" si="686"/>
        <v>2.2592488</v>
      </c>
      <c r="AO214" s="68">
        <f t="shared" si="687"/>
        <v>1.688788478</v>
      </c>
      <c r="AP214" s="69">
        <f t="shared" si="688"/>
        <v>-2.52496</v>
      </c>
      <c r="AQ214" s="70">
        <f t="shared" si="689"/>
        <v>-0.55</v>
      </c>
      <c r="AR214" s="71">
        <f t="shared" ref="AR214:AS214" si="704">AI214/94</f>
        <v>34.4946383</v>
      </c>
      <c r="AS214" s="71">
        <f t="shared" si="704"/>
        <v>31.80851064</v>
      </c>
      <c r="AT214" s="72">
        <f t="shared" ref="AT214:AU214" si="705">AI214/24</f>
        <v>135.104</v>
      </c>
      <c r="AU214" s="72">
        <f t="shared" si="705"/>
        <v>124.5833333</v>
      </c>
      <c r="AV214" s="73">
        <f t="shared" ref="AV214:AW214" si="706">AI214/125</f>
        <v>25.939968</v>
      </c>
      <c r="AW214" s="73">
        <f t="shared" si="706"/>
        <v>23.92</v>
      </c>
    </row>
    <row r="215" ht="15.75" customHeight="1">
      <c r="A215" s="42" t="s">
        <v>427</v>
      </c>
      <c r="B215" s="42" t="s">
        <v>218</v>
      </c>
      <c r="C215" s="42" t="s">
        <v>428</v>
      </c>
      <c r="D215" s="96">
        <v>6000.0</v>
      </c>
      <c r="E215" s="97">
        <v>500.0</v>
      </c>
      <c r="F215" s="44">
        <v>145.0</v>
      </c>
      <c r="G215" s="43">
        <v>8.3061E7</v>
      </c>
      <c r="H215" s="46">
        <v>0.05</v>
      </c>
      <c r="I215" s="42">
        <f t="shared" si="665"/>
        <v>300</v>
      </c>
      <c r="J215" s="47"/>
      <c r="K215" s="42">
        <f t="shared" si="702"/>
        <v>240</v>
      </c>
      <c r="L215" s="48">
        <f t="shared" si="5"/>
        <v>7185</v>
      </c>
      <c r="M215" s="42">
        <f t="shared" si="666"/>
        <v>60</v>
      </c>
      <c r="N215" s="49">
        <f t="shared" si="667"/>
        <v>574.8</v>
      </c>
      <c r="O215" s="49">
        <f t="shared" si="668"/>
        <v>718.5</v>
      </c>
      <c r="P215" s="49">
        <f t="shared" si="669"/>
        <v>359.25</v>
      </c>
      <c r="Q215" s="49">
        <f t="shared" si="670"/>
        <v>143.7</v>
      </c>
      <c r="R215" s="49">
        <f t="shared" si="671"/>
        <v>63</v>
      </c>
      <c r="S215" s="49">
        <f t="shared" si="672"/>
        <v>71.85</v>
      </c>
      <c r="T215" s="50">
        <f t="shared" si="673"/>
        <v>1928.1</v>
      </c>
      <c r="U215" s="42">
        <f t="shared" si="674"/>
        <v>126</v>
      </c>
      <c r="V215" s="42">
        <f t="shared" si="15"/>
        <v>630</v>
      </c>
      <c r="W215" s="42">
        <f t="shared" si="675"/>
        <v>126</v>
      </c>
      <c r="X215" s="42">
        <f t="shared" si="676"/>
        <v>1008</v>
      </c>
      <c r="Y215" s="42">
        <f t="shared" si="677"/>
        <v>1890</v>
      </c>
      <c r="Z215" s="50">
        <f t="shared" si="678"/>
        <v>11003.1</v>
      </c>
      <c r="AA215" s="51">
        <f t="shared" si="679"/>
        <v>2200.62</v>
      </c>
      <c r="AB215" s="49">
        <f t="shared" si="680"/>
        <v>13203.72</v>
      </c>
      <c r="AC215" s="42">
        <f t="shared" si="681"/>
        <v>12600</v>
      </c>
      <c r="AD215" s="49">
        <f t="shared" si="682"/>
        <v>603.72</v>
      </c>
      <c r="AE215" s="49">
        <f t="shared" si="683"/>
        <v>4.572347793</v>
      </c>
      <c r="AF215" s="47">
        <v>9900.0</v>
      </c>
      <c r="AG215" s="52">
        <f t="shared" si="25"/>
        <v>37.78705637</v>
      </c>
      <c r="AH215" s="53">
        <f t="shared" si="684"/>
        <v>1550</v>
      </c>
      <c r="AI215" s="53">
        <v>10990.0</v>
      </c>
      <c r="AJ215" s="54">
        <v>11450.0</v>
      </c>
      <c r="AK215" s="55">
        <f t="shared" si="27"/>
        <v>59.35977731</v>
      </c>
      <c r="AL215" s="55"/>
      <c r="AM215" s="55">
        <f t="shared" si="685"/>
        <v>13.5371179</v>
      </c>
      <c r="AN215" s="55">
        <f t="shared" si="686"/>
        <v>21.57272095</v>
      </c>
      <c r="AO215" s="56">
        <f t="shared" si="687"/>
        <v>1.593597773</v>
      </c>
      <c r="AP215" s="55">
        <f t="shared" si="688"/>
        <v>-17.5372</v>
      </c>
      <c r="AQ215" s="55">
        <f t="shared" si="689"/>
        <v>-11.5</v>
      </c>
      <c r="AR215" s="57">
        <f t="shared" ref="AR215:AS215" si="707">AI215/94</f>
        <v>116.9148936</v>
      </c>
      <c r="AS215" s="57">
        <f t="shared" si="707"/>
        <v>121.8085106</v>
      </c>
      <c r="AT215" s="58">
        <f t="shared" ref="AT215:AU215" si="708">AI215/24</f>
        <v>457.9166667</v>
      </c>
      <c r="AU215" s="58">
        <f t="shared" si="708"/>
        <v>477.0833333</v>
      </c>
      <c r="AV215" s="58">
        <f t="shared" ref="AV215:AW215" si="709">AI215/125</f>
        <v>87.92</v>
      </c>
      <c r="AW215" s="58">
        <f t="shared" si="709"/>
        <v>91.6</v>
      </c>
      <c r="AX215" s="47"/>
      <c r="AY215" s="47"/>
    </row>
    <row r="216" ht="15.75" customHeight="1">
      <c r="A216" s="2" t="s">
        <v>429</v>
      </c>
      <c r="B216" s="2" t="s">
        <v>218</v>
      </c>
      <c r="C216" s="2" t="s">
        <v>430</v>
      </c>
      <c r="D216" s="10">
        <v>2500.0</v>
      </c>
      <c r="E216" s="2">
        <v>200.0</v>
      </c>
      <c r="F216" s="1">
        <v>85.0</v>
      </c>
      <c r="G216" s="10">
        <v>4.42019E7</v>
      </c>
      <c r="H216" s="59">
        <v>0.05</v>
      </c>
      <c r="I216" s="2">
        <f t="shared" si="665"/>
        <v>125</v>
      </c>
      <c r="K216" s="2">
        <f t="shared" si="702"/>
        <v>100</v>
      </c>
      <c r="L216" s="4">
        <f t="shared" si="5"/>
        <v>3010</v>
      </c>
      <c r="M216" s="2">
        <f t="shared" si="666"/>
        <v>25</v>
      </c>
      <c r="N216" s="12">
        <f t="shared" si="667"/>
        <v>240.8</v>
      </c>
      <c r="O216" s="12">
        <f t="shared" si="668"/>
        <v>301</v>
      </c>
      <c r="P216" s="12">
        <f t="shared" si="669"/>
        <v>150.5</v>
      </c>
      <c r="Q216" s="12">
        <f t="shared" si="670"/>
        <v>60.2</v>
      </c>
      <c r="R216" s="12">
        <f t="shared" si="671"/>
        <v>26.25</v>
      </c>
      <c r="S216" s="12">
        <f t="shared" si="672"/>
        <v>30.1</v>
      </c>
      <c r="T216" s="60">
        <f t="shared" si="673"/>
        <v>807.6</v>
      </c>
      <c r="U216" s="2">
        <f t="shared" si="674"/>
        <v>52.5</v>
      </c>
      <c r="V216" s="42">
        <f t="shared" si="15"/>
        <v>262.5</v>
      </c>
      <c r="W216" s="2">
        <f t="shared" si="675"/>
        <v>52.5</v>
      </c>
      <c r="X216" s="2">
        <f t="shared" si="676"/>
        <v>420</v>
      </c>
      <c r="Y216" s="2">
        <f t="shared" si="677"/>
        <v>787.5</v>
      </c>
      <c r="Z216" s="60">
        <f t="shared" si="678"/>
        <v>4605.1</v>
      </c>
      <c r="AA216" s="11">
        <f t="shared" si="679"/>
        <v>921.02</v>
      </c>
      <c r="AB216" s="12">
        <f t="shared" si="680"/>
        <v>5526.12</v>
      </c>
      <c r="AC216" s="2">
        <f t="shared" si="681"/>
        <v>5250</v>
      </c>
      <c r="AD216" s="12">
        <f t="shared" si="682"/>
        <v>276.12</v>
      </c>
      <c r="AE216" s="12">
        <f t="shared" si="683"/>
        <v>4.996634166</v>
      </c>
      <c r="AF216" s="61">
        <v>5950.0</v>
      </c>
      <c r="AG216" s="62">
        <f t="shared" si="25"/>
        <v>97.6744186</v>
      </c>
      <c r="AH216" s="63">
        <f t="shared" si="684"/>
        <v>-600</v>
      </c>
      <c r="AI216" s="64">
        <v>6500.0</v>
      </c>
      <c r="AJ216" s="65">
        <v>5350.0</v>
      </c>
      <c r="AK216" s="66">
        <f t="shared" si="27"/>
        <v>77.74086379</v>
      </c>
      <c r="AL216" s="66"/>
      <c r="AM216" s="14">
        <f t="shared" si="685"/>
        <v>-11.21495327</v>
      </c>
      <c r="AN216" s="67">
        <f t="shared" si="686"/>
        <v>-19.93355482</v>
      </c>
      <c r="AO216" s="68">
        <f t="shared" si="687"/>
        <v>1.777408638</v>
      </c>
      <c r="AP216" s="69">
        <f t="shared" si="688"/>
        <v>-1.7612</v>
      </c>
      <c r="AQ216" s="70">
        <f t="shared" si="689"/>
        <v>1</v>
      </c>
      <c r="AR216" s="71">
        <f t="shared" ref="AR216:AS216" si="710">AI216/94</f>
        <v>69.14893617</v>
      </c>
      <c r="AS216" s="71">
        <f t="shared" si="710"/>
        <v>56.91489362</v>
      </c>
      <c r="AT216" s="72">
        <f t="shared" ref="AT216:AU216" si="711">AI216/24</f>
        <v>270.8333333</v>
      </c>
      <c r="AU216" s="72">
        <f t="shared" si="711"/>
        <v>222.9166667</v>
      </c>
      <c r="AV216" s="73">
        <f t="shared" ref="AV216:AW216" si="712">AI216/125</f>
        <v>52</v>
      </c>
      <c r="AW216" s="73">
        <f t="shared" si="712"/>
        <v>42.8</v>
      </c>
    </row>
    <row r="217" ht="15.0" customHeight="1">
      <c r="A217" s="2" t="s">
        <v>431</v>
      </c>
      <c r="B217" s="2" t="s">
        <v>363</v>
      </c>
      <c r="C217" s="2" t="s">
        <v>432</v>
      </c>
      <c r="D217" s="10">
        <v>550.0</v>
      </c>
      <c r="E217" s="2">
        <v>100.0</v>
      </c>
      <c r="F217" s="1">
        <v>65.0</v>
      </c>
      <c r="G217" s="10">
        <v>4.42019E7</v>
      </c>
      <c r="H217" s="59">
        <v>0.05</v>
      </c>
      <c r="I217" s="2">
        <f t="shared" si="665"/>
        <v>27.5</v>
      </c>
      <c r="K217" s="1">
        <v>40.0</v>
      </c>
      <c r="L217" s="4">
        <f t="shared" si="5"/>
        <v>782.5</v>
      </c>
      <c r="M217" s="2">
        <f t="shared" si="666"/>
        <v>5.5</v>
      </c>
      <c r="N217" s="12">
        <f t="shared" si="667"/>
        <v>62.6</v>
      </c>
      <c r="O217" s="12">
        <f t="shared" si="668"/>
        <v>78.25</v>
      </c>
      <c r="P217" s="12">
        <f t="shared" si="669"/>
        <v>39.125</v>
      </c>
      <c r="Q217" s="12">
        <f t="shared" si="670"/>
        <v>15.65</v>
      </c>
      <c r="R217" s="12">
        <f t="shared" si="671"/>
        <v>5.775</v>
      </c>
      <c r="S217" s="12">
        <f t="shared" si="672"/>
        <v>7.825</v>
      </c>
      <c r="T217" s="60">
        <f t="shared" si="673"/>
        <v>208.95</v>
      </c>
      <c r="U217" s="2">
        <f t="shared" si="674"/>
        <v>11.55</v>
      </c>
      <c r="V217" s="42">
        <f t="shared" si="15"/>
        <v>57.75</v>
      </c>
      <c r="W217" s="2">
        <f t="shared" si="675"/>
        <v>11.55</v>
      </c>
      <c r="X217" s="2">
        <f t="shared" si="676"/>
        <v>92.4</v>
      </c>
      <c r="Y217" s="2">
        <f t="shared" si="677"/>
        <v>173.25</v>
      </c>
      <c r="Z217" s="60">
        <f t="shared" si="678"/>
        <v>1164.7</v>
      </c>
      <c r="AA217" s="11">
        <f t="shared" si="679"/>
        <v>232.94</v>
      </c>
      <c r="AB217" s="12">
        <f t="shared" si="680"/>
        <v>1397.64</v>
      </c>
      <c r="AC217" s="2">
        <f t="shared" si="681"/>
        <v>1155</v>
      </c>
      <c r="AD217" s="12">
        <f t="shared" si="682"/>
        <v>242.64</v>
      </c>
      <c r="AE217" s="12">
        <f t="shared" si="683"/>
        <v>17.36069374</v>
      </c>
      <c r="AF217" s="61">
        <v>1350.0</v>
      </c>
      <c r="AG217" s="62">
        <f t="shared" si="25"/>
        <v>72.52396166</v>
      </c>
      <c r="AH217" s="63">
        <f t="shared" si="684"/>
        <v>-5</v>
      </c>
      <c r="AI217" s="64">
        <v>1490.0</v>
      </c>
      <c r="AJ217" s="65">
        <v>1345.0</v>
      </c>
      <c r="AK217" s="66">
        <f t="shared" si="27"/>
        <v>71.88498403</v>
      </c>
      <c r="AL217" s="66"/>
      <c r="AM217" s="14">
        <f t="shared" si="685"/>
        <v>-0.3717472119</v>
      </c>
      <c r="AN217" s="67">
        <f t="shared" si="686"/>
        <v>-0.6389776358</v>
      </c>
      <c r="AO217" s="68">
        <f t="shared" si="687"/>
        <v>1.71884984</v>
      </c>
      <c r="AP217" s="69">
        <f t="shared" si="688"/>
        <v>-0.5264</v>
      </c>
      <c r="AQ217" s="70">
        <f t="shared" si="689"/>
        <v>1.9</v>
      </c>
      <c r="AR217" s="71">
        <f t="shared" ref="AR217:AS217" si="713">AI217/94</f>
        <v>15.85106383</v>
      </c>
      <c r="AS217" s="71">
        <f t="shared" si="713"/>
        <v>14.30851064</v>
      </c>
      <c r="AT217" s="72">
        <f t="shared" ref="AT217:AU217" si="714">AI217/24</f>
        <v>62.08333333</v>
      </c>
      <c r="AU217" s="72">
        <f t="shared" si="714"/>
        <v>56.04166667</v>
      </c>
      <c r="AV217" s="73">
        <f t="shared" ref="AV217:AW217" si="715">AI217/125</f>
        <v>11.92</v>
      </c>
      <c r="AW217" s="73">
        <f t="shared" si="715"/>
        <v>10.76</v>
      </c>
    </row>
    <row r="218" ht="15.75" customHeight="1">
      <c r="A218" s="2"/>
      <c r="B218" s="2" t="s">
        <v>367</v>
      </c>
      <c r="C218" s="2" t="s">
        <v>433</v>
      </c>
      <c r="D218" s="10">
        <v>900.0</v>
      </c>
      <c r="E218" s="2">
        <v>100.0</v>
      </c>
      <c r="F218" s="1">
        <v>65.0</v>
      </c>
      <c r="G218" s="10">
        <v>4.42019E7</v>
      </c>
      <c r="H218" s="59">
        <v>0.05</v>
      </c>
      <c r="I218" s="2">
        <f t="shared" si="665"/>
        <v>45</v>
      </c>
      <c r="K218" s="1">
        <v>40.0</v>
      </c>
      <c r="L218" s="4">
        <f t="shared" si="5"/>
        <v>1150</v>
      </c>
      <c r="M218" s="2">
        <f t="shared" si="666"/>
        <v>9</v>
      </c>
      <c r="N218" s="12">
        <f t="shared" si="667"/>
        <v>92</v>
      </c>
      <c r="O218" s="12">
        <f t="shared" si="668"/>
        <v>115</v>
      </c>
      <c r="P218" s="12">
        <f t="shared" si="669"/>
        <v>57.5</v>
      </c>
      <c r="Q218" s="12">
        <f t="shared" si="670"/>
        <v>23</v>
      </c>
      <c r="R218" s="12">
        <f t="shared" si="671"/>
        <v>9.45</v>
      </c>
      <c r="S218" s="12">
        <f t="shared" si="672"/>
        <v>11.5</v>
      </c>
      <c r="T218" s="60">
        <f t="shared" si="673"/>
        <v>308</v>
      </c>
      <c r="U218" s="2">
        <f t="shared" si="674"/>
        <v>18.9</v>
      </c>
      <c r="V218" s="42">
        <f t="shared" si="15"/>
        <v>94.5</v>
      </c>
      <c r="W218" s="2">
        <f t="shared" si="675"/>
        <v>18.9</v>
      </c>
      <c r="X218" s="2">
        <f t="shared" si="676"/>
        <v>151.2</v>
      </c>
      <c r="Y218" s="2">
        <f t="shared" si="677"/>
        <v>283.5</v>
      </c>
      <c r="Z218" s="60">
        <f t="shared" si="678"/>
        <v>1741.5</v>
      </c>
      <c r="AA218" s="11">
        <f t="shared" si="679"/>
        <v>348.3</v>
      </c>
      <c r="AB218" s="12">
        <f t="shared" si="680"/>
        <v>2089.8</v>
      </c>
      <c r="AC218" s="2">
        <f t="shared" si="681"/>
        <v>1890</v>
      </c>
      <c r="AD218" s="12">
        <f t="shared" si="682"/>
        <v>199.8</v>
      </c>
      <c r="AE218" s="12">
        <f t="shared" si="683"/>
        <v>9.560723514</v>
      </c>
      <c r="AF218" s="61">
        <v>1850.0</v>
      </c>
      <c r="AG218" s="62">
        <f t="shared" si="25"/>
        <v>60.86956522</v>
      </c>
      <c r="AH218" s="63">
        <f t="shared" si="684"/>
        <v>145</v>
      </c>
      <c r="AI218" s="64">
        <f>AB218</f>
        <v>2089.8</v>
      </c>
      <c r="AJ218" s="65">
        <v>1995.0</v>
      </c>
      <c r="AK218" s="66">
        <f t="shared" si="27"/>
        <v>73.47826087</v>
      </c>
      <c r="AL218" s="66"/>
      <c r="AM218" s="14">
        <f t="shared" si="685"/>
        <v>7.268170426</v>
      </c>
      <c r="AN218" s="67">
        <f t="shared" si="686"/>
        <v>12.60869565</v>
      </c>
      <c r="AO218" s="68">
        <f t="shared" si="687"/>
        <v>1.734782609</v>
      </c>
      <c r="AP218" s="69">
        <f t="shared" si="688"/>
        <v>-0.948</v>
      </c>
      <c r="AQ218" s="70">
        <f t="shared" si="689"/>
        <v>1.05</v>
      </c>
      <c r="AR218" s="71">
        <f t="shared" ref="AR218:AS218" si="716">AI218/94</f>
        <v>22.23191489</v>
      </c>
      <c r="AS218" s="71">
        <f t="shared" si="716"/>
        <v>21.22340426</v>
      </c>
      <c r="AT218" s="72">
        <f t="shared" ref="AT218:AU218" si="717">AI218/24</f>
        <v>87.075</v>
      </c>
      <c r="AU218" s="72">
        <f t="shared" si="717"/>
        <v>83.125</v>
      </c>
      <c r="AV218" s="73">
        <f t="shared" ref="AV218:AW218" si="718">AI218/125</f>
        <v>16.7184</v>
      </c>
      <c r="AW218" s="73">
        <f t="shared" si="718"/>
        <v>15.96</v>
      </c>
    </row>
    <row r="219" ht="15.0" customHeight="1">
      <c r="A219" s="42" t="s">
        <v>434</v>
      </c>
      <c r="B219" s="42" t="s">
        <v>435</v>
      </c>
      <c r="C219" s="42" t="s">
        <v>436</v>
      </c>
      <c r="D219" s="43">
        <v>30.0</v>
      </c>
      <c r="E219" s="42">
        <v>50.0</v>
      </c>
      <c r="F219" s="44">
        <v>40.0</v>
      </c>
      <c r="G219" s="104">
        <v>2.508401E7</v>
      </c>
      <c r="H219" s="46">
        <v>0.05</v>
      </c>
      <c r="I219" s="42">
        <f t="shared" si="665"/>
        <v>1.5</v>
      </c>
      <c r="J219" s="47"/>
      <c r="K219" s="44">
        <v>2.0</v>
      </c>
      <c r="L219" s="48">
        <f t="shared" si="5"/>
        <v>123.5</v>
      </c>
      <c r="M219" s="42">
        <f t="shared" si="666"/>
        <v>0.3</v>
      </c>
      <c r="N219" s="49">
        <f t="shared" si="667"/>
        <v>9.88</v>
      </c>
      <c r="O219" s="49">
        <f t="shared" si="668"/>
        <v>12.35</v>
      </c>
      <c r="P219" s="49">
        <f t="shared" si="669"/>
        <v>6.175</v>
      </c>
      <c r="Q219" s="49">
        <f t="shared" si="670"/>
        <v>2.47</v>
      </c>
      <c r="R219" s="49">
        <f t="shared" si="671"/>
        <v>0.315</v>
      </c>
      <c r="S219" s="49">
        <f t="shared" si="672"/>
        <v>1.235</v>
      </c>
      <c r="T219" s="50">
        <f t="shared" si="673"/>
        <v>32.41</v>
      </c>
      <c r="U219" s="42">
        <f t="shared" si="674"/>
        <v>0.63</v>
      </c>
      <c r="V219" s="42">
        <f t="shared" si="15"/>
        <v>3.15</v>
      </c>
      <c r="W219" s="42">
        <f t="shared" si="675"/>
        <v>0.63</v>
      </c>
      <c r="X219" s="42">
        <f t="shared" si="676"/>
        <v>5.04</v>
      </c>
      <c r="Y219" s="42">
        <f t="shared" si="677"/>
        <v>9.45</v>
      </c>
      <c r="Z219" s="50">
        <f t="shared" si="678"/>
        <v>165.36</v>
      </c>
      <c r="AA219" s="51">
        <f t="shared" si="679"/>
        <v>33.072</v>
      </c>
      <c r="AB219" s="49">
        <f t="shared" si="680"/>
        <v>198.432</v>
      </c>
      <c r="AC219" s="42">
        <f t="shared" si="681"/>
        <v>63</v>
      </c>
      <c r="AD219" s="49">
        <f t="shared" si="682"/>
        <v>135.432</v>
      </c>
      <c r="AE219" s="49">
        <f t="shared" si="683"/>
        <v>68.25108853</v>
      </c>
      <c r="AF219" s="47">
        <v>275.0</v>
      </c>
      <c r="AG219" s="52">
        <f t="shared" si="25"/>
        <v>122.6720648</v>
      </c>
      <c r="AH219" s="53">
        <f t="shared" si="684"/>
        <v>0</v>
      </c>
      <c r="AI219" s="53">
        <v>319.0</v>
      </c>
      <c r="AJ219" s="47">
        <v>275.0</v>
      </c>
      <c r="AK219" s="55">
        <f t="shared" si="27"/>
        <v>122.6720648</v>
      </c>
      <c r="AL219" s="55"/>
      <c r="AM219" s="55">
        <f t="shared" si="685"/>
        <v>0</v>
      </c>
      <c r="AN219" s="55">
        <f t="shared" si="686"/>
        <v>0</v>
      </c>
      <c r="AO219" s="56">
        <f t="shared" si="687"/>
        <v>2.226720648</v>
      </c>
      <c r="AP219" s="55">
        <f t="shared" si="688"/>
        <v>0.76568</v>
      </c>
      <c r="AQ219" s="55">
        <f t="shared" si="689"/>
        <v>2.12</v>
      </c>
      <c r="AR219" s="57">
        <f t="shared" ref="AR219:AS219" si="719">AI219/94</f>
        <v>3.393617021</v>
      </c>
      <c r="AS219" s="57">
        <f t="shared" si="719"/>
        <v>2.925531915</v>
      </c>
      <c r="AT219" s="58">
        <f t="shared" ref="AT219:AU219" si="720">AI219/24</f>
        <v>13.29166667</v>
      </c>
      <c r="AU219" s="58">
        <f t="shared" si="720"/>
        <v>11.45833333</v>
      </c>
      <c r="AV219" s="58">
        <f t="shared" ref="AV219:AW219" si="721">AI219/125</f>
        <v>2.552</v>
      </c>
      <c r="AW219" s="58">
        <f t="shared" si="721"/>
        <v>2.2</v>
      </c>
      <c r="AX219" s="47"/>
      <c r="AY219" s="47"/>
    </row>
    <row r="220" ht="15.75" customHeight="1">
      <c r="A220" s="42"/>
      <c r="B220" s="42" t="s">
        <v>437</v>
      </c>
      <c r="C220" s="42" t="s">
        <v>438</v>
      </c>
      <c r="D220" s="45">
        <v>60.0</v>
      </c>
      <c r="E220" s="42">
        <v>50.0</v>
      </c>
      <c r="F220" s="44">
        <v>40.0</v>
      </c>
      <c r="G220" s="104">
        <v>2.508401E7</v>
      </c>
      <c r="H220" s="46">
        <v>0.05</v>
      </c>
      <c r="I220" s="42">
        <f t="shared" si="665"/>
        <v>3</v>
      </c>
      <c r="J220" s="47"/>
      <c r="K220" s="44">
        <v>2.0</v>
      </c>
      <c r="L220" s="48">
        <f t="shared" si="5"/>
        <v>155</v>
      </c>
      <c r="M220" s="42">
        <f t="shared" si="666"/>
        <v>0.6</v>
      </c>
      <c r="N220" s="49">
        <f t="shared" si="667"/>
        <v>12.4</v>
      </c>
      <c r="O220" s="49">
        <f t="shared" si="668"/>
        <v>15.5</v>
      </c>
      <c r="P220" s="49">
        <f t="shared" si="669"/>
        <v>7.75</v>
      </c>
      <c r="Q220" s="49">
        <f t="shared" si="670"/>
        <v>3.1</v>
      </c>
      <c r="R220" s="49">
        <f t="shared" si="671"/>
        <v>0.63</v>
      </c>
      <c r="S220" s="49">
        <f t="shared" si="672"/>
        <v>1.55</v>
      </c>
      <c r="T220" s="50">
        <f t="shared" si="673"/>
        <v>40.9</v>
      </c>
      <c r="U220" s="42">
        <f t="shared" si="674"/>
        <v>1.26</v>
      </c>
      <c r="V220" s="42">
        <f t="shared" si="15"/>
        <v>6.3</v>
      </c>
      <c r="W220" s="42">
        <f t="shared" si="675"/>
        <v>1.26</v>
      </c>
      <c r="X220" s="42">
        <f t="shared" si="676"/>
        <v>10.08</v>
      </c>
      <c r="Y220" s="42">
        <f t="shared" si="677"/>
        <v>18.9</v>
      </c>
      <c r="Z220" s="50">
        <f t="shared" si="678"/>
        <v>214.8</v>
      </c>
      <c r="AA220" s="51">
        <f t="shared" si="679"/>
        <v>42.96</v>
      </c>
      <c r="AB220" s="49">
        <f t="shared" si="680"/>
        <v>257.76</v>
      </c>
      <c r="AC220" s="42">
        <f t="shared" si="681"/>
        <v>126</v>
      </c>
      <c r="AD220" s="49">
        <f t="shared" si="682"/>
        <v>131.76</v>
      </c>
      <c r="AE220" s="49">
        <f t="shared" si="683"/>
        <v>51.11731844</v>
      </c>
      <c r="AF220" s="47">
        <v>450.0</v>
      </c>
      <c r="AG220" s="52">
        <f t="shared" si="25"/>
        <v>190.3225806</v>
      </c>
      <c r="AH220" s="53">
        <f t="shared" si="684"/>
        <v>0</v>
      </c>
      <c r="AI220" s="53">
        <v>580.0</v>
      </c>
      <c r="AJ220" s="47">
        <v>450.0</v>
      </c>
      <c r="AK220" s="55">
        <f t="shared" si="27"/>
        <v>190.3225806</v>
      </c>
      <c r="AL220" s="55"/>
      <c r="AM220" s="55">
        <f t="shared" si="685"/>
        <v>0</v>
      </c>
      <c r="AN220" s="55">
        <f t="shared" si="686"/>
        <v>0</v>
      </c>
      <c r="AO220" s="56">
        <f t="shared" si="687"/>
        <v>2.903225806</v>
      </c>
      <c r="AP220" s="55">
        <f t="shared" si="688"/>
        <v>1.9224</v>
      </c>
      <c r="AQ220" s="55">
        <f t="shared" si="689"/>
        <v>3.24</v>
      </c>
      <c r="AR220" s="57">
        <f t="shared" ref="AR220:AS220" si="722">AI220/94</f>
        <v>6.170212766</v>
      </c>
      <c r="AS220" s="57">
        <f t="shared" si="722"/>
        <v>4.787234043</v>
      </c>
      <c r="AT220" s="58">
        <f t="shared" ref="AT220:AU220" si="723">AI220/24</f>
        <v>24.16666667</v>
      </c>
      <c r="AU220" s="58">
        <f t="shared" si="723"/>
        <v>18.75</v>
      </c>
      <c r="AV220" s="58">
        <f t="shared" ref="AV220:AW220" si="724">AI220/125</f>
        <v>4.64</v>
      </c>
      <c r="AW220" s="58">
        <f t="shared" si="724"/>
        <v>3.6</v>
      </c>
      <c r="AX220" s="47"/>
      <c r="AY220" s="47"/>
    </row>
    <row r="221" ht="15.75" customHeight="1">
      <c r="A221" s="42"/>
      <c r="B221" s="42" t="s">
        <v>439</v>
      </c>
      <c r="C221" s="42" t="s">
        <v>440</v>
      </c>
      <c r="D221" s="43">
        <v>40.0</v>
      </c>
      <c r="E221" s="42">
        <v>50.0</v>
      </c>
      <c r="F221" s="44">
        <v>40.0</v>
      </c>
      <c r="G221" s="104">
        <v>2.508401E7</v>
      </c>
      <c r="H221" s="46">
        <v>0.05</v>
      </c>
      <c r="I221" s="42">
        <f t="shared" si="665"/>
        <v>2</v>
      </c>
      <c r="J221" s="47"/>
      <c r="K221" s="44">
        <v>2.0</v>
      </c>
      <c r="L221" s="48">
        <f t="shared" si="5"/>
        <v>134</v>
      </c>
      <c r="M221" s="42">
        <f t="shared" si="666"/>
        <v>0.4</v>
      </c>
      <c r="N221" s="49">
        <f t="shared" si="667"/>
        <v>10.72</v>
      </c>
      <c r="O221" s="49">
        <f t="shared" si="668"/>
        <v>13.4</v>
      </c>
      <c r="P221" s="49">
        <f t="shared" si="669"/>
        <v>6.7</v>
      </c>
      <c r="Q221" s="49">
        <f t="shared" si="670"/>
        <v>2.68</v>
      </c>
      <c r="R221" s="49">
        <f t="shared" si="671"/>
        <v>0.42</v>
      </c>
      <c r="S221" s="49">
        <f t="shared" si="672"/>
        <v>1.34</v>
      </c>
      <c r="T221" s="50">
        <f t="shared" si="673"/>
        <v>35.24</v>
      </c>
      <c r="U221" s="42">
        <f t="shared" si="674"/>
        <v>0.84</v>
      </c>
      <c r="V221" s="42">
        <f t="shared" si="15"/>
        <v>4.2</v>
      </c>
      <c r="W221" s="42">
        <f t="shared" si="675"/>
        <v>0.84</v>
      </c>
      <c r="X221" s="42">
        <f t="shared" si="676"/>
        <v>6.72</v>
      </c>
      <c r="Y221" s="42">
        <f t="shared" si="677"/>
        <v>12.6</v>
      </c>
      <c r="Z221" s="50">
        <f t="shared" si="678"/>
        <v>181.84</v>
      </c>
      <c r="AA221" s="51">
        <f t="shared" si="679"/>
        <v>36.368</v>
      </c>
      <c r="AB221" s="49">
        <f t="shared" si="680"/>
        <v>218.208</v>
      </c>
      <c r="AC221" s="42">
        <f t="shared" si="681"/>
        <v>84</v>
      </c>
      <c r="AD221" s="49">
        <f t="shared" si="682"/>
        <v>134.208</v>
      </c>
      <c r="AE221" s="49">
        <f t="shared" si="683"/>
        <v>61.50461945</v>
      </c>
      <c r="AF221" s="47">
        <v>650.0</v>
      </c>
      <c r="AG221" s="52">
        <f t="shared" si="25"/>
        <v>385.0746269</v>
      </c>
      <c r="AH221" s="53">
        <f t="shared" si="684"/>
        <v>0</v>
      </c>
      <c r="AI221" s="53">
        <v>690.0</v>
      </c>
      <c r="AJ221" s="47">
        <v>650.0</v>
      </c>
      <c r="AK221" s="55">
        <f t="shared" si="27"/>
        <v>385.0746269</v>
      </c>
      <c r="AL221" s="55"/>
      <c r="AM221" s="55">
        <f t="shared" si="685"/>
        <v>0</v>
      </c>
      <c r="AN221" s="55">
        <f t="shared" si="686"/>
        <v>0</v>
      </c>
      <c r="AO221" s="56">
        <f t="shared" si="687"/>
        <v>4.850746269</v>
      </c>
      <c r="AP221" s="55">
        <f t="shared" si="688"/>
        <v>4.31792</v>
      </c>
      <c r="AQ221" s="55">
        <f t="shared" si="689"/>
        <v>5.66</v>
      </c>
      <c r="AR221" s="57">
        <f t="shared" ref="AR221:AS221" si="725">AI221/94</f>
        <v>7.340425532</v>
      </c>
      <c r="AS221" s="57">
        <f t="shared" si="725"/>
        <v>6.914893617</v>
      </c>
      <c r="AT221" s="58">
        <f t="shared" ref="AT221:AU221" si="726">AI221/24</f>
        <v>28.75</v>
      </c>
      <c r="AU221" s="58">
        <f t="shared" si="726"/>
        <v>27.08333333</v>
      </c>
      <c r="AV221" s="58">
        <f t="shared" ref="AV221:AW221" si="727">AI221/125</f>
        <v>5.52</v>
      </c>
      <c r="AW221" s="58">
        <f t="shared" si="727"/>
        <v>5.2</v>
      </c>
      <c r="AX221" s="47"/>
      <c r="AY221" s="47"/>
    </row>
    <row r="222" ht="15.75" customHeight="1">
      <c r="A222" s="42"/>
      <c r="B222" s="42" t="s">
        <v>441</v>
      </c>
      <c r="C222" s="42" t="s">
        <v>442</v>
      </c>
      <c r="D222" s="45">
        <v>80.0</v>
      </c>
      <c r="E222" s="42">
        <v>50.0</v>
      </c>
      <c r="F222" s="44">
        <v>40.0</v>
      </c>
      <c r="G222" s="104">
        <v>2.508401E7</v>
      </c>
      <c r="H222" s="46">
        <v>0.05</v>
      </c>
      <c r="I222" s="42">
        <f t="shared" si="665"/>
        <v>4</v>
      </c>
      <c r="J222" s="47"/>
      <c r="K222" s="44">
        <v>2.0</v>
      </c>
      <c r="L222" s="48">
        <f t="shared" si="5"/>
        <v>176</v>
      </c>
      <c r="M222" s="42">
        <f t="shared" si="666"/>
        <v>0.8</v>
      </c>
      <c r="N222" s="49">
        <f t="shared" si="667"/>
        <v>14.08</v>
      </c>
      <c r="O222" s="49">
        <f t="shared" si="668"/>
        <v>17.6</v>
      </c>
      <c r="P222" s="49">
        <f t="shared" si="669"/>
        <v>8.8</v>
      </c>
      <c r="Q222" s="49">
        <f t="shared" si="670"/>
        <v>3.52</v>
      </c>
      <c r="R222" s="49">
        <f t="shared" si="671"/>
        <v>0.84</v>
      </c>
      <c r="S222" s="49">
        <f t="shared" si="672"/>
        <v>1.76</v>
      </c>
      <c r="T222" s="50">
        <f t="shared" si="673"/>
        <v>46.56</v>
      </c>
      <c r="U222" s="42">
        <f t="shared" si="674"/>
        <v>1.68</v>
      </c>
      <c r="V222" s="42">
        <f t="shared" si="15"/>
        <v>8.4</v>
      </c>
      <c r="W222" s="42">
        <f t="shared" si="675"/>
        <v>1.68</v>
      </c>
      <c r="X222" s="42">
        <f t="shared" si="676"/>
        <v>13.44</v>
      </c>
      <c r="Y222" s="42">
        <f t="shared" si="677"/>
        <v>25.2</v>
      </c>
      <c r="Z222" s="50">
        <f t="shared" si="678"/>
        <v>247.76</v>
      </c>
      <c r="AA222" s="51">
        <f t="shared" si="679"/>
        <v>49.552</v>
      </c>
      <c r="AB222" s="49">
        <f t="shared" si="680"/>
        <v>297.312</v>
      </c>
      <c r="AC222" s="42">
        <f t="shared" si="681"/>
        <v>168</v>
      </c>
      <c r="AD222" s="49">
        <f t="shared" si="682"/>
        <v>129.312</v>
      </c>
      <c r="AE222" s="49">
        <f t="shared" si="683"/>
        <v>43.49370358</v>
      </c>
      <c r="AF222" s="47">
        <v>375.0</v>
      </c>
      <c r="AG222" s="52">
        <f t="shared" si="25"/>
        <v>113.0681818</v>
      </c>
      <c r="AH222" s="53">
        <f t="shared" si="684"/>
        <v>0</v>
      </c>
      <c r="AI222" s="53">
        <v>399.0</v>
      </c>
      <c r="AJ222" s="47">
        <v>375.0</v>
      </c>
      <c r="AK222" s="55">
        <f t="shared" si="27"/>
        <v>113.0681818</v>
      </c>
      <c r="AL222" s="55"/>
      <c r="AM222" s="55">
        <f t="shared" si="685"/>
        <v>0</v>
      </c>
      <c r="AN222" s="55">
        <f t="shared" si="686"/>
        <v>0</v>
      </c>
      <c r="AO222" s="56">
        <f t="shared" si="687"/>
        <v>2.130681818</v>
      </c>
      <c r="AP222" s="55">
        <f t="shared" si="688"/>
        <v>0.77688</v>
      </c>
      <c r="AQ222" s="55">
        <f t="shared" si="689"/>
        <v>2.07</v>
      </c>
      <c r="AR222" s="57">
        <f t="shared" ref="AR222:AS222" si="728">AI222/94</f>
        <v>4.244680851</v>
      </c>
      <c r="AS222" s="57">
        <f t="shared" si="728"/>
        <v>3.989361702</v>
      </c>
      <c r="AT222" s="58">
        <f t="shared" ref="AT222:AU222" si="729">AI222/24</f>
        <v>16.625</v>
      </c>
      <c r="AU222" s="58">
        <f t="shared" si="729"/>
        <v>15.625</v>
      </c>
      <c r="AV222" s="58">
        <f t="shared" ref="AV222:AW222" si="730">AI222/125</f>
        <v>3.192</v>
      </c>
      <c r="AW222" s="58">
        <f t="shared" si="730"/>
        <v>3</v>
      </c>
      <c r="AX222" s="47"/>
      <c r="AY222" s="47"/>
    </row>
    <row r="223" ht="15.75" customHeight="1">
      <c r="A223" s="42"/>
      <c r="B223" s="42" t="s">
        <v>443</v>
      </c>
      <c r="C223" s="42" t="s">
        <v>444</v>
      </c>
      <c r="D223" s="45">
        <v>70.0</v>
      </c>
      <c r="E223" s="42">
        <v>50.0</v>
      </c>
      <c r="F223" s="44">
        <v>40.0</v>
      </c>
      <c r="G223" s="45">
        <v>2.508401E7</v>
      </c>
      <c r="H223" s="46">
        <v>0.05</v>
      </c>
      <c r="I223" s="42">
        <f t="shared" si="665"/>
        <v>3.5</v>
      </c>
      <c r="J223" s="47"/>
      <c r="K223" s="44">
        <v>2.0</v>
      </c>
      <c r="L223" s="48">
        <f t="shared" si="5"/>
        <v>165.5</v>
      </c>
      <c r="M223" s="42">
        <f t="shared" si="666"/>
        <v>0.7</v>
      </c>
      <c r="N223" s="49">
        <f t="shared" si="667"/>
        <v>13.24</v>
      </c>
      <c r="O223" s="49">
        <f t="shared" si="668"/>
        <v>16.55</v>
      </c>
      <c r="P223" s="49">
        <f t="shared" si="669"/>
        <v>8.275</v>
      </c>
      <c r="Q223" s="49">
        <f t="shared" si="670"/>
        <v>3.31</v>
      </c>
      <c r="R223" s="49">
        <f t="shared" si="671"/>
        <v>0.735</v>
      </c>
      <c r="S223" s="49">
        <f t="shared" si="672"/>
        <v>1.655</v>
      </c>
      <c r="T223" s="50">
        <f t="shared" si="673"/>
        <v>43.73</v>
      </c>
      <c r="U223" s="42">
        <f t="shared" si="674"/>
        <v>1.47</v>
      </c>
      <c r="V223" s="42">
        <f t="shared" si="15"/>
        <v>7.35</v>
      </c>
      <c r="W223" s="42">
        <f t="shared" si="675"/>
        <v>1.47</v>
      </c>
      <c r="X223" s="42">
        <f t="shared" si="676"/>
        <v>11.76</v>
      </c>
      <c r="Y223" s="42">
        <f t="shared" si="677"/>
        <v>22.05</v>
      </c>
      <c r="Z223" s="50">
        <f t="shared" si="678"/>
        <v>231.28</v>
      </c>
      <c r="AA223" s="51">
        <f t="shared" si="679"/>
        <v>46.256</v>
      </c>
      <c r="AB223" s="49">
        <f t="shared" si="680"/>
        <v>277.536</v>
      </c>
      <c r="AC223" s="42">
        <f t="shared" si="681"/>
        <v>147</v>
      </c>
      <c r="AD223" s="49">
        <f t="shared" si="682"/>
        <v>130.536</v>
      </c>
      <c r="AE223" s="49">
        <f t="shared" si="683"/>
        <v>47.03389831</v>
      </c>
      <c r="AF223" s="47">
        <v>600.0</v>
      </c>
      <c r="AG223" s="52">
        <f t="shared" si="25"/>
        <v>262.5377644</v>
      </c>
      <c r="AH223" s="53">
        <f t="shared" si="684"/>
        <v>0</v>
      </c>
      <c r="AI223" s="53">
        <v>645.0</v>
      </c>
      <c r="AJ223" s="47">
        <v>600.0</v>
      </c>
      <c r="AK223" s="55">
        <f t="shared" si="27"/>
        <v>262.5377644</v>
      </c>
      <c r="AL223" s="55"/>
      <c r="AM223" s="55">
        <f t="shared" si="685"/>
        <v>0</v>
      </c>
      <c r="AN223" s="55">
        <f t="shared" si="686"/>
        <v>0</v>
      </c>
      <c r="AO223" s="56">
        <f t="shared" si="687"/>
        <v>3.625377644</v>
      </c>
      <c r="AP223" s="55">
        <f t="shared" si="688"/>
        <v>3.22464</v>
      </c>
      <c r="AQ223" s="55">
        <f t="shared" si="689"/>
        <v>4.53</v>
      </c>
      <c r="AR223" s="57">
        <f t="shared" ref="AR223:AS223" si="731">AI223/94</f>
        <v>6.861702128</v>
      </c>
      <c r="AS223" s="57">
        <f t="shared" si="731"/>
        <v>6.382978723</v>
      </c>
      <c r="AT223" s="58">
        <f t="shared" ref="AT223:AU223" si="732">AI223/24</f>
        <v>26.875</v>
      </c>
      <c r="AU223" s="58">
        <f t="shared" si="732"/>
        <v>25</v>
      </c>
      <c r="AV223" s="58">
        <f t="shared" ref="AV223:AW223" si="733">AI223/125</f>
        <v>5.16</v>
      </c>
      <c r="AW223" s="58">
        <f t="shared" si="733"/>
        <v>4.8</v>
      </c>
      <c r="AX223" s="47"/>
      <c r="AY223" s="47"/>
    </row>
    <row r="224" ht="15.0" customHeight="1">
      <c r="A224" s="2" t="s">
        <v>445</v>
      </c>
      <c r="B224" s="2" t="s">
        <v>446</v>
      </c>
      <c r="C224" s="2" t="s">
        <v>447</v>
      </c>
      <c r="D224" s="10">
        <v>8300.0</v>
      </c>
      <c r="F224" s="1">
        <v>100.0</v>
      </c>
      <c r="G224" s="10">
        <v>9203.0</v>
      </c>
      <c r="H224" s="59">
        <v>0.0</v>
      </c>
      <c r="I224" s="2">
        <f t="shared" si="665"/>
        <v>0</v>
      </c>
      <c r="K224" s="2">
        <f t="shared" ref="K224:K225" si="737">D224*4%</f>
        <v>332</v>
      </c>
      <c r="L224" s="4">
        <f t="shared" si="5"/>
        <v>8732</v>
      </c>
      <c r="M224" s="2">
        <f t="shared" si="666"/>
        <v>83</v>
      </c>
      <c r="N224" s="12">
        <f t="shared" si="667"/>
        <v>698.56</v>
      </c>
      <c r="O224" s="12">
        <f t="shared" si="668"/>
        <v>873.2</v>
      </c>
      <c r="P224" s="12">
        <f t="shared" si="669"/>
        <v>436.6</v>
      </c>
      <c r="Q224" s="12">
        <f t="shared" si="670"/>
        <v>174.64</v>
      </c>
      <c r="R224" s="12">
        <f t="shared" si="671"/>
        <v>87.15</v>
      </c>
      <c r="S224" s="12">
        <f t="shared" si="672"/>
        <v>87.32</v>
      </c>
      <c r="T224" s="60">
        <f t="shared" si="673"/>
        <v>2353.32</v>
      </c>
      <c r="U224" s="2">
        <f t="shared" si="674"/>
        <v>174.3</v>
      </c>
      <c r="V224" s="42">
        <f t="shared" si="15"/>
        <v>871.5</v>
      </c>
      <c r="W224" s="2">
        <f t="shared" si="675"/>
        <v>174.3</v>
      </c>
      <c r="X224" s="2">
        <f t="shared" si="676"/>
        <v>1394.4</v>
      </c>
      <c r="Y224" s="2">
        <f t="shared" si="677"/>
        <v>2614.5</v>
      </c>
      <c r="Z224" s="60">
        <f t="shared" si="678"/>
        <v>13699.82</v>
      </c>
      <c r="AA224" s="11">
        <f t="shared" si="679"/>
        <v>2739.964</v>
      </c>
      <c r="AB224" s="12">
        <f t="shared" si="680"/>
        <v>16439.784</v>
      </c>
      <c r="AC224" s="2">
        <f t="shared" si="681"/>
        <v>17430</v>
      </c>
      <c r="AD224" s="12">
        <f t="shared" si="682"/>
        <v>-990.216</v>
      </c>
      <c r="AE224" s="12">
        <f t="shared" si="683"/>
        <v>-6.023290817</v>
      </c>
      <c r="AF224" s="61">
        <v>13500.0</v>
      </c>
      <c r="AG224" s="62">
        <f t="shared" si="25"/>
        <v>54.6037563</v>
      </c>
      <c r="AH224" s="63">
        <f t="shared" si="684"/>
        <v>0</v>
      </c>
      <c r="AI224" s="64">
        <f t="shared" ref="AI224:AI225" si="738">AB224</f>
        <v>16439.784</v>
      </c>
      <c r="AJ224" s="65">
        <v>13500.0</v>
      </c>
      <c r="AK224" s="66">
        <f t="shared" si="27"/>
        <v>54.6037563</v>
      </c>
      <c r="AL224" s="66"/>
      <c r="AM224" s="14">
        <f t="shared" si="685"/>
        <v>0</v>
      </c>
      <c r="AN224" s="67">
        <f t="shared" si="686"/>
        <v>0</v>
      </c>
      <c r="AO224" s="68">
        <f t="shared" si="687"/>
        <v>1.546037563</v>
      </c>
      <c r="AP224" s="69">
        <f t="shared" si="688"/>
        <v>-29.39784</v>
      </c>
      <c r="AQ224" s="70">
        <f t="shared" si="689"/>
        <v>-39.3</v>
      </c>
      <c r="AR224" s="71">
        <f t="shared" ref="AR224:AS224" si="734">AI224/94</f>
        <v>174.8913191</v>
      </c>
      <c r="AS224" s="71">
        <f t="shared" si="734"/>
        <v>143.6170213</v>
      </c>
      <c r="AT224" s="72">
        <f t="shared" ref="AT224:AU224" si="735">AI224/24</f>
        <v>684.991</v>
      </c>
      <c r="AU224" s="72">
        <f t="shared" si="735"/>
        <v>562.5</v>
      </c>
      <c r="AV224" s="73">
        <f t="shared" ref="AV224:AW224" si="736">AI224/125</f>
        <v>131.518272</v>
      </c>
      <c r="AW224" s="73">
        <f t="shared" si="736"/>
        <v>108</v>
      </c>
    </row>
    <row r="225" ht="15.75" customHeight="1">
      <c r="A225" s="2"/>
      <c r="B225" s="2" t="s">
        <v>448</v>
      </c>
      <c r="C225" s="2" t="s">
        <v>449</v>
      </c>
      <c r="D225" s="10">
        <v>8300.0</v>
      </c>
      <c r="F225" s="1">
        <v>100.0</v>
      </c>
      <c r="G225" s="10">
        <v>9203.0</v>
      </c>
      <c r="H225" s="59">
        <v>0.0</v>
      </c>
      <c r="I225" s="2">
        <f t="shared" si="665"/>
        <v>0</v>
      </c>
      <c r="K225" s="2">
        <f t="shared" si="737"/>
        <v>332</v>
      </c>
      <c r="L225" s="4">
        <f t="shared" si="5"/>
        <v>8732</v>
      </c>
      <c r="M225" s="2">
        <f t="shared" si="666"/>
        <v>83</v>
      </c>
      <c r="N225" s="12">
        <f t="shared" si="667"/>
        <v>698.56</v>
      </c>
      <c r="O225" s="12">
        <f t="shared" si="668"/>
        <v>873.2</v>
      </c>
      <c r="P225" s="12">
        <f t="shared" si="669"/>
        <v>436.6</v>
      </c>
      <c r="Q225" s="12">
        <f t="shared" si="670"/>
        <v>174.64</v>
      </c>
      <c r="R225" s="12">
        <f t="shared" si="671"/>
        <v>87.15</v>
      </c>
      <c r="S225" s="12">
        <f t="shared" si="672"/>
        <v>87.32</v>
      </c>
      <c r="T225" s="60">
        <f t="shared" si="673"/>
        <v>2353.32</v>
      </c>
      <c r="U225" s="2">
        <f t="shared" si="674"/>
        <v>174.3</v>
      </c>
      <c r="V225" s="42">
        <f t="shared" si="15"/>
        <v>871.5</v>
      </c>
      <c r="W225" s="2">
        <f t="shared" si="675"/>
        <v>174.3</v>
      </c>
      <c r="X225" s="2">
        <f t="shared" si="676"/>
        <v>1394.4</v>
      </c>
      <c r="Y225" s="2">
        <f t="shared" si="677"/>
        <v>2614.5</v>
      </c>
      <c r="Z225" s="60">
        <f t="shared" si="678"/>
        <v>13699.82</v>
      </c>
      <c r="AA225" s="11">
        <f t="shared" si="679"/>
        <v>2739.964</v>
      </c>
      <c r="AB225" s="12">
        <f t="shared" si="680"/>
        <v>16439.784</v>
      </c>
      <c r="AC225" s="2">
        <f t="shared" si="681"/>
        <v>17430</v>
      </c>
      <c r="AD225" s="12">
        <f t="shared" si="682"/>
        <v>-990.216</v>
      </c>
      <c r="AE225" s="12">
        <f t="shared" si="683"/>
        <v>-6.023290817</v>
      </c>
      <c r="AF225" s="61">
        <v>13500.0</v>
      </c>
      <c r="AG225" s="62">
        <f t="shared" si="25"/>
        <v>54.6037563</v>
      </c>
      <c r="AH225" s="63">
        <f t="shared" si="684"/>
        <v>0</v>
      </c>
      <c r="AI225" s="64">
        <f t="shared" si="738"/>
        <v>16439.784</v>
      </c>
      <c r="AJ225" s="65">
        <v>13500.0</v>
      </c>
      <c r="AK225" s="66">
        <f t="shared" si="27"/>
        <v>54.6037563</v>
      </c>
      <c r="AL225" s="66"/>
      <c r="AM225" s="14">
        <f t="shared" si="685"/>
        <v>0</v>
      </c>
      <c r="AN225" s="67">
        <f t="shared" si="686"/>
        <v>0</v>
      </c>
      <c r="AO225" s="68">
        <f t="shared" si="687"/>
        <v>1.546037563</v>
      </c>
      <c r="AP225" s="69">
        <f t="shared" si="688"/>
        <v>-29.39784</v>
      </c>
      <c r="AQ225" s="70">
        <f t="shared" si="689"/>
        <v>-39.3</v>
      </c>
      <c r="AR225" s="71">
        <f t="shared" ref="AR225:AS225" si="739">AI225/94</f>
        <v>174.8913191</v>
      </c>
      <c r="AS225" s="71">
        <f t="shared" si="739"/>
        <v>143.6170213</v>
      </c>
      <c r="AT225" s="72">
        <f t="shared" ref="AT225:AU225" si="740">AI225/24</f>
        <v>684.991</v>
      </c>
      <c r="AU225" s="72">
        <f t="shared" si="740"/>
        <v>562.5</v>
      </c>
      <c r="AV225" s="73">
        <f t="shared" ref="AV225:AW225" si="741">AI225/125</f>
        <v>131.518272</v>
      </c>
      <c r="AW225" s="73">
        <f t="shared" si="741"/>
        <v>108</v>
      </c>
    </row>
    <row r="226" ht="15.75" customHeight="1">
      <c r="A226" s="2" t="s">
        <v>450</v>
      </c>
      <c r="B226" s="2" t="s">
        <v>218</v>
      </c>
      <c r="C226" s="2" t="s">
        <v>451</v>
      </c>
      <c r="D226" s="105">
        <v>500.0</v>
      </c>
      <c r="F226" s="1">
        <v>50.0</v>
      </c>
      <c r="G226" s="10">
        <v>9202.0</v>
      </c>
      <c r="H226" s="59">
        <v>0.18</v>
      </c>
      <c r="I226" s="2">
        <f>D226*H767</f>
        <v>90</v>
      </c>
      <c r="J226" s="2">
        <f>D226*5%</f>
        <v>25</v>
      </c>
      <c r="K226" s="2">
        <v>80.0</v>
      </c>
      <c r="L226" s="4">
        <f t="shared" si="5"/>
        <v>745</v>
      </c>
      <c r="M226" s="2">
        <f t="shared" si="666"/>
        <v>5</v>
      </c>
      <c r="N226" s="12">
        <f t="shared" si="667"/>
        <v>59.6</v>
      </c>
      <c r="O226" s="12">
        <f t="shared" si="668"/>
        <v>74.5</v>
      </c>
      <c r="P226" s="12">
        <f t="shared" si="669"/>
        <v>37.25</v>
      </c>
      <c r="Q226" s="12">
        <f t="shared" si="670"/>
        <v>14.9</v>
      </c>
      <c r="R226" s="12">
        <f t="shared" si="671"/>
        <v>5.25</v>
      </c>
      <c r="S226" s="12">
        <f t="shared" si="672"/>
        <v>7.45</v>
      </c>
      <c r="T226" s="60">
        <f t="shared" si="673"/>
        <v>198.7</v>
      </c>
      <c r="U226" s="2">
        <f t="shared" si="674"/>
        <v>10.5</v>
      </c>
      <c r="V226" s="42">
        <f t="shared" si="15"/>
        <v>52.5</v>
      </c>
      <c r="W226" s="2">
        <f t="shared" si="675"/>
        <v>10.5</v>
      </c>
      <c r="X226" s="2">
        <f t="shared" si="676"/>
        <v>84</v>
      </c>
      <c r="Y226" s="2">
        <f t="shared" si="677"/>
        <v>157.5</v>
      </c>
      <c r="Z226" s="60">
        <f t="shared" si="678"/>
        <v>1101.2</v>
      </c>
      <c r="AA226" s="11">
        <f t="shared" si="679"/>
        <v>220.24</v>
      </c>
      <c r="AB226" s="12">
        <f t="shared" si="680"/>
        <v>1321.44</v>
      </c>
      <c r="AC226" s="2">
        <f t="shared" si="681"/>
        <v>1050</v>
      </c>
      <c r="AD226" s="12">
        <f t="shared" si="682"/>
        <v>271.44</v>
      </c>
      <c r="AE226" s="12">
        <f t="shared" si="683"/>
        <v>20.54122775</v>
      </c>
      <c r="AF226" s="61">
        <v>1350.0</v>
      </c>
      <c r="AG226" s="62">
        <f t="shared" si="25"/>
        <v>81.20805369</v>
      </c>
      <c r="AH226" s="63">
        <f t="shared" si="684"/>
        <v>0</v>
      </c>
      <c r="AI226" s="64">
        <v>2090.0</v>
      </c>
      <c r="AJ226" s="65">
        <v>1350.0</v>
      </c>
      <c r="AK226" s="66">
        <f t="shared" si="27"/>
        <v>81.20805369</v>
      </c>
      <c r="AL226" s="66"/>
      <c r="AM226" s="14">
        <f t="shared" si="685"/>
        <v>0</v>
      </c>
      <c r="AN226" s="67">
        <f t="shared" si="686"/>
        <v>0</v>
      </c>
      <c r="AO226" s="68">
        <f t="shared" si="687"/>
        <v>1.812080537</v>
      </c>
      <c r="AP226" s="69">
        <f t="shared" si="688"/>
        <v>0.2856</v>
      </c>
      <c r="AQ226" s="70">
        <f t="shared" si="689"/>
        <v>3</v>
      </c>
      <c r="AR226" s="71">
        <f t="shared" ref="AR226:AS226" si="742">AI226/94</f>
        <v>22.23404255</v>
      </c>
      <c r="AS226" s="71">
        <f t="shared" si="742"/>
        <v>14.36170213</v>
      </c>
      <c r="AT226" s="72">
        <f t="shared" ref="AT226:AU226" si="743">AI226/24</f>
        <v>87.08333333</v>
      </c>
      <c r="AU226" s="72">
        <f t="shared" si="743"/>
        <v>56.25</v>
      </c>
      <c r="AV226" s="73">
        <f t="shared" ref="AV226:AW226" si="744">AI226/125</f>
        <v>16.72</v>
      </c>
      <c r="AW226" s="73">
        <f t="shared" si="744"/>
        <v>10.8</v>
      </c>
    </row>
    <row r="227" ht="15.0" customHeight="1">
      <c r="A227" s="2" t="s">
        <v>452</v>
      </c>
      <c r="B227" s="2" t="s">
        <v>453</v>
      </c>
      <c r="C227" s="2" t="s">
        <v>454</v>
      </c>
      <c r="D227" s="102">
        <v>550.0</v>
      </c>
      <c r="E227" s="2">
        <v>100.0</v>
      </c>
      <c r="F227" s="1">
        <v>50.0</v>
      </c>
      <c r="G227" s="106" t="s">
        <v>455</v>
      </c>
      <c r="H227" s="59">
        <v>0.18</v>
      </c>
      <c r="I227" s="2">
        <f t="shared" ref="I227:I281" si="748">D227*H227</f>
        <v>99</v>
      </c>
      <c r="K227" s="102">
        <v>200.0</v>
      </c>
      <c r="L227" s="107">
        <f t="shared" si="5"/>
        <v>999</v>
      </c>
      <c r="M227" s="2">
        <f t="shared" si="666"/>
        <v>5.5</v>
      </c>
      <c r="N227" s="12">
        <f t="shared" si="667"/>
        <v>79.92</v>
      </c>
      <c r="O227" s="12">
        <f t="shared" si="668"/>
        <v>99.9</v>
      </c>
      <c r="P227" s="12">
        <f t="shared" si="669"/>
        <v>49.95</v>
      </c>
      <c r="Q227" s="12">
        <f t="shared" si="670"/>
        <v>19.98</v>
      </c>
      <c r="R227" s="12">
        <f t="shared" si="671"/>
        <v>5.775</v>
      </c>
      <c r="S227" s="12">
        <f t="shared" si="672"/>
        <v>9.99</v>
      </c>
      <c r="T227" s="108">
        <f t="shared" si="673"/>
        <v>265.24</v>
      </c>
      <c r="U227" s="2">
        <f t="shared" si="674"/>
        <v>11.55</v>
      </c>
      <c r="V227" s="42">
        <f t="shared" si="15"/>
        <v>57.75</v>
      </c>
      <c r="W227" s="2">
        <f t="shared" si="675"/>
        <v>11.55</v>
      </c>
      <c r="X227" s="2">
        <f t="shared" si="676"/>
        <v>92.4</v>
      </c>
      <c r="Y227" s="2">
        <f t="shared" si="677"/>
        <v>173.25</v>
      </c>
      <c r="Z227" s="108">
        <f t="shared" si="678"/>
        <v>1437.49</v>
      </c>
      <c r="AA227" s="109">
        <f t="shared" si="679"/>
        <v>287.498</v>
      </c>
      <c r="AB227" s="12">
        <f t="shared" si="680"/>
        <v>1724.988</v>
      </c>
      <c r="AC227" s="2">
        <f t="shared" si="681"/>
        <v>1155</v>
      </c>
      <c r="AD227" s="12">
        <f t="shared" si="682"/>
        <v>569.988</v>
      </c>
      <c r="AE227" s="12">
        <f t="shared" si="683"/>
        <v>33.04301247</v>
      </c>
      <c r="AF227" s="61">
        <v>990.0</v>
      </c>
      <c r="AG227" s="110">
        <f t="shared" si="25"/>
        <v>-0.9009009009</v>
      </c>
      <c r="AH227" s="111">
        <f t="shared" si="684"/>
        <v>100</v>
      </c>
      <c r="AI227" s="111">
        <v>1200.0</v>
      </c>
      <c r="AJ227" s="111">
        <v>1090.0</v>
      </c>
      <c r="AK227" s="112">
        <f t="shared" si="27"/>
        <v>9.109109109</v>
      </c>
      <c r="AL227" s="112"/>
      <c r="AM227" s="112">
        <f t="shared" ref="AM227:AM285" si="749">AH227/AJ227%</f>
        <v>9.174311927</v>
      </c>
      <c r="AN227" s="112">
        <f t="shared" si="686"/>
        <v>10.01001001</v>
      </c>
      <c r="AO227" s="113">
        <f t="shared" si="687"/>
        <v>1.091091091</v>
      </c>
      <c r="AP227" s="112">
        <f t="shared" si="688"/>
        <v>-6.34988</v>
      </c>
      <c r="AQ227" s="112">
        <f t="shared" si="689"/>
        <v>-0.65</v>
      </c>
      <c r="AR227" s="114">
        <f t="shared" ref="AR227:AS227" si="745">AI227/94</f>
        <v>12.76595745</v>
      </c>
      <c r="AS227" s="114">
        <f t="shared" si="745"/>
        <v>11.59574468</v>
      </c>
      <c r="AT227" s="115">
        <f t="shared" ref="AT227:AU227" si="746">AI227/24</f>
        <v>50</v>
      </c>
      <c r="AU227" s="115">
        <f t="shared" si="746"/>
        <v>45.41666667</v>
      </c>
      <c r="AV227" s="115">
        <f t="shared" ref="AV227:AW227" si="747">AI227/125</f>
        <v>9.6</v>
      </c>
      <c r="AW227" s="115">
        <f t="shared" si="747"/>
        <v>8.72</v>
      </c>
    </row>
    <row r="228" ht="15.75" customHeight="1">
      <c r="A228" s="2"/>
      <c r="B228" s="2" t="s">
        <v>400</v>
      </c>
      <c r="C228" s="2" t="s">
        <v>456</v>
      </c>
      <c r="D228" s="102">
        <v>650.0</v>
      </c>
      <c r="E228" s="2">
        <v>100.0</v>
      </c>
      <c r="F228" s="1">
        <v>50.0</v>
      </c>
      <c r="G228" s="106" t="s">
        <v>457</v>
      </c>
      <c r="H228" s="59">
        <v>0.18</v>
      </c>
      <c r="I228" s="2">
        <f t="shared" si="748"/>
        <v>117</v>
      </c>
      <c r="K228" s="102">
        <v>200.0</v>
      </c>
      <c r="L228" s="107">
        <f t="shared" si="5"/>
        <v>1117</v>
      </c>
      <c r="M228" s="2">
        <f t="shared" si="666"/>
        <v>6.5</v>
      </c>
      <c r="N228" s="12">
        <f t="shared" si="667"/>
        <v>89.36</v>
      </c>
      <c r="O228" s="12">
        <f t="shared" si="668"/>
        <v>111.7</v>
      </c>
      <c r="P228" s="12">
        <f t="shared" si="669"/>
        <v>55.85</v>
      </c>
      <c r="Q228" s="12">
        <f t="shared" si="670"/>
        <v>22.34</v>
      </c>
      <c r="R228" s="12">
        <f t="shared" si="671"/>
        <v>6.825</v>
      </c>
      <c r="S228" s="12">
        <f t="shared" si="672"/>
        <v>11.17</v>
      </c>
      <c r="T228" s="108">
        <f t="shared" si="673"/>
        <v>296.92</v>
      </c>
      <c r="U228" s="2">
        <f t="shared" si="674"/>
        <v>13.65</v>
      </c>
      <c r="V228" s="42">
        <f t="shared" si="15"/>
        <v>68.25</v>
      </c>
      <c r="W228" s="2">
        <f t="shared" si="675"/>
        <v>13.65</v>
      </c>
      <c r="X228" s="2">
        <f t="shared" si="676"/>
        <v>109.2</v>
      </c>
      <c r="Y228" s="2">
        <f t="shared" si="677"/>
        <v>204.75</v>
      </c>
      <c r="Z228" s="108">
        <f t="shared" si="678"/>
        <v>1618.67</v>
      </c>
      <c r="AA228" s="109">
        <f t="shared" si="679"/>
        <v>323.734</v>
      </c>
      <c r="AB228" s="12">
        <f t="shared" si="680"/>
        <v>1942.404</v>
      </c>
      <c r="AC228" s="2">
        <f t="shared" si="681"/>
        <v>1365</v>
      </c>
      <c r="AD228" s="12">
        <f t="shared" si="682"/>
        <v>577.404</v>
      </c>
      <c r="AE228" s="12">
        <f t="shared" si="683"/>
        <v>29.72625674</v>
      </c>
      <c r="AF228" s="61">
        <v>1185.0</v>
      </c>
      <c r="AG228" s="110">
        <f t="shared" si="25"/>
        <v>6.087735004</v>
      </c>
      <c r="AH228" s="111">
        <f t="shared" si="684"/>
        <v>5</v>
      </c>
      <c r="AI228" s="111">
        <v>1290.0</v>
      </c>
      <c r="AJ228" s="111">
        <v>1190.0</v>
      </c>
      <c r="AK228" s="112">
        <f t="shared" si="27"/>
        <v>6.535362578</v>
      </c>
      <c r="AL228" s="112"/>
      <c r="AM228" s="112">
        <f t="shared" si="749"/>
        <v>0.4201680672</v>
      </c>
      <c r="AN228" s="112">
        <f t="shared" si="686"/>
        <v>0.4476275739</v>
      </c>
      <c r="AO228" s="113">
        <f t="shared" si="687"/>
        <v>1.065353626</v>
      </c>
      <c r="AP228" s="112">
        <f t="shared" si="688"/>
        <v>-7.52404</v>
      </c>
      <c r="AQ228" s="112">
        <f t="shared" si="689"/>
        <v>-1.75</v>
      </c>
      <c r="AR228" s="114">
        <f t="shared" ref="AR228:AS228" si="750">AI228/94</f>
        <v>13.72340426</v>
      </c>
      <c r="AS228" s="114">
        <f t="shared" si="750"/>
        <v>12.65957447</v>
      </c>
      <c r="AT228" s="115">
        <f t="shared" ref="AT228:AU228" si="751">AI228/24</f>
        <v>53.75</v>
      </c>
      <c r="AU228" s="115">
        <f t="shared" si="751"/>
        <v>49.58333333</v>
      </c>
      <c r="AV228" s="115">
        <f t="shared" ref="AV228:AW228" si="752">AI228/125</f>
        <v>10.32</v>
      </c>
      <c r="AW228" s="115">
        <f t="shared" si="752"/>
        <v>9.52</v>
      </c>
    </row>
    <row r="229" ht="15.75" customHeight="1">
      <c r="A229" s="2" t="s">
        <v>458</v>
      </c>
      <c r="B229" s="2" t="s">
        <v>218</v>
      </c>
      <c r="C229" s="2" t="s">
        <v>459</v>
      </c>
      <c r="D229" s="102">
        <v>550.0</v>
      </c>
      <c r="F229" s="1">
        <v>50.0</v>
      </c>
      <c r="G229" s="74" t="s">
        <v>460</v>
      </c>
      <c r="H229" s="59">
        <v>0.18</v>
      </c>
      <c r="I229" s="2">
        <f t="shared" si="748"/>
        <v>99</v>
      </c>
      <c r="K229" s="10">
        <v>120.0</v>
      </c>
      <c r="L229" s="4">
        <f t="shared" si="5"/>
        <v>819</v>
      </c>
      <c r="M229" s="2">
        <f t="shared" si="666"/>
        <v>5.5</v>
      </c>
      <c r="N229" s="12">
        <f t="shared" si="667"/>
        <v>65.52</v>
      </c>
      <c r="O229" s="12">
        <f t="shared" si="668"/>
        <v>81.9</v>
      </c>
      <c r="P229" s="12">
        <f t="shared" si="669"/>
        <v>40.95</v>
      </c>
      <c r="Q229" s="12">
        <f t="shared" si="670"/>
        <v>16.38</v>
      </c>
      <c r="R229" s="12">
        <f t="shared" si="671"/>
        <v>5.775</v>
      </c>
      <c r="S229" s="12">
        <f t="shared" si="672"/>
        <v>8.19</v>
      </c>
      <c r="T229" s="60">
        <f t="shared" si="673"/>
        <v>218.44</v>
      </c>
      <c r="U229" s="2">
        <f t="shared" si="674"/>
        <v>11.55</v>
      </c>
      <c r="V229" s="42">
        <f t="shared" si="15"/>
        <v>57.75</v>
      </c>
      <c r="W229" s="2">
        <f t="shared" si="675"/>
        <v>11.55</v>
      </c>
      <c r="X229" s="2">
        <f t="shared" si="676"/>
        <v>92.4</v>
      </c>
      <c r="Y229" s="2">
        <f t="shared" si="677"/>
        <v>173.25</v>
      </c>
      <c r="Z229" s="60">
        <f t="shared" si="678"/>
        <v>1210.69</v>
      </c>
      <c r="AA229" s="11">
        <f t="shared" si="679"/>
        <v>242.138</v>
      </c>
      <c r="AB229" s="12">
        <f t="shared" si="680"/>
        <v>1452.828</v>
      </c>
      <c r="AC229" s="2">
        <f t="shared" si="681"/>
        <v>1155</v>
      </c>
      <c r="AD229" s="12">
        <f t="shared" si="682"/>
        <v>297.828</v>
      </c>
      <c r="AE229" s="12">
        <f t="shared" si="683"/>
        <v>20.49988023</v>
      </c>
      <c r="AF229" s="61">
        <v>1045.0</v>
      </c>
      <c r="AG229" s="62">
        <f t="shared" si="25"/>
        <v>27.59462759</v>
      </c>
      <c r="AH229" s="63">
        <f t="shared" si="684"/>
        <v>145</v>
      </c>
      <c r="AI229" s="64">
        <v>1290.0</v>
      </c>
      <c r="AJ229" s="64">
        <v>1190.0</v>
      </c>
      <c r="AK229" s="66">
        <f t="shared" si="27"/>
        <v>45.2991453</v>
      </c>
      <c r="AL229" s="66"/>
      <c r="AM229" s="14">
        <f t="shared" si="749"/>
        <v>12.18487395</v>
      </c>
      <c r="AN229" s="67">
        <f t="shared" si="686"/>
        <v>17.7045177</v>
      </c>
      <c r="AO229" s="68">
        <f t="shared" si="687"/>
        <v>1.452991453</v>
      </c>
      <c r="AP229" s="69">
        <f t="shared" si="688"/>
        <v>-2.62828</v>
      </c>
      <c r="AQ229" s="70">
        <f t="shared" si="689"/>
        <v>0.35</v>
      </c>
      <c r="AR229" s="71">
        <f t="shared" ref="AR229:AS229" si="753">AI229/94</f>
        <v>13.72340426</v>
      </c>
      <c r="AS229" s="71">
        <f t="shared" si="753"/>
        <v>12.65957447</v>
      </c>
      <c r="AT229" s="72">
        <f t="shared" ref="AT229:AU229" si="754">AI229/24</f>
        <v>53.75</v>
      </c>
      <c r="AU229" s="72">
        <f t="shared" si="754"/>
        <v>49.58333333</v>
      </c>
      <c r="AV229" s="73">
        <f t="shared" ref="AV229:AW229" si="755">AI229/125</f>
        <v>10.32</v>
      </c>
      <c r="AW229" s="73">
        <f t="shared" si="755"/>
        <v>9.52</v>
      </c>
    </row>
    <row r="230" ht="15.75" customHeight="1">
      <c r="A230" s="2" t="s">
        <v>461</v>
      </c>
      <c r="B230" s="2" t="s">
        <v>218</v>
      </c>
      <c r="C230" s="2" t="s">
        <v>462</v>
      </c>
      <c r="D230" s="10">
        <v>750.0</v>
      </c>
      <c r="F230" s="1">
        <v>50.0</v>
      </c>
      <c r="G230" s="106">
        <v>9.5044E7</v>
      </c>
      <c r="H230" s="59">
        <v>0.05</v>
      </c>
      <c r="I230" s="2">
        <f t="shared" si="748"/>
        <v>37.5</v>
      </c>
      <c r="K230" s="1">
        <v>50.0</v>
      </c>
      <c r="L230" s="107">
        <f t="shared" si="5"/>
        <v>887.5</v>
      </c>
      <c r="M230" s="2">
        <f t="shared" si="666"/>
        <v>7.5</v>
      </c>
      <c r="N230" s="12">
        <f t="shared" si="667"/>
        <v>71</v>
      </c>
      <c r="O230" s="12">
        <f t="shared" si="668"/>
        <v>88.75</v>
      </c>
      <c r="P230" s="12">
        <f t="shared" si="669"/>
        <v>44.375</v>
      </c>
      <c r="Q230" s="12">
        <f t="shared" si="670"/>
        <v>17.75</v>
      </c>
      <c r="R230" s="12">
        <f t="shared" si="671"/>
        <v>7.875</v>
      </c>
      <c r="S230" s="12">
        <f t="shared" si="672"/>
        <v>8.875</v>
      </c>
      <c r="T230" s="108">
        <f t="shared" si="673"/>
        <v>238.25</v>
      </c>
      <c r="U230" s="2">
        <f t="shared" si="674"/>
        <v>15.75</v>
      </c>
      <c r="V230" s="42">
        <f t="shared" si="15"/>
        <v>78.75</v>
      </c>
      <c r="W230" s="2">
        <f t="shared" si="675"/>
        <v>15.75</v>
      </c>
      <c r="X230" s="2">
        <f t="shared" si="676"/>
        <v>126</v>
      </c>
      <c r="Y230" s="2">
        <f t="shared" si="677"/>
        <v>236.25</v>
      </c>
      <c r="Z230" s="108">
        <f t="shared" si="678"/>
        <v>1362</v>
      </c>
      <c r="AA230" s="109">
        <f t="shared" si="679"/>
        <v>272.4</v>
      </c>
      <c r="AB230" s="12">
        <f t="shared" si="680"/>
        <v>1634.4</v>
      </c>
      <c r="AC230" s="2">
        <f t="shared" si="681"/>
        <v>1575</v>
      </c>
      <c r="AD230" s="12">
        <f t="shared" si="682"/>
        <v>59.4</v>
      </c>
      <c r="AE230" s="12">
        <f t="shared" si="683"/>
        <v>3.634361233</v>
      </c>
      <c r="AF230" s="61">
        <v>1499.0</v>
      </c>
      <c r="AG230" s="110">
        <f t="shared" si="25"/>
        <v>68.90140845</v>
      </c>
      <c r="AH230" s="111">
        <f t="shared" si="684"/>
        <v>100</v>
      </c>
      <c r="AI230" s="111">
        <f t="shared" ref="AI230:AI232" si="759">AB230</f>
        <v>1634.4</v>
      </c>
      <c r="AJ230" s="116">
        <v>1599.0</v>
      </c>
      <c r="AK230" s="112">
        <f t="shared" si="27"/>
        <v>80.16901408</v>
      </c>
      <c r="AL230" s="112"/>
      <c r="AM230" s="112">
        <f t="shared" si="749"/>
        <v>6.253908693</v>
      </c>
      <c r="AN230" s="112">
        <f t="shared" si="686"/>
        <v>11.26760563</v>
      </c>
      <c r="AO230" s="113">
        <f t="shared" si="687"/>
        <v>1.801690141</v>
      </c>
      <c r="AP230" s="112">
        <f t="shared" si="688"/>
        <v>-0.354</v>
      </c>
      <c r="AQ230" s="112">
        <f t="shared" si="689"/>
        <v>0.24</v>
      </c>
      <c r="AR230" s="114">
        <f t="shared" ref="AR230:AS230" si="756">AI230/94</f>
        <v>17.38723404</v>
      </c>
      <c r="AS230" s="114">
        <f t="shared" si="756"/>
        <v>17.0106383</v>
      </c>
      <c r="AT230" s="115">
        <f t="shared" ref="AT230:AU230" si="757">AI230/24</f>
        <v>68.1</v>
      </c>
      <c r="AU230" s="115">
        <f t="shared" si="757"/>
        <v>66.625</v>
      </c>
      <c r="AV230" s="115">
        <f t="shared" ref="AV230:AW230" si="758">AI230/125</f>
        <v>13.0752</v>
      </c>
      <c r="AW230" s="115">
        <f t="shared" si="758"/>
        <v>12.792</v>
      </c>
    </row>
    <row r="231" ht="15.0" customHeight="1">
      <c r="A231" s="2" t="s">
        <v>463</v>
      </c>
      <c r="B231" s="2" t="s">
        <v>363</v>
      </c>
      <c r="C231" s="2" t="s">
        <v>464</v>
      </c>
      <c r="D231" s="10">
        <v>800.0</v>
      </c>
      <c r="F231" s="1">
        <v>140.0</v>
      </c>
      <c r="G231" s="10">
        <v>4.202222E7</v>
      </c>
      <c r="H231" s="59">
        <v>0.05</v>
      </c>
      <c r="I231" s="2">
        <f t="shared" si="748"/>
        <v>40</v>
      </c>
      <c r="K231" s="94">
        <v>100.0</v>
      </c>
      <c r="L231" s="4">
        <f t="shared" si="5"/>
        <v>1080</v>
      </c>
      <c r="M231" s="2">
        <f t="shared" si="666"/>
        <v>8</v>
      </c>
      <c r="N231" s="12">
        <f t="shared" si="667"/>
        <v>86.4</v>
      </c>
      <c r="O231" s="12">
        <f t="shared" si="668"/>
        <v>108</v>
      </c>
      <c r="P231" s="12">
        <f t="shared" si="669"/>
        <v>54</v>
      </c>
      <c r="Q231" s="12">
        <f t="shared" si="670"/>
        <v>21.6</v>
      </c>
      <c r="R231" s="12">
        <f t="shared" si="671"/>
        <v>8.4</v>
      </c>
      <c r="S231" s="12">
        <f t="shared" si="672"/>
        <v>10.8</v>
      </c>
      <c r="T231" s="60">
        <f t="shared" si="673"/>
        <v>288.8</v>
      </c>
      <c r="U231" s="2">
        <f t="shared" si="674"/>
        <v>16.8</v>
      </c>
      <c r="V231" s="42">
        <f t="shared" si="15"/>
        <v>84</v>
      </c>
      <c r="W231" s="2">
        <f t="shared" si="675"/>
        <v>16.8</v>
      </c>
      <c r="X231" s="2">
        <f t="shared" si="676"/>
        <v>134.4</v>
      </c>
      <c r="Y231" s="2">
        <f t="shared" si="677"/>
        <v>252</v>
      </c>
      <c r="Z231" s="60">
        <f t="shared" si="678"/>
        <v>1620.8</v>
      </c>
      <c r="AA231" s="11">
        <f t="shared" si="679"/>
        <v>324.16</v>
      </c>
      <c r="AB231" s="12">
        <f t="shared" si="680"/>
        <v>1944.96</v>
      </c>
      <c r="AC231" s="2">
        <f t="shared" si="681"/>
        <v>1680</v>
      </c>
      <c r="AD231" s="12">
        <f t="shared" si="682"/>
        <v>264.96</v>
      </c>
      <c r="AE231" s="12">
        <f t="shared" si="683"/>
        <v>13.62290227</v>
      </c>
      <c r="AF231" s="61">
        <v>1450.0</v>
      </c>
      <c r="AG231" s="62">
        <f t="shared" si="25"/>
        <v>34.25925926</v>
      </c>
      <c r="AH231" s="63">
        <f t="shared" si="684"/>
        <v>240</v>
      </c>
      <c r="AI231" s="64">
        <f t="shared" si="759"/>
        <v>1944.96</v>
      </c>
      <c r="AJ231" s="65">
        <v>1690.0</v>
      </c>
      <c r="AK231" s="66">
        <f t="shared" si="27"/>
        <v>56.48148148</v>
      </c>
      <c r="AL231" s="66"/>
      <c r="AM231" s="14">
        <f t="shared" si="749"/>
        <v>14.20118343</v>
      </c>
      <c r="AN231" s="67">
        <f t="shared" si="686"/>
        <v>22.22222222</v>
      </c>
      <c r="AO231" s="68">
        <f t="shared" si="687"/>
        <v>1.564814815</v>
      </c>
      <c r="AP231" s="69">
        <f t="shared" si="688"/>
        <v>-2.5496</v>
      </c>
      <c r="AQ231" s="70">
        <f t="shared" si="689"/>
        <v>0.1</v>
      </c>
      <c r="AR231" s="71">
        <f t="shared" ref="AR231:AS231" si="760">AI231/94</f>
        <v>20.69106383</v>
      </c>
      <c r="AS231" s="71">
        <f t="shared" si="760"/>
        <v>17.9787234</v>
      </c>
      <c r="AT231" s="72">
        <f t="shared" ref="AT231:AU231" si="761">AI231/24</f>
        <v>81.04</v>
      </c>
      <c r="AU231" s="72">
        <f t="shared" si="761"/>
        <v>70.41666667</v>
      </c>
      <c r="AV231" s="73">
        <f t="shared" ref="AV231:AW231" si="762">AI231/125</f>
        <v>15.55968</v>
      </c>
      <c r="AW231" s="73">
        <f t="shared" si="762"/>
        <v>13.52</v>
      </c>
    </row>
    <row r="232" ht="15.75" customHeight="1">
      <c r="A232" s="2"/>
      <c r="B232" s="2" t="s">
        <v>365</v>
      </c>
      <c r="C232" s="2" t="s">
        <v>465</v>
      </c>
      <c r="D232" s="10">
        <v>1000.0</v>
      </c>
      <c r="F232" s="1">
        <v>140.0</v>
      </c>
      <c r="G232" s="10">
        <v>4.202222E7</v>
      </c>
      <c r="H232" s="59">
        <v>0.05</v>
      </c>
      <c r="I232" s="2">
        <f t="shared" si="748"/>
        <v>50</v>
      </c>
      <c r="K232" s="94">
        <v>100.0</v>
      </c>
      <c r="L232" s="4">
        <f t="shared" si="5"/>
        <v>1290</v>
      </c>
      <c r="M232" s="2">
        <f t="shared" si="666"/>
        <v>10</v>
      </c>
      <c r="N232" s="12">
        <f t="shared" si="667"/>
        <v>103.2</v>
      </c>
      <c r="O232" s="12">
        <f t="shared" si="668"/>
        <v>129</v>
      </c>
      <c r="P232" s="12">
        <f t="shared" si="669"/>
        <v>64.5</v>
      </c>
      <c r="Q232" s="12">
        <f t="shared" si="670"/>
        <v>25.8</v>
      </c>
      <c r="R232" s="12">
        <f t="shared" si="671"/>
        <v>10.5</v>
      </c>
      <c r="S232" s="12">
        <f t="shared" si="672"/>
        <v>12.9</v>
      </c>
      <c r="T232" s="60">
        <f t="shared" si="673"/>
        <v>345.4</v>
      </c>
      <c r="U232" s="2">
        <f t="shared" si="674"/>
        <v>21</v>
      </c>
      <c r="V232" s="42">
        <f t="shared" si="15"/>
        <v>105</v>
      </c>
      <c r="W232" s="2">
        <f t="shared" si="675"/>
        <v>21</v>
      </c>
      <c r="X232" s="2">
        <f t="shared" si="676"/>
        <v>168</v>
      </c>
      <c r="Y232" s="2">
        <f t="shared" si="677"/>
        <v>315</v>
      </c>
      <c r="Z232" s="60">
        <f t="shared" si="678"/>
        <v>1950.4</v>
      </c>
      <c r="AA232" s="11">
        <f t="shared" si="679"/>
        <v>390.08</v>
      </c>
      <c r="AB232" s="12">
        <f t="shared" si="680"/>
        <v>2340.48</v>
      </c>
      <c r="AC232" s="2">
        <f t="shared" si="681"/>
        <v>2100</v>
      </c>
      <c r="AD232" s="12">
        <f t="shared" si="682"/>
        <v>240.48</v>
      </c>
      <c r="AE232" s="12">
        <f t="shared" si="683"/>
        <v>10.27481542</v>
      </c>
      <c r="AF232" s="61">
        <v>1650.0</v>
      </c>
      <c r="AG232" s="62">
        <f t="shared" si="25"/>
        <v>27.90697674</v>
      </c>
      <c r="AH232" s="63">
        <f t="shared" si="684"/>
        <v>340</v>
      </c>
      <c r="AI232" s="64">
        <f t="shared" si="759"/>
        <v>2340.48</v>
      </c>
      <c r="AJ232" s="64">
        <v>1990.0</v>
      </c>
      <c r="AK232" s="66">
        <f t="shared" si="27"/>
        <v>54.26356589</v>
      </c>
      <c r="AL232" s="66"/>
      <c r="AM232" s="14">
        <f t="shared" si="749"/>
        <v>17.08542714</v>
      </c>
      <c r="AN232" s="67">
        <f t="shared" si="686"/>
        <v>26.35658915</v>
      </c>
      <c r="AO232" s="68">
        <f t="shared" si="687"/>
        <v>1.542635659</v>
      </c>
      <c r="AP232" s="69">
        <f t="shared" si="688"/>
        <v>-3.5048</v>
      </c>
      <c r="AQ232" s="70">
        <f t="shared" si="689"/>
        <v>-1.1</v>
      </c>
      <c r="AR232" s="71">
        <f t="shared" ref="AR232:AS232" si="763">AI232/94</f>
        <v>24.8987234</v>
      </c>
      <c r="AS232" s="71">
        <f t="shared" si="763"/>
        <v>21.17021277</v>
      </c>
      <c r="AT232" s="72">
        <f t="shared" ref="AT232:AU232" si="764">AI232/24</f>
        <v>97.52</v>
      </c>
      <c r="AU232" s="72">
        <f t="shared" si="764"/>
        <v>82.91666667</v>
      </c>
      <c r="AV232" s="73">
        <f t="shared" ref="AV232:AW232" si="765">AI232/125</f>
        <v>18.72384</v>
      </c>
      <c r="AW232" s="73">
        <f t="shared" si="765"/>
        <v>15.92</v>
      </c>
    </row>
    <row r="233" ht="15.75" customHeight="1">
      <c r="A233" s="2"/>
      <c r="B233" s="2" t="s">
        <v>367</v>
      </c>
      <c r="C233" s="2" t="s">
        <v>466</v>
      </c>
      <c r="D233" s="10">
        <v>1200.0</v>
      </c>
      <c r="F233" s="1">
        <v>140.0</v>
      </c>
      <c r="G233" s="10">
        <v>4.202222E7</v>
      </c>
      <c r="H233" s="59">
        <v>0.05</v>
      </c>
      <c r="I233" s="2">
        <f t="shared" si="748"/>
        <v>60</v>
      </c>
      <c r="K233" s="94">
        <v>100.0</v>
      </c>
      <c r="L233" s="4">
        <f t="shared" si="5"/>
        <v>1500</v>
      </c>
      <c r="M233" s="2">
        <f t="shared" si="666"/>
        <v>12</v>
      </c>
      <c r="N233" s="12">
        <f t="shared" si="667"/>
        <v>120</v>
      </c>
      <c r="O233" s="12">
        <f t="shared" si="668"/>
        <v>150</v>
      </c>
      <c r="P233" s="12">
        <f t="shared" si="669"/>
        <v>75</v>
      </c>
      <c r="Q233" s="12">
        <f t="shared" si="670"/>
        <v>30</v>
      </c>
      <c r="R233" s="12">
        <f t="shared" si="671"/>
        <v>12.6</v>
      </c>
      <c r="S233" s="12">
        <f t="shared" si="672"/>
        <v>15</v>
      </c>
      <c r="T233" s="60">
        <f t="shared" si="673"/>
        <v>402</v>
      </c>
      <c r="U233" s="2">
        <f t="shared" si="674"/>
        <v>25.2</v>
      </c>
      <c r="V233" s="42">
        <f t="shared" si="15"/>
        <v>126</v>
      </c>
      <c r="W233" s="2">
        <f t="shared" si="675"/>
        <v>25.2</v>
      </c>
      <c r="X233" s="2">
        <f t="shared" si="676"/>
        <v>201.6</v>
      </c>
      <c r="Y233" s="2">
        <f t="shared" si="677"/>
        <v>378</v>
      </c>
      <c r="Z233" s="60">
        <f t="shared" si="678"/>
        <v>2280</v>
      </c>
      <c r="AA233" s="11">
        <f t="shared" si="679"/>
        <v>456</v>
      </c>
      <c r="AB233" s="12">
        <f t="shared" si="680"/>
        <v>2736</v>
      </c>
      <c r="AC233" s="2">
        <f t="shared" si="681"/>
        <v>2520</v>
      </c>
      <c r="AD233" s="12">
        <f t="shared" si="682"/>
        <v>216</v>
      </c>
      <c r="AE233" s="12">
        <f t="shared" si="683"/>
        <v>7.894736842</v>
      </c>
      <c r="AF233" s="61">
        <v>1850.0</v>
      </c>
      <c r="AG233" s="62">
        <f t="shared" si="25"/>
        <v>23.33333333</v>
      </c>
      <c r="AH233" s="63">
        <f t="shared" si="684"/>
        <v>440</v>
      </c>
      <c r="AI233" s="64">
        <v>2500.0</v>
      </c>
      <c r="AJ233" s="64">
        <v>2290.0</v>
      </c>
      <c r="AK233" s="66">
        <f t="shared" si="27"/>
        <v>52.66666667</v>
      </c>
      <c r="AL233" s="66"/>
      <c r="AM233" s="14">
        <f t="shared" si="749"/>
        <v>19.2139738</v>
      </c>
      <c r="AN233" s="67">
        <f t="shared" si="686"/>
        <v>29.33333333</v>
      </c>
      <c r="AO233" s="68">
        <f t="shared" si="687"/>
        <v>1.526666667</v>
      </c>
      <c r="AP233" s="69">
        <f t="shared" si="688"/>
        <v>-4.46</v>
      </c>
      <c r="AQ233" s="70">
        <f t="shared" si="689"/>
        <v>-2.3</v>
      </c>
      <c r="AR233" s="71">
        <f t="shared" ref="AR233:AS233" si="766">AI233/94</f>
        <v>26.59574468</v>
      </c>
      <c r="AS233" s="71">
        <f t="shared" si="766"/>
        <v>24.36170213</v>
      </c>
      <c r="AT233" s="72">
        <f t="shared" ref="AT233:AU233" si="767">AI233/24</f>
        <v>104.1666667</v>
      </c>
      <c r="AU233" s="72">
        <f t="shared" si="767"/>
        <v>95.41666667</v>
      </c>
      <c r="AV233" s="73">
        <f t="shared" ref="AV233:AW233" si="768">AI233/125</f>
        <v>20</v>
      </c>
      <c r="AW233" s="73">
        <f t="shared" si="768"/>
        <v>18.32</v>
      </c>
    </row>
    <row r="234" ht="15.75" customHeight="1">
      <c r="A234" s="2" t="s">
        <v>467</v>
      </c>
      <c r="B234" s="2" t="s">
        <v>218</v>
      </c>
      <c r="C234" s="2" t="s">
        <v>468</v>
      </c>
      <c r="D234" s="10" t="s">
        <v>469</v>
      </c>
      <c r="F234" s="2">
        <v>10.0</v>
      </c>
      <c r="G234" s="10">
        <v>7.01399E7</v>
      </c>
      <c r="H234" s="59">
        <v>0.18</v>
      </c>
      <c r="I234" s="2" t="str">
        <f t="shared" si="748"/>
        <v>#VALUE!</v>
      </c>
      <c r="K234" s="117" t="str">
        <f>D234*4%</f>
        <v>#VALUE!</v>
      </c>
      <c r="L234" s="4" t="str">
        <f t="shared" si="5"/>
        <v>#VALUE!</v>
      </c>
      <c r="M234" s="2" t="str">
        <f t="shared" si="666"/>
        <v>#VALUE!</v>
      </c>
      <c r="N234" s="12" t="str">
        <f t="shared" si="667"/>
        <v>#VALUE!</v>
      </c>
      <c r="O234" s="12" t="str">
        <f t="shared" si="668"/>
        <v>#VALUE!</v>
      </c>
      <c r="P234" s="12" t="str">
        <f t="shared" si="669"/>
        <v>#VALUE!</v>
      </c>
      <c r="Q234" s="12" t="str">
        <f t="shared" si="670"/>
        <v>#VALUE!</v>
      </c>
      <c r="R234" s="12" t="str">
        <f t="shared" si="671"/>
        <v>#VALUE!</v>
      </c>
      <c r="S234" s="12" t="str">
        <f t="shared" si="672"/>
        <v>#VALUE!</v>
      </c>
      <c r="T234" s="4" t="str">
        <f t="shared" si="673"/>
        <v>#VALUE!</v>
      </c>
      <c r="U234" s="2" t="str">
        <f t="shared" si="674"/>
        <v>#VALUE!</v>
      </c>
      <c r="V234" s="42" t="str">
        <f t="shared" si="15"/>
        <v>#VALUE!</v>
      </c>
      <c r="W234" s="2" t="str">
        <f t="shared" si="675"/>
        <v>#VALUE!</v>
      </c>
      <c r="X234" s="2" t="str">
        <f t="shared" si="676"/>
        <v>#VALUE!</v>
      </c>
      <c r="Y234" s="2" t="str">
        <f t="shared" si="677"/>
        <v>#VALUE!</v>
      </c>
      <c r="Z234" s="60" t="str">
        <f t="shared" si="678"/>
        <v>#VALUE!</v>
      </c>
      <c r="AA234" s="11" t="str">
        <f t="shared" si="679"/>
        <v>#VALUE!</v>
      </c>
      <c r="AB234" s="2" t="str">
        <f t="shared" si="680"/>
        <v>#VALUE!</v>
      </c>
      <c r="AC234" s="2" t="str">
        <f t="shared" si="681"/>
        <v>#VALUE!</v>
      </c>
      <c r="AD234" s="12" t="str">
        <f t="shared" si="682"/>
        <v>#VALUE!</v>
      </c>
      <c r="AE234" s="12" t="str">
        <f t="shared" si="683"/>
        <v>#VALUE!</v>
      </c>
      <c r="AF234" s="61">
        <v>19500.0</v>
      </c>
      <c r="AG234" s="62" t="str">
        <f t="shared" si="25"/>
        <v>#VALUE!</v>
      </c>
      <c r="AH234" s="63" t="str">
        <f t="shared" si="684"/>
        <v>#VALUE!</v>
      </c>
      <c r="AI234" s="64" t="str">
        <f t="shared" ref="AI234:AI235" si="772">AB234</f>
        <v>#VALUE!</v>
      </c>
      <c r="AJ234" s="64" t="str">
        <f>AI234-(AI234*7%)</f>
        <v>#VALUE!</v>
      </c>
      <c r="AK234" s="66" t="str">
        <f t="shared" si="27"/>
        <v>#VALUE!</v>
      </c>
      <c r="AL234" s="66"/>
      <c r="AM234" s="14" t="str">
        <f t="shared" si="749"/>
        <v>#VALUE!</v>
      </c>
      <c r="AN234" s="67" t="str">
        <f t="shared" si="686"/>
        <v>#VALUE!</v>
      </c>
      <c r="AO234" s="68" t="str">
        <f t="shared" si="687"/>
        <v>#VALUE!</v>
      </c>
      <c r="AP234" s="69" t="str">
        <f t="shared" si="688"/>
        <v>#VALUE!</v>
      </c>
      <c r="AQ234" s="70" t="str">
        <f t="shared" si="689"/>
        <v>#VALUE!</v>
      </c>
      <c r="AR234" s="71" t="str">
        <f t="shared" ref="AR234:AS234" si="769">AI234/94</f>
        <v>#VALUE!</v>
      </c>
      <c r="AS234" s="71" t="str">
        <f t="shared" si="769"/>
        <v>#VALUE!</v>
      </c>
      <c r="AT234" s="72" t="str">
        <f t="shared" ref="AT234:AU234" si="770">AI234/24</f>
        <v>#VALUE!</v>
      </c>
      <c r="AU234" s="72" t="str">
        <f t="shared" si="770"/>
        <v>#VALUE!</v>
      </c>
      <c r="AV234" s="73" t="str">
        <f t="shared" ref="AV234:AW234" si="771">AI234/125</f>
        <v>#VALUE!</v>
      </c>
      <c r="AW234" s="73" t="str">
        <f t="shared" si="771"/>
        <v>#VALUE!</v>
      </c>
    </row>
    <row r="235" ht="15.0" customHeight="1">
      <c r="A235" s="2" t="s">
        <v>470</v>
      </c>
      <c r="B235" s="2" t="s">
        <v>471</v>
      </c>
      <c r="C235" s="2" t="s">
        <v>472</v>
      </c>
      <c r="D235" s="118">
        <v>5500.0</v>
      </c>
      <c r="F235" s="1">
        <v>140.0</v>
      </c>
      <c r="G235" s="10">
        <v>7.01399E7</v>
      </c>
      <c r="H235" s="59">
        <v>0.18</v>
      </c>
      <c r="I235" s="2">
        <f t="shared" si="748"/>
        <v>990</v>
      </c>
      <c r="K235" s="94">
        <v>400.0</v>
      </c>
      <c r="L235" s="119">
        <f t="shared" si="5"/>
        <v>7030</v>
      </c>
      <c r="M235" s="2">
        <f t="shared" si="666"/>
        <v>55</v>
      </c>
      <c r="N235" s="12">
        <f t="shared" si="667"/>
        <v>562.4</v>
      </c>
      <c r="O235" s="12">
        <f t="shared" si="668"/>
        <v>703</v>
      </c>
      <c r="P235" s="12">
        <f t="shared" si="669"/>
        <v>351.5</v>
      </c>
      <c r="Q235" s="12">
        <f t="shared" si="670"/>
        <v>140.6</v>
      </c>
      <c r="R235" s="12">
        <f t="shared" si="671"/>
        <v>57.75</v>
      </c>
      <c r="S235" s="12">
        <f t="shared" si="672"/>
        <v>70.3</v>
      </c>
      <c r="T235" s="60">
        <f t="shared" si="673"/>
        <v>1882.8</v>
      </c>
      <c r="U235" s="2">
        <f t="shared" si="674"/>
        <v>115.5</v>
      </c>
      <c r="V235" s="42">
        <f t="shared" si="15"/>
        <v>577.5</v>
      </c>
      <c r="W235" s="2">
        <f t="shared" si="675"/>
        <v>115.5</v>
      </c>
      <c r="X235" s="2">
        <f t="shared" si="676"/>
        <v>924</v>
      </c>
      <c r="Y235" s="2">
        <f t="shared" si="677"/>
        <v>1732.5</v>
      </c>
      <c r="Z235" s="60">
        <f t="shared" si="678"/>
        <v>10645.3</v>
      </c>
      <c r="AA235" s="11">
        <f t="shared" si="679"/>
        <v>2129.06</v>
      </c>
      <c r="AB235" s="12">
        <f t="shared" si="680"/>
        <v>12774.36</v>
      </c>
      <c r="AC235" s="2">
        <f t="shared" si="681"/>
        <v>11550</v>
      </c>
      <c r="AD235" s="12">
        <f t="shared" si="682"/>
        <v>1224.36</v>
      </c>
      <c r="AE235" s="12">
        <f t="shared" si="683"/>
        <v>9.584511475</v>
      </c>
      <c r="AF235" s="61">
        <v>8950.0</v>
      </c>
      <c r="AG235" s="62">
        <f t="shared" si="25"/>
        <v>27.31152205</v>
      </c>
      <c r="AH235" s="63">
        <f t="shared" si="684"/>
        <v>1000</v>
      </c>
      <c r="AI235" s="64">
        <f t="shared" si="772"/>
        <v>12774.36</v>
      </c>
      <c r="AJ235" s="65">
        <v>9950.0</v>
      </c>
      <c r="AK235" s="66">
        <f t="shared" si="27"/>
        <v>41.53627312</v>
      </c>
      <c r="AL235" s="66"/>
      <c r="AM235" s="14">
        <f t="shared" si="749"/>
        <v>10.05025126</v>
      </c>
      <c r="AN235" s="67">
        <f t="shared" si="686"/>
        <v>14.22475107</v>
      </c>
      <c r="AO235" s="68">
        <f t="shared" si="687"/>
        <v>1.415362731</v>
      </c>
      <c r="AP235" s="69">
        <f t="shared" si="688"/>
        <v>-28.2436</v>
      </c>
      <c r="AQ235" s="70">
        <f t="shared" si="689"/>
        <v>-16</v>
      </c>
      <c r="AR235" s="71">
        <f t="shared" ref="AR235:AS235" si="773">AI235/94</f>
        <v>135.8974468</v>
      </c>
      <c r="AS235" s="71">
        <f t="shared" si="773"/>
        <v>105.8510638</v>
      </c>
      <c r="AT235" s="72">
        <f t="shared" ref="AT235:AU235" si="774">AI235/24</f>
        <v>532.265</v>
      </c>
      <c r="AU235" s="72">
        <f t="shared" si="774"/>
        <v>414.5833333</v>
      </c>
      <c r="AV235" s="73">
        <f t="shared" ref="AV235:AW235" si="775">AI235/125</f>
        <v>102.19488</v>
      </c>
      <c r="AW235" s="73">
        <f t="shared" si="775"/>
        <v>79.6</v>
      </c>
    </row>
    <row r="236" ht="15.75" customHeight="1">
      <c r="A236" s="2"/>
      <c r="B236" s="2" t="s">
        <v>473</v>
      </c>
      <c r="C236" s="2" t="s">
        <v>474</v>
      </c>
      <c r="D236" s="118">
        <v>6000.0</v>
      </c>
      <c r="F236" s="1">
        <v>140.0</v>
      </c>
      <c r="G236" s="10">
        <v>7.01399E7</v>
      </c>
      <c r="H236" s="59">
        <v>0.18</v>
      </c>
      <c r="I236" s="2">
        <f t="shared" si="748"/>
        <v>1080</v>
      </c>
      <c r="K236" s="94">
        <v>400.0</v>
      </c>
      <c r="L236" s="119">
        <f t="shared" si="5"/>
        <v>7620</v>
      </c>
      <c r="M236" s="2">
        <f t="shared" si="666"/>
        <v>60</v>
      </c>
      <c r="N236" s="12">
        <f t="shared" si="667"/>
        <v>609.6</v>
      </c>
      <c r="O236" s="12">
        <f t="shared" si="668"/>
        <v>762</v>
      </c>
      <c r="P236" s="12">
        <f t="shared" si="669"/>
        <v>381</v>
      </c>
      <c r="Q236" s="12">
        <f t="shared" si="670"/>
        <v>152.4</v>
      </c>
      <c r="R236" s="12">
        <f t="shared" si="671"/>
        <v>63</v>
      </c>
      <c r="S236" s="12">
        <f t="shared" si="672"/>
        <v>76.2</v>
      </c>
      <c r="T236" s="60">
        <f t="shared" si="673"/>
        <v>2041.2</v>
      </c>
      <c r="U236" s="2">
        <f t="shared" si="674"/>
        <v>126</v>
      </c>
      <c r="V236" s="42">
        <f t="shared" si="15"/>
        <v>630</v>
      </c>
      <c r="W236" s="2">
        <f t="shared" si="675"/>
        <v>126</v>
      </c>
      <c r="X236" s="2">
        <f t="shared" si="676"/>
        <v>1008</v>
      </c>
      <c r="Y236" s="2">
        <f t="shared" si="677"/>
        <v>1890</v>
      </c>
      <c r="Z236" s="60">
        <f t="shared" si="678"/>
        <v>11551.2</v>
      </c>
      <c r="AA236" s="11">
        <f t="shared" si="679"/>
        <v>2310.24</v>
      </c>
      <c r="AB236" s="12">
        <f t="shared" si="680"/>
        <v>13861.44</v>
      </c>
      <c r="AC236" s="2">
        <f t="shared" si="681"/>
        <v>12600</v>
      </c>
      <c r="AD236" s="12">
        <f t="shared" si="682"/>
        <v>1261.44</v>
      </c>
      <c r="AE236" s="12">
        <f t="shared" si="683"/>
        <v>9.10035321</v>
      </c>
      <c r="AF236" s="61">
        <v>9650.0</v>
      </c>
      <c r="AG236" s="62">
        <f t="shared" si="25"/>
        <v>26.64041995</v>
      </c>
      <c r="AH236" s="63">
        <f t="shared" si="684"/>
        <v>1200</v>
      </c>
      <c r="AI236" s="64">
        <v>13990.0</v>
      </c>
      <c r="AJ236" s="65">
        <v>10850.0</v>
      </c>
      <c r="AK236" s="66">
        <f t="shared" si="27"/>
        <v>42.38845144</v>
      </c>
      <c r="AL236" s="66"/>
      <c r="AM236" s="14">
        <f t="shared" si="749"/>
        <v>11.05990783</v>
      </c>
      <c r="AN236" s="67">
        <f t="shared" si="686"/>
        <v>15.7480315</v>
      </c>
      <c r="AO236" s="68">
        <f t="shared" si="687"/>
        <v>1.423884514</v>
      </c>
      <c r="AP236" s="69">
        <f t="shared" si="688"/>
        <v>-30.1144</v>
      </c>
      <c r="AQ236" s="70">
        <f t="shared" si="689"/>
        <v>-17.5</v>
      </c>
      <c r="AR236" s="71">
        <f t="shared" ref="AR236:AS236" si="776">AI236/94</f>
        <v>148.8297872</v>
      </c>
      <c r="AS236" s="71">
        <f t="shared" si="776"/>
        <v>115.4255319</v>
      </c>
      <c r="AT236" s="72">
        <f t="shared" ref="AT236:AU236" si="777">AI236/24</f>
        <v>582.9166667</v>
      </c>
      <c r="AU236" s="72">
        <f t="shared" si="777"/>
        <v>452.0833333</v>
      </c>
      <c r="AV236" s="73">
        <f t="shared" ref="AV236:AW236" si="778">AI236/125</f>
        <v>111.92</v>
      </c>
      <c r="AW236" s="73">
        <f t="shared" si="778"/>
        <v>86.8</v>
      </c>
    </row>
    <row r="237" ht="15.75" customHeight="1">
      <c r="A237" s="2"/>
      <c r="B237" s="2" t="s">
        <v>475</v>
      </c>
      <c r="C237" s="2" t="s">
        <v>476</v>
      </c>
      <c r="D237" s="118">
        <v>6500.0</v>
      </c>
      <c r="F237" s="1">
        <v>140.0</v>
      </c>
      <c r="G237" s="10">
        <v>7.01399E7</v>
      </c>
      <c r="H237" s="59">
        <v>0.18</v>
      </c>
      <c r="I237" s="2">
        <f t="shared" si="748"/>
        <v>1170</v>
      </c>
      <c r="K237" s="94">
        <v>400.0</v>
      </c>
      <c r="L237" s="119">
        <f t="shared" si="5"/>
        <v>8210</v>
      </c>
      <c r="M237" s="2">
        <f t="shared" si="666"/>
        <v>65</v>
      </c>
      <c r="N237" s="12">
        <f t="shared" si="667"/>
        <v>656.8</v>
      </c>
      <c r="O237" s="12">
        <f t="shared" si="668"/>
        <v>821</v>
      </c>
      <c r="P237" s="12">
        <f t="shared" si="669"/>
        <v>410.5</v>
      </c>
      <c r="Q237" s="12">
        <f t="shared" si="670"/>
        <v>164.2</v>
      </c>
      <c r="R237" s="12">
        <f t="shared" si="671"/>
        <v>68.25</v>
      </c>
      <c r="S237" s="12">
        <f t="shared" si="672"/>
        <v>82.1</v>
      </c>
      <c r="T237" s="60">
        <f t="shared" si="673"/>
        <v>2199.6</v>
      </c>
      <c r="U237" s="2">
        <f t="shared" si="674"/>
        <v>136.5</v>
      </c>
      <c r="V237" s="42">
        <f t="shared" si="15"/>
        <v>682.5</v>
      </c>
      <c r="W237" s="2">
        <f t="shared" si="675"/>
        <v>136.5</v>
      </c>
      <c r="X237" s="2">
        <f t="shared" si="676"/>
        <v>1092</v>
      </c>
      <c r="Y237" s="2">
        <f t="shared" si="677"/>
        <v>2047.5</v>
      </c>
      <c r="Z237" s="60">
        <f t="shared" si="678"/>
        <v>12457.1</v>
      </c>
      <c r="AA237" s="11">
        <f t="shared" si="679"/>
        <v>2491.42</v>
      </c>
      <c r="AB237" s="12">
        <f t="shared" si="680"/>
        <v>14948.52</v>
      </c>
      <c r="AC237" s="2">
        <f t="shared" si="681"/>
        <v>13650</v>
      </c>
      <c r="AD237" s="12">
        <f t="shared" si="682"/>
        <v>1298.52</v>
      </c>
      <c r="AE237" s="12">
        <f t="shared" si="683"/>
        <v>8.686612454</v>
      </c>
      <c r="AF237" s="61">
        <v>10450.0</v>
      </c>
      <c r="AG237" s="62">
        <f t="shared" si="25"/>
        <v>27.28380024</v>
      </c>
      <c r="AH237" s="63">
        <f t="shared" si="684"/>
        <v>1200</v>
      </c>
      <c r="AI237" s="64">
        <v>14990.0</v>
      </c>
      <c r="AJ237" s="65">
        <v>11650.0</v>
      </c>
      <c r="AK237" s="66">
        <f t="shared" si="27"/>
        <v>41.9001218</v>
      </c>
      <c r="AL237" s="66"/>
      <c r="AM237" s="14">
        <f t="shared" si="749"/>
        <v>10.30042918</v>
      </c>
      <c r="AN237" s="67">
        <f t="shared" si="686"/>
        <v>14.61632156</v>
      </c>
      <c r="AO237" s="68">
        <f t="shared" si="687"/>
        <v>1.419001218</v>
      </c>
      <c r="AP237" s="69">
        <f t="shared" si="688"/>
        <v>-32.9852</v>
      </c>
      <c r="AQ237" s="70">
        <f t="shared" si="689"/>
        <v>-20</v>
      </c>
      <c r="AR237" s="71">
        <f t="shared" ref="AR237:AS237" si="779">AI237/94</f>
        <v>159.4680851</v>
      </c>
      <c r="AS237" s="71">
        <f t="shared" si="779"/>
        <v>123.9361702</v>
      </c>
      <c r="AT237" s="72">
        <f t="shared" ref="AT237:AU237" si="780">AI237/24</f>
        <v>624.5833333</v>
      </c>
      <c r="AU237" s="72">
        <f t="shared" si="780"/>
        <v>485.4166667</v>
      </c>
      <c r="AV237" s="73">
        <f t="shared" ref="AV237:AW237" si="781">AI237/125</f>
        <v>119.92</v>
      </c>
      <c r="AW237" s="73">
        <f t="shared" si="781"/>
        <v>93.2</v>
      </c>
    </row>
    <row r="238" ht="15.75" customHeight="1">
      <c r="A238" s="2"/>
      <c r="B238" s="2" t="s">
        <v>477</v>
      </c>
      <c r="C238" s="2" t="s">
        <v>478</v>
      </c>
      <c r="D238" s="118">
        <v>7000.0</v>
      </c>
      <c r="F238" s="1">
        <v>140.0</v>
      </c>
      <c r="G238" s="10">
        <v>7.01399E7</v>
      </c>
      <c r="H238" s="59">
        <v>0.18</v>
      </c>
      <c r="I238" s="2">
        <f t="shared" si="748"/>
        <v>1260</v>
      </c>
      <c r="K238" s="94">
        <v>400.0</v>
      </c>
      <c r="L238" s="119">
        <f t="shared" si="5"/>
        <v>8800</v>
      </c>
      <c r="M238" s="2">
        <f t="shared" si="666"/>
        <v>70</v>
      </c>
      <c r="N238" s="12">
        <f t="shared" si="667"/>
        <v>704</v>
      </c>
      <c r="O238" s="12">
        <f t="shared" si="668"/>
        <v>880</v>
      </c>
      <c r="P238" s="12">
        <f t="shared" si="669"/>
        <v>440</v>
      </c>
      <c r="Q238" s="12">
        <f t="shared" si="670"/>
        <v>176</v>
      </c>
      <c r="R238" s="12">
        <f t="shared" si="671"/>
        <v>73.5</v>
      </c>
      <c r="S238" s="12">
        <f t="shared" si="672"/>
        <v>88</v>
      </c>
      <c r="T238" s="60">
        <f t="shared" si="673"/>
        <v>2358</v>
      </c>
      <c r="U238" s="2">
        <f t="shared" si="674"/>
        <v>147</v>
      </c>
      <c r="V238" s="42">
        <f t="shared" si="15"/>
        <v>735</v>
      </c>
      <c r="W238" s="2">
        <f t="shared" si="675"/>
        <v>147</v>
      </c>
      <c r="X238" s="2">
        <f t="shared" si="676"/>
        <v>1176</v>
      </c>
      <c r="Y238" s="2">
        <f t="shared" si="677"/>
        <v>2205</v>
      </c>
      <c r="Z238" s="60">
        <f t="shared" si="678"/>
        <v>13363</v>
      </c>
      <c r="AA238" s="11">
        <f t="shared" si="679"/>
        <v>2672.6</v>
      </c>
      <c r="AB238" s="12">
        <f t="shared" si="680"/>
        <v>16035.6</v>
      </c>
      <c r="AC238" s="2">
        <f t="shared" si="681"/>
        <v>14700</v>
      </c>
      <c r="AD238" s="12">
        <f t="shared" si="682"/>
        <v>1335.6</v>
      </c>
      <c r="AE238" s="12">
        <f t="shared" si="683"/>
        <v>8.328968046</v>
      </c>
      <c r="AF238" s="61">
        <v>11450.0</v>
      </c>
      <c r="AG238" s="62">
        <f t="shared" si="25"/>
        <v>30.11363636</v>
      </c>
      <c r="AH238" s="63">
        <f t="shared" si="684"/>
        <v>1050</v>
      </c>
      <c r="AI238" s="64">
        <v>14990.0</v>
      </c>
      <c r="AJ238" s="65">
        <v>12500.0</v>
      </c>
      <c r="AK238" s="66">
        <f t="shared" si="27"/>
        <v>42.04545455</v>
      </c>
      <c r="AL238" s="66"/>
      <c r="AM238" s="14">
        <f t="shared" si="749"/>
        <v>8.4</v>
      </c>
      <c r="AN238" s="67">
        <f t="shared" si="686"/>
        <v>11.93181818</v>
      </c>
      <c r="AO238" s="68">
        <f t="shared" si="687"/>
        <v>1.420454545</v>
      </c>
      <c r="AP238" s="69">
        <f t="shared" si="688"/>
        <v>-35.356</v>
      </c>
      <c r="AQ238" s="70">
        <f t="shared" si="689"/>
        <v>-22</v>
      </c>
      <c r="AR238" s="71">
        <f t="shared" ref="AR238:AS238" si="782">AI238/94</f>
        <v>159.4680851</v>
      </c>
      <c r="AS238" s="71">
        <f t="shared" si="782"/>
        <v>132.9787234</v>
      </c>
      <c r="AT238" s="72">
        <f t="shared" ref="AT238:AU238" si="783">AI238/24</f>
        <v>624.5833333</v>
      </c>
      <c r="AU238" s="72">
        <f t="shared" si="783"/>
        <v>520.8333333</v>
      </c>
      <c r="AV238" s="73">
        <f t="shared" ref="AV238:AW238" si="784">AI238/125</f>
        <v>119.92</v>
      </c>
      <c r="AW238" s="73">
        <f t="shared" si="784"/>
        <v>100</v>
      </c>
    </row>
    <row r="239" ht="15.75" customHeight="1">
      <c r="A239" s="2"/>
      <c r="B239" s="2" t="s">
        <v>479</v>
      </c>
      <c r="C239" s="2" t="s">
        <v>480</v>
      </c>
      <c r="D239" s="118">
        <v>8000.0</v>
      </c>
      <c r="F239" s="1">
        <v>140.0</v>
      </c>
      <c r="G239" s="10">
        <v>7.01399E7</v>
      </c>
      <c r="H239" s="59">
        <v>0.18</v>
      </c>
      <c r="I239" s="2">
        <f t="shared" si="748"/>
        <v>1440</v>
      </c>
      <c r="K239" s="94">
        <v>400.0</v>
      </c>
      <c r="L239" s="119">
        <f t="shared" si="5"/>
        <v>9980</v>
      </c>
      <c r="M239" s="2">
        <f t="shared" si="666"/>
        <v>80</v>
      </c>
      <c r="N239" s="12">
        <f t="shared" si="667"/>
        <v>798.4</v>
      </c>
      <c r="O239" s="12">
        <f t="shared" si="668"/>
        <v>998</v>
      </c>
      <c r="P239" s="12">
        <f t="shared" si="669"/>
        <v>499</v>
      </c>
      <c r="Q239" s="12">
        <f t="shared" si="670"/>
        <v>199.6</v>
      </c>
      <c r="R239" s="12">
        <f t="shared" si="671"/>
        <v>84</v>
      </c>
      <c r="S239" s="12">
        <f t="shared" si="672"/>
        <v>99.8</v>
      </c>
      <c r="T239" s="60">
        <f t="shared" si="673"/>
        <v>2674.8</v>
      </c>
      <c r="U239" s="2">
        <f t="shared" si="674"/>
        <v>168</v>
      </c>
      <c r="V239" s="42">
        <f t="shared" si="15"/>
        <v>840</v>
      </c>
      <c r="W239" s="2">
        <f t="shared" si="675"/>
        <v>168</v>
      </c>
      <c r="X239" s="2">
        <f t="shared" si="676"/>
        <v>1344</v>
      </c>
      <c r="Y239" s="2">
        <f t="shared" si="677"/>
        <v>2520</v>
      </c>
      <c r="Z239" s="60">
        <f t="shared" si="678"/>
        <v>15174.8</v>
      </c>
      <c r="AA239" s="11">
        <f t="shared" si="679"/>
        <v>3034.96</v>
      </c>
      <c r="AB239" s="12">
        <f t="shared" si="680"/>
        <v>18209.76</v>
      </c>
      <c r="AC239" s="2">
        <f t="shared" si="681"/>
        <v>16800</v>
      </c>
      <c r="AD239" s="12">
        <f t="shared" si="682"/>
        <v>1409.76</v>
      </c>
      <c r="AE239" s="12">
        <f t="shared" si="683"/>
        <v>7.741782429</v>
      </c>
      <c r="AF239" s="61">
        <v>12250.0</v>
      </c>
      <c r="AG239" s="62">
        <f t="shared" si="25"/>
        <v>22.74549098</v>
      </c>
      <c r="AH239" s="63">
        <f t="shared" si="684"/>
        <v>1700</v>
      </c>
      <c r="AI239" s="64">
        <f t="shared" ref="AI239:AI240" si="788">AB239</f>
        <v>18209.76</v>
      </c>
      <c r="AJ239" s="65">
        <v>13950.0</v>
      </c>
      <c r="AK239" s="66">
        <f t="shared" si="27"/>
        <v>39.77955912</v>
      </c>
      <c r="AL239" s="66"/>
      <c r="AM239" s="14">
        <f t="shared" si="749"/>
        <v>12.18637993</v>
      </c>
      <c r="AN239" s="67">
        <f t="shared" si="686"/>
        <v>17.03406814</v>
      </c>
      <c r="AO239" s="68">
        <f t="shared" si="687"/>
        <v>1.397795591</v>
      </c>
      <c r="AP239" s="69">
        <f t="shared" si="688"/>
        <v>-42.5976</v>
      </c>
      <c r="AQ239" s="70">
        <f t="shared" si="689"/>
        <v>-28.5</v>
      </c>
      <c r="AR239" s="71">
        <f t="shared" ref="AR239:AS239" si="785">AI239/94</f>
        <v>193.7208511</v>
      </c>
      <c r="AS239" s="71">
        <f t="shared" si="785"/>
        <v>148.4042553</v>
      </c>
      <c r="AT239" s="72">
        <f t="shared" ref="AT239:AU239" si="786">AI239/24</f>
        <v>758.74</v>
      </c>
      <c r="AU239" s="72">
        <f t="shared" si="786"/>
        <v>581.25</v>
      </c>
      <c r="AV239" s="73">
        <f t="shared" ref="AV239:AW239" si="787">AI239/125</f>
        <v>145.67808</v>
      </c>
      <c r="AW239" s="73">
        <f t="shared" si="787"/>
        <v>111.6</v>
      </c>
    </row>
    <row r="240" ht="15.75" customHeight="1">
      <c r="A240" s="2"/>
      <c r="B240" s="2" t="s">
        <v>481</v>
      </c>
      <c r="C240" s="2" t="s">
        <v>482</v>
      </c>
      <c r="D240" s="118">
        <v>9500.0</v>
      </c>
      <c r="F240" s="1">
        <v>140.0</v>
      </c>
      <c r="G240" s="10">
        <v>7.01399E7</v>
      </c>
      <c r="H240" s="59">
        <v>0.18</v>
      </c>
      <c r="I240" s="2">
        <f t="shared" si="748"/>
        <v>1710</v>
      </c>
      <c r="K240" s="94">
        <v>400.0</v>
      </c>
      <c r="L240" s="119">
        <f t="shared" si="5"/>
        <v>11750</v>
      </c>
      <c r="M240" s="2">
        <f t="shared" si="666"/>
        <v>95</v>
      </c>
      <c r="N240" s="12">
        <f t="shared" si="667"/>
        <v>940</v>
      </c>
      <c r="O240" s="12">
        <f t="shared" si="668"/>
        <v>1175</v>
      </c>
      <c r="P240" s="12">
        <f t="shared" si="669"/>
        <v>587.5</v>
      </c>
      <c r="Q240" s="12">
        <f t="shared" si="670"/>
        <v>235</v>
      </c>
      <c r="R240" s="12">
        <f t="shared" si="671"/>
        <v>99.75</v>
      </c>
      <c r="S240" s="12">
        <f t="shared" si="672"/>
        <v>117.5</v>
      </c>
      <c r="T240" s="60">
        <f t="shared" si="673"/>
        <v>3150</v>
      </c>
      <c r="U240" s="2">
        <f t="shared" si="674"/>
        <v>199.5</v>
      </c>
      <c r="V240" s="42">
        <f t="shared" si="15"/>
        <v>997.5</v>
      </c>
      <c r="W240" s="2">
        <f t="shared" si="675"/>
        <v>199.5</v>
      </c>
      <c r="X240" s="2">
        <f t="shared" si="676"/>
        <v>1596</v>
      </c>
      <c r="Y240" s="2">
        <f t="shared" si="677"/>
        <v>2992.5</v>
      </c>
      <c r="Z240" s="60">
        <f t="shared" si="678"/>
        <v>17892.5</v>
      </c>
      <c r="AA240" s="11">
        <f t="shared" si="679"/>
        <v>3578.5</v>
      </c>
      <c r="AB240" s="12">
        <f t="shared" si="680"/>
        <v>21471</v>
      </c>
      <c r="AC240" s="2">
        <f t="shared" si="681"/>
        <v>19950</v>
      </c>
      <c r="AD240" s="12">
        <f t="shared" si="682"/>
        <v>1521</v>
      </c>
      <c r="AE240" s="12">
        <f t="shared" si="683"/>
        <v>7.083973732</v>
      </c>
      <c r="AF240" s="61">
        <v>13250.0</v>
      </c>
      <c r="AG240" s="62">
        <f t="shared" si="25"/>
        <v>12.76595745</v>
      </c>
      <c r="AH240" s="63">
        <f t="shared" si="684"/>
        <v>3200</v>
      </c>
      <c r="AI240" s="64">
        <f t="shared" si="788"/>
        <v>21471</v>
      </c>
      <c r="AJ240" s="65">
        <v>16450.0</v>
      </c>
      <c r="AK240" s="66">
        <f t="shared" si="27"/>
        <v>40</v>
      </c>
      <c r="AL240" s="66"/>
      <c r="AM240" s="14">
        <f t="shared" si="749"/>
        <v>19.45288754</v>
      </c>
      <c r="AN240" s="67">
        <f t="shared" si="686"/>
        <v>27.23404255</v>
      </c>
      <c r="AO240" s="68">
        <f t="shared" si="687"/>
        <v>1.4</v>
      </c>
      <c r="AP240" s="69">
        <f t="shared" si="688"/>
        <v>-50.21</v>
      </c>
      <c r="AQ240" s="70">
        <f t="shared" si="689"/>
        <v>-35</v>
      </c>
      <c r="AR240" s="71">
        <f t="shared" ref="AR240:AS240" si="789">AI240/94</f>
        <v>228.4148936</v>
      </c>
      <c r="AS240" s="71">
        <f t="shared" si="789"/>
        <v>175</v>
      </c>
      <c r="AT240" s="72">
        <f t="shared" ref="AT240:AU240" si="790">AI240/24</f>
        <v>894.625</v>
      </c>
      <c r="AU240" s="72">
        <f t="shared" si="790"/>
        <v>685.4166667</v>
      </c>
      <c r="AV240" s="73">
        <f t="shared" ref="AV240:AW240" si="791">AI240/125</f>
        <v>171.768</v>
      </c>
      <c r="AW240" s="73">
        <f t="shared" si="791"/>
        <v>131.6</v>
      </c>
    </row>
    <row r="241" ht="15.75" customHeight="1">
      <c r="A241" s="2"/>
      <c r="B241" s="2" t="s">
        <v>483</v>
      </c>
      <c r="C241" s="2" t="s">
        <v>484</v>
      </c>
      <c r="D241" s="118">
        <v>11000.0</v>
      </c>
      <c r="F241" s="1">
        <v>140.0</v>
      </c>
      <c r="G241" s="10">
        <v>7.01399E7</v>
      </c>
      <c r="H241" s="59">
        <v>0.18</v>
      </c>
      <c r="I241" s="2">
        <f t="shared" si="748"/>
        <v>1980</v>
      </c>
      <c r="K241" s="94">
        <v>400.0</v>
      </c>
      <c r="L241" s="119">
        <f t="shared" si="5"/>
        <v>13520</v>
      </c>
      <c r="M241" s="2">
        <f t="shared" si="666"/>
        <v>110</v>
      </c>
      <c r="N241" s="12">
        <f t="shared" si="667"/>
        <v>1081.6</v>
      </c>
      <c r="O241" s="12">
        <f t="shared" si="668"/>
        <v>1352</v>
      </c>
      <c r="P241" s="12">
        <f t="shared" si="669"/>
        <v>676</v>
      </c>
      <c r="Q241" s="12">
        <f t="shared" si="670"/>
        <v>270.4</v>
      </c>
      <c r="R241" s="12">
        <f t="shared" si="671"/>
        <v>115.5</v>
      </c>
      <c r="S241" s="12">
        <f t="shared" si="672"/>
        <v>135.2</v>
      </c>
      <c r="T241" s="60">
        <f t="shared" si="673"/>
        <v>3625.2</v>
      </c>
      <c r="U241" s="2">
        <f t="shared" si="674"/>
        <v>231</v>
      </c>
      <c r="V241" s="42">
        <f t="shared" si="15"/>
        <v>1155</v>
      </c>
      <c r="W241" s="2">
        <f t="shared" si="675"/>
        <v>231</v>
      </c>
      <c r="X241" s="2">
        <f t="shared" si="676"/>
        <v>1848</v>
      </c>
      <c r="Y241" s="2">
        <f t="shared" si="677"/>
        <v>3465</v>
      </c>
      <c r="Z241" s="60">
        <f t="shared" si="678"/>
        <v>20610.2</v>
      </c>
      <c r="AA241" s="11">
        <f t="shared" si="679"/>
        <v>4122.04</v>
      </c>
      <c r="AB241" s="12">
        <f t="shared" si="680"/>
        <v>24732.24</v>
      </c>
      <c r="AC241" s="2">
        <f t="shared" si="681"/>
        <v>23100</v>
      </c>
      <c r="AD241" s="12">
        <f t="shared" si="682"/>
        <v>1632.24</v>
      </c>
      <c r="AE241" s="12">
        <f t="shared" si="683"/>
        <v>6.599644836</v>
      </c>
      <c r="AF241" s="61">
        <v>14650.0</v>
      </c>
      <c r="AG241" s="62">
        <f t="shared" si="25"/>
        <v>8.357988166</v>
      </c>
      <c r="AH241" s="63">
        <f t="shared" si="684"/>
        <v>4300</v>
      </c>
      <c r="AI241" s="64">
        <v>24990.0</v>
      </c>
      <c r="AJ241" s="65">
        <v>18950.0</v>
      </c>
      <c r="AK241" s="66">
        <f t="shared" si="27"/>
        <v>40.16272189</v>
      </c>
      <c r="AL241" s="66"/>
      <c r="AM241" s="14">
        <f t="shared" si="749"/>
        <v>22.69129288</v>
      </c>
      <c r="AN241" s="67">
        <f t="shared" si="686"/>
        <v>31.80473373</v>
      </c>
      <c r="AO241" s="68">
        <f t="shared" si="687"/>
        <v>1.401627219</v>
      </c>
      <c r="AP241" s="69">
        <f t="shared" si="688"/>
        <v>-57.8224</v>
      </c>
      <c r="AQ241" s="70">
        <f t="shared" si="689"/>
        <v>-41.5</v>
      </c>
      <c r="AR241" s="71">
        <f t="shared" ref="AR241:AS241" si="792">AI241/94</f>
        <v>265.8510638</v>
      </c>
      <c r="AS241" s="71">
        <f t="shared" si="792"/>
        <v>201.5957447</v>
      </c>
      <c r="AT241" s="72">
        <f t="shared" ref="AT241:AU241" si="793">AI241/24</f>
        <v>1041.25</v>
      </c>
      <c r="AU241" s="72">
        <f t="shared" si="793"/>
        <v>789.5833333</v>
      </c>
      <c r="AV241" s="73">
        <f t="shared" ref="AV241:AW241" si="794">AI241/125</f>
        <v>199.92</v>
      </c>
      <c r="AW241" s="73">
        <f t="shared" si="794"/>
        <v>151.6</v>
      </c>
    </row>
    <row r="242" ht="15.75" customHeight="1">
      <c r="A242" s="2"/>
      <c r="B242" s="2" t="s">
        <v>485</v>
      </c>
      <c r="C242" s="2" t="s">
        <v>486</v>
      </c>
      <c r="D242" s="102">
        <v>13000.0</v>
      </c>
      <c r="F242" s="1">
        <v>140.0</v>
      </c>
      <c r="G242" s="10">
        <v>7.01399E7</v>
      </c>
      <c r="H242" s="59">
        <v>0.18</v>
      </c>
      <c r="I242" s="2">
        <f t="shared" si="748"/>
        <v>2340</v>
      </c>
      <c r="K242" s="94">
        <v>400.0</v>
      </c>
      <c r="L242" s="4">
        <f t="shared" si="5"/>
        <v>15880</v>
      </c>
      <c r="M242" s="2">
        <f t="shared" si="666"/>
        <v>130</v>
      </c>
      <c r="N242" s="12">
        <f t="shared" si="667"/>
        <v>1270.4</v>
      </c>
      <c r="O242" s="12">
        <f t="shared" si="668"/>
        <v>1588</v>
      </c>
      <c r="P242" s="12">
        <f t="shared" si="669"/>
        <v>794</v>
      </c>
      <c r="Q242" s="12">
        <f t="shared" si="670"/>
        <v>317.6</v>
      </c>
      <c r="R242" s="12">
        <f t="shared" si="671"/>
        <v>136.5</v>
      </c>
      <c r="S242" s="12">
        <f t="shared" si="672"/>
        <v>158.8</v>
      </c>
      <c r="T242" s="60">
        <f t="shared" si="673"/>
        <v>4258.8</v>
      </c>
      <c r="U242" s="2">
        <f t="shared" si="674"/>
        <v>273</v>
      </c>
      <c r="V242" s="42">
        <f t="shared" si="15"/>
        <v>1365</v>
      </c>
      <c r="W242" s="2">
        <f t="shared" si="675"/>
        <v>273</v>
      </c>
      <c r="X242" s="2">
        <f t="shared" si="676"/>
        <v>2184</v>
      </c>
      <c r="Y242" s="2">
        <f t="shared" si="677"/>
        <v>4095</v>
      </c>
      <c r="Z242" s="60">
        <f t="shared" si="678"/>
        <v>24233.8</v>
      </c>
      <c r="AA242" s="11">
        <f t="shared" si="679"/>
        <v>4846.76</v>
      </c>
      <c r="AB242" s="12">
        <f t="shared" si="680"/>
        <v>29080.56</v>
      </c>
      <c r="AC242" s="2">
        <f t="shared" si="681"/>
        <v>27300</v>
      </c>
      <c r="AD242" s="12">
        <f t="shared" si="682"/>
        <v>1780.56</v>
      </c>
      <c r="AE242" s="12">
        <f t="shared" si="683"/>
        <v>6.122853205</v>
      </c>
      <c r="AF242" s="61">
        <v>17750.0</v>
      </c>
      <c r="AG242" s="62">
        <f t="shared" si="25"/>
        <v>11.77581864</v>
      </c>
      <c r="AH242" s="63">
        <f t="shared" si="684"/>
        <v>4500</v>
      </c>
      <c r="AI242" s="64">
        <f t="shared" ref="AI242:AI243" si="798">AB242</f>
        <v>29080.56</v>
      </c>
      <c r="AJ242" s="65">
        <v>22250.0</v>
      </c>
      <c r="AK242" s="66">
        <f t="shared" si="27"/>
        <v>40.11335013</v>
      </c>
      <c r="AL242" s="66"/>
      <c r="AM242" s="14">
        <f t="shared" si="749"/>
        <v>20.2247191</v>
      </c>
      <c r="AN242" s="67">
        <f t="shared" si="686"/>
        <v>28.33753149</v>
      </c>
      <c r="AO242" s="68">
        <f t="shared" si="687"/>
        <v>1.401133501</v>
      </c>
      <c r="AP242" s="69">
        <f t="shared" si="688"/>
        <v>-68.3056</v>
      </c>
      <c r="AQ242" s="70">
        <f t="shared" si="689"/>
        <v>-50.5</v>
      </c>
      <c r="AR242" s="71">
        <f t="shared" ref="AR242:AS242" si="795">AI242/94</f>
        <v>309.3676596</v>
      </c>
      <c r="AS242" s="71">
        <f t="shared" si="795"/>
        <v>236.7021277</v>
      </c>
      <c r="AT242" s="72">
        <f t="shared" ref="AT242:AU242" si="796">AI242/24</f>
        <v>1211.69</v>
      </c>
      <c r="AU242" s="72">
        <f t="shared" si="796"/>
        <v>927.0833333</v>
      </c>
      <c r="AV242" s="73">
        <f t="shared" ref="AV242:AW242" si="797">AI242/125</f>
        <v>232.64448</v>
      </c>
      <c r="AW242" s="73">
        <f t="shared" si="797"/>
        <v>178</v>
      </c>
    </row>
    <row r="243" ht="15.75" customHeight="1">
      <c r="A243" s="2"/>
      <c r="B243" s="2" t="s">
        <v>487</v>
      </c>
      <c r="C243" s="2" t="s">
        <v>488</v>
      </c>
      <c r="D243" s="102">
        <v>14000.0</v>
      </c>
      <c r="F243" s="1">
        <v>140.0</v>
      </c>
      <c r="G243" s="10">
        <v>7.01399E7</v>
      </c>
      <c r="H243" s="59">
        <v>0.18</v>
      </c>
      <c r="I243" s="2">
        <f t="shared" si="748"/>
        <v>2520</v>
      </c>
      <c r="K243" s="94">
        <v>400.0</v>
      </c>
      <c r="L243" s="4">
        <f t="shared" si="5"/>
        <v>17060</v>
      </c>
      <c r="M243" s="2">
        <f t="shared" si="666"/>
        <v>140</v>
      </c>
      <c r="N243" s="12">
        <f t="shared" si="667"/>
        <v>1364.8</v>
      </c>
      <c r="O243" s="12">
        <f t="shared" si="668"/>
        <v>1706</v>
      </c>
      <c r="P243" s="12">
        <f t="shared" si="669"/>
        <v>853</v>
      </c>
      <c r="Q243" s="12">
        <f t="shared" si="670"/>
        <v>341.2</v>
      </c>
      <c r="R243" s="12">
        <f t="shared" si="671"/>
        <v>147</v>
      </c>
      <c r="S243" s="12">
        <f t="shared" si="672"/>
        <v>170.6</v>
      </c>
      <c r="T243" s="60">
        <f t="shared" si="673"/>
        <v>4575.6</v>
      </c>
      <c r="U243" s="2">
        <f t="shared" si="674"/>
        <v>294</v>
      </c>
      <c r="V243" s="42">
        <f t="shared" si="15"/>
        <v>1470</v>
      </c>
      <c r="W243" s="2">
        <f t="shared" si="675"/>
        <v>294</v>
      </c>
      <c r="X243" s="2">
        <f t="shared" si="676"/>
        <v>2352</v>
      </c>
      <c r="Y243" s="2">
        <f t="shared" si="677"/>
        <v>4410</v>
      </c>
      <c r="Z243" s="60">
        <f t="shared" si="678"/>
        <v>26045.6</v>
      </c>
      <c r="AA243" s="11">
        <f t="shared" si="679"/>
        <v>5209.12</v>
      </c>
      <c r="AB243" s="12">
        <f t="shared" si="680"/>
        <v>31254.72</v>
      </c>
      <c r="AC243" s="2">
        <f t="shared" si="681"/>
        <v>29400</v>
      </c>
      <c r="AD243" s="12">
        <f t="shared" si="682"/>
        <v>1854.72</v>
      </c>
      <c r="AE243" s="12">
        <f t="shared" si="683"/>
        <v>5.934207697</v>
      </c>
      <c r="AF243" s="61">
        <v>19750.0</v>
      </c>
      <c r="AG243" s="62">
        <f t="shared" si="25"/>
        <v>15.76787808</v>
      </c>
      <c r="AH243" s="63">
        <f t="shared" si="684"/>
        <v>4250</v>
      </c>
      <c r="AI243" s="64">
        <f t="shared" si="798"/>
        <v>31254.72</v>
      </c>
      <c r="AJ243" s="65">
        <v>24000.0</v>
      </c>
      <c r="AK243" s="66">
        <f t="shared" si="27"/>
        <v>40.67995311</v>
      </c>
      <c r="AL243" s="66"/>
      <c r="AM243" s="14">
        <f t="shared" si="749"/>
        <v>17.70833333</v>
      </c>
      <c r="AN243" s="67">
        <f t="shared" si="686"/>
        <v>24.91207503</v>
      </c>
      <c r="AO243" s="68">
        <f t="shared" si="687"/>
        <v>1.406799531</v>
      </c>
      <c r="AP243" s="69">
        <f t="shared" si="688"/>
        <v>-72.5472</v>
      </c>
      <c r="AQ243" s="70">
        <f t="shared" si="689"/>
        <v>-54</v>
      </c>
      <c r="AR243" s="71">
        <f t="shared" ref="AR243:AS243" si="799">AI243/94</f>
        <v>332.4970213</v>
      </c>
      <c r="AS243" s="71">
        <f t="shared" si="799"/>
        <v>255.3191489</v>
      </c>
      <c r="AT243" s="72">
        <f t="shared" ref="AT243:AU243" si="800">AI243/24</f>
        <v>1302.28</v>
      </c>
      <c r="AU243" s="72">
        <f t="shared" si="800"/>
        <v>1000</v>
      </c>
      <c r="AV243" s="73">
        <f t="shared" ref="AV243:AW243" si="801">AI243/125</f>
        <v>250.03776</v>
      </c>
      <c r="AW243" s="73">
        <f t="shared" si="801"/>
        <v>192</v>
      </c>
    </row>
    <row r="244" ht="15.0" customHeight="1">
      <c r="A244" s="2" t="s">
        <v>489</v>
      </c>
      <c r="B244" s="2" t="s">
        <v>471</v>
      </c>
      <c r="C244" s="2" t="s">
        <v>490</v>
      </c>
      <c r="D244" s="118">
        <v>6000.0</v>
      </c>
      <c r="F244" s="1">
        <v>140.0</v>
      </c>
      <c r="G244" s="10">
        <v>7.01399E7</v>
      </c>
      <c r="H244" s="59">
        <v>0.18</v>
      </c>
      <c r="I244" s="2">
        <f t="shared" si="748"/>
        <v>1080</v>
      </c>
      <c r="K244" s="94">
        <v>400.0</v>
      </c>
      <c r="L244" s="119">
        <f t="shared" si="5"/>
        <v>7620</v>
      </c>
      <c r="M244" s="2">
        <f t="shared" si="666"/>
        <v>60</v>
      </c>
      <c r="N244" s="12">
        <f t="shared" si="667"/>
        <v>609.6</v>
      </c>
      <c r="O244" s="12">
        <f t="shared" si="668"/>
        <v>762</v>
      </c>
      <c r="P244" s="12">
        <f t="shared" si="669"/>
        <v>381</v>
      </c>
      <c r="Q244" s="12">
        <f t="shared" si="670"/>
        <v>152.4</v>
      </c>
      <c r="R244" s="12">
        <f t="shared" si="671"/>
        <v>63</v>
      </c>
      <c r="S244" s="12">
        <f t="shared" si="672"/>
        <v>76.2</v>
      </c>
      <c r="T244" s="60">
        <f t="shared" si="673"/>
        <v>2041.2</v>
      </c>
      <c r="U244" s="2">
        <f t="shared" si="674"/>
        <v>126</v>
      </c>
      <c r="V244" s="42">
        <f t="shared" si="15"/>
        <v>630</v>
      </c>
      <c r="W244" s="2">
        <f t="shared" si="675"/>
        <v>126</v>
      </c>
      <c r="X244" s="2">
        <f t="shared" si="676"/>
        <v>1008</v>
      </c>
      <c r="Y244" s="2">
        <f t="shared" si="677"/>
        <v>1890</v>
      </c>
      <c r="Z244" s="60">
        <f t="shared" si="678"/>
        <v>11551.2</v>
      </c>
      <c r="AA244" s="11">
        <f t="shared" si="679"/>
        <v>2310.24</v>
      </c>
      <c r="AB244" s="12">
        <f t="shared" si="680"/>
        <v>13861.44</v>
      </c>
      <c r="AC244" s="2">
        <f t="shared" si="681"/>
        <v>12600</v>
      </c>
      <c r="AD244" s="12">
        <f t="shared" si="682"/>
        <v>1261.44</v>
      </c>
      <c r="AE244" s="12">
        <f t="shared" si="683"/>
        <v>9.10035321</v>
      </c>
      <c r="AF244" s="61">
        <v>8950.0</v>
      </c>
      <c r="AG244" s="62">
        <f t="shared" si="25"/>
        <v>17.45406824</v>
      </c>
      <c r="AH244" s="63">
        <f t="shared" si="684"/>
        <v>1900</v>
      </c>
      <c r="AI244" s="64">
        <v>13990.0</v>
      </c>
      <c r="AJ244" s="65">
        <v>10850.0</v>
      </c>
      <c r="AK244" s="66">
        <f t="shared" si="27"/>
        <v>42.38845144</v>
      </c>
      <c r="AL244" s="66"/>
      <c r="AM244" s="14">
        <f t="shared" si="749"/>
        <v>17.51152074</v>
      </c>
      <c r="AN244" s="67">
        <f t="shared" si="686"/>
        <v>24.9343832</v>
      </c>
      <c r="AO244" s="68">
        <f t="shared" si="687"/>
        <v>1.423884514</v>
      </c>
      <c r="AP244" s="69">
        <f t="shared" si="688"/>
        <v>-30.1144</v>
      </c>
      <c r="AQ244" s="70">
        <f t="shared" si="689"/>
        <v>-17.5</v>
      </c>
      <c r="AR244" s="71">
        <f t="shared" ref="AR244:AS244" si="802">AI244/94</f>
        <v>148.8297872</v>
      </c>
      <c r="AS244" s="71">
        <f t="shared" si="802"/>
        <v>115.4255319</v>
      </c>
      <c r="AT244" s="72">
        <f t="shared" ref="AT244:AU244" si="803">AI244/24</f>
        <v>582.9166667</v>
      </c>
      <c r="AU244" s="72">
        <f t="shared" si="803"/>
        <v>452.0833333</v>
      </c>
      <c r="AV244" s="73">
        <f t="shared" ref="AV244:AW244" si="804">AI244/125</f>
        <v>111.92</v>
      </c>
      <c r="AW244" s="73">
        <f t="shared" si="804"/>
        <v>86.8</v>
      </c>
    </row>
    <row r="245" ht="15.75" customHeight="1">
      <c r="A245" s="2"/>
      <c r="B245" s="2" t="s">
        <v>473</v>
      </c>
      <c r="C245" s="2" t="s">
        <v>491</v>
      </c>
      <c r="D245" s="118">
        <v>6500.0</v>
      </c>
      <c r="F245" s="1">
        <v>140.0</v>
      </c>
      <c r="G245" s="10">
        <v>7.01399E7</v>
      </c>
      <c r="H245" s="59">
        <v>0.18</v>
      </c>
      <c r="I245" s="2">
        <f t="shared" si="748"/>
        <v>1170</v>
      </c>
      <c r="K245" s="94">
        <v>400.0</v>
      </c>
      <c r="L245" s="119">
        <f t="shared" si="5"/>
        <v>8210</v>
      </c>
      <c r="M245" s="2">
        <f t="shared" si="666"/>
        <v>65</v>
      </c>
      <c r="N245" s="12">
        <f t="shared" si="667"/>
        <v>656.8</v>
      </c>
      <c r="O245" s="12">
        <f t="shared" si="668"/>
        <v>821</v>
      </c>
      <c r="P245" s="12">
        <f t="shared" si="669"/>
        <v>410.5</v>
      </c>
      <c r="Q245" s="12">
        <f t="shared" si="670"/>
        <v>164.2</v>
      </c>
      <c r="R245" s="12">
        <f t="shared" si="671"/>
        <v>68.25</v>
      </c>
      <c r="S245" s="12">
        <f t="shared" si="672"/>
        <v>82.1</v>
      </c>
      <c r="T245" s="60">
        <f t="shared" si="673"/>
        <v>2199.6</v>
      </c>
      <c r="U245" s="2">
        <f t="shared" si="674"/>
        <v>136.5</v>
      </c>
      <c r="V245" s="42">
        <f t="shared" si="15"/>
        <v>682.5</v>
      </c>
      <c r="W245" s="2">
        <f t="shared" si="675"/>
        <v>136.5</v>
      </c>
      <c r="X245" s="2">
        <f t="shared" si="676"/>
        <v>1092</v>
      </c>
      <c r="Y245" s="2">
        <f t="shared" si="677"/>
        <v>2047.5</v>
      </c>
      <c r="Z245" s="60">
        <f t="shared" si="678"/>
        <v>12457.1</v>
      </c>
      <c r="AA245" s="11">
        <f t="shared" si="679"/>
        <v>2491.42</v>
      </c>
      <c r="AB245" s="12">
        <f t="shared" si="680"/>
        <v>14948.52</v>
      </c>
      <c r="AC245" s="2">
        <f t="shared" si="681"/>
        <v>13650</v>
      </c>
      <c r="AD245" s="12">
        <f t="shared" si="682"/>
        <v>1298.52</v>
      </c>
      <c r="AE245" s="12">
        <f t="shared" si="683"/>
        <v>8.686612454</v>
      </c>
      <c r="AF245" s="61">
        <v>9650.0</v>
      </c>
      <c r="AG245" s="62">
        <f t="shared" si="25"/>
        <v>17.53958587</v>
      </c>
      <c r="AH245" s="63">
        <f t="shared" si="684"/>
        <v>2000</v>
      </c>
      <c r="AI245" s="64">
        <f t="shared" ref="AI245:AI247" si="808">AB245</f>
        <v>14948.52</v>
      </c>
      <c r="AJ245" s="65">
        <v>11650.0</v>
      </c>
      <c r="AK245" s="66">
        <f t="shared" si="27"/>
        <v>41.9001218</v>
      </c>
      <c r="AL245" s="66"/>
      <c r="AM245" s="14">
        <f t="shared" si="749"/>
        <v>17.16738197</v>
      </c>
      <c r="AN245" s="67">
        <f t="shared" si="686"/>
        <v>24.36053593</v>
      </c>
      <c r="AO245" s="68">
        <f t="shared" si="687"/>
        <v>1.419001218</v>
      </c>
      <c r="AP245" s="69">
        <f t="shared" si="688"/>
        <v>-32.9852</v>
      </c>
      <c r="AQ245" s="70">
        <f t="shared" si="689"/>
        <v>-20</v>
      </c>
      <c r="AR245" s="71">
        <f t="shared" ref="AR245:AS245" si="805">AI245/94</f>
        <v>159.0268085</v>
      </c>
      <c r="AS245" s="71">
        <f t="shared" si="805"/>
        <v>123.9361702</v>
      </c>
      <c r="AT245" s="72">
        <f t="shared" ref="AT245:AU245" si="806">AI245/24</f>
        <v>622.855</v>
      </c>
      <c r="AU245" s="72">
        <f t="shared" si="806"/>
        <v>485.4166667</v>
      </c>
      <c r="AV245" s="73">
        <f t="shared" ref="AV245:AW245" si="807">AI245/125</f>
        <v>119.58816</v>
      </c>
      <c r="AW245" s="73">
        <f t="shared" si="807"/>
        <v>93.2</v>
      </c>
    </row>
    <row r="246" ht="15.75" customHeight="1">
      <c r="A246" s="2"/>
      <c r="B246" s="2" t="s">
        <v>475</v>
      </c>
      <c r="C246" s="2" t="s">
        <v>492</v>
      </c>
      <c r="D246" s="118">
        <v>7000.0</v>
      </c>
      <c r="F246" s="1">
        <v>140.0</v>
      </c>
      <c r="G246" s="10">
        <v>7.01399E7</v>
      </c>
      <c r="H246" s="59">
        <v>0.18</v>
      </c>
      <c r="I246" s="2">
        <f t="shared" si="748"/>
        <v>1260</v>
      </c>
      <c r="K246" s="94">
        <v>400.0</v>
      </c>
      <c r="L246" s="119">
        <f t="shared" si="5"/>
        <v>8800</v>
      </c>
      <c r="M246" s="2">
        <f t="shared" si="666"/>
        <v>70</v>
      </c>
      <c r="N246" s="12">
        <f t="shared" si="667"/>
        <v>704</v>
      </c>
      <c r="O246" s="12">
        <f t="shared" si="668"/>
        <v>880</v>
      </c>
      <c r="P246" s="12">
        <f t="shared" si="669"/>
        <v>440</v>
      </c>
      <c r="Q246" s="12">
        <f t="shared" si="670"/>
        <v>176</v>
      </c>
      <c r="R246" s="12">
        <f t="shared" si="671"/>
        <v>73.5</v>
      </c>
      <c r="S246" s="12">
        <f t="shared" si="672"/>
        <v>88</v>
      </c>
      <c r="T246" s="60">
        <f t="shared" si="673"/>
        <v>2358</v>
      </c>
      <c r="U246" s="2">
        <f t="shared" si="674"/>
        <v>147</v>
      </c>
      <c r="V246" s="42">
        <f t="shared" si="15"/>
        <v>735</v>
      </c>
      <c r="W246" s="2">
        <f t="shared" si="675"/>
        <v>147</v>
      </c>
      <c r="X246" s="2">
        <f t="shared" si="676"/>
        <v>1176</v>
      </c>
      <c r="Y246" s="2">
        <f t="shared" si="677"/>
        <v>2205</v>
      </c>
      <c r="Z246" s="60">
        <f t="shared" si="678"/>
        <v>13363</v>
      </c>
      <c r="AA246" s="11">
        <f t="shared" si="679"/>
        <v>2672.6</v>
      </c>
      <c r="AB246" s="12">
        <f t="shared" si="680"/>
        <v>16035.6</v>
      </c>
      <c r="AC246" s="2">
        <f t="shared" si="681"/>
        <v>14700</v>
      </c>
      <c r="AD246" s="12">
        <f t="shared" si="682"/>
        <v>1335.6</v>
      </c>
      <c r="AE246" s="12">
        <f t="shared" si="683"/>
        <v>8.328968046</v>
      </c>
      <c r="AF246" s="61">
        <v>10450.0</v>
      </c>
      <c r="AG246" s="62">
        <f t="shared" si="25"/>
        <v>18.75</v>
      </c>
      <c r="AH246" s="63">
        <f t="shared" si="684"/>
        <v>2050</v>
      </c>
      <c r="AI246" s="64">
        <f t="shared" si="808"/>
        <v>16035.6</v>
      </c>
      <c r="AJ246" s="65">
        <v>12500.0</v>
      </c>
      <c r="AK246" s="66">
        <f t="shared" si="27"/>
        <v>42.04545455</v>
      </c>
      <c r="AL246" s="66"/>
      <c r="AM246" s="14">
        <f t="shared" si="749"/>
        <v>16.4</v>
      </c>
      <c r="AN246" s="67">
        <f t="shared" si="686"/>
        <v>23.29545455</v>
      </c>
      <c r="AO246" s="68">
        <f t="shared" si="687"/>
        <v>1.420454545</v>
      </c>
      <c r="AP246" s="69">
        <f t="shared" si="688"/>
        <v>-35.356</v>
      </c>
      <c r="AQ246" s="70">
        <f t="shared" si="689"/>
        <v>-22</v>
      </c>
      <c r="AR246" s="71">
        <f t="shared" ref="AR246:AS246" si="809">AI246/94</f>
        <v>170.5914894</v>
      </c>
      <c r="AS246" s="71">
        <f t="shared" si="809"/>
        <v>132.9787234</v>
      </c>
      <c r="AT246" s="72">
        <f t="shared" ref="AT246:AU246" si="810">AI246/24</f>
        <v>668.15</v>
      </c>
      <c r="AU246" s="72">
        <f t="shared" si="810"/>
        <v>520.8333333</v>
      </c>
      <c r="AV246" s="73">
        <f t="shared" ref="AV246:AW246" si="811">AI246/125</f>
        <v>128.2848</v>
      </c>
      <c r="AW246" s="73">
        <f t="shared" si="811"/>
        <v>100</v>
      </c>
    </row>
    <row r="247" ht="15.75" customHeight="1">
      <c r="A247" s="2"/>
      <c r="B247" s="2" t="s">
        <v>477</v>
      </c>
      <c r="C247" s="2" t="s">
        <v>493</v>
      </c>
      <c r="D247" s="118">
        <v>7500.0</v>
      </c>
      <c r="F247" s="1">
        <v>140.0</v>
      </c>
      <c r="G247" s="10">
        <v>7.01399E7</v>
      </c>
      <c r="H247" s="59">
        <v>0.18</v>
      </c>
      <c r="I247" s="2">
        <f t="shared" si="748"/>
        <v>1350</v>
      </c>
      <c r="K247" s="94">
        <v>400.0</v>
      </c>
      <c r="L247" s="119">
        <f t="shared" si="5"/>
        <v>9390</v>
      </c>
      <c r="M247" s="2">
        <f t="shared" si="666"/>
        <v>75</v>
      </c>
      <c r="N247" s="12">
        <f t="shared" si="667"/>
        <v>751.2</v>
      </c>
      <c r="O247" s="12">
        <f t="shared" si="668"/>
        <v>939</v>
      </c>
      <c r="P247" s="12">
        <f t="shared" si="669"/>
        <v>469.5</v>
      </c>
      <c r="Q247" s="12">
        <f t="shared" si="670"/>
        <v>187.8</v>
      </c>
      <c r="R247" s="12">
        <f t="shared" si="671"/>
        <v>78.75</v>
      </c>
      <c r="S247" s="12">
        <f t="shared" si="672"/>
        <v>93.9</v>
      </c>
      <c r="T247" s="60">
        <f t="shared" si="673"/>
        <v>2516.4</v>
      </c>
      <c r="U247" s="2">
        <f t="shared" si="674"/>
        <v>157.5</v>
      </c>
      <c r="V247" s="42">
        <f t="shared" si="15"/>
        <v>787.5</v>
      </c>
      <c r="W247" s="2">
        <f t="shared" si="675"/>
        <v>157.5</v>
      </c>
      <c r="X247" s="2">
        <f t="shared" si="676"/>
        <v>1260</v>
      </c>
      <c r="Y247" s="2">
        <f t="shared" si="677"/>
        <v>2362.5</v>
      </c>
      <c r="Z247" s="60">
        <f t="shared" si="678"/>
        <v>14268.9</v>
      </c>
      <c r="AA247" s="11">
        <f t="shared" si="679"/>
        <v>2853.78</v>
      </c>
      <c r="AB247" s="12">
        <f t="shared" si="680"/>
        <v>17122.68</v>
      </c>
      <c r="AC247" s="2">
        <f t="shared" si="681"/>
        <v>15750</v>
      </c>
      <c r="AD247" s="12">
        <f t="shared" si="682"/>
        <v>1372.68</v>
      </c>
      <c r="AE247" s="12">
        <f t="shared" si="683"/>
        <v>8.016735698</v>
      </c>
      <c r="AF247" s="61">
        <v>11450.0</v>
      </c>
      <c r="AG247" s="62">
        <f t="shared" si="25"/>
        <v>21.93823216</v>
      </c>
      <c r="AH247" s="63">
        <f t="shared" si="684"/>
        <v>1800</v>
      </c>
      <c r="AI247" s="64">
        <f t="shared" si="808"/>
        <v>17122.68</v>
      </c>
      <c r="AJ247" s="65">
        <v>13250.0</v>
      </c>
      <c r="AK247" s="66">
        <f t="shared" si="27"/>
        <v>41.10756124</v>
      </c>
      <c r="AL247" s="66"/>
      <c r="AM247" s="14">
        <f t="shared" si="749"/>
        <v>13.58490566</v>
      </c>
      <c r="AN247" s="67">
        <f t="shared" si="686"/>
        <v>19.16932907</v>
      </c>
      <c r="AO247" s="68">
        <f t="shared" si="687"/>
        <v>1.411075612</v>
      </c>
      <c r="AP247" s="69">
        <f t="shared" si="688"/>
        <v>-38.7268</v>
      </c>
      <c r="AQ247" s="70">
        <f t="shared" si="689"/>
        <v>-25</v>
      </c>
      <c r="AR247" s="71">
        <f t="shared" ref="AR247:AS247" si="812">AI247/94</f>
        <v>182.1561702</v>
      </c>
      <c r="AS247" s="71">
        <f t="shared" si="812"/>
        <v>140.9574468</v>
      </c>
      <c r="AT247" s="72">
        <f t="shared" ref="AT247:AU247" si="813">AI247/24</f>
        <v>713.445</v>
      </c>
      <c r="AU247" s="72">
        <f t="shared" si="813"/>
        <v>552.0833333</v>
      </c>
      <c r="AV247" s="73">
        <f t="shared" ref="AV247:AW247" si="814">AI247/125</f>
        <v>136.98144</v>
      </c>
      <c r="AW247" s="73">
        <f t="shared" si="814"/>
        <v>106</v>
      </c>
    </row>
    <row r="248" ht="15.75" customHeight="1">
      <c r="A248" s="2"/>
      <c r="B248" s="2" t="s">
        <v>479</v>
      </c>
      <c r="C248" s="2" t="s">
        <v>494</v>
      </c>
      <c r="D248" s="118">
        <v>8500.0</v>
      </c>
      <c r="F248" s="1">
        <v>140.0</v>
      </c>
      <c r="G248" s="10">
        <v>7.01399E7</v>
      </c>
      <c r="H248" s="59">
        <v>0.18</v>
      </c>
      <c r="I248" s="2">
        <f t="shared" si="748"/>
        <v>1530</v>
      </c>
      <c r="K248" s="94">
        <v>400.0</v>
      </c>
      <c r="L248" s="119">
        <f t="shared" si="5"/>
        <v>10570</v>
      </c>
      <c r="M248" s="2">
        <f t="shared" si="666"/>
        <v>85</v>
      </c>
      <c r="N248" s="12">
        <f t="shared" si="667"/>
        <v>845.6</v>
      </c>
      <c r="O248" s="12">
        <f t="shared" si="668"/>
        <v>1057</v>
      </c>
      <c r="P248" s="12">
        <f t="shared" si="669"/>
        <v>528.5</v>
      </c>
      <c r="Q248" s="12">
        <f t="shared" si="670"/>
        <v>211.4</v>
      </c>
      <c r="R248" s="12">
        <f t="shared" si="671"/>
        <v>89.25</v>
      </c>
      <c r="S248" s="12">
        <f t="shared" si="672"/>
        <v>105.7</v>
      </c>
      <c r="T248" s="60">
        <f t="shared" si="673"/>
        <v>2833.2</v>
      </c>
      <c r="U248" s="2">
        <f t="shared" si="674"/>
        <v>178.5</v>
      </c>
      <c r="V248" s="42">
        <f t="shared" si="15"/>
        <v>892.5</v>
      </c>
      <c r="W248" s="2">
        <f t="shared" si="675"/>
        <v>178.5</v>
      </c>
      <c r="X248" s="2">
        <f t="shared" si="676"/>
        <v>1428</v>
      </c>
      <c r="Y248" s="2">
        <f t="shared" si="677"/>
        <v>2677.5</v>
      </c>
      <c r="Z248" s="60">
        <f t="shared" si="678"/>
        <v>16080.7</v>
      </c>
      <c r="AA248" s="11">
        <f t="shared" si="679"/>
        <v>3216.14</v>
      </c>
      <c r="AB248" s="12">
        <f t="shared" si="680"/>
        <v>19296.84</v>
      </c>
      <c r="AC248" s="2">
        <f t="shared" si="681"/>
        <v>17850</v>
      </c>
      <c r="AD248" s="12">
        <f t="shared" si="682"/>
        <v>1446.84</v>
      </c>
      <c r="AE248" s="12">
        <f t="shared" si="683"/>
        <v>7.497807931</v>
      </c>
      <c r="AF248" s="61">
        <v>12250.0</v>
      </c>
      <c r="AG248" s="62">
        <f t="shared" si="25"/>
        <v>15.89403974</v>
      </c>
      <c r="AH248" s="63">
        <f t="shared" si="684"/>
        <v>2700</v>
      </c>
      <c r="AI248" s="64">
        <v>18990.0</v>
      </c>
      <c r="AJ248" s="65">
        <v>14950.0</v>
      </c>
      <c r="AK248" s="66">
        <f t="shared" si="27"/>
        <v>41.43803217</v>
      </c>
      <c r="AL248" s="66"/>
      <c r="AM248" s="14">
        <f t="shared" si="749"/>
        <v>18.06020067</v>
      </c>
      <c r="AN248" s="67">
        <f t="shared" si="686"/>
        <v>25.54399243</v>
      </c>
      <c r="AO248" s="68">
        <f t="shared" si="687"/>
        <v>1.414380322</v>
      </c>
      <c r="AP248" s="69">
        <f t="shared" si="688"/>
        <v>-43.4684</v>
      </c>
      <c r="AQ248" s="70">
        <f t="shared" si="689"/>
        <v>-29</v>
      </c>
      <c r="AR248" s="71">
        <f t="shared" ref="AR248:AS248" si="815">AI248/94</f>
        <v>202.0212766</v>
      </c>
      <c r="AS248" s="71">
        <f t="shared" si="815"/>
        <v>159.0425532</v>
      </c>
      <c r="AT248" s="72">
        <f t="shared" ref="AT248:AU248" si="816">AI248/24</f>
        <v>791.25</v>
      </c>
      <c r="AU248" s="72">
        <f t="shared" si="816"/>
        <v>622.9166667</v>
      </c>
      <c r="AV248" s="73">
        <f t="shared" ref="AV248:AW248" si="817">AI248/125</f>
        <v>151.92</v>
      </c>
      <c r="AW248" s="73">
        <f t="shared" si="817"/>
        <v>119.6</v>
      </c>
    </row>
    <row r="249" ht="15.75" customHeight="1">
      <c r="A249" s="2"/>
      <c r="B249" s="2" t="s">
        <v>481</v>
      </c>
      <c r="C249" s="2" t="s">
        <v>495</v>
      </c>
      <c r="D249" s="118">
        <v>10000.0</v>
      </c>
      <c r="F249" s="1">
        <v>140.0</v>
      </c>
      <c r="G249" s="10">
        <v>7.01399E7</v>
      </c>
      <c r="H249" s="59">
        <v>0.18</v>
      </c>
      <c r="I249" s="2">
        <f t="shared" si="748"/>
        <v>1800</v>
      </c>
      <c r="K249" s="94">
        <v>400.0</v>
      </c>
      <c r="L249" s="119">
        <f t="shared" si="5"/>
        <v>12340</v>
      </c>
      <c r="M249" s="2">
        <f t="shared" si="666"/>
        <v>100</v>
      </c>
      <c r="N249" s="12">
        <f t="shared" si="667"/>
        <v>987.2</v>
      </c>
      <c r="O249" s="12">
        <f t="shared" si="668"/>
        <v>1234</v>
      </c>
      <c r="P249" s="12">
        <f t="shared" si="669"/>
        <v>617</v>
      </c>
      <c r="Q249" s="12">
        <f t="shared" si="670"/>
        <v>246.8</v>
      </c>
      <c r="R249" s="12">
        <f t="shared" si="671"/>
        <v>105</v>
      </c>
      <c r="S249" s="12">
        <f t="shared" si="672"/>
        <v>123.4</v>
      </c>
      <c r="T249" s="60">
        <f t="shared" si="673"/>
        <v>3308.4</v>
      </c>
      <c r="U249" s="2">
        <f t="shared" si="674"/>
        <v>210</v>
      </c>
      <c r="V249" s="42">
        <f t="shared" si="15"/>
        <v>1050</v>
      </c>
      <c r="W249" s="2">
        <f t="shared" si="675"/>
        <v>210</v>
      </c>
      <c r="X249" s="2">
        <f t="shared" si="676"/>
        <v>1680</v>
      </c>
      <c r="Y249" s="2">
        <f t="shared" si="677"/>
        <v>3150</v>
      </c>
      <c r="Z249" s="60">
        <f t="shared" si="678"/>
        <v>18798.4</v>
      </c>
      <c r="AA249" s="11">
        <f t="shared" si="679"/>
        <v>3759.68</v>
      </c>
      <c r="AB249" s="12">
        <f t="shared" si="680"/>
        <v>22558.08</v>
      </c>
      <c r="AC249" s="2">
        <f t="shared" si="681"/>
        <v>21000</v>
      </c>
      <c r="AD249" s="12">
        <f t="shared" si="682"/>
        <v>1558.08</v>
      </c>
      <c r="AE249" s="12">
        <f t="shared" si="683"/>
        <v>6.906970806</v>
      </c>
      <c r="AF249" s="61">
        <v>13250.0</v>
      </c>
      <c r="AG249" s="62">
        <f t="shared" si="25"/>
        <v>7.37439222</v>
      </c>
      <c r="AH249" s="63">
        <f t="shared" si="684"/>
        <v>4200</v>
      </c>
      <c r="AI249" s="64">
        <v>20990.0</v>
      </c>
      <c r="AJ249" s="65">
        <v>17450.0</v>
      </c>
      <c r="AK249" s="66">
        <f t="shared" si="27"/>
        <v>41.41004862</v>
      </c>
      <c r="AL249" s="66"/>
      <c r="AM249" s="14">
        <f t="shared" si="749"/>
        <v>24.06876791</v>
      </c>
      <c r="AN249" s="67">
        <f t="shared" si="686"/>
        <v>34.0356564</v>
      </c>
      <c r="AO249" s="68">
        <f t="shared" si="687"/>
        <v>1.414100486</v>
      </c>
      <c r="AP249" s="69">
        <f t="shared" si="688"/>
        <v>-51.0808</v>
      </c>
      <c r="AQ249" s="70">
        <f t="shared" si="689"/>
        <v>-35.5</v>
      </c>
      <c r="AR249" s="71">
        <f t="shared" ref="AR249:AS249" si="818">AI249/94</f>
        <v>223.2978723</v>
      </c>
      <c r="AS249" s="71">
        <f t="shared" si="818"/>
        <v>185.6382979</v>
      </c>
      <c r="AT249" s="72">
        <f t="shared" ref="AT249:AU249" si="819">AI249/24</f>
        <v>874.5833333</v>
      </c>
      <c r="AU249" s="72">
        <f t="shared" si="819"/>
        <v>727.0833333</v>
      </c>
      <c r="AV249" s="73">
        <f t="shared" ref="AV249:AW249" si="820">AI249/125</f>
        <v>167.92</v>
      </c>
      <c r="AW249" s="73">
        <f t="shared" si="820"/>
        <v>139.6</v>
      </c>
    </row>
    <row r="250" ht="15.75" customHeight="1">
      <c r="A250" s="2"/>
      <c r="B250" s="2" t="s">
        <v>483</v>
      </c>
      <c r="C250" s="2" t="s">
        <v>496</v>
      </c>
      <c r="D250" s="118">
        <v>11500.0</v>
      </c>
      <c r="F250" s="1">
        <v>140.0</v>
      </c>
      <c r="G250" s="10">
        <v>7.01399E7</v>
      </c>
      <c r="H250" s="59">
        <v>0.18</v>
      </c>
      <c r="I250" s="2">
        <f t="shared" si="748"/>
        <v>2070</v>
      </c>
      <c r="K250" s="94">
        <v>400.0</v>
      </c>
      <c r="L250" s="119">
        <f t="shared" si="5"/>
        <v>14110</v>
      </c>
      <c r="M250" s="2">
        <f t="shared" si="666"/>
        <v>115</v>
      </c>
      <c r="N250" s="12">
        <f t="shared" si="667"/>
        <v>1128.8</v>
      </c>
      <c r="O250" s="12">
        <f t="shared" si="668"/>
        <v>1411</v>
      </c>
      <c r="P250" s="12">
        <f t="shared" si="669"/>
        <v>705.5</v>
      </c>
      <c r="Q250" s="12">
        <f t="shared" si="670"/>
        <v>282.2</v>
      </c>
      <c r="R250" s="12">
        <f t="shared" si="671"/>
        <v>120.75</v>
      </c>
      <c r="S250" s="12">
        <f t="shared" si="672"/>
        <v>141.1</v>
      </c>
      <c r="T250" s="60">
        <f t="shared" si="673"/>
        <v>3783.6</v>
      </c>
      <c r="U250" s="2">
        <f t="shared" si="674"/>
        <v>241.5</v>
      </c>
      <c r="V250" s="42">
        <f t="shared" si="15"/>
        <v>1207.5</v>
      </c>
      <c r="W250" s="2">
        <f t="shared" si="675"/>
        <v>241.5</v>
      </c>
      <c r="X250" s="2">
        <f t="shared" si="676"/>
        <v>1932</v>
      </c>
      <c r="Y250" s="2">
        <f t="shared" si="677"/>
        <v>3622.5</v>
      </c>
      <c r="Z250" s="60">
        <f t="shared" si="678"/>
        <v>21516.1</v>
      </c>
      <c r="AA250" s="11">
        <f t="shared" si="679"/>
        <v>4303.22</v>
      </c>
      <c r="AB250" s="12">
        <f t="shared" si="680"/>
        <v>25819.32</v>
      </c>
      <c r="AC250" s="2">
        <f t="shared" si="681"/>
        <v>24150</v>
      </c>
      <c r="AD250" s="12">
        <f t="shared" si="682"/>
        <v>1669.32</v>
      </c>
      <c r="AE250" s="12">
        <f t="shared" si="683"/>
        <v>6.465391033</v>
      </c>
      <c r="AF250" s="61">
        <v>14650.0</v>
      </c>
      <c r="AG250" s="62">
        <f t="shared" si="25"/>
        <v>3.827072998</v>
      </c>
      <c r="AH250" s="63">
        <f t="shared" si="684"/>
        <v>5300</v>
      </c>
      <c r="AI250" s="64">
        <v>23990.0</v>
      </c>
      <c r="AJ250" s="65">
        <v>19950.0</v>
      </c>
      <c r="AK250" s="66">
        <f t="shared" si="27"/>
        <v>41.38908575</v>
      </c>
      <c r="AL250" s="66"/>
      <c r="AM250" s="14">
        <f t="shared" si="749"/>
        <v>26.56641604</v>
      </c>
      <c r="AN250" s="67">
        <f t="shared" si="686"/>
        <v>37.56201276</v>
      </c>
      <c r="AO250" s="68">
        <f t="shared" si="687"/>
        <v>1.413890858</v>
      </c>
      <c r="AP250" s="69">
        <f t="shared" si="688"/>
        <v>-58.6932</v>
      </c>
      <c r="AQ250" s="70">
        <f t="shared" si="689"/>
        <v>-42</v>
      </c>
      <c r="AR250" s="71">
        <f t="shared" ref="AR250:AS250" si="821">AI250/94</f>
        <v>255.212766</v>
      </c>
      <c r="AS250" s="71">
        <f t="shared" si="821"/>
        <v>212.2340426</v>
      </c>
      <c r="AT250" s="72">
        <f t="shared" ref="AT250:AU250" si="822">AI250/24</f>
        <v>999.5833333</v>
      </c>
      <c r="AU250" s="72">
        <f t="shared" si="822"/>
        <v>831.25</v>
      </c>
      <c r="AV250" s="73">
        <f t="shared" ref="AV250:AW250" si="823">AI250/125</f>
        <v>191.92</v>
      </c>
      <c r="AW250" s="73">
        <f t="shared" si="823"/>
        <v>159.6</v>
      </c>
    </row>
    <row r="251" ht="15.75" customHeight="1">
      <c r="A251" s="120"/>
      <c r="B251" s="120" t="s">
        <v>485</v>
      </c>
      <c r="C251" s="120" t="s">
        <v>497</v>
      </c>
      <c r="D251" s="96">
        <v>13500.0</v>
      </c>
      <c r="E251" s="121"/>
      <c r="F251" s="93">
        <v>140.0</v>
      </c>
      <c r="G251" s="98">
        <v>7.01399E7</v>
      </c>
      <c r="H251" s="122">
        <v>0.18</v>
      </c>
      <c r="I251" s="120">
        <f t="shared" si="748"/>
        <v>2430</v>
      </c>
      <c r="J251" s="121"/>
      <c r="K251" s="93">
        <v>400.0</v>
      </c>
      <c r="L251" s="123">
        <f t="shared" si="5"/>
        <v>16470</v>
      </c>
      <c r="M251" s="120">
        <f t="shared" si="666"/>
        <v>135</v>
      </c>
      <c r="N251" s="124">
        <f t="shared" si="667"/>
        <v>1317.6</v>
      </c>
      <c r="O251" s="124">
        <f t="shared" si="668"/>
        <v>1647</v>
      </c>
      <c r="P251" s="124">
        <f t="shared" si="669"/>
        <v>823.5</v>
      </c>
      <c r="Q251" s="124">
        <f t="shared" si="670"/>
        <v>329.4</v>
      </c>
      <c r="R251" s="124">
        <f t="shared" si="671"/>
        <v>141.75</v>
      </c>
      <c r="S251" s="124">
        <f t="shared" si="672"/>
        <v>164.7</v>
      </c>
      <c r="T251" s="125">
        <f t="shared" si="673"/>
        <v>4417.2</v>
      </c>
      <c r="U251" s="120">
        <f t="shared" si="674"/>
        <v>283.5</v>
      </c>
      <c r="V251" s="42">
        <f t="shared" si="15"/>
        <v>1417.5</v>
      </c>
      <c r="W251" s="120">
        <f t="shared" si="675"/>
        <v>283.5</v>
      </c>
      <c r="X251" s="120">
        <f t="shared" si="676"/>
        <v>2268</v>
      </c>
      <c r="Y251" s="120">
        <f t="shared" si="677"/>
        <v>4252.5</v>
      </c>
      <c r="Z251" s="125">
        <f t="shared" si="678"/>
        <v>25139.7</v>
      </c>
      <c r="AA251" s="126">
        <f t="shared" si="679"/>
        <v>5027.94</v>
      </c>
      <c r="AB251" s="124">
        <f t="shared" si="680"/>
        <v>30167.64</v>
      </c>
      <c r="AC251" s="120">
        <f t="shared" si="681"/>
        <v>28350</v>
      </c>
      <c r="AD251" s="124">
        <f t="shared" si="682"/>
        <v>1817.64</v>
      </c>
      <c r="AE251" s="124">
        <f t="shared" si="683"/>
        <v>6.025131565</v>
      </c>
      <c r="AF251" s="121">
        <v>17750.0</v>
      </c>
      <c r="AG251" s="127">
        <f t="shared" si="25"/>
        <v>7.771706132</v>
      </c>
      <c r="AH251" s="128">
        <f t="shared" si="684"/>
        <v>5500</v>
      </c>
      <c r="AI251" s="128">
        <f t="shared" ref="AI251:AI256" si="827">AB251</f>
        <v>30167.64</v>
      </c>
      <c r="AJ251" s="129">
        <v>23250.0</v>
      </c>
      <c r="AK251" s="130">
        <f t="shared" si="27"/>
        <v>41.16575592</v>
      </c>
      <c r="AL251" s="130"/>
      <c r="AM251" s="130">
        <f t="shared" si="749"/>
        <v>23.65591398</v>
      </c>
      <c r="AN251" s="130">
        <f t="shared" si="686"/>
        <v>33.39404979</v>
      </c>
      <c r="AO251" s="131">
        <f t="shared" si="687"/>
        <v>1.411657559</v>
      </c>
      <c r="AP251" s="130">
        <f t="shared" si="688"/>
        <v>-69.1764</v>
      </c>
      <c r="AQ251" s="130">
        <f t="shared" si="689"/>
        <v>-51</v>
      </c>
      <c r="AR251" s="132">
        <f t="shared" ref="AR251:AS251" si="824">AI251/94</f>
        <v>320.9323404</v>
      </c>
      <c r="AS251" s="132">
        <f t="shared" si="824"/>
        <v>247.3404255</v>
      </c>
      <c r="AT251" s="133">
        <f t="shared" ref="AT251:AU251" si="825">AI251/24</f>
        <v>1256.985</v>
      </c>
      <c r="AU251" s="133">
        <f t="shared" si="825"/>
        <v>968.75</v>
      </c>
      <c r="AV251" s="133">
        <f t="shared" ref="AV251:AW251" si="826">AI251/125</f>
        <v>241.34112</v>
      </c>
      <c r="AW251" s="133">
        <f t="shared" si="826"/>
        <v>186</v>
      </c>
      <c r="AX251" s="121"/>
      <c r="AY251" s="121"/>
    </row>
    <row r="252" ht="15.75" customHeight="1">
      <c r="A252" s="120"/>
      <c r="B252" s="120" t="s">
        <v>487</v>
      </c>
      <c r="C252" s="120" t="s">
        <v>498</v>
      </c>
      <c r="D252" s="96">
        <v>14500.0</v>
      </c>
      <c r="E252" s="121"/>
      <c r="F252" s="93">
        <v>140.0</v>
      </c>
      <c r="G252" s="98">
        <v>7.01399E7</v>
      </c>
      <c r="H252" s="122">
        <v>0.18</v>
      </c>
      <c r="I252" s="120">
        <f t="shared" si="748"/>
        <v>2610</v>
      </c>
      <c r="J252" s="121"/>
      <c r="K252" s="93">
        <v>400.0</v>
      </c>
      <c r="L252" s="123">
        <f t="shared" si="5"/>
        <v>17650</v>
      </c>
      <c r="M252" s="120">
        <f t="shared" si="666"/>
        <v>145</v>
      </c>
      <c r="N252" s="124">
        <f t="shared" si="667"/>
        <v>1412</v>
      </c>
      <c r="O252" s="124">
        <f t="shared" si="668"/>
        <v>1765</v>
      </c>
      <c r="P252" s="124">
        <f t="shared" si="669"/>
        <v>882.5</v>
      </c>
      <c r="Q252" s="124">
        <f t="shared" si="670"/>
        <v>353</v>
      </c>
      <c r="R252" s="124">
        <f t="shared" si="671"/>
        <v>152.25</v>
      </c>
      <c r="S252" s="124">
        <f t="shared" si="672"/>
        <v>176.5</v>
      </c>
      <c r="T252" s="125">
        <f t="shared" si="673"/>
        <v>4734</v>
      </c>
      <c r="U252" s="120">
        <f t="shared" si="674"/>
        <v>304.5</v>
      </c>
      <c r="V252" s="42">
        <f t="shared" si="15"/>
        <v>1522.5</v>
      </c>
      <c r="W252" s="120">
        <f t="shared" si="675"/>
        <v>304.5</v>
      </c>
      <c r="X252" s="120">
        <f t="shared" si="676"/>
        <v>2436</v>
      </c>
      <c r="Y252" s="120">
        <f t="shared" si="677"/>
        <v>4567.5</v>
      </c>
      <c r="Z252" s="125">
        <f t="shared" si="678"/>
        <v>26951.5</v>
      </c>
      <c r="AA252" s="126">
        <f t="shared" si="679"/>
        <v>5390.3</v>
      </c>
      <c r="AB252" s="124">
        <f t="shared" si="680"/>
        <v>32341.8</v>
      </c>
      <c r="AC252" s="120">
        <f t="shared" si="681"/>
        <v>30450</v>
      </c>
      <c r="AD252" s="124">
        <f t="shared" si="682"/>
        <v>1891.8</v>
      </c>
      <c r="AE252" s="124">
        <f t="shared" si="683"/>
        <v>5.849396138</v>
      </c>
      <c r="AF252" s="121">
        <v>19750.0</v>
      </c>
      <c r="AG252" s="127">
        <f t="shared" si="25"/>
        <v>11.898017</v>
      </c>
      <c r="AH252" s="128">
        <f t="shared" si="684"/>
        <v>5150</v>
      </c>
      <c r="AI252" s="128">
        <f t="shared" si="827"/>
        <v>32341.8</v>
      </c>
      <c r="AJ252" s="129">
        <v>24900.0</v>
      </c>
      <c r="AK252" s="130">
        <f t="shared" si="27"/>
        <v>41.07648725</v>
      </c>
      <c r="AL252" s="130"/>
      <c r="AM252" s="130">
        <f t="shared" si="749"/>
        <v>20.68273092</v>
      </c>
      <c r="AN252" s="130">
        <f t="shared" si="686"/>
        <v>29.17847025</v>
      </c>
      <c r="AO252" s="131">
        <f t="shared" si="687"/>
        <v>1.410764873</v>
      </c>
      <c r="AP252" s="130">
        <f t="shared" si="688"/>
        <v>-74.418</v>
      </c>
      <c r="AQ252" s="130">
        <f t="shared" si="689"/>
        <v>-55.5</v>
      </c>
      <c r="AR252" s="132">
        <f t="shared" ref="AR252:AS252" si="828">AI252/94</f>
        <v>344.0617021</v>
      </c>
      <c r="AS252" s="132">
        <f t="shared" si="828"/>
        <v>264.893617</v>
      </c>
      <c r="AT252" s="133">
        <f t="shared" ref="AT252:AU252" si="829">AI252/24</f>
        <v>1347.575</v>
      </c>
      <c r="AU252" s="133">
        <f t="shared" si="829"/>
        <v>1037.5</v>
      </c>
      <c r="AV252" s="133">
        <f t="shared" ref="AV252:AW252" si="830">AI252/125</f>
        <v>258.7344</v>
      </c>
      <c r="AW252" s="133">
        <f t="shared" si="830"/>
        <v>199.2</v>
      </c>
      <c r="AX252" s="121"/>
      <c r="AY252" s="121"/>
    </row>
    <row r="253" ht="15.0" customHeight="1">
      <c r="A253" s="2" t="s">
        <v>499</v>
      </c>
      <c r="B253" s="2" t="s">
        <v>500</v>
      </c>
      <c r="C253" s="2" t="s">
        <v>501</v>
      </c>
      <c r="D253" s="10">
        <v>50000.0</v>
      </c>
      <c r="F253" s="1">
        <v>300.0</v>
      </c>
      <c r="G253" s="134">
        <v>7.01399E7</v>
      </c>
      <c r="H253" s="135">
        <v>0.18</v>
      </c>
      <c r="I253" s="2">
        <f t="shared" si="748"/>
        <v>9000</v>
      </c>
      <c r="K253" s="136">
        <f t="shared" ref="K253:K256" si="834">D253*4%</f>
        <v>2000</v>
      </c>
      <c r="L253" s="4">
        <f t="shared" si="5"/>
        <v>61300</v>
      </c>
      <c r="M253" s="2">
        <f t="shared" si="666"/>
        <v>500</v>
      </c>
      <c r="N253" s="12">
        <f t="shared" si="667"/>
        <v>4904</v>
      </c>
      <c r="O253" s="12">
        <f t="shared" si="668"/>
        <v>6130</v>
      </c>
      <c r="P253" s="12">
        <f t="shared" si="669"/>
        <v>3065</v>
      </c>
      <c r="Q253" s="12">
        <f t="shared" si="670"/>
        <v>1226</v>
      </c>
      <c r="R253" s="12">
        <f t="shared" si="671"/>
        <v>525</v>
      </c>
      <c r="S253" s="12">
        <f t="shared" si="672"/>
        <v>613</v>
      </c>
      <c r="T253" s="60">
        <f t="shared" si="673"/>
        <v>16438</v>
      </c>
      <c r="U253" s="2">
        <f t="shared" si="674"/>
        <v>1050</v>
      </c>
      <c r="V253" s="42">
        <f t="shared" si="15"/>
        <v>5250</v>
      </c>
      <c r="W253" s="2">
        <f t="shared" si="675"/>
        <v>1050</v>
      </c>
      <c r="X253" s="2">
        <f t="shared" si="676"/>
        <v>8400</v>
      </c>
      <c r="Y253" s="2">
        <f t="shared" si="677"/>
        <v>15750</v>
      </c>
      <c r="Z253" s="60">
        <f t="shared" si="678"/>
        <v>93488</v>
      </c>
      <c r="AA253" s="11">
        <f t="shared" si="679"/>
        <v>18697.6</v>
      </c>
      <c r="AB253" s="12">
        <f t="shared" si="680"/>
        <v>112185.6</v>
      </c>
      <c r="AC253" s="2">
        <f t="shared" si="681"/>
        <v>105000</v>
      </c>
      <c r="AD253" s="12">
        <f t="shared" si="682"/>
        <v>7185.6</v>
      </c>
      <c r="AE253" s="12">
        <f t="shared" si="683"/>
        <v>6.40510012</v>
      </c>
      <c r="AF253" s="61">
        <v>78500.0</v>
      </c>
      <c r="AG253" s="62">
        <f t="shared" si="25"/>
        <v>28.05872757</v>
      </c>
      <c r="AH253" s="63">
        <f t="shared" si="684"/>
        <v>3000</v>
      </c>
      <c r="AI253" s="64">
        <f t="shared" si="827"/>
        <v>112185.6</v>
      </c>
      <c r="AJ253" s="65">
        <v>81500.0</v>
      </c>
      <c r="AK253" s="66">
        <f t="shared" si="27"/>
        <v>32.95269168</v>
      </c>
      <c r="AL253" s="66"/>
      <c r="AM253" s="14">
        <f t="shared" si="749"/>
        <v>3.680981595</v>
      </c>
      <c r="AN253" s="67">
        <f t="shared" si="686"/>
        <v>4.893964111</v>
      </c>
      <c r="AO253" s="68">
        <f t="shared" si="687"/>
        <v>1.329526917</v>
      </c>
      <c r="AP253" s="69">
        <f t="shared" si="688"/>
        <v>-306.856</v>
      </c>
      <c r="AQ253" s="70">
        <f t="shared" si="689"/>
        <v>-235</v>
      </c>
      <c r="AR253" s="71">
        <f t="shared" ref="AR253:AS253" si="831">AI253/94</f>
        <v>1193.46383</v>
      </c>
      <c r="AS253" s="71">
        <f t="shared" si="831"/>
        <v>867.0212766</v>
      </c>
      <c r="AT253" s="72">
        <f t="shared" ref="AT253:AU253" si="832">AI253/24</f>
        <v>4674.4</v>
      </c>
      <c r="AU253" s="72">
        <f t="shared" si="832"/>
        <v>3395.833333</v>
      </c>
      <c r="AV253" s="73">
        <f t="shared" ref="AV253:AW253" si="833">AI253/125</f>
        <v>897.4848</v>
      </c>
      <c r="AW253" s="73">
        <f t="shared" si="833"/>
        <v>652</v>
      </c>
    </row>
    <row r="254" ht="15.75" customHeight="1">
      <c r="A254" s="2"/>
      <c r="B254" s="2" t="s">
        <v>502</v>
      </c>
      <c r="C254" s="2" t="s">
        <v>503</v>
      </c>
      <c r="D254" s="10">
        <v>60000.0</v>
      </c>
      <c r="F254" s="1">
        <v>300.0</v>
      </c>
      <c r="G254" s="134">
        <v>7.01399E7</v>
      </c>
      <c r="H254" s="135">
        <v>0.18</v>
      </c>
      <c r="I254" s="2">
        <f t="shared" si="748"/>
        <v>10800</v>
      </c>
      <c r="K254" s="136">
        <f t="shared" si="834"/>
        <v>2400</v>
      </c>
      <c r="L254" s="4">
        <f t="shared" si="5"/>
        <v>73500</v>
      </c>
      <c r="M254" s="2">
        <f t="shared" si="666"/>
        <v>600</v>
      </c>
      <c r="N254" s="12">
        <f t="shared" si="667"/>
        <v>5880</v>
      </c>
      <c r="O254" s="12">
        <f t="shared" si="668"/>
        <v>7350</v>
      </c>
      <c r="P254" s="12">
        <f t="shared" si="669"/>
        <v>3675</v>
      </c>
      <c r="Q254" s="12">
        <f t="shared" si="670"/>
        <v>1470</v>
      </c>
      <c r="R254" s="12">
        <f t="shared" si="671"/>
        <v>630</v>
      </c>
      <c r="S254" s="12">
        <f t="shared" si="672"/>
        <v>735</v>
      </c>
      <c r="T254" s="60">
        <f t="shared" si="673"/>
        <v>19710</v>
      </c>
      <c r="U254" s="2">
        <f t="shared" si="674"/>
        <v>1260</v>
      </c>
      <c r="V254" s="42">
        <f t="shared" si="15"/>
        <v>6300</v>
      </c>
      <c r="W254" s="2">
        <f t="shared" si="675"/>
        <v>1260</v>
      </c>
      <c r="X254" s="2">
        <f t="shared" si="676"/>
        <v>10080</v>
      </c>
      <c r="Y254" s="2">
        <f t="shared" si="677"/>
        <v>18900</v>
      </c>
      <c r="Z254" s="60">
        <f t="shared" si="678"/>
        <v>112110</v>
      </c>
      <c r="AA254" s="11">
        <f t="shared" si="679"/>
        <v>22422</v>
      </c>
      <c r="AB254" s="12">
        <f t="shared" si="680"/>
        <v>134532</v>
      </c>
      <c r="AC254" s="2">
        <f t="shared" si="681"/>
        <v>126000</v>
      </c>
      <c r="AD254" s="12">
        <f t="shared" si="682"/>
        <v>8532</v>
      </c>
      <c r="AE254" s="12">
        <f t="shared" si="683"/>
        <v>6.34198555</v>
      </c>
      <c r="AF254" s="61">
        <v>89500.0</v>
      </c>
      <c r="AG254" s="62">
        <f t="shared" si="25"/>
        <v>21.76870748</v>
      </c>
      <c r="AH254" s="63">
        <f t="shared" si="684"/>
        <v>8000</v>
      </c>
      <c r="AI254" s="64">
        <f t="shared" si="827"/>
        <v>134532</v>
      </c>
      <c r="AJ254" s="65">
        <v>97500.0</v>
      </c>
      <c r="AK254" s="66">
        <f t="shared" si="27"/>
        <v>32.65306122</v>
      </c>
      <c r="AL254" s="66"/>
      <c r="AM254" s="14">
        <f t="shared" si="749"/>
        <v>8.205128205</v>
      </c>
      <c r="AN254" s="67">
        <f t="shared" si="686"/>
        <v>10.88435374</v>
      </c>
      <c r="AO254" s="68">
        <f t="shared" si="687"/>
        <v>1.326530612</v>
      </c>
      <c r="AP254" s="69">
        <f t="shared" si="688"/>
        <v>-370.32</v>
      </c>
      <c r="AQ254" s="70">
        <f t="shared" si="689"/>
        <v>-285</v>
      </c>
      <c r="AR254" s="71">
        <f t="shared" ref="AR254:AS254" si="835">AI254/94</f>
        <v>1431.191489</v>
      </c>
      <c r="AS254" s="71">
        <f t="shared" si="835"/>
        <v>1037.234043</v>
      </c>
      <c r="AT254" s="72">
        <f t="shared" ref="AT254:AU254" si="836">AI254/24</f>
        <v>5605.5</v>
      </c>
      <c r="AU254" s="72">
        <f t="shared" si="836"/>
        <v>4062.5</v>
      </c>
      <c r="AV254" s="73">
        <f t="shared" ref="AV254:AW254" si="837">AI254/125</f>
        <v>1076.256</v>
      </c>
      <c r="AW254" s="73">
        <f t="shared" si="837"/>
        <v>780</v>
      </c>
    </row>
    <row r="255" ht="15.75" customHeight="1">
      <c r="A255" s="2"/>
      <c r="B255" s="2" t="s">
        <v>504</v>
      </c>
      <c r="C255" s="2" t="s">
        <v>505</v>
      </c>
      <c r="D255" s="10">
        <v>65000.0</v>
      </c>
      <c r="F255" s="1">
        <v>300.0</v>
      </c>
      <c r="G255" s="134">
        <v>7.01399E7</v>
      </c>
      <c r="H255" s="135">
        <v>0.18</v>
      </c>
      <c r="I255" s="2">
        <f t="shared" si="748"/>
        <v>11700</v>
      </c>
      <c r="K255" s="136">
        <f t="shared" si="834"/>
        <v>2600</v>
      </c>
      <c r="L255" s="4">
        <f t="shared" si="5"/>
        <v>79600</v>
      </c>
      <c r="M255" s="2">
        <f t="shared" si="666"/>
        <v>650</v>
      </c>
      <c r="N255" s="12">
        <f t="shared" si="667"/>
        <v>6368</v>
      </c>
      <c r="O255" s="12">
        <f t="shared" si="668"/>
        <v>7960</v>
      </c>
      <c r="P255" s="12">
        <f t="shared" si="669"/>
        <v>3980</v>
      </c>
      <c r="Q255" s="12">
        <f t="shared" si="670"/>
        <v>1592</v>
      </c>
      <c r="R255" s="12">
        <f t="shared" si="671"/>
        <v>682.5</v>
      </c>
      <c r="S255" s="12">
        <f t="shared" si="672"/>
        <v>796</v>
      </c>
      <c r="T255" s="60">
        <f t="shared" si="673"/>
        <v>21346</v>
      </c>
      <c r="U255" s="2">
        <f t="shared" si="674"/>
        <v>1365</v>
      </c>
      <c r="V255" s="42">
        <f t="shared" si="15"/>
        <v>6825</v>
      </c>
      <c r="W255" s="2">
        <f t="shared" si="675"/>
        <v>1365</v>
      </c>
      <c r="X255" s="2">
        <f t="shared" si="676"/>
        <v>10920</v>
      </c>
      <c r="Y255" s="2">
        <f t="shared" si="677"/>
        <v>20475</v>
      </c>
      <c r="Z255" s="60">
        <f t="shared" si="678"/>
        <v>121421</v>
      </c>
      <c r="AA255" s="11">
        <f t="shared" si="679"/>
        <v>24284.2</v>
      </c>
      <c r="AB255" s="12">
        <f t="shared" si="680"/>
        <v>145705.2</v>
      </c>
      <c r="AC255" s="2">
        <f t="shared" si="681"/>
        <v>136500</v>
      </c>
      <c r="AD255" s="12">
        <f t="shared" si="682"/>
        <v>9205.2</v>
      </c>
      <c r="AE255" s="12">
        <f t="shared" si="683"/>
        <v>6.317688044</v>
      </c>
      <c r="AF255" s="61">
        <v>99500.0</v>
      </c>
      <c r="AG255" s="62">
        <f t="shared" si="25"/>
        <v>25</v>
      </c>
      <c r="AH255" s="63">
        <f t="shared" si="684"/>
        <v>6000</v>
      </c>
      <c r="AI255" s="64">
        <f t="shared" si="827"/>
        <v>145705.2</v>
      </c>
      <c r="AJ255" s="65">
        <v>105500.0</v>
      </c>
      <c r="AK255" s="66">
        <f t="shared" si="27"/>
        <v>32.53768844</v>
      </c>
      <c r="AL255" s="66"/>
      <c r="AM255" s="14">
        <f t="shared" si="749"/>
        <v>5.687203791</v>
      </c>
      <c r="AN255" s="67">
        <f t="shared" si="686"/>
        <v>7.537688442</v>
      </c>
      <c r="AO255" s="68">
        <f t="shared" si="687"/>
        <v>1.325376884</v>
      </c>
      <c r="AP255" s="69">
        <f t="shared" si="688"/>
        <v>-402.052</v>
      </c>
      <c r="AQ255" s="70">
        <f t="shared" si="689"/>
        <v>-310</v>
      </c>
      <c r="AR255" s="71">
        <f t="shared" ref="AR255:AS255" si="838">AI255/94</f>
        <v>1550.055319</v>
      </c>
      <c r="AS255" s="71">
        <f t="shared" si="838"/>
        <v>1122.340426</v>
      </c>
      <c r="AT255" s="72">
        <f t="shared" ref="AT255:AU255" si="839">AI255/24</f>
        <v>6071.05</v>
      </c>
      <c r="AU255" s="72">
        <f t="shared" si="839"/>
        <v>4395.833333</v>
      </c>
      <c r="AV255" s="73">
        <f t="shared" ref="AV255:AW255" si="840">AI255/125</f>
        <v>1165.6416</v>
      </c>
      <c r="AW255" s="73">
        <f t="shared" si="840"/>
        <v>844</v>
      </c>
    </row>
    <row r="256" ht="15.75" customHeight="1">
      <c r="A256" s="2"/>
      <c r="B256" s="2" t="s">
        <v>506</v>
      </c>
      <c r="C256" s="2" t="s">
        <v>507</v>
      </c>
      <c r="D256" s="10">
        <v>55000.0</v>
      </c>
      <c r="F256" s="1">
        <v>300.0</v>
      </c>
      <c r="G256" s="134">
        <v>7.01399E7</v>
      </c>
      <c r="H256" s="135">
        <v>0.18</v>
      </c>
      <c r="I256" s="2">
        <f t="shared" si="748"/>
        <v>9900</v>
      </c>
      <c r="K256" s="136">
        <f t="shared" si="834"/>
        <v>2200</v>
      </c>
      <c r="L256" s="4">
        <f t="shared" si="5"/>
        <v>67400</v>
      </c>
      <c r="M256" s="2">
        <f t="shared" si="666"/>
        <v>550</v>
      </c>
      <c r="N256" s="12">
        <f t="shared" si="667"/>
        <v>5392</v>
      </c>
      <c r="O256" s="12">
        <f t="shared" si="668"/>
        <v>6740</v>
      </c>
      <c r="P256" s="12">
        <f t="shared" si="669"/>
        <v>3370</v>
      </c>
      <c r="Q256" s="12">
        <f t="shared" si="670"/>
        <v>1348</v>
      </c>
      <c r="R256" s="12">
        <f t="shared" si="671"/>
        <v>577.5</v>
      </c>
      <c r="S256" s="12">
        <f t="shared" si="672"/>
        <v>674</v>
      </c>
      <c r="T256" s="60">
        <f t="shared" si="673"/>
        <v>18074</v>
      </c>
      <c r="U256" s="2">
        <f t="shared" si="674"/>
        <v>1155</v>
      </c>
      <c r="V256" s="42">
        <f t="shared" si="15"/>
        <v>5775</v>
      </c>
      <c r="W256" s="2">
        <f t="shared" si="675"/>
        <v>1155</v>
      </c>
      <c r="X256" s="2">
        <f t="shared" si="676"/>
        <v>9240</v>
      </c>
      <c r="Y256" s="2">
        <f t="shared" si="677"/>
        <v>17325</v>
      </c>
      <c r="Z256" s="60">
        <f t="shared" si="678"/>
        <v>102799</v>
      </c>
      <c r="AA256" s="11">
        <f t="shared" si="679"/>
        <v>20559.8</v>
      </c>
      <c r="AB256" s="12">
        <f t="shared" si="680"/>
        <v>123358.8</v>
      </c>
      <c r="AC256" s="2">
        <f t="shared" si="681"/>
        <v>115500</v>
      </c>
      <c r="AD256" s="12">
        <f t="shared" si="682"/>
        <v>7858.8</v>
      </c>
      <c r="AE256" s="12">
        <f t="shared" si="683"/>
        <v>6.37068454</v>
      </c>
      <c r="AF256" s="61">
        <v>88500.0</v>
      </c>
      <c r="AG256" s="62">
        <f t="shared" si="25"/>
        <v>31.30563798</v>
      </c>
      <c r="AH256" s="63">
        <f t="shared" si="684"/>
        <v>1000</v>
      </c>
      <c r="AI256" s="64">
        <f t="shared" si="827"/>
        <v>123358.8</v>
      </c>
      <c r="AJ256" s="65">
        <v>89500.0</v>
      </c>
      <c r="AK256" s="66">
        <f t="shared" si="27"/>
        <v>32.78931751</v>
      </c>
      <c r="AL256" s="66"/>
      <c r="AM256" s="14">
        <f t="shared" si="749"/>
        <v>1.117318436</v>
      </c>
      <c r="AN256" s="67">
        <f t="shared" si="686"/>
        <v>1.483679525</v>
      </c>
      <c r="AO256" s="68">
        <f t="shared" si="687"/>
        <v>1.327893175</v>
      </c>
      <c r="AP256" s="69">
        <f t="shared" si="688"/>
        <v>-338.588</v>
      </c>
      <c r="AQ256" s="70">
        <f t="shared" si="689"/>
        <v>-260</v>
      </c>
      <c r="AR256" s="71">
        <f t="shared" ref="AR256:AS256" si="841">AI256/94</f>
        <v>1312.32766</v>
      </c>
      <c r="AS256" s="71">
        <f t="shared" si="841"/>
        <v>952.1276596</v>
      </c>
      <c r="AT256" s="72">
        <f t="shared" ref="AT256:AU256" si="842">AI256/24</f>
        <v>5139.95</v>
      </c>
      <c r="AU256" s="72">
        <f t="shared" si="842"/>
        <v>3729.166667</v>
      </c>
      <c r="AV256" s="73">
        <f t="shared" ref="AV256:AW256" si="843">AI256/125</f>
        <v>986.8704</v>
      </c>
      <c r="AW256" s="73">
        <f t="shared" si="843"/>
        <v>716</v>
      </c>
    </row>
    <row r="257" ht="15.0" customHeight="1">
      <c r="A257" s="42" t="s">
        <v>508</v>
      </c>
      <c r="B257" s="42" t="s">
        <v>509</v>
      </c>
      <c r="C257" s="95" t="s">
        <v>510</v>
      </c>
      <c r="D257" s="137">
        <v>24000.0</v>
      </c>
      <c r="E257" s="47"/>
      <c r="F257" s="44">
        <v>145.0</v>
      </c>
      <c r="G257" s="138">
        <v>7.01399E7</v>
      </c>
      <c r="H257" s="139">
        <v>0.18</v>
      </c>
      <c r="I257" s="42">
        <f t="shared" si="748"/>
        <v>4320</v>
      </c>
      <c r="J257" s="47"/>
      <c r="K257" s="42">
        <v>800.0</v>
      </c>
      <c r="L257" s="140">
        <f t="shared" si="5"/>
        <v>29265</v>
      </c>
      <c r="M257" s="42">
        <f t="shared" si="666"/>
        <v>240</v>
      </c>
      <c r="N257" s="49">
        <f t="shared" si="667"/>
        <v>2341.2</v>
      </c>
      <c r="O257" s="49">
        <f t="shared" si="668"/>
        <v>2926.5</v>
      </c>
      <c r="P257" s="49">
        <f t="shared" si="669"/>
        <v>1463.25</v>
      </c>
      <c r="Q257" s="49">
        <f t="shared" si="670"/>
        <v>585.3</v>
      </c>
      <c r="R257" s="49">
        <f t="shared" si="671"/>
        <v>252</v>
      </c>
      <c r="S257" s="49">
        <f t="shared" si="672"/>
        <v>292.65</v>
      </c>
      <c r="T257" s="50">
        <f t="shared" si="673"/>
        <v>7848.9</v>
      </c>
      <c r="U257" s="42">
        <f t="shared" si="674"/>
        <v>504</v>
      </c>
      <c r="V257" s="42">
        <f t="shared" si="15"/>
        <v>2520</v>
      </c>
      <c r="W257" s="42">
        <f t="shared" si="675"/>
        <v>504</v>
      </c>
      <c r="X257" s="42">
        <f t="shared" si="676"/>
        <v>4032</v>
      </c>
      <c r="Y257" s="42">
        <f t="shared" si="677"/>
        <v>7560</v>
      </c>
      <c r="Z257" s="50">
        <f t="shared" si="678"/>
        <v>44673.9</v>
      </c>
      <c r="AA257" s="51">
        <f t="shared" si="679"/>
        <v>8934.78</v>
      </c>
      <c r="AB257" s="49">
        <f t="shared" si="680"/>
        <v>53608.68</v>
      </c>
      <c r="AC257" s="42">
        <f t="shared" si="681"/>
        <v>50400</v>
      </c>
      <c r="AD257" s="49">
        <f t="shared" si="682"/>
        <v>3208.68</v>
      </c>
      <c r="AE257" s="49">
        <f t="shared" si="683"/>
        <v>5.98537401</v>
      </c>
      <c r="AF257" s="47"/>
      <c r="AG257" s="52">
        <f t="shared" si="25"/>
        <v>-100</v>
      </c>
      <c r="AH257" s="53">
        <f t="shared" si="684"/>
        <v>41990</v>
      </c>
      <c r="AI257" s="53">
        <v>49990.0</v>
      </c>
      <c r="AJ257" s="54">
        <v>41990.0</v>
      </c>
      <c r="AK257" s="55">
        <f t="shared" si="27"/>
        <v>43.48197506</v>
      </c>
      <c r="AL257" s="55"/>
      <c r="AM257" s="55">
        <f t="shared" si="749"/>
        <v>100</v>
      </c>
      <c r="AN257" s="55">
        <f t="shared" si="686"/>
        <v>143.4819751</v>
      </c>
      <c r="AO257" s="56">
        <f t="shared" si="687"/>
        <v>1.434819751</v>
      </c>
      <c r="AP257" s="55">
        <f t="shared" si="688"/>
        <v>-116.1868</v>
      </c>
      <c r="AQ257" s="55">
        <f t="shared" si="689"/>
        <v>-84.1</v>
      </c>
      <c r="AR257" s="57">
        <f t="shared" ref="AR257:AS257" si="844">AI257/94</f>
        <v>531.8085106</v>
      </c>
      <c r="AS257" s="57">
        <f t="shared" si="844"/>
        <v>446.7021277</v>
      </c>
      <c r="AT257" s="58">
        <f t="shared" ref="AT257:AU257" si="845">AI257/24</f>
        <v>2082.916667</v>
      </c>
      <c r="AU257" s="58">
        <f t="shared" si="845"/>
        <v>1749.583333</v>
      </c>
      <c r="AV257" s="58">
        <f t="shared" ref="AV257:AW257" si="846">AI257/125</f>
        <v>399.92</v>
      </c>
      <c r="AW257" s="58">
        <f t="shared" si="846"/>
        <v>335.92</v>
      </c>
      <c r="AX257" s="47"/>
      <c r="AY257" s="47"/>
    </row>
    <row r="258" ht="15.75" customHeight="1">
      <c r="A258" s="42"/>
      <c r="B258" s="42" t="s">
        <v>511</v>
      </c>
      <c r="C258" s="95" t="s">
        <v>512</v>
      </c>
      <c r="D258" s="137">
        <v>21000.0</v>
      </c>
      <c r="E258" s="47"/>
      <c r="F258" s="44">
        <v>145.0</v>
      </c>
      <c r="G258" s="138">
        <v>7.01399E7</v>
      </c>
      <c r="H258" s="139">
        <v>0.18</v>
      </c>
      <c r="I258" s="42">
        <f t="shared" si="748"/>
        <v>3780</v>
      </c>
      <c r="J258" s="47"/>
      <c r="K258" s="42">
        <v>800.0</v>
      </c>
      <c r="L258" s="140">
        <f t="shared" si="5"/>
        <v>25725</v>
      </c>
      <c r="M258" s="42">
        <f t="shared" si="666"/>
        <v>210</v>
      </c>
      <c r="N258" s="49">
        <f t="shared" si="667"/>
        <v>2058</v>
      </c>
      <c r="O258" s="49">
        <f t="shared" si="668"/>
        <v>2572.5</v>
      </c>
      <c r="P258" s="49">
        <f t="shared" si="669"/>
        <v>1286.25</v>
      </c>
      <c r="Q258" s="49">
        <f t="shared" si="670"/>
        <v>514.5</v>
      </c>
      <c r="R258" s="49">
        <f t="shared" si="671"/>
        <v>220.5</v>
      </c>
      <c r="S258" s="49">
        <f t="shared" si="672"/>
        <v>257.25</v>
      </c>
      <c r="T258" s="50">
        <f t="shared" si="673"/>
        <v>6898.5</v>
      </c>
      <c r="U258" s="42">
        <f t="shared" si="674"/>
        <v>441</v>
      </c>
      <c r="V258" s="42">
        <f t="shared" si="15"/>
        <v>2205</v>
      </c>
      <c r="W258" s="42">
        <f t="shared" si="675"/>
        <v>441</v>
      </c>
      <c r="X258" s="42">
        <f t="shared" si="676"/>
        <v>3528</v>
      </c>
      <c r="Y258" s="42">
        <f t="shared" si="677"/>
        <v>6615</v>
      </c>
      <c r="Z258" s="50">
        <f t="shared" si="678"/>
        <v>39238.5</v>
      </c>
      <c r="AA258" s="51">
        <f t="shared" si="679"/>
        <v>7847.7</v>
      </c>
      <c r="AB258" s="49">
        <f t="shared" si="680"/>
        <v>47086.2</v>
      </c>
      <c r="AC258" s="42">
        <f t="shared" si="681"/>
        <v>44100</v>
      </c>
      <c r="AD258" s="49">
        <f t="shared" si="682"/>
        <v>2986.2</v>
      </c>
      <c r="AE258" s="49">
        <f t="shared" si="683"/>
        <v>6.34198555</v>
      </c>
      <c r="AF258" s="47"/>
      <c r="AG258" s="52">
        <f t="shared" si="25"/>
        <v>-100</v>
      </c>
      <c r="AH258" s="53">
        <f t="shared" si="684"/>
        <v>36990</v>
      </c>
      <c r="AI258" s="53">
        <v>47990.0</v>
      </c>
      <c r="AJ258" s="54">
        <v>36990.0</v>
      </c>
      <c r="AK258" s="55">
        <f t="shared" si="27"/>
        <v>43.79008746</v>
      </c>
      <c r="AL258" s="55"/>
      <c r="AM258" s="55">
        <f t="shared" si="749"/>
        <v>100</v>
      </c>
      <c r="AN258" s="55">
        <f t="shared" si="686"/>
        <v>143.7900875</v>
      </c>
      <c r="AO258" s="56">
        <f t="shared" si="687"/>
        <v>1.437900875</v>
      </c>
      <c r="AP258" s="55">
        <f t="shared" si="688"/>
        <v>-100.962</v>
      </c>
      <c r="AQ258" s="55">
        <f t="shared" si="689"/>
        <v>-71.1</v>
      </c>
      <c r="AR258" s="57">
        <f t="shared" ref="AR258:AS258" si="847">AI258/94</f>
        <v>510.5319149</v>
      </c>
      <c r="AS258" s="57">
        <f t="shared" si="847"/>
        <v>393.5106383</v>
      </c>
      <c r="AT258" s="58">
        <f t="shared" ref="AT258:AU258" si="848">AI258/24</f>
        <v>1999.583333</v>
      </c>
      <c r="AU258" s="58">
        <f t="shared" si="848"/>
        <v>1541.25</v>
      </c>
      <c r="AV258" s="58">
        <f t="shared" ref="AV258:AW258" si="849">AI258/125</f>
        <v>383.92</v>
      </c>
      <c r="AW258" s="58">
        <f t="shared" si="849"/>
        <v>295.92</v>
      </c>
      <c r="AX258" s="47"/>
      <c r="AY258" s="47"/>
    </row>
    <row r="259" ht="15.75" customHeight="1">
      <c r="A259" s="42"/>
      <c r="B259" s="42" t="s">
        <v>513</v>
      </c>
      <c r="C259" s="95" t="s">
        <v>514</v>
      </c>
      <c r="D259" s="137">
        <v>19500.0</v>
      </c>
      <c r="E259" s="47"/>
      <c r="F259" s="44">
        <v>145.0</v>
      </c>
      <c r="G259" s="138">
        <v>7.01399E7</v>
      </c>
      <c r="H259" s="139">
        <v>0.18</v>
      </c>
      <c r="I259" s="42">
        <f t="shared" si="748"/>
        <v>3510</v>
      </c>
      <c r="J259" s="47"/>
      <c r="K259" s="42">
        <v>800.0</v>
      </c>
      <c r="L259" s="140">
        <f t="shared" si="5"/>
        <v>23955</v>
      </c>
      <c r="M259" s="42">
        <f t="shared" si="666"/>
        <v>195</v>
      </c>
      <c r="N259" s="49">
        <f t="shared" si="667"/>
        <v>1916.4</v>
      </c>
      <c r="O259" s="49">
        <f t="shared" si="668"/>
        <v>2395.5</v>
      </c>
      <c r="P259" s="49">
        <f t="shared" si="669"/>
        <v>1197.75</v>
      </c>
      <c r="Q259" s="49">
        <f t="shared" si="670"/>
        <v>479.1</v>
      </c>
      <c r="R259" s="49">
        <f t="shared" si="671"/>
        <v>204.75</v>
      </c>
      <c r="S259" s="49">
        <f t="shared" si="672"/>
        <v>239.55</v>
      </c>
      <c r="T259" s="50">
        <f t="shared" si="673"/>
        <v>6423.3</v>
      </c>
      <c r="U259" s="42">
        <f t="shared" si="674"/>
        <v>409.5</v>
      </c>
      <c r="V259" s="42">
        <f t="shared" si="15"/>
        <v>2047.5</v>
      </c>
      <c r="W259" s="42">
        <f t="shared" si="675"/>
        <v>409.5</v>
      </c>
      <c r="X259" s="42">
        <f t="shared" si="676"/>
        <v>3276</v>
      </c>
      <c r="Y259" s="42">
        <f t="shared" si="677"/>
        <v>6142.5</v>
      </c>
      <c r="Z259" s="50">
        <f t="shared" si="678"/>
        <v>36520.8</v>
      </c>
      <c r="AA259" s="51">
        <f t="shared" si="679"/>
        <v>7304.16</v>
      </c>
      <c r="AB259" s="49">
        <f t="shared" si="680"/>
        <v>43824.96</v>
      </c>
      <c r="AC259" s="42">
        <f t="shared" si="681"/>
        <v>40950</v>
      </c>
      <c r="AD259" s="49">
        <f t="shared" si="682"/>
        <v>2874.96</v>
      </c>
      <c r="AE259" s="49">
        <f t="shared" si="683"/>
        <v>6.56009726</v>
      </c>
      <c r="AF259" s="47"/>
      <c r="AG259" s="52">
        <f t="shared" si="25"/>
        <v>-100</v>
      </c>
      <c r="AH259" s="53">
        <f t="shared" si="684"/>
        <v>34490</v>
      </c>
      <c r="AI259" s="53">
        <v>46990.0</v>
      </c>
      <c r="AJ259" s="54">
        <v>34490.0</v>
      </c>
      <c r="AK259" s="55">
        <f t="shared" si="27"/>
        <v>43.97829263</v>
      </c>
      <c r="AL259" s="55"/>
      <c r="AM259" s="55">
        <f t="shared" si="749"/>
        <v>100</v>
      </c>
      <c r="AN259" s="55">
        <f t="shared" si="686"/>
        <v>143.9782926</v>
      </c>
      <c r="AO259" s="56">
        <f t="shared" si="687"/>
        <v>1.439782926</v>
      </c>
      <c r="AP259" s="55">
        <f t="shared" si="688"/>
        <v>-93.3496</v>
      </c>
      <c r="AQ259" s="55">
        <f t="shared" si="689"/>
        <v>-64.6</v>
      </c>
      <c r="AR259" s="57">
        <f t="shared" ref="AR259:AS259" si="850">AI259/94</f>
        <v>499.893617</v>
      </c>
      <c r="AS259" s="57">
        <f t="shared" si="850"/>
        <v>366.9148936</v>
      </c>
      <c r="AT259" s="58">
        <f t="shared" ref="AT259:AU259" si="851">AI259/24</f>
        <v>1957.916667</v>
      </c>
      <c r="AU259" s="58">
        <f t="shared" si="851"/>
        <v>1437.083333</v>
      </c>
      <c r="AV259" s="58">
        <f t="shared" ref="AV259:AW259" si="852">AI259/125</f>
        <v>375.92</v>
      </c>
      <c r="AW259" s="58">
        <f t="shared" si="852"/>
        <v>275.92</v>
      </c>
      <c r="AX259" s="47"/>
      <c r="AY259" s="47"/>
    </row>
    <row r="260" ht="15.0" customHeight="1">
      <c r="A260" s="2" t="s">
        <v>515</v>
      </c>
      <c r="B260" s="2" t="s">
        <v>471</v>
      </c>
      <c r="C260" s="2" t="s">
        <v>516</v>
      </c>
      <c r="D260" s="141">
        <v>4950.0</v>
      </c>
      <c r="F260" s="1">
        <v>140.0</v>
      </c>
      <c r="G260" s="10">
        <v>7.01399E7</v>
      </c>
      <c r="H260" s="59">
        <v>0.18</v>
      </c>
      <c r="I260" s="2">
        <f t="shared" si="748"/>
        <v>891</v>
      </c>
      <c r="K260" s="94">
        <v>500.0</v>
      </c>
      <c r="L260" s="4">
        <f t="shared" si="5"/>
        <v>6481</v>
      </c>
      <c r="M260" s="2">
        <f t="shared" si="666"/>
        <v>49.5</v>
      </c>
      <c r="N260" s="12">
        <f t="shared" si="667"/>
        <v>518.48</v>
      </c>
      <c r="O260" s="12">
        <f t="shared" si="668"/>
        <v>648.1</v>
      </c>
      <c r="P260" s="12">
        <f t="shared" si="669"/>
        <v>324.05</v>
      </c>
      <c r="Q260" s="12">
        <f t="shared" si="670"/>
        <v>129.62</v>
      </c>
      <c r="R260" s="12">
        <f t="shared" si="671"/>
        <v>51.975</v>
      </c>
      <c r="S260" s="12">
        <f t="shared" si="672"/>
        <v>64.81</v>
      </c>
      <c r="T260" s="60">
        <f t="shared" si="673"/>
        <v>1734.56</v>
      </c>
      <c r="U260" s="2">
        <f t="shared" si="674"/>
        <v>103.95</v>
      </c>
      <c r="V260" s="42">
        <f t="shared" si="15"/>
        <v>519.75</v>
      </c>
      <c r="W260" s="2">
        <f t="shared" si="675"/>
        <v>103.95</v>
      </c>
      <c r="X260" s="2">
        <f t="shared" si="676"/>
        <v>831.6</v>
      </c>
      <c r="Y260" s="2">
        <f t="shared" si="677"/>
        <v>1559.25</v>
      </c>
      <c r="Z260" s="60">
        <f t="shared" si="678"/>
        <v>9774.81</v>
      </c>
      <c r="AA260" s="11">
        <f t="shared" si="679"/>
        <v>1954.962</v>
      </c>
      <c r="AB260" s="12">
        <f t="shared" si="680"/>
        <v>11729.772</v>
      </c>
      <c r="AC260" s="2">
        <f t="shared" si="681"/>
        <v>10395</v>
      </c>
      <c r="AD260" s="12">
        <f t="shared" si="682"/>
        <v>1334.772</v>
      </c>
      <c r="AE260" s="12">
        <f t="shared" si="683"/>
        <v>11.37935162</v>
      </c>
      <c r="AF260" s="61">
        <v>8950.0</v>
      </c>
      <c r="AG260" s="62">
        <f t="shared" si="25"/>
        <v>38.09597284</v>
      </c>
      <c r="AH260" s="63">
        <f t="shared" si="684"/>
        <v>300</v>
      </c>
      <c r="AI260" s="64">
        <f t="shared" ref="AI260:AI265" si="856">AB260</f>
        <v>11729.772</v>
      </c>
      <c r="AJ260" s="65">
        <v>9250.0</v>
      </c>
      <c r="AK260" s="66">
        <f t="shared" si="27"/>
        <v>42.72488813</v>
      </c>
      <c r="AL260" s="66"/>
      <c r="AM260" s="14">
        <f t="shared" si="749"/>
        <v>3.243243243</v>
      </c>
      <c r="AN260" s="67">
        <f t="shared" si="686"/>
        <v>4.628915291</v>
      </c>
      <c r="AO260" s="68">
        <f t="shared" si="687"/>
        <v>1.427248881</v>
      </c>
      <c r="AP260" s="69">
        <f t="shared" si="688"/>
        <v>-24.79772</v>
      </c>
      <c r="AQ260" s="70">
        <f t="shared" si="689"/>
        <v>-11.45</v>
      </c>
      <c r="AR260" s="71">
        <f t="shared" ref="AR260:AS260" si="853">AI260/94</f>
        <v>124.7848085</v>
      </c>
      <c r="AS260" s="71">
        <f t="shared" si="853"/>
        <v>98.40425532</v>
      </c>
      <c r="AT260" s="72">
        <f t="shared" ref="AT260:AU260" si="854">AI260/24</f>
        <v>488.7405</v>
      </c>
      <c r="AU260" s="72">
        <f t="shared" si="854"/>
        <v>385.4166667</v>
      </c>
      <c r="AV260" s="73">
        <f t="shared" ref="AV260:AW260" si="855">AI260/125</f>
        <v>93.838176</v>
      </c>
      <c r="AW260" s="73">
        <f t="shared" si="855"/>
        <v>74</v>
      </c>
    </row>
    <row r="261" ht="15.75" customHeight="1">
      <c r="A261" s="2"/>
      <c r="B261" s="2" t="s">
        <v>475</v>
      </c>
      <c r="C261" s="2" t="s">
        <v>517</v>
      </c>
      <c r="D261" s="141">
        <v>6200.0</v>
      </c>
      <c r="F261" s="1">
        <v>140.0</v>
      </c>
      <c r="G261" s="10">
        <v>7.01399E7</v>
      </c>
      <c r="H261" s="59">
        <v>0.18</v>
      </c>
      <c r="I261" s="2">
        <f t="shared" si="748"/>
        <v>1116</v>
      </c>
      <c r="K261" s="94">
        <v>500.0</v>
      </c>
      <c r="L261" s="4">
        <f t="shared" si="5"/>
        <v>7956</v>
      </c>
      <c r="M261" s="2">
        <f t="shared" si="666"/>
        <v>62</v>
      </c>
      <c r="N261" s="12">
        <f t="shared" si="667"/>
        <v>636.48</v>
      </c>
      <c r="O261" s="12">
        <f t="shared" si="668"/>
        <v>795.6</v>
      </c>
      <c r="P261" s="12">
        <f t="shared" si="669"/>
        <v>397.8</v>
      </c>
      <c r="Q261" s="12">
        <f t="shared" si="670"/>
        <v>159.12</v>
      </c>
      <c r="R261" s="12">
        <f t="shared" si="671"/>
        <v>65.1</v>
      </c>
      <c r="S261" s="12">
        <f t="shared" si="672"/>
        <v>79.56</v>
      </c>
      <c r="T261" s="60">
        <f t="shared" si="673"/>
        <v>2130.56</v>
      </c>
      <c r="U261" s="2">
        <f t="shared" si="674"/>
        <v>130.2</v>
      </c>
      <c r="V261" s="42">
        <f t="shared" si="15"/>
        <v>651</v>
      </c>
      <c r="W261" s="2">
        <f t="shared" si="675"/>
        <v>130.2</v>
      </c>
      <c r="X261" s="2">
        <f t="shared" si="676"/>
        <v>1041.6</v>
      </c>
      <c r="Y261" s="2">
        <f t="shared" si="677"/>
        <v>1953</v>
      </c>
      <c r="Z261" s="60">
        <f t="shared" si="678"/>
        <v>12039.56</v>
      </c>
      <c r="AA261" s="11">
        <f t="shared" si="679"/>
        <v>2407.912</v>
      </c>
      <c r="AB261" s="12">
        <f t="shared" si="680"/>
        <v>14447.472</v>
      </c>
      <c r="AC261" s="2">
        <f t="shared" si="681"/>
        <v>13020</v>
      </c>
      <c r="AD261" s="12">
        <f t="shared" si="682"/>
        <v>1427.472</v>
      </c>
      <c r="AE261" s="12">
        <f t="shared" si="683"/>
        <v>9.880427524</v>
      </c>
      <c r="AF261" s="61">
        <v>10950.0</v>
      </c>
      <c r="AG261" s="62">
        <f t="shared" si="25"/>
        <v>37.63197587</v>
      </c>
      <c r="AH261" s="63">
        <f t="shared" si="684"/>
        <v>500</v>
      </c>
      <c r="AI261" s="64">
        <f t="shared" si="856"/>
        <v>14447.472</v>
      </c>
      <c r="AJ261" s="65">
        <v>11450.0</v>
      </c>
      <c r="AK261" s="66">
        <f t="shared" si="27"/>
        <v>43.91654098</v>
      </c>
      <c r="AL261" s="66"/>
      <c r="AM261" s="14">
        <f t="shared" si="749"/>
        <v>4.366812227</v>
      </c>
      <c r="AN261" s="67">
        <f t="shared" si="686"/>
        <v>6.284565108</v>
      </c>
      <c r="AO261" s="68">
        <f t="shared" si="687"/>
        <v>1.43916541</v>
      </c>
      <c r="AP261" s="69">
        <f t="shared" si="688"/>
        <v>-29.97472</v>
      </c>
      <c r="AQ261" s="70">
        <f t="shared" si="689"/>
        <v>-15.7</v>
      </c>
      <c r="AR261" s="71">
        <f t="shared" ref="AR261:AS261" si="857">AI261/94</f>
        <v>153.6965106</v>
      </c>
      <c r="AS261" s="71">
        <f t="shared" si="857"/>
        <v>121.8085106</v>
      </c>
      <c r="AT261" s="72">
        <f t="shared" ref="AT261:AU261" si="858">AI261/24</f>
        <v>601.978</v>
      </c>
      <c r="AU261" s="72">
        <f t="shared" si="858"/>
        <v>477.0833333</v>
      </c>
      <c r="AV261" s="73">
        <f t="shared" ref="AV261:AW261" si="859">AI261/125</f>
        <v>115.579776</v>
      </c>
      <c r="AW261" s="73">
        <f t="shared" si="859"/>
        <v>91.6</v>
      </c>
    </row>
    <row r="262" ht="15.0" customHeight="1">
      <c r="A262" s="2" t="s">
        <v>518</v>
      </c>
      <c r="B262" s="2" t="s">
        <v>519</v>
      </c>
      <c r="C262" s="2" t="s">
        <v>520</v>
      </c>
      <c r="D262" s="10">
        <v>2050.0</v>
      </c>
      <c r="F262" s="1">
        <v>200.0</v>
      </c>
      <c r="G262" s="10">
        <v>9.206E7</v>
      </c>
      <c r="H262" s="59">
        <v>0.18</v>
      </c>
      <c r="I262" s="2">
        <f t="shared" si="748"/>
        <v>369</v>
      </c>
      <c r="K262" s="142">
        <v>400.0</v>
      </c>
      <c r="L262" s="4">
        <f t="shared" si="5"/>
        <v>3019</v>
      </c>
      <c r="M262" s="2">
        <f t="shared" si="666"/>
        <v>20.5</v>
      </c>
      <c r="N262" s="12">
        <f t="shared" si="667"/>
        <v>241.52</v>
      </c>
      <c r="O262" s="12">
        <f t="shared" si="668"/>
        <v>301.9</v>
      </c>
      <c r="P262" s="12">
        <f t="shared" si="669"/>
        <v>150.95</v>
      </c>
      <c r="Q262" s="12">
        <f t="shared" si="670"/>
        <v>60.38</v>
      </c>
      <c r="R262" s="12">
        <f t="shared" si="671"/>
        <v>21.525</v>
      </c>
      <c r="S262" s="12">
        <f t="shared" si="672"/>
        <v>30.19</v>
      </c>
      <c r="T262" s="60">
        <f t="shared" si="673"/>
        <v>805.44</v>
      </c>
      <c r="U262" s="2">
        <f t="shared" si="674"/>
        <v>43.05</v>
      </c>
      <c r="V262" s="42">
        <f t="shared" si="15"/>
        <v>215.25</v>
      </c>
      <c r="W262" s="2">
        <f t="shared" si="675"/>
        <v>43.05</v>
      </c>
      <c r="X262" s="2">
        <f t="shared" si="676"/>
        <v>344.4</v>
      </c>
      <c r="Y262" s="2">
        <f t="shared" si="677"/>
        <v>645.75</v>
      </c>
      <c r="Z262" s="60">
        <f t="shared" si="678"/>
        <v>4470.19</v>
      </c>
      <c r="AA262" s="11">
        <f t="shared" si="679"/>
        <v>894.038</v>
      </c>
      <c r="AB262" s="12">
        <f t="shared" si="680"/>
        <v>5364.228</v>
      </c>
      <c r="AC262" s="2">
        <f t="shared" si="681"/>
        <v>4305</v>
      </c>
      <c r="AD262" s="12">
        <f t="shared" si="682"/>
        <v>1059.228</v>
      </c>
      <c r="AE262" s="12">
        <f t="shared" si="683"/>
        <v>19.74614054</v>
      </c>
      <c r="AF262" s="61">
        <v>3950.0</v>
      </c>
      <c r="AG262" s="62">
        <f t="shared" si="25"/>
        <v>30.83802584</v>
      </c>
      <c r="AH262" s="63">
        <f t="shared" si="684"/>
        <v>500</v>
      </c>
      <c r="AI262" s="64">
        <f t="shared" si="856"/>
        <v>5364.228</v>
      </c>
      <c r="AJ262" s="65">
        <v>4450.0</v>
      </c>
      <c r="AK262" s="66">
        <f t="shared" si="27"/>
        <v>47.39980126</v>
      </c>
      <c r="AL262" s="66"/>
      <c r="AM262" s="14">
        <f t="shared" si="749"/>
        <v>11.23595506</v>
      </c>
      <c r="AN262" s="67">
        <f t="shared" si="686"/>
        <v>16.56177542</v>
      </c>
      <c r="AO262" s="68">
        <f t="shared" si="687"/>
        <v>1.473998013</v>
      </c>
      <c r="AP262" s="69">
        <f t="shared" si="688"/>
        <v>-9.14228</v>
      </c>
      <c r="AQ262" s="70">
        <f t="shared" si="689"/>
        <v>1.45</v>
      </c>
      <c r="AR262" s="71">
        <f t="shared" ref="AR262:AS262" si="860">AI262/94</f>
        <v>57.06625532</v>
      </c>
      <c r="AS262" s="71">
        <f t="shared" si="860"/>
        <v>47.34042553</v>
      </c>
      <c r="AT262" s="72">
        <f t="shared" ref="AT262:AU262" si="861">AI262/24</f>
        <v>223.5095</v>
      </c>
      <c r="AU262" s="72">
        <f t="shared" si="861"/>
        <v>185.4166667</v>
      </c>
      <c r="AV262" s="73">
        <f t="shared" ref="AV262:AW262" si="862">AI262/125</f>
        <v>42.913824</v>
      </c>
      <c r="AW262" s="73">
        <f t="shared" si="862"/>
        <v>35.6</v>
      </c>
    </row>
    <row r="263" ht="15.75" customHeight="1">
      <c r="A263" s="2"/>
      <c r="B263" s="2" t="s">
        <v>521</v>
      </c>
      <c r="C263" s="2" t="s">
        <v>522</v>
      </c>
      <c r="D263" s="10">
        <v>2050.0</v>
      </c>
      <c r="F263" s="1">
        <v>200.0</v>
      </c>
      <c r="G263" s="10">
        <v>9.206E7</v>
      </c>
      <c r="H263" s="59">
        <v>0.18</v>
      </c>
      <c r="I263" s="2">
        <f t="shared" si="748"/>
        <v>369</v>
      </c>
      <c r="K263" s="142">
        <v>400.0</v>
      </c>
      <c r="L263" s="4">
        <f t="shared" si="5"/>
        <v>3019</v>
      </c>
      <c r="M263" s="2">
        <f t="shared" si="666"/>
        <v>20.5</v>
      </c>
      <c r="N263" s="12">
        <f t="shared" si="667"/>
        <v>241.52</v>
      </c>
      <c r="O263" s="12">
        <f t="shared" si="668"/>
        <v>301.9</v>
      </c>
      <c r="P263" s="12">
        <f t="shared" si="669"/>
        <v>150.95</v>
      </c>
      <c r="Q263" s="12">
        <f t="shared" si="670"/>
        <v>60.38</v>
      </c>
      <c r="R263" s="12">
        <f t="shared" si="671"/>
        <v>21.525</v>
      </c>
      <c r="S263" s="12">
        <f t="shared" si="672"/>
        <v>30.19</v>
      </c>
      <c r="T263" s="60">
        <f t="shared" si="673"/>
        <v>805.44</v>
      </c>
      <c r="U263" s="2">
        <f t="shared" si="674"/>
        <v>43.05</v>
      </c>
      <c r="V263" s="42">
        <f t="shared" si="15"/>
        <v>215.25</v>
      </c>
      <c r="W263" s="2">
        <f t="shared" si="675"/>
        <v>43.05</v>
      </c>
      <c r="X263" s="2">
        <f t="shared" si="676"/>
        <v>344.4</v>
      </c>
      <c r="Y263" s="2">
        <f t="shared" si="677"/>
        <v>645.75</v>
      </c>
      <c r="Z263" s="60">
        <f t="shared" si="678"/>
        <v>4470.19</v>
      </c>
      <c r="AA263" s="11">
        <f t="shared" si="679"/>
        <v>894.038</v>
      </c>
      <c r="AB263" s="12">
        <f t="shared" si="680"/>
        <v>5364.228</v>
      </c>
      <c r="AC263" s="2">
        <f t="shared" si="681"/>
        <v>4305</v>
      </c>
      <c r="AD263" s="12">
        <f t="shared" si="682"/>
        <v>1059.228</v>
      </c>
      <c r="AE263" s="12">
        <f t="shared" si="683"/>
        <v>19.74614054</v>
      </c>
      <c r="AF263" s="61">
        <v>3950.0</v>
      </c>
      <c r="AG263" s="62">
        <f t="shared" si="25"/>
        <v>30.83802584</v>
      </c>
      <c r="AH263" s="63">
        <f t="shared" si="684"/>
        <v>500</v>
      </c>
      <c r="AI263" s="64">
        <f t="shared" si="856"/>
        <v>5364.228</v>
      </c>
      <c r="AJ263" s="65">
        <v>4450.0</v>
      </c>
      <c r="AK263" s="66">
        <f t="shared" si="27"/>
        <v>47.39980126</v>
      </c>
      <c r="AL263" s="66"/>
      <c r="AM263" s="14">
        <f t="shared" si="749"/>
        <v>11.23595506</v>
      </c>
      <c r="AN263" s="67">
        <f t="shared" si="686"/>
        <v>16.56177542</v>
      </c>
      <c r="AO263" s="68">
        <f t="shared" si="687"/>
        <v>1.473998013</v>
      </c>
      <c r="AP263" s="69">
        <f t="shared" si="688"/>
        <v>-9.14228</v>
      </c>
      <c r="AQ263" s="70">
        <f t="shared" si="689"/>
        <v>1.45</v>
      </c>
      <c r="AR263" s="71">
        <f t="shared" ref="AR263:AS263" si="863">AI263/94</f>
        <v>57.06625532</v>
      </c>
      <c r="AS263" s="71">
        <f t="shared" si="863"/>
        <v>47.34042553</v>
      </c>
      <c r="AT263" s="72">
        <f t="shared" ref="AT263:AU263" si="864">AI263/24</f>
        <v>223.5095</v>
      </c>
      <c r="AU263" s="72">
        <f t="shared" si="864"/>
        <v>185.4166667</v>
      </c>
      <c r="AV263" s="73">
        <f t="shared" ref="AV263:AW263" si="865">AI263/125</f>
        <v>42.913824</v>
      </c>
      <c r="AW263" s="73">
        <f t="shared" si="865"/>
        <v>35.6</v>
      </c>
    </row>
    <row r="264" ht="15.75" customHeight="1">
      <c r="A264" s="2"/>
      <c r="B264" s="2" t="s">
        <v>523</v>
      </c>
      <c r="C264" s="2" t="s">
        <v>524</v>
      </c>
      <c r="D264" s="10">
        <v>3150.0</v>
      </c>
      <c r="F264" s="1">
        <v>200.0</v>
      </c>
      <c r="G264" s="10">
        <v>9.206E7</v>
      </c>
      <c r="H264" s="59">
        <v>0.18</v>
      </c>
      <c r="I264" s="2">
        <f t="shared" si="748"/>
        <v>567</v>
      </c>
      <c r="K264" s="142">
        <v>400.0</v>
      </c>
      <c r="L264" s="4">
        <f t="shared" si="5"/>
        <v>4317</v>
      </c>
      <c r="M264" s="2">
        <f t="shared" si="666"/>
        <v>31.5</v>
      </c>
      <c r="N264" s="12">
        <f t="shared" si="667"/>
        <v>345.36</v>
      </c>
      <c r="O264" s="12">
        <f t="shared" si="668"/>
        <v>431.7</v>
      </c>
      <c r="P264" s="12">
        <f t="shared" si="669"/>
        <v>215.85</v>
      </c>
      <c r="Q264" s="12">
        <f t="shared" si="670"/>
        <v>86.34</v>
      </c>
      <c r="R264" s="12">
        <f t="shared" si="671"/>
        <v>33.075</v>
      </c>
      <c r="S264" s="12">
        <f t="shared" si="672"/>
        <v>43.17</v>
      </c>
      <c r="T264" s="60">
        <f t="shared" si="673"/>
        <v>1153.92</v>
      </c>
      <c r="U264" s="2">
        <f t="shared" si="674"/>
        <v>66.15</v>
      </c>
      <c r="V264" s="42">
        <f t="shared" si="15"/>
        <v>330.75</v>
      </c>
      <c r="W264" s="2">
        <f t="shared" si="675"/>
        <v>66.15</v>
      </c>
      <c r="X264" s="2">
        <f t="shared" si="676"/>
        <v>529.2</v>
      </c>
      <c r="Y264" s="2">
        <f t="shared" si="677"/>
        <v>992.25</v>
      </c>
      <c r="Z264" s="60">
        <f t="shared" si="678"/>
        <v>6463.17</v>
      </c>
      <c r="AA264" s="11">
        <f t="shared" si="679"/>
        <v>1292.634</v>
      </c>
      <c r="AB264" s="12">
        <f t="shared" si="680"/>
        <v>7755.804</v>
      </c>
      <c r="AC264" s="2">
        <f t="shared" si="681"/>
        <v>6615</v>
      </c>
      <c r="AD264" s="12">
        <f t="shared" si="682"/>
        <v>1140.804</v>
      </c>
      <c r="AE264" s="12">
        <f t="shared" si="683"/>
        <v>14.70903597</v>
      </c>
      <c r="AF264" s="61">
        <v>5350.0</v>
      </c>
      <c r="AG264" s="62">
        <f t="shared" si="25"/>
        <v>23.92865416</v>
      </c>
      <c r="AH264" s="63">
        <f t="shared" si="684"/>
        <v>1000</v>
      </c>
      <c r="AI264" s="64">
        <f t="shared" si="856"/>
        <v>7755.804</v>
      </c>
      <c r="AJ264" s="65">
        <v>6350.0</v>
      </c>
      <c r="AK264" s="66">
        <f t="shared" si="27"/>
        <v>47.09288858</v>
      </c>
      <c r="AL264" s="66"/>
      <c r="AM264" s="14">
        <f t="shared" si="749"/>
        <v>15.7480315</v>
      </c>
      <c r="AN264" s="67">
        <f t="shared" si="686"/>
        <v>23.16423442</v>
      </c>
      <c r="AO264" s="68">
        <f t="shared" si="687"/>
        <v>1.470928886</v>
      </c>
      <c r="AP264" s="69">
        <f t="shared" si="688"/>
        <v>-14.05804</v>
      </c>
      <c r="AQ264" s="70">
        <f t="shared" si="689"/>
        <v>-2.65</v>
      </c>
      <c r="AR264" s="71">
        <f t="shared" ref="AR264:AS264" si="866">AI264/94</f>
        <v>82.50855319</v>
      </c>
      <c r="AS264" s="71">
        <f t="shared" si="866"/>
        <v>67.55319149</v>
      </c>
      <c r="AT264" s="72">
        <f t="shared" ref="AT264:AU264" si="867">AI264/24</f>
        <v>323.1585</v>
      </c>
      <c r="AU264" s="72">
        <f t="shared" si="867"/>
        <v>264.5833333</v>
      </c>
      <c r="AV264" s="73">
        <f t="shared" ref="AV264:AW264" si="868">AI264/125</f>
        <v>62.046432</v>
      </c>
      <c r="AW264" s="73">
        <f t="shared" si="868"/>
        <v>50.8</v>
      </c>
    </row>
    <row r="265" ht="15.75" customHeight="1">
      <c r="A265" s="2"/>
      <c r="B265" s="2" t="s">
        <v>525</v>
      </c>
      <c r="C265" s="2" t="s">
        <v>526</v>
      </c>
      <c r="D265" s="10">
        <v>3150.0</v>
      </c>
      <c r="F265" s="1">
        <v>200.0</v>
      </c>
      <c r="G265" s="10">
        <v>9.206E7</v>
      </c>
      <c r="H265" s="59">
        <v>0.18</v>
      </c>
      <c r="I265" s="2">
        <f t="shared" si="748"/>
        <v>567</v>
      </c>
      <c r="K265" s="142">
        <v>400.0</v>
      </c>
      <c r="L265" s="4">
        <f t="shared" si="5"/>
        <v>4317</v>
      </c>
      <c r="M265" s="2">
        <f t="shared" si="666"/>
        <v>31.5</v>
      </c>
      <c r="N265" s="12">
        <f t="shared" si="667"/>
        <v>345.36</v>
      </c>
      <c r="O265" s="12">
        <f t="shared" si="668"/>
        <v>431.7</v>
      </c>
      <c r="P265" s="12">
        <f t="shared" si="669"/>
        <v>215.85</v>
      </c>
      <c r="Q265" s="12">
        <f t="shared" si="670"/>
        <v>86.34</v>
      </c>
      <c r="R265" s="12">
        <f t="shared" si="671"/>
        <v>33.075</v>
      </c>
      <c r="S265" s="12">
        <f t="shared" si="672"/>
        <v>43.17</v>
      </c>
      <c r="T265" s="60">
        <f t="shared" si="673"/>
        <v>1153.92</v>
      </c>
      <c r="U265" s="2">
        <f t="shared" si="674"/>
        <v>66.15</v>
      </c>
      <c r="V265" s="42">
        <f t="shared" si="15"/>
        <v>330.75</v>
      </c>
      <c r="W265" s="2">
        <f t="shared" si="675"/>
        <v>66.15</v>
      </c>
      <c r="X265" s="2">
        <f t="shared" si="676"/>
        <v>529.2</v>
      </c>
      <c r="Y265" s="2">
        <f t="shared" si="677"/>
        <v>992.25</v>
      </c>
      <c r="Z265" s="60">
        <f t="shared" si="678"/>
        <v>6463.17</v>
      </c>
      <c r="AA265" s="11">
        <f t="shared" si="679"/>
        <v>1292.634</v>
      </c>
      <c r="AB265" s="12">
        <f t="shared" si="680"/>
        <v>7755.804</v>
      </c>
      <c r="AC265" s="2">
        <f t="shared" si="681"/>
        <v>6615</v>
      </c>
      <c r="AD265" s="12">
        <f t="shared" si="682"/>
        <v>1140.804</v>
      </c>
      <c r="AE265" s="12">
        <f t="shared" si="683"/>
        <v>14.70903597</v>
      </c>
      <c r="AF265" s="61">
        <v>5350.0</v>
      </c>
      <c r="AG265" s="62">
        <f t="shared" si="25"/>
        <v>23.92865416</v>
      </c>
      <c r="AH265" s="63">
        <f t="shared" si="684"/>
        <v>1000</v>
      </c>
      <c r="AI265" s="64">
        <f t="shared" si="856"/>
        <v>7755.804</v>
      </c>
      <c r="AJ265" s="65">
        <v>6350.0</v>
      </c>
      <c r="AK265" s="66">
        <f t="shared" si="27"/>
        <v>47.09288858</v>
      </c>
      <c r="AL265" s="66"/>
      <c r="AM265" s="14">
        <f t="shared" si="749"/>
        <v>15.7480315</v>
      </c>
      <c r="AN265" s="67">
        <f t="shared" si="686"/>
        <v>23.16423442</v>
      </c>
      <c r="AO265" s="68">
        <f t="shared" si="687"/>
        <v>1.470928886</v>
      </c>
      <c r="AP265" s="69">
        <f t="shared" si="688"/>
        <v>-14.05804</v>
      </c>
      <c r="AQ265" s="70">
        <f t="shared" si="689"/>
        <v>-2.65</v>
      </c>
      <c r="AR265" s="71">
        <f t="shared" ref="AR265:AS265" si="869">AI265/94</f>
        <v>82.50855319</v>
      </c>
      <c r="AS265" s="71">
        <f t="shared" si="869"/>
        <v>67.55319149</v>
      </c>
      <c r="AT265" s="72">
        <f t="shared" ref="AT265:AU265" si="870">AI265/24</f>
        <v>323.1585</v>
      </c>
      <c r="AU265" s="72">
        <f t="shared" si="870"/>
        <v>264.5833333</v>
      </c>
      <c r="AV265" s="73">
        <f t="shared" ref="AV265:AW265" si="871">AI265/125</f>
        <v>62.046432</v>
      </c>
      <c r="AW265" s="73">
        <f t="shared" si="871"/>
        <v>50.8</v>
      </c>
    </row>
    <row r="266" ht="15.75" customHeight="1">
      <c r="A266" s="2"/>
      <c r="B266" s="2" t="s">
        <v>527</v>
      </c>
      <c r="C266" s="2" t="s">
        <v>528</v>
      </c>
      <c r="D266" s="10">
        <v>3780.0</v>
      </c>
      <c r="F266" s="1">
        <v>200.0</v>
      </c>
      <c r="G266" s="10">
        <v>9.206E7</v>
      </c>
      <c r="H266" s="59">
        <v>0.18</v>
      </c>
      <c r="I266" s="2">
        <f t="shared" si="748"/>
        <v>680.4</v>
      </c>
      <c r="K266" s="142">
        <v>400.0</v>
      </c>
      <c r="L266" s="4">
        <f t="shared" si="5"/>
        <v>5060.4</v>
      </c>
      <c r="M266" s="2">
        <f t="shared" si="666"/>
        <v>37.8</v>
      </c>
      <c r="N266" s="12">
        <f t="shared" si="667"/>
        <v>404.832</v>
      </c>
      <c r="O266" s="12">
        <f t="shared" si="668"/>
        <v>506.04</v>
      </c>
      <c r="P266" s="12">
        <f t="shared" si="669"/>
        <v>253.02</v>
      </c>
      <c r="Q266" s="12">
        <f t="shared" si="670"/>
        <v>101.208</v>
      </c>
      <c r="R266" s="12">
        <f t="shared" si="671"/>
        <v>39.69</v>
      </c>
      <c r="S266" s="12">
        <f t="shared" si="672"/>
        <v>50.604</v>
      </c>
      <c r="T266" s="60">
        <f t="shared" si="673"/>
        <v>1353.504</v>
      </c>
      <c r="U266" s="2">
        <f t="shared" si="674"/>
        <v>79.38</v>
      </c>
      <c r="V266" s="42">
        <f t="shared" si="15"/>
        <v>396.9</v>
      </c>
      <c r="W266" s="2">
        <f t="shared" si="675"/>
        <v>79.38</v>
      </c>
      <c r="X266" s="2">
        <f t="shared" si="676"/>
        <v>635.04</v>
      </c>
      <c r="Y266" s="2">
        <f t="shared" si="677"/>
        <v>1190.7</v>
      </c>
      <c r="Z266" s="60">
        <f t="shared" si="678"/>
        <v>7604.604</v>
      </c>
      <c r="AA266" s="11">
        <f t="shared" si="679"/>
        <v>1520.9208</v>
      </c>
      <c r="AB266" s="12">
        <f t="shared" si="680"/>
        <v>9125.5248</v>
      </c>
      <c r="AC266" s="2">
        <f t="shared" si="681"/>
        <v>7938</v>
      </c>
      <c r="AD266" s="12">
        <f t="shared" si="682"/>
        <v>1187.5248</v>
      </c>
      <c r="AE266" s="12">
        <f t="shared" si="683"/>
        <v>13.01322199</v>
      </c>
      <c r="AF266" s="61">
        <v>6350.0</v>
      </c>
      <c r="AG266" s="62">
        <f t="shared" si="25"/>
        <v>25.48415145</v>
      </c>
      <c r="AH266" s="63">
        <f t="shared" si="684"/>
        <v>1000</v>
      </c>
      <c r="AI266" s="65">
        <v>8990.0</v>
      </c>
      <c r="AJ266" s="65">
        <v>7350.0</v>
      </c>
      <c r="AK266" s="66">
        <f t="shared" si="27"/>
        <v>45.24543514</v>
      </c>
      <c r="AL266" s="66"/>
      <c r="AM266" s="14">
        <f t="shared" si="749"/>
        <v>13.60544218</v>
      </c>
      <c r="AN266" s="67">
        <f t="shared" si="686"/>
        <v>19.76128369</v>
      </c>
      <c r="AO266" s="68">
        <f t="shared" si="687"/>
        <v>1.452454351</v>
      </c>
      <c r="AP266" s="69">
        <f t="shared" si="688"/>
        <v>-17.755248</v>
      </c>
      <c r="AQ266" s="70">
        <f t="shared" si="689"/>
        <v>-5.88</v>
      </c>
      <c r="AR266" s="71">
        <f t="shared" ref="AR266:AS266" si="872">AI266/94</f>
        <v>95.63829787</v>
      </c>
      <c r="AS266" s="71">
        <f t="shared" si="872"/>
        <v>78.19148936</v>
      </c>
      <c r="AT266" s="72">
        <f t="shared" ref="AT266:AU266" si="873">AI266/24</f>
        <v>374.5833333</v>
      </c>
      <c r="AU266" s="72">
        <f t="shared" si="873"/>
        <v>306.25</v>
      </c>
      <c r="AV266" s="73">
        <f t="shared" ref="AV266:AW266" si="874">AI266/125</f>
        <v>71.92</v>
      </c>
      <c r="AW266" s="73">
        <f t="shared" si="874"/>
        <v>58.8</v>
      </c>
    </row>
    <row r="267" ht="15.75" customHeight="1">
      <c r="A267" s="2"/>
      <c r="B267" s="2" t="s">
        <v>529</v>
      </c>
      <c r="C267" s="2" t="s">
        <v>530</v>
      </c>
      <c r="D267" s="10">
        <v>3780.0</v>
      </c>
      <c r="F267" s="1">
        <v>200.0</v>
      </c>
      <c r="G267" s="10">
        <v>9.206E7</v>
      </c>
      <c r="H267" s="59">
        <v>0.18</v>
      </c>
      <c r="I267" s="2">
        <f t="shared" si="748"/>
        <v>680.4</v>
      </c>
      <c r="K267" s="142">
        <v>400.0</v>
      </c>
      <c r="L267" s="4">
        <f t="shared" si="5"/>
        <v>5060.4</v>
      </c>
      <c r="M267" s="2">
        <f t="shared" si="666"/>
        <v>37.8</v>
      </c>
      <c r="N267" s="12">
        <f t="shared" si="667"/>
        <v>404.832</v>
      </c>
      <c r="O267" s="12">
        <f t="shared" si="668"/>
        <v>506.04</v>
      </c>
      <c r="P267" s="12">
        <f t="shared" si="669"/>
        <v>253.02</v>
      </c>
      <c r="Q267" s="12">
        <f t="shared" si="670"/>
        <v>101.208</v>
      </c>
      <c r="R267" s="12">
        <f t="shared" si="671"/>
        <v>39.69</v>
      </c>
      <c r="S267" s="12">
        <f t="shared" si="672"/>
        <v>50.604</v>
      </c>
      <c r="T267" s="60">
        <f t="shared" si="673"/>
        <v>1353.504</v>
      </c>
      <c r="U267" s="2">
        <f t="shared" si="674"/>
        <v>79.38</v>
      </c>
      <c r="V267" s="42">
        <f t="shared" si="15"/>
        <v>396.9</v>
      </c>
      <c r="W267" s="2">
        <f t="shared" si="675"/>
        <v>79.38</v>
      </c>
      <c r="X267" s="2">
        <f t="shared" si="676"/>
        <v>635.04</v>
      </c>
      <c r="Y267" s="2">
        <f t="shared" si="677"/>
        <v>1190.7</v>
      </c>
      <c r="Z267" s="60">
        <f t="shared" si="678"/>
        <v>7604.604</v>
      </c>
      <c r="AA267" s="11">
        <f t="shared" si="679"/>
        <v>1520.9208</v>
      </c>
      <c r="AB267" s="12">
        <f t="shared" si="680"/>
        <v>9125.5248</v>
      </c>
      <c r="AC267" s="2">
        <f t="shared" si="681"/>
        <v>7938</v>
      </c>
      <c r="AD267" s="12">
        <f t="shared" si="682"/>
        <v>1187.5248</v>
      </c>
      <c r="AE267" s="12">
        <f t="shared" si="683"/>
        <v>13.01322199</v>
      </c>
      <c r="AF267" s="61">
        <v>6350.0</v>
      </c>
      <c r="AG267" s="62">
        <f t="shared" si="25"/>
        <v>25.48415145</v>
      </c>
      <c r="AH267" s="63">
        <f t="shared" si="684"/>
        <v>1000</v>
      </c>
      <c r="AI267" s="65">
        <v>8990.0</v>
      </c>
      <c r="AJ267" s="65">
        <v>7350.0</v>
      </c>
      <c r="AK267" s="66">
        <f t="shared" si="27"/>
        <v>45.24543514</v>
      </c>
      <c r="AL267" s="66"/>
      <c r="AM267" s="14">
        <f t="shared" si="749"/>
        <v>13.60544218</v>
      </c>
      <c r="AN267" s="67">
        <f t="shared" si="686"/>
        <v>19.76128369</v>
      </c>
      <c r="AO267" s="68">
        <f t="shared" si="687"/>
        <v>1.452454351</v>
      </c>
      <c r="AP267" s="69">
        <f t="shared" si="688"/>
        <v>-17.755248</v>
      </c>
      <c r="AQ267" s="70">
        <f t="shared" si="689"/>
        <v>-5.88</v>
      </c>
      <c r="AR267" s="71">
        <f t="shared" ref="AR267:AS267" si="875">AI267/94</f>
        <v>95.63829787</v>
      </c>
      <c r="AS267" s="71">
        <f t="shared" si="875"/>
        <v>78.19148936</v>
      </c>
      <c r="AT267" s="72">
        <f t="shared" ref="AT267:AU267" si="876">AI267/24</f>
        <v>374.5833333</v>
      </c>
      <c r="AU267" s="72">
        <f t="shared" si="876"/>
        <v>306.25</v>
      </c>
      <c r="AV267" s="73">
        <f t="shared" ref="AV267:AW267" si="877">AI267/125</f>
        <v>71.92</v>
      </c>
      <c r="AW267" s="73">
        <f t="shared" si="877"/>
        <v>58.8</v>
      </c>
    </row>
    <row r="268" ht="15.75" customHeight="1">
      <c r="A268" s="2"/>
      <c r="B268" s="2" t="s">
        <v>531</v>
      </c>
      <c r="C268" s="2" t="s">
        <v>532</v>
      </c>
      <c r="D268" s="10">
        <v>4300.0</v>
      </c>
      <c r="F268" s="1">
        <v>200.0</v>
      </c>
      <c r="G268" s="10">
        <v>9.206E7</v>
      </c>
      <c r="H268" s="59">
        <v>0.18</v>
      </c>
      <c r="I268" s="2">
        <f t="shared" si="748"/>
        <v>774</v>
      </c>
      <c r="K268" s="142">
        <v>400.0</v>
      </c>
      <c r="L268" s="4">
        <f t="shared" si="5"/>
        <v>5674</v>
      </c>
      <c r="M268" s="2">
        <f t="shared" si="666"/>
        <v>43</v>
      </c>
      <c r="N268" s="12">
        <f t="shared" si="667"/>
        <v>453.92</v>
      </c>
      <c r="O268" s="12">
        <f t="shared" si="668"/>
        <v>567.4</v>
      </c>
      <c r="P268" s="12">
        <f t="shared" si="669"/>
        <v>283.7</v>
      </c>
      <c r="Q268" s="12">
        <f t="shared" si="670"/>
        <v>113.48</v>
      </c>
      <c r="R268" s="12">
        <f t="shared" si="671"/>
        <v>45.15</v>
      </c>
      <c r="S268" s="12">
        <f t="shared" si="672"/>
        <v>56.74</v>
      </c>
      <c r="T268" s="60">
        <f t="shared" si="673"/>
        <v>1518.24</v>
      </c>
      <c r="U268" s="2">
        <f t="shared" si="674"/>
        <v>90.3</v>
      </c>
      <c r="V268" s="42">
        <f t="shared" si="15"/>
        <v>451.5</v>
      </c>
      <c r="W268" s="2">
        <f t="shared" si="675"/>
        <v>90.3</v>
      </c>
      <c r="X268" s="2">
        <f t="shared" si="676"/>
        <v>722.4</v>
      </c>
      <c r="Y268" s="2">
        <f t="shared" si="677"/>
        <v>1354.5</v>
      </c>
      <c r="Z268" s="60">
        <f t="shared" si="678"/>
        <v>8546.74</v>
      </c>
      <c r="AA268" s="11">
        <f t="shared" si="679"/>
        <v>1709.348</v>
      </c>
      <c r="AB268" s="12">
        <f t="shared" si="680"/>
        <v>10256.088</v>
      </c>
      <c r="AC268" s="2">
        <f t="shared" si="681"/>
        <v>9030</v>
      </c>
      <c r="AD268" s="12">
        <f t="shared" si="682"/>
        <v>1226.088</v>
      </c>
      <c r="AE268" s="12">
        <f t="shared" si="683"/>
        <v>11.95473362</v>
      </c>
      <c r="AF268" s="61">
        <v>7450.0</v>
      </c>
      <c r="AG268" s="62">
        <f t="shared" si="25"/>
        <v>31.30066972</v>
      </c>
      <c r="AH268" s="63">
        <f t="shared" si="684"/>
        <v>800</v>
      </c>
      <c r="AI268" s="65">
        <v>10900.0</v>
      </c>
      <c r="AJ268" s="65">
        <v>8250.0</v>
      </c>
      <c r="AK268" s="66">
        <f t="shared" si="27"/>
        <v>45.4000705</v>
      </c>
      <c r="AL268" s="66"/>
      <c r="AM268" s="14">
        <f t="shared" si="749"/>
        <v>9.696969697</v>
      </c>
      <c r="AN268" s="67">
        <f t="shared" si="686"/>
        <v>14.09940078</v>
      </c>
      <c r="AO268" s="68">
        <f t="shared" si="687"/>
        <v>1.454000705</v>
      </c>
      <c r="AP268" s="69">
        <f t="shared" si="688"/>
        <v>-20.06088</v>
      </c>
      <c r="AQ268" s="70">
        <f t="shared" si="689"/>
        <v>-7.8</v>
      </c>
      <c r="AR268" s="71">
        <f t="shared" ref="AR268:AS268" si="878">AI268/94</f>
        <v>115.9574468</v>
      </c>
      <c r="AS268" s="71">
        <f t="shared" si="878"/>
        <v>87.76595745</v>
      </c>
      <c r="AT268" s="72">
        <f t="shared" ref="AT268:AU268" si="879">AI268/24</f>
        <v>454.1666667</v>
      </c>
      <c r="AU268" s="72">
        <f t="shared" si="879"/>
        <v>343.75</v>
      </c>
      <c r="AV268" s="73">
        <f t="shared" ref="AV268:AW268" si="880">AI268/125</f>
        <v>87.2</v>
      </c>
      <c r="AW268" s="73">
        <f t="shared" si="880"/>
        <v>66</v>
      </c>
    </row>
    <row r="269" ht="15.75" customHeight="1">
      <c r="A269" s="2"/>
      <c r="B269" s="2" t="s">
        <v>533</v>
      </c>
      <c r="C269" s="2" t="s">
        <v>534</v>
      </c>
      <c r="D269" s="10">
        <v>4300.0</v>
      </c>
      <c r="F269" s="1">
        <v>200.0</v>
      </c>
      <c r="G269" s="10">
        <v>9.206E7</v>
      </c>
      <c r="H269" s="59">
        <v>0.18</v>
      </c>
      <c r="I269" s="2">
        <f t="shared" si="748"/>
        <v>774</v>
      </c>
      <c r="K269" s="142">
        <v>400.0</v>
      </c>
      <c r="L269" s="4">
        <f t="shared" si="5"/>
        <v>5674</v>
      </c>
      <c r="M269" s="2">
        <f t="shared" si="666"/>
        <v>43</v>
      </c>
      <c r="N269" s="12">
        <f t="shared" si="667"/>
        <v>453.92</v>
      </c>
      <c r="O269" s="12">
        <f t="shared" si="668"/>
        <v>567.4</v>
      </c>
      <c r="P269" s="12">
        <f t="shared" si="669"/>
        <v>283.7</v>
      </c>
      <c r="Q269" s="12">
        <f t="shared" si="670"/>
        <v>113.48</v>
      </c>
      <c r="R269" s="12">
        <f t="shared" si="671"/>
        <v>45.15</v>
      </c>
      <c r="S269" s="12">
        <f t="shared" si="672"/>
        <v>56.74</v>
      </c>
      <c r="T269" s="60">
        <f t="shared" si="673"/>
        <v>1518.24</v>
      </c>
      <c r="U269" s="2">
        <f t="shared" si="674"/>
        <v>90.3</v>
      </c>
      <c r="V269" s="42">
        <f t="shared" si="15"/>
        <v>451.5</v>
      </c>
      <c r="W269" s="2">
        <f t="shared" si="675"/>
        <v>90.3</v>
      </c>
      <c r="X269" s="2">
        <f t="shared" si="676"/>
        <v>722.4</v>
      </c>
      <c r="Y269" s="2">
        <f t="shared" si="677"/>
        <v>1354.5</v>
      </c>
      <c r="Z269" s="60">
        <f t="shared" si="678"/>
        <v>8546.74</v>
      </c>
      <c r="AA269" s="11">
        <f t="shared" si="679"/>
        <v>1709.348</v>
      </c>
      <c r="AB269" s="12">
        <f t="shared" si="680"/>
        <v>10256.088</v>
      </c>
      <c r="AC269" s="2">
        <f t="shared" si="681"/>
        <v>9030</v>
      </c>
      <c r="AD269" s="12">
        <f t="shared" si="682"/>
        <v>1226.088</v>
      </c>
      <c r="AE269" s="12">
        <f t="shared" si="683"/>
        <v>11.95473362</v>
      </c>
      <c r="AF269" s="61">
        <v>7450.0</v>
      </c>
      <c r="AG269" s="62">
        <f t="shared" si="25"/>
        <v>31.30066972</v>
      </c>
      <c r="AH269" s="63">
        <f t="shared" si="684"/>
        <v>800</v>
      </c>
      <c r="AI269" s="65">
        <v>10900.0</v>
      </c>
      <c r="AJ269" s="65">
        <v>8250.0</v>
      </c>
      <c r="AK269" s="66">
        <f t="shared" si="27"/>
        <v>45.4000705</v>
      </c>
      <c r="AL269" s="66"/>
      <c r="AM269" s="14">
        <f t="shared" si="749"/>
        <v>9.696969697</v>
      </c>
      <c r="AN269" s="67">
        <f t="shared" si="686"/>
        <v>14.09940078</v>
      </c>
      <c r="AO269" s="68">
        <f t="shared" si="687"/>
        <v>1.454000705</v>
      </c>
      <c r="AP269" s="69">
        <f t="shared" si="688"/>
        <v>-20.06088</v>
      </c>
      <c r="AQ269" s="70">
        <f t="shared" si="689"/>
        <v>-7.8</v>
      </c>
      <c r="AR269" s="71">
        <f t="shared" ref="AR269:AS269" si="881">AI269/94</f>
        <v>115.9574468</v>
      </c>
      <c r="AS269" s="71">
        <f t="shared" si="881"/>
        <v>87.76595745</v>
      </c>
      <c r="AT269" s="72">
        <f t="shared" ref="AT269:AU269" si="882">AI269/24</f>
        <v>454.1666667</v>
      </c>
      <c r="AU269" s="72">
        <f t="shared" si="882"/>
        <v>343.75</v>
      </c>
      <c r="AV269" s="73">
        <f t="shared" ref="AV269:AW269" si="883">AI269/125</f>
        <v>87.2</v>
      </c>
      <c r="AW269" s="73">
        <f t="shared" si="883"/>
        <v>66</v>
      </c>
    </row>
    <row r="270" ht="15.0" customHeight="1">
      <c r="A270" s="42" t="s">
        <v>535</v>
      </c>
      <c r="B270" s="42" t="s">
        <v>536</v>
      </c>
      <c r="C270" s="42" t="s">
        <v>537</v>
      </c>
      <c r="D270" s="45">
        <v>575.0</v>
      </c>
      <c r="E270" s="47"/>
      <c r="F270" s="44">
        <v>75.0</v>
      </c>
      <c r="G270" s="45">
        <v>8.3061E7</v>
      </c>
      <c r="H270" s="46">
        <v>0.05</v>
      </c>
      <c r="I270" s="42">
        <f t="shared" si="748"/>
        <v>28.75</v>
      </c>
      <c r="J270" s="47"/>
      <c r="K270" s="143">
        <v>50.0</v>
      </c>
      <c r="L270" s="48">
        <f t="shared" si="5"/>
        <v>728.75</v>
      </c>
      <c r="M270" s="42">
        <f t="shared" si="666"/>
        <v>5.75</v>
      </c>
      <c r="N270" s="49">
        <f t="shared" si="667"/>
        <v>58.3</v>
      </c>
      <c r="O270" s="49">
        <f t="shared" si="668"/>
        <v>72.875</v>
      </c>
      <c r="P270" s="49">
        <f t="shared" si="669"/>
        <v>36.4375</v>
      </c>
      <c r="Q270" s="49">
        <f t="shared" si="670"/>
        <v>14.575</v>
      </c>
      <c r="R270" s="49">
        <f t="shared" si="671"/>
        <v>6.0375</v>
      </c>
      <c r="S270" s="49">
        <f t="shared" si="672"/>
        <v>7.2875</v>
      </c>
      <c r="T270" s="50">
        <f t="shared" si="673"/>
        <v>195.225</v>
      </c>
      <c r="U270" s="42">
        <f t="shared" si="674"/>
        <v>12.075</v>
      </c>
      <c r="V270" s="42">
        <f t="shared" si="15"/>
        <v>60.375</v>
      </c>
      <c r="W270" s="42">
        <f t="shared" si="675"/>
        <v>12.075</v>
      </c>
      <c r="X270" s="42">
        <f t="shared" si="676"/>
        <v>96.6</v>
      </c>
      <c r="Y270" s="42">
        <f t="shared" si="677"/>
        <v>181.125</v>
      </c>
      <c r="Z270" s="50">
        <f t="shared" si="678"/>
        <v>1105.1</v>
      </c>
      <c r="AA270" s="51">
        <f t="shared" si="679"/>
        <v>221.02</v>
      </c>
      <c r="AB270" s="49">
        <f t="shared" si="680"/>
        <v>1326.12</v>
      </c>
      <c r="AC270" s="42">
        <f t="shared" si="681"/>
        <v>1207.5</v>
      </c>
      <c r="AD270" s="49">
        <f t="shared" si="682"/>
        <v>118.62</v>
      </c>
      <c r="AE270" s="49">
        <f t="shared" si="683"/>
        <v>8.944891865</v>
      </c>
      <c r="AF270" s="47"/>
      <c r="AG270" s="52">
        <f t="shared" si="25"/>
        <v>-100</v>
      </c>
      <c r="AH270" s="53">
        <f t="shared" si="684"/>
        <v>1395</v>
      </c>
      <c r="AI270" s="54">
        <v>1290.0</v>
      </c>
      <c r="AJ270" s="54">
        <v>1395.0</v>
      </c>
      <c r="AK270" s="55">
        <f t="shared" si="27"/>
        <v>91.42367067</v>
      </c>
      <c r="AL270" s="55"/>
      <c r="AM270" s="55">
        <f t="shared" si="749"/>
        <v>100</v>
      </c>
      <c r="AN270" s="55">
        <f t="shared" si="686"/>
        <v>191.4236707</v>
      </c>
      <c r="AO270" s="56">
        <f t="shared" si="687"/>
        <v>1.914236707</v>
      </c>
      <c r="AP270" s="55">
        <f t="shared" si="688"/>
        <v>0.6888</v>
      </c>
      <c r="AQ270" s="55">
        <f t="shared" si="689"/>
        <v>1.875</v>
      </c>
      <c r="AR270" s="57">
        <f t="shared" ref="AR270:AS270" si="884">AI270/94</f>
        <v>13.72340426</v>
      </c>
      <c r="AS270" s="57">
        <f t="shared" si="884"/>
        <v>14.84042553</v>
      </c>
      <c r="AT270" s="58">
        <f t="shared" ref="AT270:AU270" si="885">AI270/24</f>
        <v>53.75</v>
      </c>
      <c r="AU270" s="58">
        <f t="shared" si="885"/>
        <v>58.125</v>
      </c>
      <c r="AV270" s="58">
        <f t="shared" ref="AV270:AW270" si="886">AI270/125</f>
        <v>10.32</v>
      </c>
      <c r="AW270" s="58">
        <f t="shared" si="886"/>
        <v>11.16</v>
      </c>
      <c r="AX270" s="47"/>
      <c r="AY270" s="47"/>
    </row>
    <row r="271" ht="15.75" customHeight="1">
      <c r="A271" s="42"/>
      <c r="B271" s="42" t="s">
        <v>538</v>
      </c>
      <c r="C271" s="42" t="s">
        <v>539</v>
      </c>
      <c r="D271" s="45">
        <v>1150.0</v>
      </c>
      <c r="E271" s="47"/>
      <c r="F271" s="44">
        <v>85.0</v>
      </c>
      <c r="G271" s="45">
        <v>8.3061001E7</v>
      </c>
      <c r="H271" s="46">
        <v>0.05</v>
      </c>
      <c r="I271" s="42">
        <f t="shared" si="748"/>
        <v>57.5</v>
      </c>
      <c r="J271" s="47"/>
      <c r="K271" s="42">
        <f>D271*4%</f>
        <v>46</v>
      </c>
      <c r="L271" s="48">
        <f t="shared" si="5"/>
        <v>1338.5</v>
      </c>
      <c r="M271" s="42">
        <f t="shared" si="666"/>
        <v>11.5</v>
      </c>
      <c r="N271" s="49">
        <f t="shared" si="667"/>
        <v>107.08</v>
      </c>
      <c r="O271" s="49">
        <f t="shared" si="668"/>
        <v>133.85</v>
      </c>
      <c r="P271" s="49">
        <f t="shared" si="669"/>
        <v>66.925</v>
      </c>
      <c r="Q271" s="49">
        <f t="shared" si="670"/>
        <v>26.77</v>
      </c>
      <c r="R271" s="49">
        <f t="shared" si="671"/>
        <v>12.075</v>
      </c>
      <c r="S271" s="49">
        <f t="shared" si="672"/>
        <v>13.385</v>
      </c>
      <c r="T271" s="50">
        <f t="shared" si="673"/>
        <v>359.51</v>
      </c>
      <c r="U271" s="42">
        <f t="shared" si="674"/>
        <v>24.15</v>
      </c>
      <c r="V271" s="42">
        <f t="shared" si="15"/>
        <v>120.75</v>
      </c>
      <c r="W271" s="42">
        <f t="shared" si="675"/>
        <v>24.15</v>
      </c>
      <c r="X271" s="42">
        <f t="shared" si="676"/>
        <v>193.2</v>
      </c>
      <c r="Y271" s="42">
        <f t="shared" si="677"/>
        <v>362.25</v>
      </c>
      <c r="Z271" s="50">
        <f t="shared" si="678"/>
        <v>2060.26</v>
      </c>
      <c r="AA271" s="51">
        <f t="shared" si="679"/>
        <v>412.052</v>
      </c>
      <c r="AB271" s="49">
        <f t="shared" si="680"/>
        <v>2472.312</v>
      </c>
      <c r="AC271" s="42">
        <f t="shared" si="681"/>
        <v>2415</v>
      </c>
      <c r="AD271" s="49">
        <f t="shared" si="682"/>
        <v>57.312</v>
      </c>
      <c r="AE271" s="49">
        <f t="shared" si="683"/>
        <v>2.318154019</v>
      </c>
      <c r="AF271" s="47"/>
      <c r="AG271" s="52">
        <f t="shared" si="25"/>
        <v>-100</v>
      </c>
      <c r="AH271" s="53">
        <f t="shared" si="684"/>
        <v>2395</v>
      </c>
      <c r="AI271" s="54">
        <v>2490.0</v>
      </c>
      <c r="AJ271" s="54">
        <v>2395.0</v>
      </c>
      <c r="AK271" s="55">
        <f t="shared" si="27"/>
        <v>78.9316399</v>
      </c>
      <c r="AL271" s="55"/>
      <c r="AM271" s="55">
        <f t="shared" si="749"/>
        <v>100</v>
      </c>
      <c r="AN271" s="55">
        <f t="shared" si="686"/>
        <v>178.9316399</v>
      </c>
      <c r="AO271" s="56">
        <f t="shared" si="687"/>
        <v>1.789316399</v>
      </c>
      <c r="AP271" s="55">
        <f t="shared" si="688"/>
        <v>-0.77312</v>
      </c>
      <c r="AQ271" s="55">
        <f t="shared" si="689"/>
        <v>-0.2</v>
      </c>
      <c r="AR271" s="57">
        <f t="shared" ref="AR271:AS271" si="887">AI271/94</f>
        <v>26.4893617</v>
      </c>
      <c r="AS271" s="57">
        <f t="shared" si="887"/>
        <v>25.4787234</v>
      </c>
      <c r="AT271" s="58">
        <f t="shared" ref="AT271:AU271" si="888">AI271/24</f>
        <v>103.75</v>
      </c>
      <c r="AU271" s="58">
        <f t="shared" si="888"/>
        <v>99.79166667</v>
      </c>
      <c r="AV271" s="58">
        <f t="shared" ref="AV271:AW271" si="889">AI271/125</f>
        <v>19.92</v>
      </c>
      <c r="AW271" s="58">
        <f t="shared" si="889"/>
        <v>19.16</v>
      </c>
      <c r="AX271" s="47"/>
      <c r="AY271" s="47"/>
    </row>
    <row r="272" ht="15.75" customHeight="1">
      <c r="A272" s="42"/>
      <c r="B272" s="42" t="s">
        <v>540</v>
      </c>
      <c r="C272" s="42" t="s">
        <v>541</v>
      </c>
      <c r="D272" s="45">
        <v>1265.0</v>
      </c>
      <c r="E272" s="47"/>
      <c r="F272" s="44">
        <v>85.0</v>
      </c>
      <c r="G272" s="45">
        <v>8.3061001E7</v>
      </c>
      <c r="H272" s="46">
        <v>0.05</v>
      </c>
      <c r="I272" s="42">
        <f t="shared" si="748"/>
        <v>63.25</v>
      </c>
      <c r="J272" s="47"/>
      <c r="K272" s="44">
        <v>50.0</v>
      </c>
      <c r="L272" s="48">
        <f t="shared" si="5"/>
        <v>1463.25</v>
      </c>
      <c r="M272" s="42">
        <f t="shared" si="666"/>
        <v>12.65</v>
      </c>
      <c r="N272" s="49">
        <f t="shared" si="667"/>
        <v>117.06</v>
      </c>
      <c r="O272" s="49">
        <f t="shared" si="668"/>
        <v>146.325</v>
      </c>
      <c r="P272" s="49">
        <f t="shared" si="669"/>
        <v>73.1625</v>
      </c>
      <c r="Q272" s="49">
        <f t="shared" si="670"/>
        <v>29.265</v>
      </c>
      <c r="R272" s="49">
        <f t="shared" si="671"/>
        <v>13.2825</v>
      </c>
      <c r="S272" s="49">
        <f t="shared" si="672"/>
        <v>14.6325</v>
      </c>
      <c r="T272" s="50">
        <f t="shared" si="673"/>
        <v>393.095</v>
      </c>
      <c r="U272" s="42">
        <f t="shared" si="674"/>
        <v>26.565</v>
      </c>
      <c r="V272" s="42">
        <f t="shared" si="15"/>
        <v>132.825</v>
      </c>
      <c r="W272" s="42">
        <f t="shared" si="675"/>
        <v>26.565</v>
      </c>
      <c r="X272" s="42">
        <f t="shared" si="676"/>
        <v>212.52</v>
      </c>
      <c r="Y272" s="42">
        <f t="shared" si="677"/>
        <v>398.475</v>
      </c>
      <c r="Z272" s="50">
        <f t="shared" si="678"/>
        <v>2254.82</v>
      </c>
      <c r="AA272" s="51">
        <f t="shared" si="679"/>
        <v>450.964</v>
      </c>
      <c r="AB272" s="49">
        <f t="shared" si="680"/>
        <v>2705.784</v>
      </c>
      <c r="AC272" s="42">
        <f t="shared" si="681"/>
        <v>2656.5</v>
      </c>
      <c r="AD272" s="49">
        <f t="shared" si="682"/>
        <v>49.284</v>
      </c>
      <c r="AE272" s="49">
        <f t="shared" si="683"/>
        <v>1.821431422</v>
      </c>
      <c r="AF272" s="47"/>
      <c r="AG272" s="52">
        <f t="shared" si="25"/>
        <v>-100</v>
      </c>
      <c r="AH272" s="53">
        <f t="shared" si="684"/>
        <v>2590</v>
      </c>
      <c r="AI272" s="54">
        <v>2790.0</v>
      </c>
      <c r="AJ272" s="54">
        <v>2590.0</v>
      </c>
      <c r="AK272" s="55">
        <f t="shared" si="27"/>
        <v>77.0032462</v>
      </c>
      <c r="AL272" s="55"/>
      <c r="AM272" s="55">
        <f t="shared" si="749"/>
        <v>100</v>
      </c>
      <c r="AN272" s="55">
        <f t="shared" si="686"/>
        <v>177.0032462</v>
      </c>
      <c r="AO272" s="56">
        <f t="shared" si="687"/>
        <v>1.770032462</v>
      </c>
      <c r="AP272" s="55">
        <f t="shared" si="688"/>
        <v>-1.15784</v>
      </c>
      <c r="AQ272" s="55">
        <f t="shared" si="689"/>
        <v>-0.665</v>
      </c>
      <c r="AR272" s="57">
        <f t="shared" ref="AR272:AS272" si="890">AI272/94</f>
        <v>29.68085106</v>
      </c>
      <c r="AS272" s="57">
        <f t="shared" si="890"/>
        <v>27.55319149</v>
      </c>
      <c r="AT272" s="58">
        <f t="shared" ref="AT272:AU272" si="891">AI272/24</f>
        <v>116.25</v>
      </c>
      <c r="AU272" s="58">
        <f t="shared" si="891"/>
        <v>107.9166667</v>
      </c>
      <c r="AV272" s="58">
        <f t="shared" ref="AV272:AW272" si="892">AI272/125</f>
        <v>22.32</v>
      </c>
      <c r="AW272" s="58">
        <f t="shared" si="892"/>
        <v>20.72</v>
      </c>
      <c r="AX272" s="47"/>
      <c r="AY272" s="47"/>
    </row>
    <row r="273" ht="15.0" customHeight="1">
      <c r="A273" s="2" t="s">
        <v>542</v>
      </c>
      <c r="B273" s="2" t="s">
        <v>543</v>
      </c>
      <c r="C273" s="2" t="s">
        <v>544</v>
      </c>
      <c r="D273" s="10">
        <v>450.0</v>
      </c>
      <c r="E273" s="2">
        <v>55.0</v>
      </c>
      <c r="F273" s="1">
        <v>85.0</v>
      </c>
      <c r="G273" s="10">
        <v>8.3061E7</v>
      </c>
      <c r="H273" s="59">
        <v>0.05</v>
      </c>
      <c r="I273" s="2">
        <f t="shared" si="748"/>
        <v>22.5</v>
      </c>
      <c r="K273" s="1">
        <v>50.0</v>
      </c>
      <c r="L273" s="107">
        <f t="shared" si="5"/>
        <v>662.5</v>
      </c>
      <c r="M273" s="2">
        <f t="shared" si="666"/>
        <v>4.5</v>
      </c>
      <c r="N273" s="12">
        <f t="shared" si="667"/>
        <v>53</v>
      </c>
      <c r="O273" s="12">
        <f t="shared" si="668"/>
        <v>66.25</v>
      </c>
      <c r="P273" s="12">
        <f t="shared" si="669"/>
        <v>33.125</v>
      </c>
      <c r="Q273" s="12">
        <f t="shared" si="670"/>
        <v>13.25</v>
      </c>
      <c r="R273" s="12">
        <f t="shared" si="671"/>
        <v>4.725</v>
      </c>
      <c r="S273" s="12">
        <f t="shared" si="672"/>
        <v>6.625</v>
      </c>
      <c r="T273" s="108">
        <f t="shared" si="673"/>
        <v>176.75</v>
      </c>
      <c r="U273" s="2">
        <f t="shared" si="674"/>
        <v>9.45</v>
      </c>
      <c r="V273" s="42">
        <f t="shared" si="15"/>
        <v>47.25</v>
      </c>
      <c r="W273" s="2">
        <f t="shared" si="675"/>
        <v>9.45</v>
      </c>
      <c r="X273" s="2">
        <f t="shared" si="676"/>
        <v>75.6</v>
      </c>
      <c r="Y273" s="2">
        <f t="shared" si="677"/>
        <v>141.75</v>
      </c>
      <c r="Z273" s="108">
        <f t="shared" si="678"/>
        <v>981</v>
      </c>
      <c r="AA273" s="109">
        <f t="shared" si="679"/>
        <v>196.2</v>
      </c>
      <c r="AB273" s="12">
        <f t="shared" si="680"/>
        <v>1177.2</v>
      </c>
      <c r="AC273" s="2">
        <f t="shared" si="681"/>
        <v>945</v>
      </c>
      <c r="AD273" s="12">
        <f t="shared" si="682"/>
        <v>232.2</v>
      </c>
      <c r="AE273" s="12">
        <f t="shared" si="683"/>
        <v>19.72477064</v>
      </c>
      <c r="AF273" s="61">
        <v>1445.0</v>
      </c>
      <c r="AG273" s="110">
        <f t="shared" si="25"/>
        <v>118.1132075</v>
      </c>
      <c r="AH273" s="111">
        <f t="shared" si="684"/>
        <v>-150</v>
      </c>
      <c r="AI273" s="111">
        <f t="shared" ref="AI273:AI274" si="896">AB273</f>
        <v>1177.2</v>
      </c>
      <c r="AJ273" s="116">
        <v>1295.0</v>
      </c>
      <c r="AK273" s="112">
        <f t="shared" si="27"/>
        <v>95.47169811</v>
      </c>
      <c r="AL273" s="112"/>
      <c r="AM273" s="112">
        <f t="shared" si="749"/>
        <v>-11.58301158</v>
      </c>
      <c r="AN273" s="112">
        <f t="shared" si="686"/>
        <v>-22.64150943</v>
      </c>
      <c r="AO273" s="113">
        <f t="shared" si="687"/>
        <v>1.954716981</v>
      </c>
      <c r="AP273" s="112">
        <f t="shared" si="688"/>
        <v>1.178</v>
      </c>
      <c r="AQ273" s="112">
        <f t="shared" si="689"/>
        <v>3.5</v>
      </c>
      <c r="AR273" s="114">
        <f t="shared" ref="AR273:AS273" si="893">AI273/94</f>
        <v>12.52340426</v>
      </c>
      <c r="AS273" s="114">
        <f t="shared" si="893"/>
        <v>13.77659574</v>
      </c>
      <c r="AT273" s="115">
        <f t="shared" ref="AT273:AU273" si="894">AI273/24</f>
        <v>49.05</v>
      </c>
      <c r="AU273" s="115">
        <f t="shared" si="894"/>
        <v>53.95833333</v>
      </c>
      <c r="AV273" s="115">
        <f t="shared" ref="AV273:AW273" si="895">AI273/125</f>
        <v>9.4176</v>
      </c>
      <c r="AW273" s="115">
        <f t="shared" si="895"/>
        <v>10.36</v>
      </c>
    </row>
    <row r="274" ht="15.75" customHeight="1">
      <c r="A274" s="2"/>
      <c r="B274" s="2" t="s">
        <v>545</v>
      </c>
      <c r="C274" s="2" t="s">
        <v>546</v>
      </c>
      <c r="D274" s="10">
        <v>550.0</v>
      </c>
      <c r="E274" s="2">
        <v>55.0</v>
      </c>
      <c r="F274" s="1">
        <v>85.0</v>
      </c>
      <c r="G274" s="10">
        <v>8.3061E7</v>
      </c>
      <c r="H274" s="59">
        <v>0.05</v>
      </c>
      <c r="I274" s="2">
        <f t="shared" si="748"/>
        <v>27.5</v>
      </c>
      <c r="K274" s="1">
        <v>50.0</v>
      </c>
      <c r="L274" s="107">
        <f t="shared" si="5"/>
        <v>767.5</v>
      </c>
      <c r="M274" s="2">
        <f t="shared" si="666"/>
        <v>5.5</v>
      </c>
      <c r="N274" s="12">
        <f t="shared" si="667"/>
        <v>61.4</v>
      </c>
      <c r="O274" s="12">
        <f t="shared" si="668"/>
        <v>76.75</v>
      </c>
      <c r="P274" s="12">
        <f t="shared" si="669"/>
        <v>38.375</v>
      </c>
      <c r="Q274" s="12">
        <f t="shared" si="670"/>
        <v>15.35</v>
      </c>
      <c r="R274" s="12">
        <f t="shared" si="671"/>
        <v>5.775</v>
      </c>
      <c r="S274" s="12">
        <f t="shared" si="672"/>
        <v>7.675</v>
      </c>
      <c r="T274" s="108">
        <f t="shared" si="673"/>
        <v>205.05</v>
      </c>
      <c r="U274" s="2">
        <f t="shared" si="674"/>
        <v>11.55</v>
      </c>
      <c r="V274" s="42">
        <f t="shared" si="15"/>
        <v>57.75</v>
      </c>
      <c r="W274" s="2">
        <f t="shared" si="675"/>
        <v>11.55</v>
      </c>
      <c r="X274" s="2">
        <f t="shared" si="676"/>
        <v>92.4</v>
      </c>
      <c r="Y274" s="2">
        <f t="shared" si="677"/>
        <v>173.25</v>
      </c>
      <c r="Z274" s="108">
        <f t="shared" si="678"/>
        <v>1145.8</v>
      </c>
      <c r="AA274" s="109">
        <f t="shared" si="679"/>
        <v>229.16</v>
      </c>
      <c r="AB274" s="12">
        <f t="shared" si="680"/>
        <v>1374.96</v>
      </c>
      <c r="AC274" s="2">
        <f t="shared" si="681"/>
        <v>1155</v>
      </c>
      <c r="AD274" s="12">
        <f t="shared" si="682"/>
        <v>219.96</v>
      </c>
      <c r="AE274" s="12">
        <f t="shared" si="683"/>
        <v>15.99755629</v>
      </c>
      <c r="AF274" s="61">
        <v>1745.0</v>
      </c>
      <c r="AG274" s="110">
        <f t="shared" si="25"/>
        <v>127.3615635</v>
      </c>
      <c r="AH274" s="111">
        <f t="shared" si="684"/>
        <v>-250</v>
      </c>
      <c r="AI274" s="111">
        <f t="shared" si="896"/>
        <v>1374.96</v>
      </c>
      <c r="AJ274" s="116">
        <v>1495.0</v>
      </c>
      <c r="AK274" s="112">
        <f t="shared" si="27"/>
        <v>94.78827362</v>
      </c>
      <c r="AL274" s="112"/>
      <c r="AM274" s="112">
        <f t="shared" si="749"/>
        <v>-16.72240803</v>
      </c>
      <c r="AN274" s="112">
        <f t="shared" si="686"/>
        <v>-32.5732899</v>
      </c>
      <c r="AO274" s="113">
        <f t="shared" si="687"/>
        <v>1.947882736</v>
      </c>
      <c r="AP274" s="112">
        <f t="shared" si="688"/>
        <v>1.2004</v>
      </c>
      <c r="AQ274" s="112">
        <f t="shared" si="689"/>
        <v>3.4</v>
      </c>
      <c r="AR274" s="114">
        <f t="shared" ref="AR274:AS274" si="897">AI274/94</f>
        <v>14.62723404</v>
      </c>
      <c r="AS274" s="114">
        <f t="shared" si="897"/>
        <v>15.90425532</v>
      </c>
      <c r="AT274" s="115">
        <f t="shared" ref="AT274:AU274" si="898">AI274/24</f>
        <v>57.29</v>
      </c>
      <c r="AU274" s="115">
        <f t="shared" si="898"/>
        <v>62.29166667</v>
      </c>
      <c r="AV274" s="115">
        <f t="shared" ref="AV274:AW274" si="899">AI274/125</f>
        <v>10.99968</v>
      </c>
      <c r="AW274" s="115">
        <f t="shared" si="899"/>
        <v>11.96</v>
      </c>
    </row>
    <row r="275" ht="15.0" customHeight="1">
      <c r="A275" s="2" t="s">
        <v>547</v>
      </c>
      <c r="B275" s="2" t="s">
        <v>453</v>
      </c>
      <c r="C275" s="2" t="s">
        <v>548</v>
      </c>
      <c r="D275" s="105">
        <v>200.0</v>
      </c>
      <c r="F275" s="1">
        <v>50.0</v>
      </c>
      <c r="G275" s="10">
        <v>9.206E7</v>
      </c>
      <c r="H275" s="59">
        <v>0.18</v>
      </c>
      <c r="I275" s="2">
        <f t="shared" si="748"/>
        <v>36</v>
      </c>
      <c r="K275" s="1">
        <v>200.0</v>
      </c>
      <c r="L275" s="4">
        <f t="shared" si="5"/>
        <v>486</v>
      </c>
      <c r="M275" s="2">
        <f t="shared" si="666"/>
        <v>2</v>
      </c>
      <c r="N275" s="12">
        <f t="shared" si="667"/>
        <v>38.88</v>
      </c>
      <c r="O275" s="12">
        <f t="shared" si="668"/>
        <v>48.6</v>
      </c>
      <c r="P275" s="12">
        <f t="shared" si="669"/>
        <v>24.3</v>
      </c>
      <c r="Q275" s="12">
        <f t="shared" si="670"/>
        <v>9.72</v>
      </c>
      <c r="R275" s="12">
        <f t="shared" si="671"/>
        <v>2.1</v>
      </c>
      <c r="S275" s="12">
        <f t="shared" si="672"/>
        <v>4.86</v>
      </c>
      <c r="T275" s="60">
        <f t="shared" si="673"/>
        <v>128.36</v>
      </c>
      <c r="U275" s="2">
        <f t="shared" si="674"/>
        <v>4.2</v>
      </c>
      <c r="V275" s="42">
        <f t="shared" si="15"/>
        <v>21</v>
      </c>
      <c r="W275" s="2">
        <f t="shared" si="675"/>
        <v>4.2</v>
      </c>
      <c r="X275" s="2">
        <f t="shared" si="676"/>
        <v>33.6</v>
      </c>
      <c r="Y275" s="2">
        <f t="shared" si="677"/>
        <v>63</v>
      </c>
      <c r="Z275" s="60">
        <f t="shared" si="678"/>
        <v>677.36</v>
      </c>
      <c r="AA275" s="11">
        <f t="shared" si="679"/>
        <v>135.472</v>
      </c>
      <c r="AB275" s="12">
        <f t="shared" si="680"/>
        <v>812.832</v>
      </c>
      <c r="AC275" s="2">
        <f t="shared" si="681"/>
        <v>420</v>
      </c>
      <c r="AD275" s="12">
        <f t="shared" si="682"/>
        <v>392.832</v>
      </c>
      <c r="AE275" s="12">
        <f t="shared" si="683"/>
        <v>48.32880595</v>
      </c>
      <c r="AF275" s="61">
        <v>275.0</v>
      </c>
      <c r="AG275" s="62">
        <f t="shared" si="25"/>
        <v>-43.41563786</v>
      </c>
      <c r="AH275" s="63">
        <f t="shared" si="684"/>
        <v>15</v>
      </c>
      <c r="AI275" s="64">
        <v>299.0</v>
      </c>
      <c r="AJ275" s="65">
        <v>290.0</v>
      </c>
      <c r="AK275" s="66">
        <f t="shared" si="27"/>
        <v>-40.32921811</v>
      </c>
      <c r="AL275" s="66"/>
      <c r="AM275" s="14">
        <f t="shared" si="749"/>
        <v>5.172413793</v>
      </c>
      <c r="AN275" s="67">
        <f t="shared" si="686"/>
        <v>3.086419753</v>
      </c>
      <c r="AO275" s="68">
        <f t="shared" si="687"/>
        <v>0.5967078189</v>
      </c>
      <c r="AP275" s="69">
        <f t="shared" si="688"/>
        <v>-5.22832</v>
      </c>
      <c r="AQ275" s="70">
        <f t="shared" si="689"/>
        <v>-1.3</v>
      </c>
      <c r="AR275" s="71">
        <f t="shared" ref="AR275:AS275" si="900">AI275/94</f>
        <v>3.180851064</v>
      </c>
      <c r="AS275" s="71">
        <f t="shared" si="900"/>
        <v>3.085106383</v>
      </c>
      <c r="AT275" s="72">
        <f t="shared" ref="AT275:AU275" si="901">AI275/24</f>
        <v>12.45833333</v>
      </c>
      <c r="AU275" s="72">
        <f t="shared" si="901"/>
        <v>12.08333333</v>
      </c>
      <c r="AV275" s="73">
        <f t="shared" ref="AV275:AW275" si="902">AI275/125</f>
        <v>2.392</v>
      </c>
      <c r="AW275" s="73">
        <f t="shared" si="902"/>
        <v>2.32</v>
      </c>
    </row>
    <row r="276" ht="15.75" customHeight="1">
      <c r="A276" s="2"/>
      <c r="B276" s="2" t="s">
        <v>400</v>
      </c>
      <c r="C276" s="2" t="s">
        <v>549</v>
      </c>
      <c r="D276" s="105">
        <v>250.0</v>
      </c>
      <c r="F276" s="1">
        <v>50.0</v>
      </c>
      <c r="G276" s="10">
        <v>9.206E7</v>
      </c>
      <c r="H276" s="59">
        <v>0.18</v>
      </c>
      <c r="I276" s="2">
        <f t="shared" si="748"/>
        <v>45</v>
      </c>
      <c r="K276" s="1">
        <v>200.0</v>
      </c>
      <c r="L276" s="4">
        <f t="shared" si="5"/>
        <v>545</v>
      </c>
      <c r="M276" s="2">
        <f t="shared" si="666"/>
        <v>2.5</v>
      </c>
      <c r="N276" s="12">
        <f t="shared" si="667"/>
        <v>43.6</v>
      </c>
      <c r="O276" s="12">
        <f t="shared" si="668"/>
        <v>54.5</v>
      </c>
      <c r="P276" s="12">
        <f t="shared" si="669"/>
        <v>27.25</v>
      </c>
      <c r="Q276" s="12">
        <f t="shared" si="670"/>
        <v>10.9</v>
      </c>
      <c r="R276" s="12">
        <f t="shared" si="671"/>
        <v>2.625</v>
      </c>
      <c r="S276" s="12">
        <f t="shared" si="672"/>
        <v>5.45</v>
      </c>
      <c r="T276" s="60">
        <f t="shared" si="673"/>
        <v>144.2</v>
      </c>
      <c r="U276" s="2">
        <f t="shared" si="674"/>
        <v>5.25</v>
      </c>
      <c r="V276" s="42">
        <f t="shared" si="15"/>
        <v>26.25</v>
      </c>
      <c r="W276" s="2">
        <f t="shared" si="675"/>
        <v>5.25</v>
      </c>
      <c r="X276" s="2">
        <f t="shared" si="676"/>
        <v>42</v>
      </c>
      <c r="Y276" s="2">
        <f t="shared" si="677"/>
        <v>78.75</v>
      </c>
      <c r="Z276" s="60">
        <f t="shared" si="678"/>
        <v>767.95</v>
      </c>
      <c r="AA276" s="11">
        <f t="shared" si="679"/>
        <v>153.59</v>
      </c>
      <c r="AB276" s="12">
        <f t="shared" si="680"/>
        <v>921.54</v>
      </c>
      <c r="AC276" s="2">
        <f t="shared" si="681"/>
        <v>525</v>
      </c>
      <c r="AD276" s="12">
        <f t="shared" si="682"/>
        <v>396.54</v>
      </c>
      <c r="AE276" s="12">
        <f t="shared" si="683"/>
        <v>43.03014519</v>
      </c>
      <c r="AF276" s="61">
        <v>325.0</v>
      </c>
      <c r="AG276" s="62">
        <f t="shared" si="25"/>
        <v>-40.36697248</v>
      </c>
      <c r="AH276" s="63">
        <f t="shared" si="684"/>
        <v>-5</v>
      </c>
      <c r="AI276" s="64">
        <v>349.0</v>
      </c>
      <c r="AJ276" s="65">
        <v>320.0</v>
      </c>
      <c r="AK276" s="66">
        <f t="shared" si="27"/>
        <v>-41.28440367</v>
      </c>
      <c r="AL276" s="66"/>
      <c r="AM276" s="14">
        <f t="shared" si="749"/>
        <v>-1.5625</v>
      </c>
      <c r="AN276" s="67">
        <f t="shared" si="686"/>
        <v>-0.9174311927</v>
      </c>
      <c r="AO276" s="68">
        <f t="shared" si="687"/>
        <v>0.5871559633</v>
      </c>
      <c r="AP276" s="69">
        <f t="shared" si="688"/>
        <v>-6.0154</v>
      </c>
      <c r="AQ276" s="70">
        <f t="shared" si="689"/>
        <v>-2.05</v>
      </c>
      <c r="AR276" s="71">
        <f t="shared" ref="AR276:AS276" si="903">AI276/94</f>
        <v>3.712765957</v>
      </c>
      <c r="AS276" s="71">
        <f t="shared" si="903"/>
        <v>3.404255319</v>
      </c>
      <c r="AT276" s="72">
        <f t="shared" ref="AT276:AU276" si="904">AI276/24</f>
        <v>14.54166667</v>
      </c>
      <c r="AU276" s="72">
        <f t="shared" si="904"/>
        <v>13.33333333</v>
      </c>
      <c r="AV276" s="73">
        <f t="shared" ref="AV276:AW276" si="905">AI276/125</f>
        <v>2.792</v>
      </c>
      <c r="AW276" s="73">
        <f t="shared" si="905"/>
        <v>2.56</v>
      </c>
    </row>
    <row r="277" ht="15.0" customHeight="1">
      <c r="A277" s="2" t="s">
        <v>550</v>
      </c>
      <c r="B277" s="2" t="s">
        <v>551</v>
      </c>
      <c r="C277" s="2" t="s">
        <v>552</v>
      </c>
      <c r="D277" s="10">
        <v>70.0</v>
      </c>
      <c r="F277" s="1">
        <v>40.0</v>
      </c>
      <c r="G277" s="10">
        <v>9603.0</v>
      </c>
      <c r="H277" s="59">
        <v>0.18</v>
      </c>
      <c r="I277" s="2">
        <f t="shared" si="748"/>
        <v>12.6</v>
      </c>
      <c r="K277" s="1">
        <v>5.0</v>
      </c>
      <c r="L277" s="4">
        <f t="shared" si="5"/>
        <v>127.6</v>
      </c>
      <c r="M277" s="2">
        <f t="shared" si="666"/>
        <v>0.7</v>
      </c>
      <c r="N277" s="12">
        <f t="shared" si="667"/>
        <v>10.208</v>
      </c>
      <c r="O277" s="12">
        <f t="shared" si="668"/>
        <v>12.76</v>
      </c>
      <c r="P277" s="12">
        <f t="shared" si="669"/>
        <v>6.38</v>
      </c>
      <c r="Q277" s="12">
        <f t="shared" si="670"/>
        <v>2.552</v>
      </c>
      <c r="R277" s="12">
        <f t="shared" si="671"/>
        <v>0.735</v>
      </c>
      <c r="S277" s="12">
        <f t="shared" si="672"/>
        <v>1.276</v>
      </c>
      <c r="T277" s="60">
        <f t="shared" si="673"/>
        <v>33.876</v>
      </c>
      <c r="U277" s="2">
        <f t="shared" si="674"/>
        <v>1.47</v>
      </c>
      <c r="V277" s="42">
        <f t="shared" si="15"/>
        <v>7.35</v>
      </c>
      <c r="W277" s="2">
        <f t="shared" si="675"/>
        <v>1.47</v>
      </c>
      <c r="X277" s="2">
        <f t="shared" si="676"/>
        <v>11.76</v>
      </c>
      <c r="Y277" s="2">
        <f t="shared" si="677"/>
        <v>22.05</v>
      </c>
      <c r="Z277" s="60">
        <f t="shared" si="678"/>
        <v>183.526</v>
      </c>
      <c r="AA277" s="11">
        <f t="shared" si="679"/>
        <v>36.7052</v>
      </c>
      <c r="AB277" s="12">
        <f t="shared" si="680"/>
        <v>220.2312</v>
      </c>
      <c r="AC277" s="2">
        <f t="shared" si="681"/>
        <v>147</v>
      </c>
      <c r="AD277" s="12">
        <f t="shared" si="682"/>
        <v>73.2312</v>
      </c>
      <c r="AE277" s="12">
        <f t="shared" si="683"/>
        <v>33.2519643</v>
      </c>
      <c r="AF277" s="61">
        <v>225.0</v>
      </c>
      <c r="AG277" s="62">
        <f t="shared" si="25"/>
        <v>76.3322884</v>
      </c>
      <c r="AH277" s="63">
        <f t="shared" si="684"/>
        <v>-6</v>
      </c>
      <c r="AI277" s="65">
        <v>299.0</v>
      </c>
      <c r="AJ277" s="65">
        <v>219.0</v>
      </c>
      <c r="AK277" s="66">
        <f t="shared" si="27"/>
        <v>71.63009404</v>
      </c>
      <c r="AL277" s="66"/>
      <c r="AM277" s="14">
        <f t="shared" si="749"/>
        <v>-2.739726027</v>
      </c>
      <c r="AN277" s="67">
        <f t="shared" si="686"/>
        <v>-4.702194357</v>
      </c>
      <c r="AO277" s="68">
        <f t="shared" si="687"/>
        <v>1.71630094</v>
      </c>
      <c r="AP277" s="69">
        <f t="shared" si="688"/>
        <v>-0.012312</v>
      </c>
      <c r="AQ277" s="70">
        <f t="shared" si="689"/>
        <v>0.72</v>
      </c>
      <c r="AR277" s="71" t="s">
        <v>553</v>
      </c>
      <c r="AS277" s="71">
        <f>AJ277/94</f>
        <v>2.329787234</v>
      </c>
      <c r="AT277" s="72">
        <f t="shared" ref="AT277:AU277" si="906">AI277/24</f>
        <v>12.45833333</v>
      </c>
      <c r="AU277" s="72">
        <f t="shared" si="906"/>
        <v>9.125</v>
      </c>
      <c r="AV277" s="73">
        <f t="shared" ref="AV277:AW277" si="907">AI277/125</f>
        <v>2.392</v>
      </c>
      <c r="AW277" s="73">
        <f t="shared" si="907"/>
        <v>1.752</v>
      </c>
    </row>
    <row r="278" ht="15.75" customHeight="1">
      <c r="A278" s="2"/>
      <c r="B278" s="2" t="s">
        <v>554</v>
      </c>
      <c r="C278" s="2" t="s">
        <v>555</v>
      </c>
      <c r="D278" s="10">
        <v>140.0</v>
      </c>
      <c r="F278" s="1">
        <v>40.0</v>
      </c>
      <c r="G278" s="10">
        <v>9603.0</v>
      </c>
      <c r="H278" s="59">
        <v>0.18</v>
      </c>
      <c r="I278" s="2">
        <f t="shared" si="748"/>
        <v>25.2</v>
      </c>
      <c r="K278" s="1">
        <v>5.0</v>
      </c>
      <c r="L278" s="4">
        <f t="shared" si="5"/>
        <v>210.2</v>
      </c>
      <c r="M278" s="2">
        <f t="shared" si="666"/>
        <v>1.4</v>
      </c>
      <c r="N278" s="12">
        <f t="shared" si="667"/>
        <v>16.816</v>
      </c>
      <c r="O278" s="12">
        <f t="shared" si="668"/>
        <v>21.02</v>
      </c>
      <c r="P278" s="12">
        <f t="shared" si="669"/>
        <v>10.51</v>
      </c>
      <c r="Q278" s="12">
        <f t="shared" si="670"/>
        <v>4.204</v>
      </c>
      <c r="R278" s="12">
        <f t="shared" si="671"/>
        <v>1.47</v>
      </c>
      <c r="S278" s="12">
        <f t="shared" si="672"/>
        <v>2.102</v>
      </c>
      <c r="T278" s="60">
        <f t="shared" si="673"/>
        <v>56.052</v>
      </c>
      <c r="U278" s="2">
        <f t="shared" si="674"/>
        <v>2.94</v>
      </c>
      <c r="V278" s="42">
        <f t="shared" si="15"/>
        <v>14.7</v>
      </c>
      <c r="W278" s="2">
        <f t="shared" si="675"/>
        <v>2.94</v>
      </c>
      <c r="X278" s="2">
        <f t="shared" si="676"/>
        <v>23.52</v>
      </c>
      <c r="Y278" s="2">
        <f t="shared" si="677"/>
        <v>44.1</v>
      </c>
      <c r="Z278" s="60">
        <f t="shared" si="678"/>
        <v>310.352</v>
      </c>
      <c r="AA278" s="11">
        <f t="shared" si="679"/>
        <v>62.0704</v>
      </c>
      <c r="AB278" s="12">
        <f t="shared" si="680"/>
        <v>372.4224</v>
      </c>
      <c r="AC278" s="2">
        <f t="shared" si="681"/>
        <v>294</v>
      </c>
      <c r="AD278" s="12">
        <f t="shared" si="682"/>
        <v>78.4224</v>
      </c>
      <c r="AE278" s="12">
        <f t="shared" si="683"/>
        <v>21.05738001</v>
      </c>
      <c r="AF278" s="61">
        <v>365.0</v>
      </c>
      <c r="AG278" s="62">
        <f t="shared" si="25"/>
        <v>73.64414843</v>
      </c>
      <c r="AH278" s="63">
        <f t="shared" si="684"/>
        <v>-16</v>
      </c>
      <c r="AI278" s="64">
        <v>399.0</v>
      </c>
      <c r="AJ278" s="65">
        <v>349.0</v>
      </c>
      <c r="AK278" s="66">
        <f t="shared" si="27"/>
        <v>66.03235014</v>
      </c>
      <c r="AL278" s="66"/>
      <c r="AM278" s="14">
        <f t="shared" si="749"/>
        <v>-4.584527221</v>
      </c>
      <c r="AN278" s="67">
        <f t="shared" si="686"/>
        <v>-7.611798287</v>
      </c>
      <c r="AO278" s="68">
        <f t="shared" si="687"/>
        <v>1.660323501</v>
      </c>
      <c r="AP278" s="69">
        <f t="shared" si="688"/>
        <v>-0.234224</v>
      </c>
      <c r="AQ278" s="70">
        <f t="shared" si="689"/>
        <v>0.55</v>
      </c>
      <c r="AR278" s="71">
        <f t="shared" ref="AR278:AS278" si="908">AI278/94</f>
        <v>4.244680851</v>
      </c>
      <c r="AS278" s="71">
        <f t="shared" si="908"/>
        <v>3.712765957</v>
      </c>
      <c r="AT278" s="72">
        <f t="shared" ref="AT278:AU278" si="909">AI278/24</f>
        <v>16.625</v>
      </c>
      <c r="AU278" s="72">
        <f t="shared" si="909"/>
        <v>14.54166667</v>
      </c>
      <c r="AV278" s="73">
        <f t="shared" ref="AV278:AW278" si="910">AI278/125</f>
        <v>3.192</v>
      </c>
      <c r="AW278" s="73">
        <f t="shared" si="910"/>
        <v>2.792</v>
      </c>
    </row>
    <row r="279" ht="15.75" customHeight="1">
      <c r="A279" s="2" t="s">
        <v>556</v>
      </c>
      <c r="B279" s="2" t="s">
        <v>218</v>
      </c>
      <c r="C279" s="2" t="s">
        <v>557</v>
      </c>
      <c r="D279" s="103">
        <v>190.0</v>
      </c>
      <c r="E279" s="2">
        <v>50.0</v>
      </c>
      <c r="F279" s="1">
        <v>50.0</v>
      </c>
      <c r="G279" s="10">
        <v>4.42019E7</v>
      </c>
      <c r="H279" s="59">
        <v>0.05</v>
      </c>
      <c r="I279" s="2">
        <f t="shared" si="748"/>
        <v>9.5</v>
      </c>
      <c r="K279" s="142">
        <v>200.0</v>
      </c>
      <c r="L279" s="4">
        <f t="shared" si="5"/>
        <v>499.5</v>
      </c>
      <c r="M279" s="2">
        <f t="shared" si="666"/>
        <v>1.9</v>
      </c>
      <c r="N279" s="12">
        <f t="shared" si="667"/>
        <v>39.96</v>
      </c>
      <c r="O279" s="12">
        <f t="shared" si="668"/>
        <v>49.95</v>
      </c>
      <c r="P279" s="12">
        <f t="shared" si="669"/>
        <v>24.975</v>
      </c>
      <c r="Q279" s="12">
        <f t="shared" si="670"/>
        <v>9.99</v>
      </c>
      <c r="R279" s="12">
        <f t="shared" si="671"/>
        <v>1.995</v>
      </c>
      <c r="S279" s="12">
        <f t="shared" si="672"/>
        <v>4.995</v>
      </c>
      <c r="T279" s="60">
        <f t="shared" si="673"/>
        <v>131.77</v>
      </c>
      <c r="U279" s="2">
        <f t="shared" si="674"/>
        <v>3.99</v>
      </c>
      <c r="V279" s="42">
        <f t="shared" si="15"/>
        <v>19.95</v>
      </c>
      <c r="W279" s="2">
        <f t="shared" si="675"/>
        <v>3.99</v>
      </c>
      <c r="X279" s="2">
        <f t="shared" si="676"/>
        <v>31.92</v>
      </c>
      <c r="Y279" s="2">
        <f t="shared" si="677"/>
        <v>59.85</v>
      </c>
      <c r="Z279" s="60">
        <f t="shared" si="678"/>
        <v>691.12</v>
      </c>
      <c r="AA279" s="11">
        <f t="shared" si="679"/>
        <v>138.224</v>
      </c>
      <c r="AB279" s="12">
        <f t="shared" si="680"/>
        <v>829.344</v>
      </c>
      <c r="AC279" s="2">
        <f t="shared" si="681"/>
        <v>399</v>
      </c>
      <c r="AD279" s="12">
        <f t="shared" si="682"/>
        <v>430.344</v>
      </c>
      <c r="AE279" s="12">
        <f t="shared" si="683"/>
        <v>51.88968631</v>
      </c>
      <c r="AF279" s="61">
        <v>895.0</v>
      </c>
      <c r="AG279" s="62">
        <f t="shared" si="25"/>
        <v>79.17917918</v>
      </c>
      <c r="AH279" s="63">
        <f t="shared" si="684"/>
        <v>-5</v>
      </c>
      <c r="AI279" s="64">
        <v>990.0</v>
      </c>
      <c r="AJ279" s="65">
        <v>890.0</v>
      </c>
      <c r="AK279" s="66">
        <f t="shared" si="27"/>
        <v>78.17817818</v>
      </c>
      <c r="AL279" s="66"/>
      <c r="AM279" s="14">
        <f t="shared" si="749"/>
        <v>-0.5617977528</v>
      </c>
      <c r="AN279" s="67">
        <f t="shared" si="686"/>
        <v>-1.001001001</v>
      </c>
      <c r="AO279" s="68">
        <f t="shared" si="687"/>
        <v>1.781781782</v>
      </c>
      <c r="AP279" s="69">
        <f t="shared" si="688"/>
        <v>0.60656</v>
      </c>
      <c r="AQ279" s="70">
        <f t="shared" si="689"/>
        <v>4.91</v>
      </c>
      <c r="AR279" s="71">
        <f t="shared" ref="AR279:AS279" si="911">AI279/94</f>
        <v>10.53191489</v>
      </c>
      <c r="AS279" s="71">
        <f t="shared" si="911"/>
        <v>9.468085106</v>
      </c>
      <c r="AT279" s="72">
        <f t="shared" ref="AT279:AU279" si="912">AI279/24</f>
        <v>41.25</v>
      </c>
      <c r="AU279" s="72">
        <f t="shared" si="912"/>
        <v>37.08333333</v>
      </c>
      <c r="AV279" s="73">
        <f t="shared" ref="AV279:AW279" si="913">AI279/125</f>
        <v>7.92</v>
      </c>
      <c r="AW279" s="73">
        <f t="shared" si="913"/>
        <v>7.12</v>
      </c>
    </row>
    <row r="280" ht="15.75" customHeight="1">
      <c r="A280" s="77" t="s">
        <v>558</v>
      </c>
      <c r="B280" s="77" t="s">
        <v>218</v>
      </c>
      <c r="C280" s="77" t="s">
        <v>559</v>
      </c>
      <c r="D280" s="78"/>
      <c r="E280" s="79"/>
      <c r="F280" s="77">
        <v>10.0</v>
      </c>
      <c r="G280" s="78">
        <v>4.42019E7</v>
      </c>
      <c r="H280" s="81">
        <v>0.05</v>
      </c>
      <c r="I280" s="77">
        <f t="shared" si="748"/>
        <v>0</v>
      </c>
      <c r="J280" s="79"/>
      <c r="K280" s="77">
        <f t="shared" ref="K280:K281" si="917">D280*4%</f>
        <v>0</v>
      </c>
      <c r="L280" s="82">
        <f t="shared" si="5"/>
        <v>10</v>
      </c>
      <c r="M280" s="77">
        <f t="shared" si="666"/>
        <v>0</v>
      </c>
      <c r="N280" s="83">
        <f t="shared" si="667"/>
        <v>0.8</v>
      </c>
      <c r="O280" s="83">
        <f t="shared" si="668"/>
        <v>1</v>
      </c>
      <c r="P280" s="83">
        <f t="shared" si="669"/>
        <v>0.5</v>
      </c>
      <c r="Q280" s="83">
        <f t="shared" si="670"/>
        <v>0.2</v>
      </c>
      <c r="R280" s="83">
        <f t="shared" si="671"/>
        <v>0</v>
      </c>
      <c r="S280" s="83">
        <f t="shared" si="672"/>
        <v>0.1</v>
      </c>
      <c r="T280" s="84">
        <f t="shared" si="673"/>
        <v>2.6</v>
      </c>
      <c r="U280" s="77">
        <f t="shared" si="674"/>
        <v>0</v>
      </c>
      <c r="V280" s="42">
        <f t="shared" si="15"/>
        <v>0</v>
      </c>
      <c r="W280" s="77">
        <f t="shared" si="675"/>
        <v>0</v>
      </c>
      <c r="X280" s="77">
        <f t="shared" si="676"/>
        <v>0</v>
      </c>
      <c r="Y280" s="77">
        <f t="shared" si="677"/>
        <v>0</v>
      </c>
      <c r="Z280" s="84">
        <f t="shared" si="678"/>
        <v>12.6</v>
      </c>
      <c r="AA280" s="85">
        <f t="shared" si="679"/>
        <v>2.52</v>
      </c>
      <c r="AB280" s="83">
        <f t="shared" si="680"/>
        <v>15.12</v>
      </c>
      <c r="AC280" s="77">
        <f t="shared" si="681"/>
        <v>0</v>
      </c>
      <c r="AD280" s="83">
        <f t="shared" si="682"/>
        <v>15.12</v>
      </c>
      <c r="AE280" s="83">
        <f t="shared" si="683"/>
        <v>100</v>
      </c>
      <c r="AF280" s="79">
        <v>945.0</v>
      </c>
      <c r="AG280" s="86">
        <f t="shared" si="25"/>
        <v>9350</v>
      </c>
      <c r="AH280" s="63">
        <f t="shared" si="684"/>
        <v>45</v>
      </c>
      <c r="AI280" s="90">
        <v>1190.0</v>
      </c>
      <c r="AJ280" s="90">
        <v>990.0</v>
      </c>
      <c r="AK280" s="14">
        <f t="shared" si="27"/>
        <v>9800</v>
      </c>
      <c r="AL280" s="14"/>
      <c r="AM280" s="14">
        <f t="shared" si="749"/>
        <v>4.545454545</v>
      </c>
      <c r="AN280" s="14">
        <f t="shared" si="686"/>
        <v>450</v>
      </c>
      <c r="AO280" s="87">
        <f t="shared" si="687"/>
        <v>99</v>
      </c>
      <c r="AP280" s="14">
        <f t="shared" si="688"/>
        <v>9.7488</v>
      </c>
      <c r="AQ280" s="14">
        <f t="shared" si="689"/>
        <v>9.9</v>
      </c>
      <c r="AR280" s="88">
        <f t="shared" ref="AR280:AS280" si="914">AI280/94</f>
        <v>12.65957447</v>
      </c>
      <c r="AS280" s="88">
        <f t="shared" si="914"/>
        <v>10.53191489</v>
      </c>
      <c r="AT280" s="89">
        <f t="shared" ref="AT280:AU280" si="915">AI280/24</f>
        <v>49.58333333</v>
      </c>
      <c r="AU280" s="89">
        <f t="shared" si="915"/>
        <v>41.25</v>
      </c>
      <c r="AV280" s="89">
        <f t="shared" ref="AV280:AW280" si="916">AI280/125</f>
        <v>9.52</v>
      </c>
      <c r="AW280" s="89">
        <f t="shared" si="916"/>
        <v>7.92</v>
      </c>
      <c r="AX280" s="79"/>
      <c r="AY280" s="79"/>
    </row>
    <row r="281" ht="15.75" customHeight="1">
      <c r="A281" s="2" t="s">
        <v>560</v>
      </c>
      <c r="B281" s="2" t="s">
        <v>218</v>
      </c>
      <c r="C281" s="2" t="s">
        <v>561</v>
      </c>
      <c r="D281" s="102">
        <v>2000.0</v>
      </c>
      <c r="E281" s="2">
        <v>100.0</v>
      </c>
      <c r="F281" s="2">
        <v>10.0</v>
      </c>
      <c r="G281" s="10">
        <v>8.3061E7</v>
      </c>
      <c r="H281" s="59">
        <v>0.05</v>
      </c>
      <c r="I281" s="2">
        <f t="shared" si="748"/>
        <v>100</v>
      </c>
      <c r="K281" s="2">
        <f t="shared" si="917"/>
        <v>80</v>
      </c>
      <c r="L281" s="4">
        <f t="shared" si="5"/>
        <v>2290</v>
      </c>
      <c r="M281" s="2">
        <f t="shared" si="666"/>
        <v>20</v>
      </c>
      <c r="N281" s="12">
        <f t="shared" si="667"/>
        <v>183.2</v>
      </c>
      <c r="O281" s="12">
        <f t="shared" si="668"/>
        <v>229</v>
      </c>
      <c r="P281" s="12">
        <f t="shared" si="669"/>
        <v>114.5</v>
      </c>
      <c r="Q281" s="12">
        <f t="shared" si="670"/>
        <v>45.8</v>
      </c>
      <c r="R281" s="12">
        <f t="shared" si="671"/>
        <v>21</v>
      </c>
      <c r="S281" s="12">
        <f t="shared" si="672"/>
        <v>22.9</v>
      </c>
      <c r="T281" s="60">
        <f t="shared" si="673"/>
        <v>615.4</v>
      </c>
      <c r="U281" s="2">
        <f t="shared" si="674"/>
        <v>42</v>
      </c>
      <c r="V281" s="42">
        <f t="shared" si="15"/>
        <v>210</v>
      </c>
      <c r="W281" s="2">
        <f t="shared" si="675"/>
        <v>42</v>
      </c>
      <c r="X281" s="2">
        <f t="shared" si="676"/>
        <v>336</v>
      </c>
      <c r="Y281" s="2">
        <f t="shared" si="677"/>
        <v>630</v>
      </c>
      <c r="Z281" s="60">
        <f t="shared" si="678"/>
        <v>3535.4</v>
      </c>
      <c r="AA281" s="11">
        <f t="shared" si="679"/>
        <v>707.08</v>
      </c>
      <c r="AB281" s="12">
        <f t="shared" si="680"/>
        <v>4242.48</v>
      </c>
      <c r="AC281" s="2">
        <f t="shared" si="681"/>
        <v>4200</v>
      </c>
      <c r="AD281" s="12">
        <f t="shared" si="682"/>
        <v>42.48</v>
      </c>
      <c r="AE281" s="12">
        <f t="shared" si="683"/>
        <v>1.001301126</v>
      </c>
      <c r="AF281" s="61">
        <v>3850.0</v>
      </c>
      <c r="AG281" s="62">
        <f t="shared" si="25"/>
        <v>68.12227074</v>
      </c>
      <c r="AH281" s="63">
        <f t="shared" si="684"/>
        <v>0</v>
      </c>
      <c r="AI281" s="65">
        <v>4290.0</v>
      </c>
      <c r="AJ281" s="65">
        <v>3850.0</v>
      </c>
      <c r="AK281" s="66">
        <f t="shared" si="27"/>
        <v>68.12227074</v>
      </c>
      <c r="AL281" s="66"/>
      <c r="AM281" s="14">
        <f t="shared" si="749"/>
        <v>0</v>
      </c>
      <c r="AN281" s="67">
        <f t="shared" si="686"/>
        <v>0</v>
      </c>
      <c r="AO281" s="68">
        <f t="shared" si="687"/>
        <v>1.681222707</v>
      </c>
      <c r="AP281" s="69">
        <f t="shared" si="688"/>
        <v>-3.9248</v>
      </c>
      <c r="AQ281" s="70">
        <f t="shared" si="689"/>
        <v>-3.5</v>
      </c>
      <c r="AR281" s="71">
        <f t="shared" ref="AR281:AS281" si="918">AI281/94</f>
        <v>45.63829787</v>
      </c>
      <c r="AS281" s="71">
        <f t="shared" si="918"/>
        <v>40.95744681</v>
      </c>
      <c r="AT281" s="72">
        <f t="shared" ref="AT281:AU281" si="919">AI281/24</f>
        <v>178.75</v>
      </c>
      <c r="AU281" s="72">
        <f t="shared" si="919"/>
        <v>160.4166667</v>
      </c>
      <c r="AV281" s="73">
        <f t="shared" ref="AV281:AW281" si="920">AI281/125</f>
        <v>34.32</v>
      </c>
      <c r="AW281" s="73">
        <f t="shared" si="920"/>
        <v>30.8</v>
      </c>
    </row>
    <row r="282" ht="15.75" customHeight="1">
      <c r="A282" s="144" t="s">
        <v>562</v>
      </c>
      <c r="B282" s="144" t="s">
        <v>563</v>
      </c>
      <c r="C282" s="92" t="s">
        <v>564</v>
      </c>
      <c r="D282" s="145">
        <f>2.5*5200</f>
        <v>13000</v>
      </c>
      <c r="E282" s="145">
        <v>200.0</v>
      </c>
      <c r="F282" s="80">
        <v>100.0</v>
      </c>
      <c r="G282" s="78">
        <v>8.3061E7</v>
      </c>
      <c r="H282" s="81">
        <v>0.05</v>
      </c>
      <c r="I282" s="77">
        <f t="shared" ref="I282:I285" si="924">E282*H282</f>
        <v>10</v>
      </c>
      <c r="J282" s="79"/>
      <c r="K282" s="146">
        <v>300.0</v>
      </c>
      <c r="L282" s="147">
        <f t="shared" si="5"/>
        <v>13610</v>
      </c>
      <c r="M282" s="77">
        <f t="shared" ref="M282:M285" si="925">E282*1%</f>
        <v>2</v>
      </c>
      <c r="N282" s="83">
        <f t="shared" si="667"/>
        <v>1088.8</v>
      </c>
      <c r="O282" s="83">
        <f t="shared" si="668"/>
        <v>1361</v>
      </c>
      <c r="P282" s="83">
        <f t="shared" si="669"/>
        <v>680.5</v>
      </c>
      <c r="Q282" s="83">
        <f t="shared" si="670"/>
        <v>272.2</v>
      </c>
      <c r="R282" s="83">
        <f t="shared" si="671"/>
        <v>2.1</v>
      </c>
      <c r="S282" s="83">
        <f t="shared" si="672"/>
        <v>136.1</v>
      </c>
      <c r="T282" s="84">
        <f t="shared" si="673"/>
        <v>3540.6</v>
      </c>
      <c r="U282" s="77">
        <f t="shared" si="674"/>
        <v>4.2</v>
      </c>
      <c r="V282" s="42">
        <f t="shared" si="15"/>
        <v>21</v>
      </c>
      <c r="W282" s="77">
        <f t="shared" si="675"/>
        <v>4.2</v>
      </c>
      <c r="X282" s="77">
        <f t="shared" si="676"/>
        <v>33.6</v>
      </c>
      <c r="Y282" s="77">
        <f t="shared" si="677"/>
        <v>63</v>
      </c>
      <c r="Z282" s="84">
        <f t="shared" si="678"/>
        <v>17213.6</v>
      </c>
      <c r="AA282" s="85">
        <f t="shared" si="679"/>
        <v>3442.72</v>
      </c>
      <c r="AB282" s="83">
        <f t="shared" si="680"/>
        <v>20656.32</v>
      </c>
      <c r="AC282" s="77">
        <f t="shared" ref="AC282:AC285" si="926">E282*2.1</f>
        <v>420</v>
      </c>
      <c r="AD282" s="83">
        <f t="shared" si="682"/>
        <v>20236.32</v>
      </c>
      <c r="AE282" s="83">
        <f t="shared" si="683"/>
        <v>97.96672399</v>
      </c>
      <c r="AF282" s="79">
        <v>23250.0</v>
      </c>
      <c r="AG282" s="86">
        <f t="shared" si="25"/>
        <v>70.83027186</v>
      </c>
      <c r="AH282" s="63">
        <f t="shared" si="684"/>
        <v>740</v>
      </c>
      <c r="AI282" s="63">
        <v>24990.0</v>
      </c>
      <c r="AJ282" s="90">
        <v>23990.0</v>
      </c>
      <c r="AK282" s="14">
        <f t="shared" si="27"/>
        <v>76.2674504</v>
      </c>
      <c r="AL282" s="14"/>
      <c r="AM282" s="14">
        <f t="shared" si="749"/>
        <v>3.084618591</v>
      </c>
      <c r="AN282" s="14">
        <f t="shared" si="686"/>
        <v>5.437178545</v>
      </c>
      <c r="AO282" s="87">
        <f t="shared" si="687"/>
        <v>1.762674504</v>
      </c>
      <c r="AP282" s="14">
        <f t="shared" si="688"/>
        <v>33.3368</v>
      </c>
      <c r="AQ282" s="14">
        <f t="shared" si="689"/>
        <v>235.7</v>
      </c>
      <c r="AR282" s="88">
        <f t="shared" ref="AR282:AS282" si="921">AI282/94</f>
        <v>265.8510638</v>
      </c>
      <c r="AS282" s="88">
        <f t="shared" si="921"/>
        <v>255.212766</v>
      </c>
      <c r="AT282" s="89">
        <f t="shared" ref="AT282:AU282" si="922">AI282/24</f>
        <v>1041.25</v>
      </c>
      <c r="AU282" s="89">
        <f t="shared" si="922"/>
        <v>999.5833333</v>
      </c>
      <c r="AV282" s="89">
        <f t="shared" ref="AV282:AW282" si="923">AI282/125</f>
        <v>199.92</v>
      </c>
      <c r="AW282" s="89">
        <f t="shared" si="923"/>
        <v>191.92</v>
      </c>
      <c r="AX282" s="79"/>
      <c r="AY282" s="79"/>
    </row>
    <row r="283" ht="15.75" customHeight="1">
      <c r="A283" s="5"/>
      <c r="B283" s="144" t="s">
        <v>565</v>
      </c>
      <c r="C283" s="92" t="s">
        <v>566</v>
      </c>
      <c r="D283" s="145">
        <f>3*5200</f>
        <v>15600</v>
      </c>
      <c r="E283" s="145">
        <v>200.0</v>
      </c>
      <c r="F283" s="80">
        <v>100.0</v>
      </c>
      <c r="G283" s="78">
        <v>8.3061E7</v>
      </c>
      <c r="H283" s="81">
        <v>0.05</v>
      </c>
      <c r="I283" s="77">
        <f t="shared" si="924"/>
        <v>10</v>
      </c>
      <c r="J283" s="79"/>
      <c r="K283" s="146">
        <v>300.0</v>
      </c>
      <c r="L283" s="147">
        <f t="shared" si="5"/>
        <v>16210</v>
      </c>
      <c r="M283" s="77">
        <f t="shared" si="925"/>
        <v>2</v>
      </c>
      <c r="N283" s="83">
        <f t="shared" si="667"/>
        <v>1296.8</v>
      </c>
      <c r="O283" s="83">
        <f t="shared" si="668"/>
        <v>1621</v>
      </c>
      <c r="P283" s="83">
        <f t="shared" si="669"/>
        <v>810.5</v>
      </c>
      <c r="Q283" s="83">
        <f t="shared" si="670"/>
        <v>324.2</v>
      </c>
      <c r="R283" s="83">
        <f t="shared" si="671"/>
        <v>2.1</v>
      </c>
      <c r="S283" s="83">
        <f t="shared" si="672"/>
        <v>162.1</v>
      </c>
      <c r="T283" s="84">
        <f t="shared" si="673"/>
        <v>4216.6</v>
      </c>
      <c r="U283" s="77">
        <f t="shared" si="674"/>
        <v>4.2</v>
      </c>
      <c r="V283" s="42">
        <f t="shared" si="15"/>
        <v>21</v>
      </c>
      <c r="W283" s="77">
        <f t="shared" si="675"/>
        <v>4.2</v>
      </c>
      <c r="X283" s="77">
        <f t="shared" si="676"/>
        <v>33.6</v>
      </c>
      <c r="Y283" s="77">
        <f t="shared" si="677"/>
        <v>63</v>
      </c>
      <c r="Z283" s="84">
        <f t="shared" si="678"/>
        <v>20489.6</v>
      </c>
      <c r="AA283" s="85">
        <f t="shared" si="679"/>
        <v>4097.92</v>
      </c>
      <c r="AB283" s="83">
        <f t="shared" si="680"/>
        <v>24587.52</v>
      </c>
      <c r="AC283" s="77">
        <f t="shared" si="926"/>
        <v>420</v>
      </c>
      <c r="AD283" s="83">
        <f t="shared" si="682"/>
        <v>24167.52</v>
      </c>
      <c r="AE283" s="83">
        <f t="shared" si="683"/>
        <v>98.29181634</v>
      </c>
      <c r="AF283" s="79">
        <v>27690.0</v>
      </c>
      <c r="AG283" s="86">
        <f t="shared" si="25"/>
        <v>70.82048118</v>
      </c>
      <c r="AH283" s="63">
        <f t="shared" si="684"/>
        <v>300</v>
      </c>
      <c r="AI283" s="63">
        <v>29990.0</v>
      </c>
      <c r="AJ283" s="90">
        <v>27990.0</v>
      </c>
      <c r="AK283" s="14">
        <f t="shared" si="27"/>
        <v>72.67119062</v>
      </c>
      <c r="AL283" s="14"/>
      <c r="AM283" s="14">
        <f t="shared" si="749"/>
        <v>1.071811361</v>
      </c>
      <c r="AN283" s="14">
        <f t="shared" si="686"/>
        <v>1.850709439</v>
      </c>
      <c r="AO283" s="87">
        <f t="shared" si="687"/>
        <v>1.726711906</v>
      </c>
      <c r="AP283" s="14">
        <f t="shared" si="688"/>
        <v>34.0248</v>
      </c>
      <c r="AQ283" s="14">
        <f t="shared" si="689"/>
        <v>275.7</v>
      </c>
      <c r="AR283" s="88">
        <f t="shared" ref="AR283:AS283" si="927">AI283/94</f>
        <v>319.0425532</v>
      </c>
      <c r="AS283" s="88">
        <f t="shared" si="927"/>
        <v>297.7659574</v>
      </c>
      <c r="AT283" s="89">
        <f t="shared" ref="AT283:AU283" si="928">AI283/24</f>
        <v>1249.583333</v>
      </c>
      <c r="AU283" s="89">
        <f t="shared" si="928"/>
        <v>1166.25</v>
      </c>
      <c r="AV283" s="89">
        <f t="shared" ref="AV283:AW283" si="929">AI283/125</f>
        <v>239.92</v>
      </c>
      <c r="AW283" s="89">
        <f t="shared" si="929"/>
        <v>223.92</v>
      </c>
      <c r="AX283" s="79"/>
      <c r="AY283" s="79"/>
    </row>
    <row r="284" ht="15.75" customHeight="1">
      <c r="A284" s="5"/>
      <c r="B284" s="144" t="s">
        <v>567</v>
      </c>
      <c r="C284" s="92" t="s">
        <v>568</v>
      </c>
      <c r="D284" s="145">
        <f>4*5200</f>
        <v>20800</v>
      </c>
      <c r="E284" s="145">
        <v>300.0</v>
      </c>
      <c r="F284" s="80">
        <v>100.0</v>
      </c>
      <c r="G284" s="78">
        <v>8.3061E7</v>
      </c>
      <c r="H284" s="81">
        <v>0.05</v>
      </c>
      <c r="I284" s="77">
        <f t="shared" si="924"/>
        <v>15</v>
      </c>
      <c r="J284" s="79"/>
      <c r="K284" s="146">
        <v>300.0</v>
      </c>
      <c r="L284" s="147">
        <f t="shared" si="5"/>
        <v>21515</v>
      </c>
      <c r="M284" s="77">
        <f t="shared" si="925"/>
        <v>3</v>
      </c>
      <c r="N284" s="83">
        <f t="shared" si="667"/>
        <v>1721.2</v>
      </c>
      <c r="O284" s="83">
        <f t="shared" si="668"/>
        <v>2151.5</v>
      </c>
      <c r="P284" s="83">
        <f t="shared" si="669"/>
        <v>1075.75</v>
      </c>
      <c r="Q284" s="83">
        <f t="shared" si="670"/>
        <v>430.3</v>
      </c>
      <c r="R284" s="83">
        <f t="shared" si="671"/>
        <v>3.15</v>
      </c>
      <c r="S284" s="83">
        <f t="shared" si="672"/>
        <v>215.15</v>
      </c>
      <c r="T284" s="84">
        <f t="shared" si="673"/>
        <v>5596.9</v>
      </c>
      <c r="U284" s="77">
        <f t="shared" si="674"/>
        <v>6.3</v>
      </c>
      <c r="V284" s="42">
        <f t="shared" si="15"/>
        <v>31.5</v>
      </c>
      <c r="W284" s="77">
        <f t="shared" si="675"/>
        <v>6.3</v>
      </c>
      <c r="X284" s="77">
        <f t="shared" si="676"/>
        <v>50.4</v>
      </c>
      <c r="Y284" s="77">
        <f t="shared" si="677"/>
        <v>94.5</v>
      </c>
      <c r="Z284" s="84">
        <f t="shared" si="678"/>
        <v>27206.4</v>
      </c>
      <c r="AA284" s="85">
        <f t="shared" si="679"/>
        <v>5441.28</v>
      </c>
      <c r="AB284" s="83">
        <f t="shared" si="680"/>
        <v>32647.68</v>
      </c>
      <c r="AC284" s="77">
        <f t="shared" si="926"/>
        <v>630</v>
      </c>
      <c r="AD284" s="83">
        <f t="shared" si="682"/>
        <v>32017.68</v>
      </c>
      <c r="AE284" s="83">
        <f t="shared" si="683"/>
        <v>98.07030699</v>
      </c>
      <c r="AF284" s="79">
        <v>32950.0</v>
      </c>
      <c r="AG284" s="86">
        <f t="shared" si="25"/>
        <v>53.14896584</v>
      </c>
      <c r="AH284" s="63">
        <f t="shared" si="684"/>
        <v>3040</v>
      </c>
      <c r="AI284" s="63">
        <v>37990.0</v>
      </c>
      <c r="AJ284" s="90">
        <v>35990.0</v>
      </c>
      <c r="AK284" s="14">
        <f t="shared" si="27"/>
        <v>67.27864281</v>
      </c>
      <c r="AL284" s="14"/>
      <c r="AM284" s="14">
        <f t="shared" si="749"/>
        <v>8.446790775</v>
      </c>
      <c r="AN284" s="14">
        <f t="shared" si="686"/>
        <v>14.12967697</v>
      </c>
      <c r="AO284" s="87">
        <f t="shared" si="687"/>
        <v>1.672786428</v>
      </c>
      <c r="AP284" s="14">
        <f t="shared" si="688"/>
        <v>33.4232</v>
      </c>
      <c r="AQ284" s="14">
        <f t="shared" si="689"/>
        <v>353.6</v>
      </c>
      <c r="AR284" s="88">
        <f t="shared" ref="AR284:AS284" si="930">AI284/94</f>
        <v>404.1489362</v>
      </c>
      <c r="AS284" s="88">
        <f t="shared" si="930"/>
        <v>382.8723404</v>
      </c>
      <c r="AT284" s="89">
        <f t="shared" ref="AT284:AU284" si="931">AI284/24</f>
        <v>1582.916667</v>
      </c>
      <c r="AU284" s="89">
        <f t="shared" si="931"/>
        <v>1499.583333</v>
      </c>
      <c r="AV284" s="89">
        <f t="shared" ref="AV284:AW284" si="932">AI284/125</f>
        <v>303.92</v>
      </c>
      <c r="AW284" s="89">
        <f t="shared" si="932"/>
        <v>287.92</v>
      </c>
      <c r="AX284" s="79"/>
      <c r="AY284" s="79"/>
    </row>
    <row r="285" ht="15.75" customHeight="1">
      <c r="A285" s="5"/>
      <c r="B285" s="144" t="s">
        <v>569</v>
      </c>
      <c r="C285" s="92" t="s">
        <v>570</v>
      </c>
      <c r="D285" s="145">
        <f>5.5*5400</f>
        <v>29700</v>
      </c>
      <c r="E285" s="145">
        <v>300.0</v>
      </c>
      <c r="F285" s="80">
        <v>100.0</v>
      </c>
      <c r="G285" s="78">
        <v>8.3061E7</v>
      </c>
      <c r="H285" s="81">
        <v>0.05</v>
      </c>
      <c r="I285" s="77">
        <f t="shared" si="924"/>
        <v>15</v>
      </c>
      <c r="J285" s="79"/>
      <c r="K285" s="146">
        <v>300.0</v>
      </c>
      <c r="L285" s="147">
        <f t="shared" si="5"/>
        <v>30415</v>
      </c>
      <c r="M285" s="77">
        <f t="shared" si="925"/>
        <v>3</v>
      </c>
      <c r="N285" s="83">
        <f t="shared" si="667"/>
        <v>2433.2</v>
      </c>
      <c r="O285" s="83">
        <f t="shared" si="668"/>
        <v>3041.5</v>
      </c>
      <c r="P285" s="83">
        <f t="shared" si="669"/>
        <v>1520.75</v>
      </c>
      <c r="Q285" s="83">
        <f t="shared" si="670"/>
        <v>608.3</v>
      </c>
      <c r="R285" s="83">
        <f t="shared" si="671"/>
        <v>3.15</v>
      </c>
      <c r="S285" s="83">
        <f t="shared" si="672"/>
        <v>304.15</v>
      </c>
      <c r="T285" s="84">
        <f t="shared" si="673"/>
        <v>7910.9</v>
      </c>
      <c r="U285" s="77">
        <f t="shared" si="674"/>
        <v>6.3</v>
      </c>
      <c r="V285" s="42">
        <f t="shared" si="15"/>
        <v>31.5</v>
      </c>
      <c r="W285" s="77">
        <f t="shared" si="675"/>
        <v>6.3</v>
      </c>
      <c r="X285" s="77">
        <f t="shared" si="676"/>
        <v>50.4</v>
      </c>
      <c r="Y285" s="77">
        <f t="shared" si="677"/>
        <v>94.5</v>
      </c>
      <c r="Z285" s="84">
        <f t="shared" si="678"/>
        <v>38420.4</v>
      </c>
      <c r="AA285" s="85">
        <f t="shared" si="679"/>
        <v>7684.08</v>
      </c>
      <c r="AB285" s="83">
        <f t="shared" si="680"/>
        <v>46104.48</v>
      </c>
      <c r="AC285" s="77">
        <f t="shared" si="926"/>
        <v>630</v>
      </c>
      <c r="AD285" s="83">
        <f t="shared" si="682"/>
        <v>45474.48</v>
      </c>
      <c r="AE285" s="83">
        <f t="shared" si="683"/>
        <v>98.63353843</v>
      </c>
      <c r="AF285" s="79">
        <v>42950.0</v>
      </c>
      <c r="AG285" s="86">
        <f t="shared" si="25"/>
        <v>41.21321716</v>
      </c>
      <c r="AH285" s="63">
        <f t="shared" si="684"/>
        <v>40</v>
      </c>
      <c r="AI285" s="90">
        <v>45990.0</v>
      </c>
      <c r="AJ285" s="90">
        <v>42990.0</v>
      </c>
      <c r="AK285" s="14">
        <f t="shared" si="27"/>
        <v>41.34473122</v>
      </c>
      <c r="AL285" s="14"/>
      <c r="AM285" s="14">
        <f t="shared" si="749"/>
        <v>0.09304489416</v>
      </c>
      <c r="AN285" s="14">
        <f t="shared" si="686"/>
        <v>0.1315140556</v>
      </c>
      <c r="AO285" s="87">
        <f t="shared" si="687"/>
        <v>1.413447312</v>
      </c>
      <c r="AP285" s="14">
        <f t="shared" si="688"/>
        <v>-31.1448</v>
      </c>
      <c r="AQ285" s="14">
        <f t="shared" si="689"/>
        <v>423.6</v>
      </c>
      <c r="AR285" s="88">
        <f t="shared" ref="AR285:AS285" si="933">AI285/94</f>
        <v>489.2553191</v>
      </c>
      <c r="AS285" s="88">
        <f t="shared" si="933"/>
        <v>457.3404255</v>
      </c>
      <c r="AT285" s="89">
        <f t="shared" ref="AT285:AU285" si="934">AI285/24</f>
        <v>1916.25</v>
      </c>
      <c r="AU285" s="89">
        <f t="shared" si="934"/>
        <v>1791.25</v>
      </c>
      <c r="AV285" s="89">
        <f t="shared" ref="AV285:AW285" si="935">AI285/125</f>
        <v>367.92</v>
      </c>
      <c r="AW285" s="89">
        <f t="shared" si="935"/>
        <v>343.92</v>
      </c>
      <c r="AX285" s="79"/>
      <c r="AY285" s="79"/>
    </row>
    <row r="286" ht="15.75" customHeight="1">
      <c r="A286" s="5"/>
      <c r="B286" s="144" t="s">
        <v>571</v>
      </c>
      <c r="C286" s="92" t="s">
        <v>572</v>
      </c>
      <c r="D286" s="145"/>
      <c r="E286" s="145"/>
      <c r="F286" s="80"/>
      <c r="G286" s="78"/>
      <c r="H286" s="81"/>
      <c r="I286" s="77"/>
      <c r="J286" s="79"/>
      <c r="K286" s="146"/>
      <c r="L286" s="82"/>
      <c r="M286" s="77"/>
      <c r="N286" s="83"/>
      <c r="O286" s="83"/>
      <c r="P286" s="83"/>
      <c r="Q286" s="83"/>
      <c r="R286" s="83"/>
      <c r="S286" s="83"/>
      <c r="T286" s="82"/>
      <c r="U286" s="77"/>
      <c r="V286" s="42">
        <f t="shared" si="15"/>
        <v>0</v>
      </c>
      <c r="W286" s="77"/>
      <c r="X286" s="77"/>
      <c r="Y286" s="77"/>
      <c r="Z286" s="84"/>
      <c r="AA286" s="85"/>
      <c r="AB286" s="83"/>
      <c r="AC286" s="77"/>
      <c r="AD286" s="83"/>
      <c r="AE286" s="83"/>
      <c r="AF286" s="79"/>
      <c r="AG286" s="86"/>
      <c r="AH286" s="63"/>
      <c r="AI286" s="90"/>
      <c r="AJ286" s="90"/>
      <c r="AK286" s="14"/>
      <c r="AL286" s="14"/>
      <c r="AM286" s="14"/>
      <c r="AN286" s="14"/>
      <c r="AO286" s="87"/>
      <c r="AP286" s="14"/>
      <c r="AQ286" s="14"/>
      <c r="AR286" s="88"/>
      <c r="AS286" s="88"/>
      <c r="AT286" s="89"/>
      <c r="AU286" s="89"/>
      <c r="AV286" s="89"/>
      <c r="AW286" s="89"/>
      <c r="AX286" s="79"/>
      <c r="AY286" s="79"/>
    </row>
    <row r="287" ht="15.75" customHeight="1">
      <c r="A287" s="5"/>
      <c r="B287" s="144" t="s">
        <v>573</v>
      </c>
      <c r="C287" s="92" t="s">
        <v>574</v>
      </c>
      <c r="D287" s="145"/>
      <c r="E287" s="145"/>
      <c r="F287" s="80"/>
      <c r="G287" s="78"/>
      <c r="H287" s="81"/>
      <c r="I287" s="77"/>
      <c r="J287" s="79"/>
      <c r="K287" s="146"/>
      <c r="L287" s="82"/>
      <c r="M287" s="77"/>
      <c r="N287" s="83"/>
      <c r="O287" s="83"/>
      <c r="P287" s="83"/>
      <c r="Q287" s="83"/>
      <c r="R287" s="83"/>
      <c r="S287" s="83"/>
      <c r="T287" s="82"/>
      <c r="U287" s="77"/>
      <c r="V287" s="42">
        <f t="shared" si="15"/>
        <v>0</v>
      </c>
      <c r="W287" s="77"/>
      <c r="X287" s="77"/>
      <c r="Y287" s="77"/>
      <c r="Z287" s="84"/>
      <c r="AA287" s="85"/>
      <c r="AB287" s="83"/>
      <c r="AC287" s="77"/>
      <c r="AD287" s="83"/>
      <c r="AE287" s="83"/>
      <c r="AF287" s="79"/>
      <c r="AG287" s="86"/>
      <c r="AH287" s="63"/>
      <c r="AI287" s="90"/>
      <c r="AJ287" s="90"/>
      <c r="AK287" s="14"/>
      <c r="AL287" s="14"/>
      <c r="AM287" s="14"/>
      <c r="AN287" s="14"/>
      <c r="AO287" s="87"/>
      <c r="AP287" s="14"/>
      <c r="AQ287" s="14"/>
      <c r="AR287" s="88"/>
      <c r="AS287" s="88"/>
      <c r="AT287" s="89"/>
      <c r="AU287" s="89"/>
      <c r="AV287" s="89"/>
      <c r="AW287" s="89"/>
      <c r="AX287" s="79"/>
      <c r="AY287" s="79"/>
    </row>
    <row r="288" ht="15.75" customHeight="1">
      <c r="A288" s="5"/>
      <c r="B288" s="144" t="s">
        <v>575</v>
      </c>
      <c r="C288" s="92" t="s">
        <v>576</v>
      </c>
      <c r="D288" s="145"/>
      <c r="E288" s="145"/>
      <c r="F288" s="80"/>
      <c r="G288" s="78"/>
      <c r="H288" s="81"/>
      <c r="I288" s="77"/>
      <c r="J288" s="79"/>
      <c r="K288" s="146"/>
      <c r="L288" s="82"/>
      <c r="M288" s="77"/>
      <c r="N288" s="83"/>
      <c r="O288" s="83"/>
      <c r="P288" s="83"/>
      <c r="Q288" s="83"/>
      <c r="R288" s="83"/>
      <c r="S288" s="83"/>
      <c r="T288" s="82"/>
      <c r="U288" s="77"/>
      <c r="V288" s="42">
        <f t="shared" si="15"/>
        <v>0</v>
      </c>
      <c r="W288" s="77"/>
      <c r="X288" s="77"/>
      <c r="Y288" s="77"/>
      <c r="Z288" s="84"/>
      <c r="AA288" s="85"/>
      <c r="AB288" s="83"/>
      <c r="AC288" s="77"/>
      <c r="AD288" s="83"/>
      <c r="AE288" s="83"/>
      <c r="AF288" s="79"/>
      <c r="AG288" s="86"/>
      <c r="AH288" s="63"/>
      <c r="AI288" s="90"/>
      <c r="AJ288" s="90"/>
      <c r="AK288" s="14"/>
      <c r="AL288" s="14"/>
      <c r="AM288" s="14"/>
      <c r="AN288" s="14"/>
      <c r="AO288" s="87"/>
      <c r="AP288" s="14"/>
      <c r="AQ288" s="14"/>
      <c r="AR288" s="88"/>
      <c r="AS288" s="88"/>
      <c r="AT288" s="89"/>
      <c r="AU288" s="89"/>
      <c r="AV288" s="89"/>
      <c r="AW288" s="89"/>
      <c r="AX288" s="79"/>
      <c r="AY288" s="79"/>
    </row>
    <row r="289" ht="15.75" customHeight="1">
      <c r="A289" s="77" t="s">
        <v>577</v>
      </c>
      <c r="B289" s="77" t="s">
        <v>563</v>
      </c>
      <c r="C289" s="148" t="s">
        <v>578</v>
      </c>
      <c r="D289" s="145">
        <f>3*4200</f>
        <v>12600</v>
      </c>
      <c r="E289" s="77">
        <v>190.0</v>
      </c>
      <c r="F289" s="80">
        <v>100.0</v>
      </c>
      <c r="G289" s="78">
        <v>8.3061E7</v>
      </c>
      <c r="H289" s="81">
        <v>0.05</v>
      </c>
      <c r="I289" s="77">
        <f t="shared" ref="I289:I294" si="939">D289*H289</f>
        <v>630</v>
      </c>
      <c r="J289" s="79"/>
      <c r="K289" s="80">
        <v>300.0</v>
      </c>
      <c r="L289" s="147">
        <f t="shared" ref="L289:L294" si="940">K289+J289+I289+F289+E289+D289</f>
        <v>13820</v>
      </c>
      <c r="M289" s="77">
        <f t="shared" ref="M289:M294" si="941">D289*1%</f>
        <v>126</v>
      </c>
      <c r="N289" s="83">
        <f t="shared" ref="N289:N294" si="942">L289*8%</f>
        <v>1105.6</v>
      </c>
      <c r="O289" s="83">
        <f t="shared" ref="O289:O294" si="943">L289*10%</f>
        <v>1382</v>
      </c>
      <c r="P289" s="83">
        <f t="shared" ref="P289:P294" si="944">L289*5%</f>
        <v>691</v>
      </c>
      <c r="Q289" s="83">
        <f t="shared" ref="Q289:Q294" si="945">L289*2%</f>
        <v>276.4</v>
      </c>
      <c r="R289" s="83">
        <f t="shared" ref="R289:R294" si="946">AC289*0.5%</f>
        <v>132.3</v>
      </c>
      <c r="S289" s="83">
        <f t="shared" ref="S289:S294" si="947">L289*1%</f>
        <v>138.2</v>
      </c>
      <c r="T289" s="84">
        <f t="shared" ref="T289:T294" si="948">S289+Q289+P289+O289+N289+M289</f>
        <v>3719.2</v>
      </c>
      <c r="U289" s="77">
        <f t="shared" ref="U289:U294" si="949">AC289*1%</f>
        <v>264.6</v>
      </c>
      <c r="V289" s="42">
        <f t="shared" si="15"/>
        <v>1323</v>
      </c>
      <c r="W289" s="77">
        <f t="shared" ref="W289:W294" si="950">AC289*1%</f>
        <v>264.6</v>
      </c>
      <c r="X289" s="77">
        <f t="shared" ref="X289:X294" si="951">AC289*8%</f>
        <v>2116.8</v>
      </c>
      <c r="Y289" s="77">
        <f t="shared" ref="Y289:Y294" si="952">U289+V289+W289+X289</f>
        <v>3969</v>
      </c>
      <c r="Z289" s="84">
        <f t="shared" ref="Z289:Z294" si="953">Y289+T289+L289</f>
        <v>21508.2</v>
      </c>
      <c r="AA289" s="85">
        <f t="shared" ref="AA289:AA294" si="954">Z289*20%</f>
        <v>4301.64</v>
      </c>
      <c r="AB289" s="83">
        <f t="shared" ref="AB289:AB294" si="955">Z289+AA289</f>
        <v>25809.84</v>
      </c>
      <c r="AC289" s="77">
        <f t="shared" ref="AC289:AC294" si="956">D289*2.1</f>
        <v>26460</v>
      </c>
      <c r="AD289" s="83">
        <f t="shared" ref="AD289:AD294" si="957">AB289-AC289</f>
        <v>-650.16</v>
      </c>
      <c r="AE289" s="83">
        <f t="shared" ref="AE289:AE294" si="958">AD289/AB289*100</f>
        <v>-2.51903925</v>
      </c>
      <c r="AF289" s="79"/>
      <c r="AG289" s="86">
        <f t="shared" ref="AG289:AG294" si="959">((AF289-L289)/L289)*100</f>
        <v>-100</v>
      </c>
      <c r="AH289" s="63">
        <f t="shared" ref="AH289:AH294" si="960">AJ289-AF289</f>
        <v>19990</v>
      </c>
      <c r="AI289" s="63">
        <f t="shared" ref="AI289:AI294" si="961">AB289</f>
        <v>25809.84</v>
      </c>
      <c r="AJ289" s="90">
        <v>19990.0</v>
      </c>
      <c r="AK289" s="14">
        <f t="shared" ref="AK289:AK294" si="962">(AJ289-L289)/L289*100</f>
        <v>44.64544139</v>
      </c>
      <c r="AL289" s="14"/>
      <c r="AM289" s="14">
        <f t="shared" ref="AM289:AM294" si="963">AH289/AJ289%</f>
        <v>100</v>
      </c>
      <c r="AN289" s="14">
        <f t="shared" ref="AN289:AN294" si="964">AK289-AG289</f>
        <v>144.6454414</v>
      </c>
      <c r="AO289" s="87">
        <f t="shared" ref="AO289:AO294" si="965">AJ289/L289</f>
        <v>1.446454414</v>
      </c>
      <c r="AP289" s="14">
        <f t="shared" ref="AP289:AP294" si="966">(AJ289-AB289)/100</f>
        <v>-58.1984</v>
      </c>
      <c r="AQ289" s="14">
        <f t="shared" ref="AQ289:AQ294" si="967">(AJ289-AC289)/100</f>
        <v>-64.7</v>
      </c>
      <c r="AR289" s="88">
        <f t="shared" ref="AR289:AS289" si="936">AI289/94</f>
        <v>274.572766</v>
      </c>
      <c r="AS289" s="88">
        <f t="shared" si="936"/>
        <v>212.6595745</v>
      </c>
      <c r="AT289" s="89">
        <f t="shared" ref="AT289:AU289" si="937">AI289/24</f>
        <v>1075.41</v>
      </c>
      <c r="AU289" s="89">
        <f t="shared" si="937"/>
        <v>832.9166667</v>
      </c>
      <c r="AV289" s="89">
        <f t="shared" ref="AV289:AW289" si="938">AI289/125</f>
        <v>206.47872</v>
      </c>
      <c r="AW289" s="89">
        <f t="shared" si="938"/>
        <v>159.92</v>
      </c>
      <c r="AX289" s="79"/>
      <c r="AY289" s="79"/>
    </row>
    <row r="290" ht="15.75" customHeight="1">
      <c r="A290" s="77"/>
      <c r="B290" s="77" t="s">
        <v>565</v>
      </c>
      <c r="C290" s="148" t="s">
        <v>579</v>
      </c>
      <c r="D290" s="145">
        <f>4*4200</f>
        <v>16800</v>
      </c>
      <c r="E290" s="77">
        <v>190.0</v>
      </c>
      <c r="F290" s="80">
        <v>100.0</v>
      </c>
      <c r="G290" s="78">
        <v>8.3061E7</v>
      </c>
      <c r="H290" s="81">
        <v>0.05</v>
      </c>
      <c r="I290" s="77">
        <f t="shared" si="939"/>
        <v>840</v>
      </c>
      <c r="J290" s="79"/>
      <c r="K290" s="80">
        <v>400.0</v>
      </c>
      <c r="L290" s="147">
        <f t="shared" si="940"/>
        <v>18330</v>
      </c>
      <c r="M290" s="77">
        <f t="shared" si="941"/>
        <v>168</v>
      </c>
      <c r="N290" s="83">
        <f t="shared" si="942"/>
        <v>1466.4</v>
      </c>
      <c r="O290" s="83">
        <f t="shared" si="943"/>
        <v>1833</v>
      </c>
      <c r="P290" s="83">
        <f t="shared" si="944"/>
        <v>916.5</v>
      </c>
      <c r="Q290" s="83">
        <f t="shared" si="945"/>
        <v>366.6</v>
      </c>
      <c r="R290" s="83">
        <f t="shared" si="946"/>
        <v>176.4</v>
      </c>
      <c r="S290" s="83">
        <f t="shared" si="947"/>
        <v>183.3</v>
      </c>
      <c r="T290" s="84">
        <f t="shared" si="948"/>
        <v>4933.8</v>
      </c>
      <c r="U290" s="77">
        <f t="shared" si="949"/>
        <v>352.8</v>
      </c>
      <c r="V290" s="42">
        <f t="shared" si="15"/>
        <v>1764</v>
      </c>
      <c r="W290" s="77">
        <f t="shared" si="950"/>
        <v>352.8</v>
      </c>
      <c r="X290" s="77">
        <f t="shared" si="951"/>
        <v>2822.4</v>
      </c>
      <c r="Y290" s="77">
        <f t="shared" si="952"/>
        <v>5292</v>
      </c>
      <c r="Z290" s="84">
        <f t="shared" si="953"/>
        <v>28555.8</v>
      </c>
      <c r="AA290" s="85">
        <f t="shared" si="954"/>
        <v>5711.16</v>
      </c>
      <c r="AB290" s="83">
        <f t="shared" si="955"/>
        <v>34266.96</v>
      </c>
      <c r="AC290" s="77">
        <f t="shared" si="956"/>
        <v>35280</v>
      </c>
      <c r="AD290" s="83">
        <f t="shared" si="957"/>
        <v>-1013.04</v>
      </c>
      <c r="AE290" s="83">
        <f t="shared" si="958"/>
        <v>-2.956317105</v>
      </c>
      <c r="AF290" s="79"/>
      <c r="AG290" s="86">
        <f t="shared" si="959"/>
        <v>-100</v>
      </c>
      <c r="AH290" s="63">
        <f t="shared" si="960"/>
        <v>24990</v>
      </c>
      <c r="AI290" s="63">
        <f t="shared" si="961"/>
        <v>34266.96</v>
      </c>
      <c r="AJ290" s="90">
        <v>24990.0</v>
      </c>
      <c r="AK290" s="14">
        <f t="shared" si="962"/>
        <v>36.33387889</v>
      </c>
      <c r="AL290" s="14"/>
      <c r="AM290" s="14">
        <f t="shared" si="963"/>
        <v>100</v>
      </c>
      <c r="AN290" s="14">
        <f t="shared" si="964"/>
        <v>136.3338789</v>
      </c>
      <c r="AO290" s="87">
        <f t="shared" si="965"/>
        <v>1.363338789</v>
      </c>
      <c r="AP290" s="14">
        <f t="shared" si="966"/>
        <v>-92.7696</v>
      </c>
      <c r="AQ290" s="14">
        <f t="shared" si="967"/>
        <v>-102.9</v>
      </c>
      <c r="AR290" s="88">
        <f t="shared" ref="AR290:AS290" si="968">AI290/94</f>
        <v>364.5421277</v>
      </c>
      <c r="AS290" s="88">
        <f t="shared" si="968"/>
        <v>265.8510638</v>
      </c>
      <c r="AT290" s="89">
        <f t="shared" ref="AT290:AU290" si="969">AI290/24</f>
        <v>1427.79</v>
      </c>
      <c r="AU290" s="89">
        <f t="shared" si="969"/>
        <v>1041.25</v>
      </c>
      <c r="AV290" s="89">
        <f t="shared" ref="AV290:AW290" si="970">AI290/125</f>
        <v>274.13568</v>
      </c>
      <c r="AW290" s="89">
        <f t="shared" si="970"/>
        <v>199.92</v>
      </c>
      <c r="AX290" s="79"/>
      <c r="AY290" s="79"/>
    </row>
    <row r="291" ht="15.75" customHeight="1">
      <c r="A291" s="77"/>
      <c r="B291" s="77" t="s">
        <v>567</v>
      </c>
      <c r="C291" s="148" t="s">
        <v>580</v>
      </c>
      <c r="D291" s="145">
        <f>5.5*4200</f>
        <v>23100</v>
      </c>
      <c r="E291" s="77">
        <v>190.0</v>
      </c>
      <c r="F291" s="80">
        <v>120.0</v>
      </c>
      <c r="G291" s="78">
        <v>8.3061E7</v>
      </c>
      <c r="H291" s="81">
        <v>0.05</v>
      </c>
      <c r="I291" s="77">
        <f t="shared" si="939"/>
        <v>1155</v>
      </c>
      <c r="J291" s="79"/>
      <c r="K291" s="80">
        <v>500.0</v>
      </c>
      <c r="L291" s="147">
        <f t="shared" si="940"/>
        <v>25065</v>
      </c>
      <c r="M291" s="77">
        <f t="shared" si="941"/>
        <v>231</v>
      </c>
      <c r="N291" s="83">
        <f t="shared" si="942"/>
        <v>2005.2</v>
      </c>
      <c r="O291" s="83">
        <f t="shared" si="943"/>
        <v>2506.5</v>
      </c>
      <c r="P291" s="83">
        <f t="shared" si="944"/>
        <v>1253.25</v>
      </c>
      <c r="Q291" s="83">
        <f t="shared" si="945"/>
        <v>501.3</v>
      </c>
      <c r="R291" s="83">
        <f t="shared" si="946"/>
        <v>242.55</v>
      </c>
      <c r="S291" s="83">
        <f t="shared" si="947"/>
        <v>250.65</v>
      </c>
      <c r="T291" s="84">
        <f t="shared" si="948"/>
        <v>6747.9</v>
      </c>
      <c r="U291" s="77">
        <f t="shared" si="949"/>
        <v>485.1</v>
      </c>
      <c r="V291" s="42">
        <f t="shared" si="15"/>
        <v>2425.5</v>
      </c>
      <c r="W291" s="77">
        <f t="shared" si="950"/>
        <v>485.1</v>
      </c>
      <c r="X291" s="77">
        <f t="shared" si="951"/>
        <v>3880.8</v>
      </c>
      <c r="Y291" s="77">
        <f t="shared" si="952"/>
        <v>7276.5</v>
      </c>
      <c r="Z291" s="84">
        <f t="shared" si="953"/>
        <v>39089.4</v>
      </c>
      <c r="AA291" s="85">
        <f t="shared" si="954"/>
        <v>7817.88</v>
      </c>
      <c r="AB291" s="83">
        <f t="shared" si="955"/>
        <v>46907.28</v>
      </c>
      <c r="AC291" s="77">
        <f t="shared" si="956"/>
        <v>48510</v>
      </c>
      <c r="AD291" s="83">
        <f t="shared" si="957"/>
        <v>-1602.72</v>
      </c>
      <c r="AE291" s="83">
        <f t="shared" si="958"/>
        <v>-3.416783067</v>
      </c>
      <c r="AF291" s="79"/>
      <c r="AG291" s="86">
        <f t="shared" si="959"/>
        <v>-100</v>
      </c>
      <c r="AH291" s="63">
        <f t="shared" si="960"/>
        <v>32990</v>
      </c>
      <c r="AI291" s="63">
        <f t="shared" si="961"/>
        <v>46907.28</v>
      </c>
      <c r="AJ291" s="90">
        <v>32990.0</v>
      </c>
      <c r="AK291" s="14">
        <f t="shared" si="962"/>
        <v>31.61779374</v>
      </c>
      <c r="AL291" s="14"/>
      <c r="AM291" s="14">
        <f t="shared" si="963"/>
        <v>100</v>
      </c>
      <c r="AN291" s="14">
        <f t="shared" si="964"/>
        <v>131.6177937</v>
      </c>
      <c r="AO291" s="87">
        <f t="shared" si="965"/>
        <v>1.316177937</v>
      </c>
      <c r="AP291" s="14">
        <f t="shared" si="966"/>
        <v>-139.1728</v>
      </c>
      <c r="AQ291" s="14">
        <f t="shared" si="967"/>
        <v>-155.2</v>
      </c>
      <c r="AR291" s="88">
        <f t="shared" ref="AR291:AS291" si="971">AI291/94</f>
        <v>499.013617</v>
      </c>
      <c r="AS291" s="88">
        <f t="shared" si="971"/>
        <v>350.9574468</v>
      </c>
      <c r="AT291" s="89">
        <f t="shared" ref="AT291:AU291" si="972">AI291/24</f>
        <v>1954.47</v>
      </c>
      <c r="AU291" s="89">
        <f t="shared" si="972"/>
        <v>1374.583333</v>
      </c>
      <c r="AV291" s="89">
        <f t="shared" ref="AV291:AW291" si="973">AI291/125</f>
        <v>375.25824</v>
      </c>
      <c r="AW291" s="89">
        <f t="shared" si="973"/>
        <v>263.92</v>
      </c>
      <c r="AX291" s="79"/>
      <c r="AY291" s="79"/>
    </row>
    <row r="292" ht="15.75" customHeight="1">
      <c r="A292" s="77"/>
      <c r="B292" s="77" t="s">
        <v>569</v>
      </c>
      <c r="C292" s="148" t="s">
        <v>581</v>
      </c>
      <c r="D292" s="145">
        <f>6.5*4400</f>
        <v>28600</v>
      </c>
      <c r="E292" s="77">
        <v>190.0</v>
      </c>
      <c r="F292" s="80">
        <v>140.0</v>
      </c>
      <c r="G292" s="78">
        <v>8.3061E7</v>
      </c>
      <c r="H292" s="81">
        <v>0.05</v>
      </c>
      <c r="I292" s="77">
        <f t="shared" si="939"/>
        <v>1430</v>
      </c>
      <c r="J292" s="79"/>
      <c r="K292" s="80">
        <v>600.0</v>
      </c>
      <c r="L292" s="147">
        <f t="shared" si="940"/>
        <v>30960</v>
      </c>
      <c r="M292" s="77">
        <f t="shared" si="941"/>
        <v>286</v>
      </c>
      <c r="N292" s="83">
        <f t="shared" si="942"/>
        <v>2476.8</v>
      </c>
      <c r="O292" s="83">
        <f t="shared" si="943"/>
        <v>3096</v>
      </c>
      <c r="P292" s="83">
        <f t="shared" si="944"/>
        <v>1548</v>
      </c>
      <c r="Q292" s="83">
        <f t="shared" si="945"/>
        <v>619.2</v>
      </c>
      <c r="R292" s="83">
        <f t="shared" si="946"/>
        <v>300.3</v>
      </c>
      <c r="S292" s="83">
        <f t="shared" si="947"/>
        <v>309.6</v>
      </c>
      <c r="T292" s="84">
        <f t="shared" si="948"/>
        <v>8335.6</v>
      </c>
      <c r="U292" s="77">
        <f t="shared" si="949"/>
        <v>600.6</v>
      </c>
      <c r="V292" s="42">
        <f t="shared" si="15"/>
        <v>3003</v>
      </c>
      <c r="W292" s="77">
        <f t="shared" si="950"/>
        <v>600.6</v>
      </c>
      <c r="X292" s="77">
        <f t="shared" si="951"/>
        <v>4804.8</v>
      </c>
      <c r="Y292" s="77">
        <f t="shared" si="952"/>
        <v>9009</v>
      </c>
      <c r="Z292" s="84">
        <f t="shared" si="953"/>
        <v>48304.6</v>
      </c>
      <c r="AA292" s="85">
        <f t="shared" si="954"/>
        <v>9660.92</v>
      </c>
      <c r="AB292" s="83">
        <f t="shared" si="955"/>
        <v>57965.52</v>
      </c>
      <c r="AC292" s="77">
        <f t="shared" si="956"/>
        <v>60060</v>
      </c>
      <c r="AD292" s="83">
        <f t="shared" si="957"/>
        <v>-2094.48</v>
      </c>
      <c r="AE292" s="83">
        <f t="shared" si="958"/>
        <v>-3.613320471</v>
      </c>
      <c r="AF292" s="79"/>
      <c r="AG292" s="86">
        <f t="shared" si="959"/>
        <v>-100</v>
      </c>
      <c r="AH292" s="63">
        <f t="shared" si="960"/>
        <v>39990</v>
      </c>
      <c r="AI292" s="63">
        <f t="shared" si="961"/>
        <v>57965.52</v>
      </c>
      <c r="AJ292" s="90">
        <v>39990.0</v>
      </c>
      <c r="AK292" s="14">
        <f t="shared" si="962"/>
        <v>29.16666667</v>
      </c>
      <c r="AL292" s="14"/>
      <c r="AM292" s="14">
        <f t="shared" si="963"/>
        <v>100</v>
      </c>
      <c r="AN292" s="14">
        <f t="shared" si="964"/>
        <v>129.1666667</v>
      </c>
      <c r="AO292" s="87">
        <f t="shared" si="965"/>
        <v>1.291666667</v>
      </c>
      <c r="AP292" s="14">
        <f t="shared" si="966"/>
        <v>-179.7552</v>
      </c>
      <c r="AQ292" s="14">
        <f t="shared" si="967"/>
        <v>-200.7</v>
      </c>
      <c r="AR292" s="88">
        <f t="shared" ref="AR292:AS292" si="974">AI292/94</f>
        <v>616.6544681</v>
      </c>
      <c r="AS292" s="88">
        <f t="shared" si="974"/>
        <v>425.4255319</v>
      </c>
      <c r="AT292" s="89">
        <f t="shared" ref="AT292:AU292" si="975">AI292/24</f>
        <v>2415.23</v>
      </c>
      <c r="AU292" s="89">
        <f t="shared" si="975"/>
        <v>1666.25</v>
      </c>
      <c r="AV292" s="89">
        <f t="shared" ref="AV292:AW292" si="976">AI292/125</f>
        <v>463.72416</v>
      </c>
      <c r="AW292" s="89">
        <f t="shared" si="976"/>
        <v>319.92</v>
      </c>
      <c r="AX292" s="79"/>
      <c r="AY292" s="79"/>
    </row>
    <row r="293" ht="15.75" customHeight="1">
      <c r="A293" s="77"/>
      <c r="B293" s="77" t="s">
        <v>571</v>
      </c>
      <c r="C293" s="148" t="s">
        <v>582</v>
      </c>
      <c r="D293" s="145">
        <f>8.5*5000</f>
        <v>42500</v>
      </c>
      <c r="E293" s="77">
        <v>350.0</v>
      </c>
      <c r="F293" s="80">
        <v>160.0</v>
      </c>
      <c r="G293" s="78">
        <v>8.3061E7</v>
      </c>
      <c r="H293" s="81">
        <v>0.05</v>
      </c>
      <c r="I293" s="77">
        <f t="shared" si="939"/>
        <v>2125</v>
      </c>
      <c r="J293" s="79"/>
      <c r="K293" s="80">
        <v>700.0</v>
      </c>
      <c r="L293" s="147">
        <f t="shared" si="940"/>
        <v>45835</v>
      </c>
      <c r="M293" s="77">
        <f t="shared" si="941"/>
        <v>425</v>
      </c>
      <c r="N293" s="83">
        <f t="shared" si="942"/>
        <v>3666.8</v>
      </c>
      <c r="O293" s="83">
        <f t="shared" si="943"/>
        <v>4583.5</v>
      </c>
      <c r="P293" s="83">
        <f t="shared" si="944"/>
        <v>2291.75</v>
      </c>
      <c r="Q293" s="83">
        <f t="shared" si="945"/>
        <v>916.7</v>
      </c>
      <c r="R293" s="83">
        <f t="shared" si="946"/>
        <v>446.25</v>
      </c>
      <c r="S293" s="83">
        <f t="shared" si="947"/>
        <v>458.35</v>
      </c>
      <c r="T293" s="84">
        <f t="shared" si="948"/>
        <v>12342.1</v>
      </c>
      <c r="U293" s="77">
        <f t="shared" si="949"/>
        <v>892.5</v>
      </c>
      <c r="V293" s="42">
        <f t="shared" si="15"/>
        <v>4462.5</v>
      </c>
      <c r="W293" s="77">
        <f t="shared" si="950"/>
        <v>892.5</v>
      </c>
      <c r="X293" s="77">
        <f t="shared" si="951"/>
        <v>7140</v>
      </c>
      <c r="Y293" s="77">
        <f t="shared" si="952"/>
        <v>13387.5</v>
      </c>
      <c r="Z293" s="84">
        <f t="shared" si="953"/>
        <v>71564.6</v>
      </c>
      <c r="AA293" s="85">
        <f t="shared" si="954"/>
        <v>14312.92</v>
      </c>
      <c r="AB293" s="83">
        <f t="shared" si="955"/>
        <v>85877.52</v>
      </c>
      <c r="AC293" s="77">
        <f t="shared" si="956"/>
        <v>89250</v>
      </c>
      <c r="AD293" s="83">
        <f t="shared" si="957"/>
        <v>-3372.48</v>
      </c>
      <c r="AE293" s="83">
        <f t="shared" si="958"/>
        <v>-3.927081266</v>
      </c>
      <c r="AF293" s="79"/>
      <c r="AG293" s="86">
        <f t="shared" si="959"/>
        <v>-100</v>
      </c>
      <c r="AH293" s="63">
        <f t="shared" si="960"/>
        <v>59990</v>
      </c>
      <c r="AI293" s="63">
        <f t="shared" si="961"/>
        <v>85877.52</v>
      </c>
      <c r="AJ293" s="90">
        <v>59990.0</v>
      </c>
      <c r="AK293" s="14">
        <f t="shared" si="962"/>
        <v>30.88251336</v>
      </c>
      <c r="AL293" s="14"/>
      <c r="AM293" s="14">
        <f t="shared" si="963"/>
        <v>100</v>
      </c>
      <c r="AN293" s="14">
        <f t="shared" si="964"/>
        <v>130.8825134</v>
      </c>
      <c r="AO293" s="87">
        <f t="shared" si="965"/>
        <v>1.308825134</v>
      </c>
      <c r="AP293" s="14">
        <f t="shared" si="966"/>
        <v>-258.8752</v>
      </c>
      <c r="AQ293" s="14">
        <f t="shared" si="967"/>
        <v>-292.6</v>
      </c>
      <c r="AR293" s="88">
        <f t="shared" ref="AR293:AS293" si="977">AI293/94</f>
        <v>913.5906383</v>
      </c>
      <c r="AS293" s="88">
        <f t="shared" si="977"/>
        <v>638.1914894</v>
      </c>
      <c r="AT293" s="89">
        <f t="shared" ref="AT293:AU293" si="978">AI293/24</f>
        <v>3578.23</v>
      </c>
      <c r="AU293" s="89">
        <f t="shared" si="978"/>
        <v>2499.583333</v>
      </c>
      <c r="AV293" s="89">
        <f t="shared" ref="AV293:AW293" si="979">AI293/125</f>
        <v>687.02016</v>
      </c>
      <c r="AW293" s="89">
        <f t="shared" si="979"/>
        <v>479.92</v>
      </c>
      <c r="AX293" s="79"/>
      <c r="AY293" s="79"/>
    </row>
    <row r="294" ht="15.75" customHeight="1">
      <c r="A294" s="77"/>
      <c r="B294" s="77" t="s">
        <v>573</v>
      </c>
      <c r="C294" s="148" t="s">
        <v>583</v>
      </c>
      <c r="D294" s="145">
        <f>12.5*5500</f>
        <v>68750</v>
      </c>
      <c r="E294" s="77">
        <v>350.0</v>
      </c>
      <c r="F294" s="80">
        <v>180.0</v>
      </c>
      <c r="G294" s="78">
        <v>8.3061E7</v>
      </c>
      <c r="H294" s="81">
        <v>0.05</v>
      </c>
      <c r="I294" s="77">
        <f t="shared" si="939"/>
        <v>3437.5</v>
      </c>
      <c r="J294" s="79"/>
      <c r="K294" s="80">
        <v>800.0</v>
      </c>
      <c r="L294" s="147">
        <f t="shared" si="940"/>
        <v>73517.5</v>
      </c>
      <c r="M294" s="77">
        <f t="shared" si="941"/>
        <v>687.5</v>
      </c>
      <c r="N294" s="83">
        <f t="shared" si="942"/>
        <v>5881.4</v>
      </c>
      <c r="O294" s="83">
        <f t="shared" si="943"/>
        <v>7351.75</v>
      </c>
      <c r="P294" s="83">
        <f t="shared" si="944"/>
        <v>3675.875</v>
      </c>
      <c r="Q294" s="83">
        <f t="shared" si="945"/>
        <v>1470.35</v>
      </c>
      <c r="R294" s="83">
        <f t="shared" si="946"/>
        <v>721.875</v>
      </c>
      <c r="S294" s="83">
        <f t="shared" si="947"/>
        <v>735.175</v>
      </c>
      <c r="T294" s="84">
        <f t="shared" si="948"/>
        <v>19802.05</v>
      </c>
      <c r="U294" s="77">
        <f t="shared" si="949"/>
        <v>1443.75</v>
      </c>
      <c r="V294" s="42">
        <f t="shared" si="15"/>
        <v>7218.75</v>
      </c>
      <c r="W294" s="77">
        <f t="shared" si="950"/>
        <v>1443.75</v>
      </c>
      <c r="X294" s="77">
        <f t="shared" si="951"/>
        <v>11550</v>
      </c>
      <c r="Y294" s="77">
        <f t="shared" si="952"/>
        <v>21656.25</v>
      </c>
      <c r="Z294" s="84">
        <f t="shared" si="953"/>
        <v>114975.8</v>
      </c>
      <c r="AA294" s="85">
        <f t="shared" si="954"/>
        <v>22995.16</v>
      </c>
      <c r="AB294" s="83">
        <f t="shared" si="955"/>
        <v>137970.96</v>
      </c>
      <c r="AC294" s="77">
        <f t="shared" si="956"/>
        <v>144375</v>
      </c>
      <c r="AD294" s="83">
        <f t="shared" si="957"/>
        <v>-6404.04</v>
      </c>
      <c r="AE294" s="83">
        <f t="shared" si="958"/>
        <v>-4.641585447</v>
      </c>
      <c r="AF294" s="79"/>
      <c r="AG294" s="86">
        <f t="shared" si="959"/>
        <v>-100</v>
      </c>
      <c r="AH294" s="63">
        <f t="shared" si="960"/>
        <v>99990</v>
      </c>
      <c r="AI294" s="63">
        <f t="shared" si="961"/>
        <v>137970.96</v>
      </c>
      <c r="AJ294" s="90">
        <v>99990.0</v>
      </c>
      <c r="AK294" s="14">
        <f t="shared" si="962"/>
        <v>36.00843337</v>
      </c>
      <c r="AL294" s="14"/>
      <c r="AM294" s="14">
        <f t="shared" si="963"/>
        <v>100</v>
      </c>
      <c r="AN294" s="14">
        <f t="shared" si="964"/>
        <v>136.0084334</v>
      </c>
      <c r="AO294" s="87">
        <f t="shared" si="965"/>
        <v>1.360084334</v>
      </c>
      <c r="AP294" s="14">
        <f t="shared" si="966"/>
        <v>-379.8096</v>
      </c>
      <c r="AQ294" s="14">
        <f t="shared" si="967"/>
        <v>-443.85</v>
      </c>
      <c r="AR294" s="88">
        <f t="shared" ref="AR294:AS294" si="980">AI294/94</f>
        <v>1467.77617</v>
      </c>
      <c r="AS294" s="88">
        <f t="shared" si="980"/>
        <v>1063.723404</v>
      </c>
      <c r="AT294" s="89">
        <f t="shared" ref="AT294:AU294" si="981">AI294/24</f>
        <v>5748.79</v>
      </c>
      <c r="AU294" s="89">
        <f t="shared" si="981"/>
        <v>4166.25</v>
      </c>
      <c r="AV294" s="89">
        <f t="shared" ref="AV294:AW294" si="982">AI294/125</f>
        <v>1103.76768</v>
      </c>
      <c r="AW294" s="89">
        <f t="shared" si="982"/>
        <v>799.92</v>
      </c>
      <c r="AX294" s="79"/>
      <c r="AY294" s="79"/>
    </row>
    <row r="295" ht="15.75" customHeight="1">
      <c r="A295" s="77"/>
      <c r="B295" s="80" t="s">
        <v>575</v>
      </c>
      <c r="C295" s="148" t="s">
        <v>584</v>
      </c>
      <c r="D295" s="145"/>
      <c r="E295" s="77"/>
      <c r="F295" s="80"/>
      <c r="G295" s="78"/>
      <c r="H295" s="81"/>
      <c r="I295" s="77"/>
      <c r="J295" s="79"/>
      <c r="K295" s="80"/>
      <c r="L295" s="82"/>
      <c r="M295" s="77"/>
      <c r="N295" s="83"/>
      <c r="O295" s="83"/>
      <c r="P295" s="83"/>
      <c r="Q295" s="83"/>
      <c r="R295" s="83"/>
      <c r="S295" s="83"/>
      <c r="T295" s="82"/>
      <c r="U295" s="77"/>
      <c r="V295" s="42">
        <f t="shared" si="15"/>
        <v>0</v>
      </c>
      <c r="W295" s="77"/>
      <c r="X295" s="77"/>
      <c r="Y295" s="77"/>
      <c r="Z295" s="84"/>
      <c r="AA295" s="85"/>
      <c r="AB295" s="77"/>
      <c r="AC295" s="77"/>
      <c r="AD295" s="83"/>
      <c r="AE295" s="83"/>
      <c r="AF295" s="79"/>
      <c r="AG295" s="86"/>
      <c r="AH295" s="63"/>
      <c r="AI295" s="63"/>
      <c r="AJ295" s="90"/>
      <c r="AK295" s="14"/>
      <c r="AL295" s="14"/>
      <c r="AM295" s="14"/>
      <c r="AN295" s="14"/>
      <c r="AO295" s="87"/>
      <c r="AP295" s="14"/>
      <c r="AQ295" s="14"/>
      <c r="AR295" s="88"/>
      <c r="AS295" s="88"/>
      <c r="AT295" s="89"/>
      <c r="AU295" s="89"/>
      <c r="AV295" s="89"/>
      <c r="AW295" s="89"/>
      <c r="AX295" s="79"/>
      <c r="AY295" s="79"/>
    </row>
    <row r="296" ht="15.75" customHeight="1">
      <c r="A296" s="149"/>
      <c r="B296" s="149" t="s">
        <v>585</v>
      </c>
      <c r="C296" s="150" t="s">
        <v>586</v>
      </c>
      <c r="D296" s="151">
        <f>6.5*6000</f>
        <v>39000</v>
      </c>
      <c r="E296" s="151">
        <v>500.0</v>
      </c>
      <c r="F296" s="152">
        <v>100.0</v>
      </c>
      <c r="G296" s="153">
        <v>8.3061E7</v>
      </c>
      <c r="H296" s="154">
        <v>0.05</v>
      </c>
      <c r="I296" s="155">
        <f t="shared" ref="I296:I306" si="986">E296*H296</f>
        <v>25</v>
      </c>
      <c r="J296" s="156"/>
      <c r="K296" s="157">
        <v>300.0</v>
      </c>
      <c r="L296" s="158">
        <f t="shared" ref="L296:L520" si="987">K296+J296+I296+F296+E296+D296</f>
        <v>39925</v>
      </c>
      <c r="M296" s="155">
        <f t="shared" ref="M296:M307" si="988">E296*1%</f>
        <v>5</v>
      </c>
      <c r="N296" s="159">
        <f t="shared" ref="N296:N519" si="989">L296*8%</f>
        <v>3194</v>
      </c>
      <c r="O296" s="159">
        <f t="shared" ref="O296:O519" si="990">L296*10%</f>
        <v>3992.5</v>
      </c>
      <c r="P296" s="159">
        <f t="shared" ref="P296:P519" si="991">L296*5%</f>
        <v>1996.25</v>
      </c>
      <c r="Q296" s="159">
        <f t="shared" ref="Q296:Q519" si="992">L296*2%</f>
        <v>798.5</v>
      </c>
      <c r="R296" s="159">
        <f t="shared" ref="R296:R519" si="993">AC296*0.5%</f>
        <v>5.25</v>
      </c>
      <c r="S296" s="159">
        <f t="shared" ref="S296:S519" si="994">L296*1%</f>
        <v>399.25</v>
      </c>
      <c r="T296" s="160">
        <f t="shared" ref="T296:T519" si="995">S296+Q296+P296+O296+N296+M296</f>
        <v>10385.5</v>
      </c>
      <c r="U296" s="155">
        <f t="shared" ref="U296:U519" si="996">AC296*1%</f>
        <v>10.5</v>
      </c>
      <c r="V296" s="42">
        <f t="shared" si="15"/>
        <v>52.5</v>
      </c>
      <c r="W296" s="155">
        <f t="shared" ref="W296:W519" si="997">AC296*1%</f>
        <v>10.5</v>
      </c>
      <c r="X296" s="155">
        <f t="shared" ref="X296:X519" si="998">AC296*8%</f>
        <v>84</v>
      </c>
      <c r="Y296" s="155">
        <f t="shared" ref="Y296:Y519" si="999">U296+V296+W296+X296</f>
        <v>157.5</v>
      </c>
      <c r="Z296" s="160">
        <f t="shared" ref="Z296:Z519" si="1000">Y296+T296+L296</f>
        <v>50468</v>
      </c>
      <c r="AA296" s="161">
        <f t="shared" ref="AA296:AA519" si="1001">Z296*20%</f>
        <v>10093.6</v>
      </c>
      <c r="AB296" s="159">
        <f t="shared" ref="AB296:AB519" si="1002">Z296+AA296</f>
        <v>60561.6</v>
      </c>
      <c r="AC296" s="155">
        <f t="shared" ref="AC296:AC306" si="1003">E296*2.1</f>
        <v>1050</v>
      </c>
      <c r="AD296" s="159">
        <f t="shared" ref="AD296:AD299" si="1004">AB296-AC296</f>
        <v>59511.6</v>
      </c>
      <c r="AE296" s="159">
        <f t="shared" ref="AE296:AE299" si="1005">AD296/AB296*100</f>
        <v>98.2662281</v>
      </c>
      <c r="AF296" s="156"/>
      <c r="AG296" s="162">
        <f t="shared" ref="AG296:AG520" si="1006">((AF296-L296)/L296)*100</f>
        <v>-100</v>
      </c>
      <c r="AH296" s="163">
        <f t="shared" ref="AH296:AH519" si="1007">AJ296-AF296</f>
        <v>56322.288</v>
      </c>
      <c r="AI296" s="163">
        <f>AB296</f>
        <v>60561.6</v>
      </c>
      <c r="AJ296" s="163">
        <f>AI296-(AI296*7%)</f>
        <v>56322.288</v>
      </c>
      <c r="AK296" s="164">
        <f t="shared" ref="AK296:AK520" si="1008">(AJ296-L296)/L296*100</f>
        <v>41.07022668</v>
      </c>
      <c r="AL296" s="164"/>
      <c r="AM296" s="164">
        <f t="shared" ref="AM296:AM519" si="1009">AH296/AJ296%</f>
        <v>100</v>
      </c>
      <c r="AN296" s="164">
        <f t="shared" ref="AN296:AN519" si="1010">AK296-AG296</f>
        <v>141.0702267</v>
      </c>
      <c r="AO296" s="165">
        <f t="shared" ref="AO296:AO519" si="1011">AJ296/L296</f>
        <v>1.410702267</v>
      </c>
      <c r="AP296" s="164">
        <f t="shared" ref="AP296:AP519" si="1012">(AJ296-AB296)/100</f>
        <v>-42.39312</v>
      </c>
      <c r="AQ296" s="164">
        <f t="shared" ref="AQ296:AQ519" si="1013">(AJ296-AC296)/100</f>
        <v>552.72288</v>
      </c>
      <c r="AR296" s="166">
        <f t="shared" ref="AR296:AS296" si="983">AI296/94</f>
        <v>644.2723404</v>
      </c>
      <c r="AS296" s="166">
        <f t="shared" si="983"/>
        <v>599.1732766</v>
      </c>
      <c r="AT296" s="167">
        <f t="shared" ref="AT296:AU296" si="984">AI296/24</f>
        <v>2523.4</v>
      </c>
      <c r="AU296" s="167">
        <f t="shared" si="984"/>
        <v>2346.762</v>
      </c>
      <c r="AV296" s="167">
        <f t="shared" ref="AV296:AW296" si="985">AI296/125</f>
        <v>484.4928</v>
      </c>
      <c r="AW296" s="167">
        <f t="shared" si="985"/>
        <v>450.578304</v>
      </c>
      <c r="AX296" s="156"/>
      <c r="AY296" s="156"/>
    </row>
    <row r="297" ht="15.75" customHeight="1">
      <c r="A297" s="168"/>
      <c r="B297" s="168" t="s">
        <v>587</v>
      </c>
      <c r="C297" s="169" t="s">
        <v>588</v>
      </c>
      <c r="D297" s="170">
        <f>8.5*6500</f>
        <v>55250</v>
      </c>
      <c r="E297" s="170">
        <v>600.0</v>
      </c>
      <c r="F297" s="171">
        <v>100.0</v>
      </c>
      <c r="G297" s="172">
        <v>8.3061E7</v>
      </c>
      <c r="H297" s="173">
        <v>0.05</v>
      </c>
      <c r="I297" s="174">
        <f t="shared" si="986"/>
        <v>30</v>
      </c>
      <c r="J297" s="175"/>
      <c r="K297" s="176">
        <v>300.0</v>
      </c>
      <c r="L297" s="177">
        <f t="shared" si="987"/>
        <v>56280</v>
      </c>
      <c r="M297" s="174">
        <f t="shared" si="988"/>
        <v>6</v>
      </c>
      <c r="N297" s="178">
        <f t="shared" si="989"/>
        <v>4502.4</v>
      </c>
      <c r="O297" s="178">
        <f t="shared" si="990"/>
        <v>5628</v>
      </c>
      <c r="P297" s="178">
        <f t="shared" si="991"/>
        <v>2814</v>
      </c>
      <c r="Q297" s="178">
        <f t="shared" si="992"/>
        <v>1125.6</v>
      </c>
      <c r="R297" s="178">
        <f t="shared" si="993"/>
        <v>6.3</v>
      </c>
      <c r="S297" s="178">
        <f t="shared" si="994"/>
        <v>562.8</v>
      </c>
      <c r="T297" s="179">
        <f t="shared" si="995"/>
        <v>14638.8</v>
      </c>
      <c r="U297" s="174">
        <f t="shared" si="996"/>
        <v>12.6</v>
      </c>
      <c r="V297" s="42">
        <f t="shared" si="15"/>
        <v>63</v>
      </c>
      <c r="W297" s="174">
        <f t="shared" si="997"/>
        <v>12.6</v>
      </c>
      <c r="X297" s="174">
        <f t="shared" si="998"/>
        <v>100.8</v>
      </c>
      <c r="Y297" s="174">
        <f t="shared" si="999"/>
        <v>189</v>
      </c>
      <c r="Z297" s="179">
        <f t="shared" si="1000"/>
        <v>71107.8</v>
      </c>
      <c r="AA297" s="180">
        <f t="shared" si="1001"/>
        <v>14221.56</v>
      </c>
      <c r="AB297" s="178">
        <f t="shared" si="1002"/>
        <v>85329.36</v>
      </c>
      <c r="AC297" s="174">
        <f t="shared" si="1003"/>
        <v>1260</v>
      </c>
      <c r="AD297" s="178">
        <f t="shared" si="1004"/>
        <v>84069.36</v>
      </c>
      <c r="AE297" s="178">
        <f t="shared" si="1005"/>
        <v>98.52336874</v>
      </c>
      <c r="AF297" s="175"/>
      <c r="AG297" s="181">
        <f t="shared" si="1006"/>
        <v>-100</v>
      </c>
      <c r="AH297" s="182">
        <f t="shared" si="1007"/>
        <v>78990</v>
      </c>
      <c r="AI297" s="183">
        <v>84990.0</v>
      </c>
      <c r="AJ297" s="183">
        <v>78990.0</v>
      </c>
      <c r="AK297" s="184">
        <f t="shared" si="1008"/>
        <v>40.35181237</v>
      </c>
      <c r="AL297" s="184"/>
      <c r="AM297" s="184">
        <f t="shared" si="1009"/>
        <v>100</v>
      </c>
      <c r="AN297" s="184">
        <f t="shared" si="1010"/>
        <v>140.3518124</v>
      </c>
      <c r="AO297" s="185">
        <f t="shared" si="1011"/>
        <v>1.403518124</v>
      </c>
      <c r="AP297" s="184">
        <f t="shared" si="1012"/>
        <v>-63.3936</v>
      </c>
      <c r="AQ297" s="184">
        <f t="shared" si="1013"/>
        <v>777.3</v>
      </c>
      <c r="AR297" s="186">
        <f t="shared" ref="AR297:AS297" si="1014">AI297/94</f>
        <v>904.1489362</v>
      </c>
      <c r="AS297" s="186">
        <f t="shared" si="1014"/>
        <v>840.3191489</v>
      </c>
      <c r="AT297" s="187">
        <f t="shared" ref="AT297:AU297" si="1015">AI297/24</f>
        <v>3541.25</v>
      </c>
      <c r="AU297" s="187">
        <f t="shared" si="1015"/>
        <v>3291.25</v>
      </c>
      <c r="AV297" s="187">
        <f t="shared" ref="AV297:AW297" si="1016">AI297/125</f>
        <v>679.92</v>
      </c>
      <c r="AW297" s="187">
        <f t="shared" si="1016"/>
        <v>631.92</v>
      </c>
      <c r="AX297" s="175"/>
      <c r="AY297" s="175"/>
    </row>
    <row r="298" ht="15.75" customHeight="1">
      <c r="A298" s="5"/>
      <c r="B298" s="5" t="s">
        <v>589</v>
      </c>
      <c r="C298" s="92" t="s">
        <v>590</v>
      </c>
      <c r="D298" s="145">
        <f>12.5*7000</f>
        <v>87500</v>
      </c>
      <c r="E298" s="145">
        <v>1000.0</v>
      </c>
      <c r="F298" s="80">
        <v>100.0</v>
      </c>
      <c r="G298" s="78">
        <v>8.3061E7</v>
      </c>
      <c r="H298" s="81">
        <v>0.05</v>
      </c>
      <c r="I298" s="77">
        <f t="shared" si="986"/>
        <v>50</v>
      </c>
      <c r="J298" s="79"/>
      <c r="K298" s="146">
        <v>300.0</v>
      </c>
      <c r="L298" s="147">
        <f t="shared" si="987"/>
        <v>88950</v>
      </c>
      <c r="M298" s="77">
        <f t="shared" si="988"/>
        <v>10</v>
      </c>
      <c r="N298" s="83">
        <f t="shared" si="989"/>
        <v>7116</v>
      </c>
      <c r="O298" s="83">
        <f t="shared" si="990"/>
        <v>8895</v>
      </c>
      <c r="P298" s="83">
        <f t="shared" si="991"/>
        <v>4447.5</v>
      </c>
      <c r="Q298" s="83">
        <f t="shared" si="992"/>
        <v>1779</v>
      </c>
      <c r="R298" s="83">
        <f t="shared" si="993"/>
        <v>10.5</v>
      </c>
      <c r="S298" s="83">
        <f t="shared" si="994"/>
        <v>889.5</v>
      </c>
      <c r="T298" s="84">
        <f t="shared" si="995"/>
        <v>23137</v>
      </c>
      <c r="U298" s="77">
        <f t="shared" si="996"/>
        <v>21</v>
      </c>
      <c r="V298" s="42">
        <f t="shared" si="15"/>
        <v>105</v>
      </c>
      <c r="W298" s="77">
        <f t="shared" si="997"/>
        <v>21</v>
      </c>
      <c r="X298" s="77">
        <f t="shared" si="998"/>
        <v>168</v>
      </c>
      <c r="Y298" s="77">
        <f t="shared" si="999"/>
        <v>315</v>
      </c>
      <c r="Z298" s="84">
        <f t="shared" si="1000"/>
        <v>112402</v>
      </c>
      <c r="AA298" s="85">
        <f t="shared" si="1001"/>
        <v>22480.4</v>
      </c>
      <c r="AB298" s="83">
        <f t="shared" si="1002"/>
        <v>134882.4</v>
      </c>
      <c r="AC298" s="77">
        <f t="shared" si="1003"/>
        <v>2100</v>
      </c>
      <c r="AD298" s="83">
        <f t="shared" si="1004"/>
        <v>132782.4</v>
      </c>
      <c r="AE298" s="83">
        <f t="shared" si="1005"/>
        <v>98.4430882</v>
      </c>
      <c r="AF298" s="79"/>
      <c r="AG298" s="86">
        <f t="shared" si="1006"/>
        <v>-100</v>
      </c>
      <c r="AH298" s="63">
        <f t="shared" si="1007"/>
        <v>37990</v>
      </c>
      <c r="AI298" s="90">
        <v>39990.0</v>
      </c>
      <c r="AJ298" s="90">
        <v>37990.0</v>
      </c>
      <c r="AK298" s="14">
        <f t="shared" si="1008"/>
        <v>-57.2906127</v>
      </c>
      <c r="AL298" s="14"/>
      <c r="AM298" s="14">
        <f t="shared" si="1009"/>
        <v>100</v>
      </c>
      <c r="AN298" s="14">
        <f t="shared" si="1010"/>
        <v>42.7093873</v>
      </c>
      <c r="AO298" s="87">
        <f t="shared" si="1011"/>
        <v>0.427093873</v>
      </c>
      <c r="AP298" s="14">
        <f t="shared" si="1012"/>
        <v>-968.924</v>
      </c>
      <c r="AQ298" s="14">
        <f t="shared" si="1013"/>
        <v>358.9</v>
      </c>
      <c r="AR298" s="88">
        <f t="shared" ref="AR298:AS298" si="1017">AI298/94</f>
        <v>425.4255319</v>
      </c>
      <c r="AS298" s="88">
        <f t="shared" si="1017"/>
        <v>404.1489362</v>
      </c>
      <c r="AT298" s="89">
        <f t="shared" ref="AT298:AU298" si="1018">AI298/24</f>
        <v>1666.25</v>
      </c>
      <c r="AU298" s="89">
        <f t="shared" si="1018"/>
        <v>1582.916667</v>
      </c>
      <c r="AV298" s="89">
        <f t="shared" ref="AV298:AW298" si="1019">AI298/125</f>
        <v>319.92</v>
      </c>
      <c r="AW298" s="89">
        <f t="shared" si="1019"/>
        <v>303.92</v>
      </c>
      <c r="AX298" s="79"/>
      <c r="AY298" s="79"/>
    </row>
    <row r="299" ht="15.75" customHeight="1">
      <c r="A299" s="5" t="s">
        <v>591</v>
      </c>
      <c r="B299" s="5" t="s">
        <v>592</v>
      </c>
      <c r="C299" s="92" t="s">
        <v>593</v>
      </c>
      <c r="D299" s="145">
        <f>3200*1.5</f>
        <v>4800</v>
      </c>
      <c r="E299" s="145">
        <v>200.0</v>
      </c>
      <c r="F299" s="80">
        <v>100.0</v>
      </c>
      <c r="G299" s="78">
        <v>8.3061E7</v>
      </c>
      <c r="H299" s="81">
        <v>0.05</v>
      </c>
      <c r="I299" s="77">
        <f t="shared" si="986"/>
        <v>10</v>
      </c>
      <c r="J299" s="79"/>
      <c r="K299" s="146">
        <v>300.0</v>
      </c>
      <c r="L299" s="147">
        <f t="shared" si="987"/>
        <v>5410</v>
      </c>
      <c r="M299" s="77">
        <f t="shared" si="988"/>
        <v>2</v>
      </c>
      <c r="N299" s="83">
        <f t="shared" si="989"/>
        <v>432.8</v>
      </c>
      <c r="O299" s="83">
        <f t="shared" si="990"/>
        <v>541</v>
      </c>
      <c r="P299" s="83">
        <f t="shared" si="991"/>
        <v>270.5</v>
      </c>
      <c r="Q299" s="83">
        <f t="shared" si="992"/>
        <v>108.2</v>
      </c>
      <c r="R299" s="83">
        <f t="shared" si="993"/>
        <v>2.1</v>
      </c>
      <c r="S299" s="83">
        <f t="shared" si="994"/>
        <v>54.1</v>
      </c>
      <c r="T299" s="84">
        <f t="shared" si="995"/>
        <v>1408.6</v>
      </c>
      <c r="U299" s="77">
        <f t="shared" si="996"/>
        <v>4.2</v>
      </c>
      <c r="V299" s="42">
        <f t="shared" si="15"/>
        <v>21</v>
      </c>
      <c r="W299" s="77">
        <f t="shared" si="997"/>
        <v>4.2</v>
      </c>
      <c r="X299" s="77">
        <f t="shared" si="998"/>
        <v>33.6</v>
      </c>
      <c r="Y299" s="77">
        <f t="shared" si="999"/>
        <v>63</v>
      </c>
      <c r="Z299" s="84">
        <f t="shared" si="1000"/>
        <v>6881.6</v>
      </c>
      <c r="AA299" s="85">
        <f t="shared" si="1001"/>
        <v>1376.32</v>
      </c>
      <c r="AB299" s="83">
        <f t="shared" si="1002"/>
        <v>8257.92</v>
      </c>
      <c r="AC299" s="77">
        <f t="shared" si="1003"/>
        <v>420</v>
      </c>
      <c r="AD299" s="83">
        <f t="shared" si="1004"/>
        <v>7837.92</v>
      </c>
      <c r="AE299" s="83">
        <f t="shared" si="1005"/>
        <v>94.91397349</v>
      </c>
      <c r="AF299" s="85"/>
      <c r="AG299" s="86">
        <f t="shared" si="1006"/>
        <v>-100</v>
      </c>
      <c r="AH299" s="63">
        <f t="shared" si="1007"/>
        <v>7690</v>
      </c>
      <c r="AI299" s="90">
        <v>7990.0</v>
      </c>
      <c r="AJ299" s="90">
        <v>7690.0</v>
      </c>
      <c r="AK299" s="14">
        <f t="shared" si="1008"/>
        <v>42.14417745</v>
      </c>
      <c r="AL299" s="14"/>
      <c r="AM299" s="14">
        <f t="shared" si="1009"/>
        <v>100</v>
      </c>
      <c r="AN299" s="14">
        <f t="shared" si="1010"/>
        <v>142.1441774</v>
      </c>
      <c r="AO299" s="87">
        <f t="shared" si="1011"/>
        <v>1.421441774</v>
      </c>
      <c r="AP299" s="14">
        <f t="shared" si="1012"/>
        <v>-5.6792</v>
      </c>
      <c r="AQ299" s="14">
        <f t="shared" si="1013"/>
        <v>72.7</v>
      </c>
      <c r="AR299" s="88">
        <f t="shared" ref="AR299:AS299" si="1020">AI299/94</f>
        <v>85</v>
      </c>
      <c r="AS299" s="88">
        <f t="shared" si="1020"/>
        <v>81.80851064</v>
      </c>
      <c r="AT299" s="89">
        <f t="shared" ref="AT299:AU299" si="1021">AI299/24</f>
        <v>332.9166667</v>
      </c>
      <c r="AU299" s="89">
        <f t="shared" si="1021"/>
        <v>320.4166667</v>
      </c>
      <c r="AV299" s="89">
        <f t="shared" ref="AV299:AW299" si="1022">AI299/125</f>
        <v>63.92</v>
      </c>
      <c r="AW299" s="89">
        <f t="shared" si="1022"/>
        <v>61.52</v>
      </c>
      <c r="AX299" s="79"/>
      <c r="AY299" s="79"/>
    </row>
    <row r="300" ht="15.75" customHeight="1">
      <c r="A300" s="5"/>
      <c r="B300" s="5" t="s">
        <v>594</v>
      </c>
      <c r="C300" s="92" t="s">
        <v>595</v>
      </c>
      <c r="D300" s="145">
        <f>3200*2</f>
        <v>6400</v>
      </c>
      <c r="E300" s="145">
        <v>200.0</v>
      </c>
      <c r="F300" s="80">
        <v>100.0</v>
      </c>
      <c r="G300" s="78">
        <v>8.3061E7</v>
      </c>
      <c r="H300" s="81">
        <v>0.05</v>
      </c>
      <c r="I300" s="77">
        <f t="shared" si="986"/>
        <v>10</v>
      </c>
      <c r="J300" s="79"/>
      <c r="K300" s="146">
        <v>300.0</v>
      </c>
      <c r="L300" s="147">
        <f t="shared" si="987"/>
        <v>7010</v>
      </c>
      <c r="M300" s="77">
        <f t="shared" si="988"/>
        <v>2</v>
      </c>
      <c r="N300" s="83">
        <f t="shared" si="989"/>
        <v>560.8</v>
      </c>
      <c r="O300" s="83">
        <f t="shared" si="990"/>
        <v>701</v>
      </c>
      <c r="P300" s="83">
        <f t="shared" si="991"/>
        <v>350.5</v>
      </c>
      <c r="Q300" s="83">
        <f t="shared" si="992"/>
        <v>140.2</v>
      </c>
      <c r="R300" s="83">
        <f t="shared" si="993"/>
        <v>2.1</v>
      </c>
      <c r="S300" s="83">
        <f t="shared" si="994"/>
        <v>70.1</v>
      </c>
      <c r="T300" s="84">
        <f t="shared" si="995"/>
        <v>1824.6</v>
      </c>
      <c r="U300" s="77">
        <f t="shared" si="996"/>
        <v>4.2</v>
      </c>
      <c r="V300" s="42">
        <f t="shared" si="15"/>
        <v>21</v>
      </c>
      <c r="W300" s="77">
        <f t="shared" si="997"/>
        <v>4.2</v>
      </c>
      <c r="X300" s="77">
        <f t="shared" si="998"/>
        <v>33.6</v>
      </c>
      <c r="Y300" s="77">
        <f t="shared" si="999"/>
        <v>63</v>
      </c>
      <c r="Z300" s="84">
        <f t="shared" si="1000"/>
        <v>8897.6</v>
      </c>
      <c r="AA300" s="85">
        <f t="shared" si="1001"/>
        <v>1779.52</v>
      </c>
      <c r="AB300" s="83">
        <f t="shared" si="1002"/>
        <v>10677.12</v>
      </c>
      <c r="AC300" s="77">
        <f t="shared" si="1003"/>
        <v>420</v>
      </c>
      <c r="AD300" s="77">
        <f>E300*2.1</f>
        <v>420</v>
      </c>
      <c r="AE300" s="83">
        <f>AC300-AD300</f>
        <v>0</v>
      </c>
      <c r="AF300" s="85"/>
      <c r="AG300" s="86">
        <f t="shared" si="1006"/>
        <v>-100</v>
      </c>
      <c r="AH300" s="63">
        <f t="shared" si="1007"/>
        <v>9990</v>
      </c>
      <c r="AI300" s="90">
        <v>10990.0</v>
      </c>
      <c r="AJ300" s="90">
        <v>9990.0</v>
      </c>
      <c r="AK300" s="14">
        <f t="shared" si="1008"/>
        <v>42.510699</v>
      </c>
      <c r="AL300" s="14"/>
      <c r="AM300" s="14">
        <f t="shared" si="1009"/>
        <v>100</v>
      </c>
      <c r="AN300" s="14">
        <f t="shared" si="1010"/>
        <v>142.510699</v>
      </c>
      <c r="AO300" s="87">
        <f t="shared" si="1011"/>
        <v>1.42510699</v>
      </c>
      <c r="AP300" s="14">
        <f t="shared" si="1012"/>
        <v>-6.8712</v>
      </c>
      <c r="AQ300" s="14">
        <f t="shared" si="1013"/>
        <v>95.7</v>
      </c>
      <c r="AR300" s="88">
        <f t="shared" ref="AR300:AS300" si="1023">AI300/94</f>
        <v>116.9148936</v>
      </c>
      <c r="AS300" s="88">
        <f t="shared" si="1023"/>
        <v>106.2765957</v>
      </c>
      <c r="AT300" s="89">
        <f t="shared" ref="AT300:AU300" si="1024">AI300/24</f>
        <v>457.9166667</v>
      </c>
      <c r="AU300" s="89">
        <f t="shared" si="1024"/>
        <v>416.25</v>
      </c>
      <c r="AV300" s="89">
        <f t="shared" ref="AV300:AW300" si="1025">AI300/125</f>
        <v>87.92</v>
      </c>
      <c r="AW300" s="89">
        <f t="shared" si="1025"/>
        <v>79.92</v>
      </c>
      <c r="AX300" s="79"/>
      <c r="AY300" s="79"/>
    </row>
    <row r="301" ht="15.75" customHeight="1">
      <c r="A301" s="5"/>
      <c r="B301" s="5" t="s">
        <v>596</v>
      </c>
      <c r="C301" s="92" t="s">
        <v>597</v>
      </c>
      <c r="D301" s="145">
        <f>3200*2.5</f>
        <v>8000</v>
      </c>
      <c r="E301" s="145">
        <v>200.0</v>
      </c>
      <c r="F301" s="80">
        <v>100.0</v>
      </c>
      <c r="G301" s="78">
        <v>8.3061E7</v>
      </c>
      <c r="H301" s="81">
        <v>0.05</v>
      </c>
      <c r="I301" s="77">
        <f t="shared" si="986"/>
        <v>10</v>
      </c>
      <c r="J301" s="79"/>
      <c r="K301" s="146">
        <v>300.0</v>
      </c>
      <c r="L301" s="147">
        <f t="shared" si="987"/>
        <v>8610</v>
      </c>
      <c r="M301" s="77">
        <f t="shared" si="988"/>
        <v>2</v>
      </c>
      <c r="N301" s="83">
        <f t="shared" si="989"/>
        <v>688.8</v>
      </c>
      <c r="O301" s="83">
        <f t="shared" si="990"/>
        <v>861</v>
      </c>
      <c r="P301" s="83">
        <f t="shared" si="991"/>
        <v>430.5</v>
      </c>
      <c r="Q301" s="83">
        <f t="shared" si="992"/>
        <v>172.2</v>
      </c>
      <c r="R301" s="83">
        <f t="shared" si="993"/>
        <v>2.1</v>
      </c>
      <c r="S301" s="83">
        <f t="shared" si="994"/>
        <v>86.1</v>
      </c>
      <c r="T301" s="84">
        <f t="shared" si="995"/>
        <v>2240.6</v>
      </c>
      <c r="U301" s="77">
        <f t="shared" si="996"/>
        <v>4.2</v>
      </c>
      <c r="V301" s="42">
        <f t="shared" si="15"/>
        <v>21</v>
      </c>
      <c r="W301" s="77">
        <f t="shared" si="997"/>
        <v>4.2</v>
      </c>
      <c r="X301" s="77">
        <f t="shared" si="998"/>
        <v>33.6</v>
      </c>
      <c r="Y301" s="77">
        <f t="shared" si="999"/>
        <v>63</v>
      </c>
      <c r="Z301" s="84">
        <f t="shared" si="1000"/>
        <v>10913.6</v>
      </c>
      <c r="AA301" s="85">
        <f t="shared" si="1001"/>
        <v>2182.72</v>
      </c>
      <c r="AB301" s="83">
        <f t="shared" si="1002"/>
        <v>13096.32</v>
      </c>
      <c r="AC301" s="77">
        <f t="shared" si="1003"/>
        <v>420</v>
      </c>
      <c r="AD301" s="83">
        <f>AB301-AC301</f>
        <v>12676.32</v>
      </c>
      <c r="AE301" s="83">
        <f>AD301/AB301*100</f>
        <v>96.79299223</v>
      </c>
      <c r="AF301" s="85"/>
      <c r="AG301" s="86">
        <f t="shared" si="1006"/>
        <v>-100</v>
      </c>
      <c r="AH301" s="63">
        <f t="shared" si="1007"/>
        <v>11990</v>
      </c>
      <c r="AI301" s="90">
        <v>12990.0</v>
      </c>
      <c r="AJ301" s="90">
        <v>11990.0</v>
      </c>
      <c r="AK301" s="14">
        <f t="shared" si="1008"/>
        <v>39.25667828</v>
      </c>
      <c r="AL301" s="14"/>
      <c r="AM301" s="14">
        <f t="shared" si="1009"/>
        <v>100</v>
      </c>
      <c r="AN301" s="14">
        <f t="shared" si="1010"/>
        <v>139.2566783</v>
      </c>
      <c r="AO301" s="87">
        <f t="shared" si="1011"/>
        <v>1.392566783</v>
      </c>
      <c r="AP301" s="14">
        <f t="shared" si="1012"/>
        <v>-11.0632</v>
      </c>
      <c r="AQ301" s="14">
        <f t="shared" si="1013"/>
        <v>115.7</v>
      </c>
      <c r="AR301" s="88">
        <f t="shared" ref="AR301:AS301" si="1026">AI301/94</f>
        <v>138.1914894</v>
      </c>
      <c r="AS301" s="88">
        <f t="shared" si="1026"/>
        <v>127.5531915</v>
      </c>
      <c r="AT301" s="89">
        <f t="shared" ref="AT301:AU301" si="1027">AI301/24</f>
        <v>541.25</v>
      </c>
      <c r="AU301" s="89">
        <f t="shared" si="1027"/>
        <v>499.5833333</v>
      </c>
      <c r="AV301" s="89">
        <f t="shared" ref="AV301:AW301" si="1028">AI301/125</f>
        <v>103.92</v>
      </c>
      <c r="AW301" s="89">
        <f t="shared" si="1028"/>
        <v>95.92</v>
      </c>
      <c r="AX301" s="79"/>
      <c r="AY301" s="79"/>
    </row>
    <row r="302" ht="15.75" customHeight="1">
      <c r="A302" s="5"/>
      <c r="B302" s="5" t="s">
        <v>598</v>
      </c>
      <c r="C302" s="92" t="s">
        <v>599</v>
      </c>
      <c r="D302" s="145">
        <f>3200*3.5</f>
        <v>11200</v>
      </c>
      <c r="E302" s="145">
        <v>300.0</v>
      </c>
      <c r="F302" s="80">
        <v>100.0</v>
      </c>
      <c r="G302" s="78">
        <v>8.3061E7</v>
      </c>
      <c r="H302" s="81">
        <v>0.05</v>
      </c>
      <c r="I302" s="77">
        <f t="shared" si="986"/>
        <v>15</v>
      </c>
      <c r="J302" s="79"/>
      <c r="K302" s="146">
        <v>300.0</v>
      </c>
      <c r="L302" s="147">
        <f t="shared" si="987"/>
        <v>11915</v>
      </c>
      <c r="M302" s="77">
        <f t="shared" si="988"/>
        <v>3</v>
      </c>
      <c r="N302" s="83">
        <f t="shared" si="989"/>
        <v>953.2</v>
      </c>
      <c r="O302" s="83">
        <f t="shared" si="990"/>
        <v>1191.5</v>
      </c>
      <c r="P302" s="83">
        <f t="shared" si="991"/>
        <v>595.75</v>
      </c>
      <c r="Q302" s="83">
        <f t="shared" si="992"/>
        <v>238.3</v>
      </c>
      <c r="R302" s="83">
        <f t="shared" si="993"/>
        <v>3.15</v>
      </c>
      <c r="S302" s="83">
        <f t="shared" si="994"/>
        <v>119.15</v>
      </c>
      <c r="T302" s="84">
        <f t="shared" si="995"/>
        <v>3100.9</v>
      </c>
      <c r="U302" s="77">
        <f t="shared" si="996"/>
        <v>6.3</v>
      </c>
      <c r="V302" s="42">
        <f t="shared" si="15"/>
        <v>31.5</v>
      </c>
      <c r="W302" s="77">
        <f t="shared" si="997"/>
        <v>6.3</v>
      </c>
      <c r="X302" s="77">
        <f t="shared" si="998"/>
        <v>50.4</v>
      </c>
      <c r="Y302" s="77">
        <f t="shared" si="999"/>
        <v>94.5</v>
      </c>
      <c r="Z302" s="84">
        <f t="shared" si="1000"/>
        <v>15110.4</v>
      </c>
      <c r="AA302" s="85">
        <f t="shared" si="1001"/>
        <v>3022.08</v>
      </c>
      <c r="AB302" s="83">
        <f t="shared" si="1002"/>
        <v>18132.48</v>
      </c>
      <c r="AC302" s="77">
        <f t="shared" si="1003"/>
        <v>630</v>
      </c>
      <c r="AD302" s="77">
        <f>E302*2.1</f>
        <v>630</v>
      </c>
      <c r="AE302" s="83">
        <f>AC302-AD302</f>
        <v>0</v>
      </c>
      <c r="AF302" s="85"/>
      <c r="AG302" s="86">
        <f t="shared" si="1006"/>
        <v>-100</v>
      </c>
      <c r="AH302" s="63">
        <f t="shared" si="1007"/>
        <v>34990</v>
      </c>
      <c r="AI302" s="90">
        <v>37990.0</v>
      </c>
      <c r="AJ302" s="90">
        <v>34990.0</v>
      </c>
      <c r="AK302" s="14">
        <f t="shared" si="1008"/>
        <v>193.6634494</v>
      </c>
      <c r="AL302" s="14"/>
      <c r="AM302" s="14">
        <f t="shared" si="1009"/>
        <v>100</v>
      </c>
      <c r="AN302" s="14">
        <f t="shared" si="1010"/>
        <v>293.6634494</v>
      </c>
      <c r="AO302" s="87">
        <f t="shared" si="1011"/>
        <v>2.936634494</v>
      </c>
      <c r="AP302" s="14">
        <f t="shared" si="1012"/>
        <v>168.5752</v>
      </c>
      <c r="AQ302" s="14">
        <f t="shared" si="1013"/>
        <v>343.6</v>
      </c>
      <c r="AR302" s="88">
        <f t="shared" ref="AR302:AS302" si="1029">AI302/94</f>
        <v>404.1489362</v>
      </c>
      <c r="AS302" s="88">
        <f t="shared" si="1029"/>
        <v>372.2340426</v>
      </c>
      <c r="AT302" s="89">
        <f t="shared" ref="AT302:AU302" si="1030">AI302/24</f>
        <v>1582.916667</v>
      </c>
      <c r="AU302" s="89">
        <f t="shared" si="1030"/>
        <v>1457.916667</v>
      </c>
      <c r="AV302" s="89">
        <f t="shared" ref="AV302:AW302" si="1031">AI302/125</f>
        <v>303.92</v>
      </c>
      <c r="AW302" s="89">
        <f t="shared" si="1031"/>
        <v>279.92</v>
      </c>
      <c r="AX302" s="79"/>
      <c r="AY302" s="79"/>
    </row>
    <row r="303" ht="15.75" customHeight="1">
      <c r="A303" s="5"/>
      <c r="B303" s="5" t="s">
        <v>600</v>
      </c>
      <c r="C303" s="92" t="s">
        <v>601</v>
      </c>
      <c r="D303" s="145">
        <f>3200*4.2</f>
        <v>13440</v>
      </c>
      <c r="E303" s="145">
        <v>300.0</v>
      </c>
      <c r="F303" s="80">
        <v>100.0</v>
      </c>
      <c r="G303" s="78">
        <v>8.3061E7</v>
      </c>
      <c r="H303" s="81">
        <v>0.05</v>
      </c>
      <c r="I303" s="77">
        <f t="shared" si="986"/>
        <v>15</v>
      </c>
      <c r="J303" s="79"/>
      <c r="K303" s="146">
        <v>300.0</v>
      </c>
      <c r="L303" s="147">
        <f t="shared" si="987"/>
        <v>14155</v>
      </c>
      <c r="M303" s="77">
        <f t="shared" si="988"/>
        <v>3</v>
      </c>
      <c r="N303" s="83">
        <f t="shared" si="989"/>
        <v>1132.4</v>
      </c>
      <c r="O303" s="83">
        <f t="shared" si="990"/>
        <v>1415.5</v>
      </c>
      <c r="P303" s="83">
        <f t="shared" si="991"/>
        <v>707.75</v>
      </c>
      <c r="Q303" s="83">
        <f t="shared" si="992"/>
        <v>283.1</v>
      </c>
      <c r="R303" s="83">
        <f t="shared" si="993"/>
        <v>3.15</v>
      </c>
      <c r="S303" s="83">
        <f t="shared" si="994"/>
        <v>141.55</v>
      </c>
      <c r="T303" s="84">
        <f t="shared" si="995"/>
        <v>3683.3</v>
      </c>
      <c r="U303" s="77">
        <f t="shared" si="996"/>
        <v>6.3</v>
      </c>
      <c r="V303" s="42">
        <f t="shared" si="15"/>
        <v>31.5</v>
      </c>
      <c r="W303" s="77">
        <f t="shared" si="997"/>
        <v>6.3</v>
      </c>
      <c r="X303" s="77">
        <f t="shared" si="998"/>
        <v>50.4</v>
      </c>
      <c r="Y303" s="77">
        <f t="shared" si="999"/>
        <v>94.5</v>
      </c>
      <c r="Z303" s="84">
        <f t="shared" si="1000"/>
        <v>17932.8</v>
      </c>
      <c r="AA303" s="85">
        <f t="shared" si="1001"/>
        <v>3586.56</v>
      </c>
      <c r="AB303" s="83">
        <f t="shared" si="1002"/>
        <v>21519.36</v>
      </c>
      <c r="AC303" s="77">
        <f t="shared" si="1003"/>
        <v>630</v>
      </c>
      <c r="AD303" s="83">
        <f>AB303-AC303</f>
        <v>20889.36</v>
      </c>
      <c r="AE303" s="83">
        <f>AD303/AB303*100</f>
        <v>97.07240364</v>
      </c>
      <c r="AF303" s="85"/>
      <c r="AG303" s="86">
        <f t="shared" si="1006"/>
        <v>-100</v>
      </c>
      <c r="AH303" s="63">
        <f t="shared" si="1007"/>
        <v>19990</v>
      </c>
      <c r="AI303" s="90">
        <v>20990.0</v>
      </c>
      <c r="AJ303" s="90">
        <v>19990.0</v>
      </c>
      <c r="AK303" s="14">
        <f t="shared" si="1008"/>
        <v>41.22218297</v>
      </c>
      <c r="AL303" s="14"/>
      <c r="AM303" s="14">
        <f t="shared" si="1009"/>
        <v>100</v>
      </c>
      <c r="AN303" s="14">
        <f t="shared" si="1010"/>
        <v>141.222183</v>
      </c>
      <c r="AO303" s="87">
        <f t="shared" si="1011"/>
        <v>1.41222183</v>
      </c>
      <c r="AP303" s="14">
        <f t="shared" si="1012"/>
        <v>-15.2936</v>
      </c>
      <c r="AQ303" s="14">
        <f t="shared" si="1013"/>
        <v>193.6</v>
      </c>
      <c r="AR303" s="88">
        <f t="shared" ref="AR303:AS303" si="1032">AI303/94</f>
        <v>223.2978723</v>
      </c>
      <c r="AS303" s="88">
        <f t="shared" si="1032"/>
        <v>212.6595745</v>
      </c>
      <c r="AT303" s="89">
        <f t="shared" ref="AT303:AU303" si="1033">AI303/24</f>
        <v>874.5833333</v>
      </c>
      <c r="AU303" s="89">
        <f t="shared" si="1033"/>
        <v>832.9166667</v>
      </c>
      <c r="AV303" s="89">
        <f t="shared" ref="AV303:AW303" si="1034">AI303/125</f>
        <v>167.92</v>
      </c>
      <c r="AW303" s="89">
        <f t="shared" si="1034"/>
        <v>159.92</v>
      </c>
      <c r="AX303" s="79"/>
      <c r="AY303" s="79"/>
    </row>
    <row r="304" ht="15.75" customHeight="1">
      <c r="A304" s="5"/>
      <c r="B304" s="5" t="s">
        <v>602</v>
      </c>
      <c r="C304" s="92" t="s">
        <v>603</v>
      </c>
      <c r="D304" s="145">
        <f>3200*5.5</f>
        <v>17600</v>
      </c>
      <c r="E304" s="145">
        <v>300.0</v>
      </c>
      <c r="F304" s="80">
        <v>100.0</v>
      </c>
      <c r="G304" s="78">
        <v>8.3061E7</v>
      </c>
      <c r="H304" s="81">
        <v>0.05</v>
      </c>
      <c r="I304" s="77">
        <f t="shared" si="986"/>
        <v>15</v>
      </c>
      <c r="J304" s="79"/>
      <c r="K304" s="146">
        <v>300.0</v>
      </c>
      <c r="L304" s="147">
        <f t="shared" si="987"/>
        <v>18315</v>
      </c>
      <c r="M304" s="77">
        <f t="shared" si="988"/>
        <v>3</v>
      </c>
      <c r="N304" s="83">
        <f t="shared" si="989"/>
        <v>1465.2</v>
      </c>
      <c r="O304" s="83">
        <f t="shared" si="990"/>
        <v>1831.5</v>
      </c>
      <c r="P304" s="83">
        <f t="shared" si="991"/>
        <v>915.75</v>
      </c>
      <c r="Q304" s="83">
        <f t="shared" si="992"/>
        <v>366.3</v>
      </c>
      <c r="R304" s="83">
        <f t="shared" si="993"/>
        <v>3.15</v>
      </c>
      <c r="S304" s="83">
        <f t="shared" si="994"/>
        <v>183.15</v>
      </c>
      <c r="T304" s="84">
        <f t="shared" si="995"/>
        <v>4764.9</v>
      </c>
      <c r="U304" s="77">
        <f t="shared" si="996"/>
        <v>6.3</v>
      </c>
      <c r="V304" s="42">
        <f t="shared" si="15"/>
        <v>31.5</v>
      </c>
      <c r="W304" s="77">
        <f t="shared" si="997"/>
        <v>6.3</v>
      </c>
      <c r="X304" s="77">
        <f t="shared" si="998"/>
        <v>50.4</v>
      </c>
      <c r="Y304" s="77">
        <f t="shared" si="999"/>
        <v>94.5</v>
      </c>
      <c r="Z304" s="84">
        <f t="shared" si="1000"/>
        <v>23174.4</v>
      </c>
      <c r="AA304" s="85">
        <f t="shared" si="1001"/>
        <v>4634.88</v>
      </c>
      <c r="AB304" s="83">
        <f t="shared" si="1002"/>
        <v>27809.28</v>
      </c>
      <c r="AC304" s="77">
        <f t="shared" si="1003"/>
        <v>630</v>
      </c>
      <c r="AD304" s="77">
        <f>E304*2.1</f>
        <v>630</v>
      </c>
      <c r="AE304" s="83">
        <f>AC304-AD304</f>
        <v>0</v>
      </c>
      <c r="AF304" s="85"/>
      <c r="AG304" s="86">
        <f t="shared" si="1006"/>
        <v>-100</v>
      </c>
      <c r="AH304" s="63">
        <f t="shared" si="1007"/>
        <v>25990</v>
      </c>
      <c r="AI304" s="90">
        <v>27990.0</v>
      </c>
      <c r="AJ304" s="90">
        <v>25990.0</v>
      </c>
      <c r="AK304" s="14">
        <f t="shared" si="1008"/>
        <v>41.90554191</v>
      </c>
      <c r="AL304" s="14"/>
      <c r="AM304" s="14">
        <f t="shared" si="1009"/>
        <v>100</v>
      </c>
      <c r="AN304" s="14">
        <f t="shared" si="1010"/>
        <v>141.9055419</v>
      </c>
      <c r="AO304" s="87">
        <f t="shared" si="1011"/>
        <v>1.419055419</v>
      </c>
      <c r="AP304" s="14">
        <f t="shared" si="1012"/>
        <v>-18.1928</v>
      </c>
      <c r="AQ304" s="14">
        <f t="shared" si="1013"/>
        <v>253.6</v>
      </c>
      <c r="AR304" s="88">
        <f t="shared" ref="AR304:AS304" si="1035">AI304/94</f>
        <v>297.7659574</v>
      </c>
      <c r="AS304" s="88">
        <f t="shared" si="1035"/>
        <v>276.4893617</v>
      </c>
      <c r="AT304" s="89">
        <f t="shared" ref="AT304:AU304" si="1036">AI304/24</f>
        <v>1166.25</v>
      </c>
      <c r="AU304" s="89">
        <f t="shared" si="1036"/>
        <v>1082.916667</v>
      </c>
      <c r="AV304" s="89">
        <f t="shared" ref="AV304:AW304" si="1037">AI304/125</f>
        <v>223.92</v>
      </c>
      <c r="AW304" s="89">
        <f t="shared" si="1037"/>
        <v>207.92</v>
      </c>
      <c r="AX304" s="79"/>
      <c r="AY304" s="79"/>
    </row>
    <row r="305" ht="15.75" customHeight="1">
      <c r="A305" s="5"/>
      <c r="B305" s="5" t="s">
        <v>604</v>
      </c>
      <c r="C305" s="92" t="s">
        <v>605</v>
      </c>
      <c r="D305" s="145">
        <f>3200*7</f>
        <v>22400</v>
      </c>
      <c r="E305" s="145">
        <v>500.0</v>
      </c>
      <c r="F305" s="80">
        <v>100.0</v>
      </c>
      <c r="G305" s="78">
        <v>8.3061E7</v>
      </c>
      <c r="H305" s="81">
        <v>0.05</v>
      </c>
      <c r="I305" s="77">
        <f t="shared" si="986"/>
        <v>25</v>
      </c>
      <c r="J305" s="79"/>
      <c r="K305" s="146">
        <v>300.0</v>
      </c>
      <c r="L305" s="147">
        <f t="shared" si="987"/>
        <v>23325</v>
      </c>
      <c r="M305" s="77">
        <f t="shared" si="988"/>
        <v>5</v>
      </c>
      <c r="N305" s="83">
        <f t="shared" si="989"/>
        <v>1866</v>
      </c>
      <c r="O305" s="83">
        <f t="shared" si="990"/>
        <v>2332.5</v>
      </c>
      <c r="P305" s="83">
        <f t="shared" si="991"/>
        <v>1166.25</v>
      </c>
      <c r="Q305" s="83">
        <f t="shared" si="992"/>
        <v>466.5</v>
      </c>
      <c r="R305" s="83">
        <f t="shared" si="993"/>
        <v>5.25</v>
      </c>
      <c r="S305" s="83">
        <f t="shared" si="994"/>
        <v>233.25</v>
      </c>
      <c r="T305" s="84">
        <f t="shared" si="995"/>
        <v>6069.5</v>
      </c>
      <c r="U305" s="77">
        <f t="shared" si="996"/>
        <v>10.5</v>
      </c>
      <c r="V305" s="42">
        <f t="shared" si="15"/>
        <v>52.5</v>
      </c>
      <c r="W305" s="77">
        <f t="shared" si="997"/>
        <v>10.5</v>
      </c>
      <c r="X305" s="77">
        <f t="shared" si="998"/>
        <v>84</v>
      </c>
      <c r="Y305" s="77">
        <f t="shared" si="999"/>
        <v>157.5</v>
      </c>
      <c r="Z305" s="84">
        <f t="shared" si="1000"/>
        <v>29552</v>
      </c>
      <c r="AA305" s="85">
        <f t="shared" si="1001"/>
        <v>5910.4</v>
      </c>
      <c r="AB305" s="83">
        <f t="shared" si="1002"/>
        <v>35462.4</v>
      </c>
      <c r="AC305" s="77">
        <f t="shared" si="1003"/>
        <v>1050</v>
      </c>
      <c r="AD305" s="83">
        <f>AB305-AC305</f>
        <v>34412.4</v>
      </c>
      <c r="AE305" s="83">
        <f>AD305/AB305*100</f>
        <v>97.03911749</v>
      </c>
      <c r="AF305" s="85"/>
      <c r="AG305" s="86">
        <f t="shared" si="1006"/>
        <v>-100</v>
      </c>
      <c r="AH305" s="63">
        <f t="shared" si="1007"/>
        <v>32990</v>
      </c>
      <c r="AI305" s="90">
        <v>34990.0</v>
      </c>
      <c r="AJ305" s="90">
        <v>32990.0</v>
      </c>
      <c r="AK305" s="14">
        <f t="shared" si="1008"/>
        <v>41.43622722</v>
      </c>
      <c r="AL305" s="14"/>
      <c r="AM305" s="14">
        <f t="shared" si="1009"/>
        <v>100</v>
      </c>
      <c r="AN305" s="14">
        <f t="shared" si="1010"/>
        <v>141.4362272</v>
      </c>
      <c r="AO305" s="87">
        <f t="shared" si="1011"/>
        <v>1.414362272</v>
      </c>
      <c r="AP305" s="14">
        <f t="shared" si="1012"/>
        <v>-24.724</v>
      </c>
      <c r="AQ305" s="14">
        <f t="shared" si="1013"/>
        <v>319.4</v>
      </c>
      <c r="AR305" s="88">
        <f t="shared" ref="AR305:AS305" si="1038">AI305/94</f>
        <v>372.2340426</v>
      </c>
      <c r="AS305" s="88">
        <f t="shared" si="1038"/>
        <v>350.9574468</v>
      </c>
      <c r="AT305" s="89">
        <f t="shared" ref="AT305:AU305" si="1039">AI305/24</f>
        <v>1457.916667</v>
      </c>
      <c r="AU305" s="89">
        <f t="shared" si="1039"/>
        <v>1374.583333</v>
      </c>
      <c r="AV305" s="89">
        <f t="shared" ref="AV305:AW305" si="1040">AI305/125</f>
        <v>279.92</v>
      </c>
      <c r="AW305" s="89">
        <f t="shared" si="1040"/>
        <v>263.92</v>
      </c>
      <c r="AX305" s="79"/>
      <c r="AY305" s="79"/>
    </row>
    <row r="306" ht="15.75" customHeight="1">
      <c r="A306" s="5"/>
      <c r="B306" s="5" t="s">
        <v>585</v>
      </c>
      <c r="C306" s="92" t="s">
        <v>606</v>
      </c>
      <c r="D306" s="145">
        <f>3800*8.5</f>
        <v>32300</v>
      </c>
      <c r="E306" s="145">
        <v>600.0</v>
      </c>
      <c r="F306" s="80">
        <v>100.0</v>
      </c>
      <c r="G306" s="78">
        <v>8.3061E7</v>
      </c>
      <c r="H306" s="81">
        <v>0.05</v>
      </c>
      <c r="I306" s="77">
        <f t="shared" si="986"/>
        <v>30</v>
      </c>
      <c r="J306" s="79"/>
      <c r="K306" s="146">
        <v>300.0</v>
      </c>
      <c r="L306" s="147">
        <f t="shared" si="987"/>
        <v>33330</v>
      </c>
      <c r="M306" s="77">
        <f t="shared" si="988"/>
        <v>6</v>
      </c>
      <c r="N306" s="83">
        <f t="shared" si="989"/>
        <v>2666.4</v>
      </c>
      <c r="O306" s="83">
        <f t="shared" si="990"/>
        <v>3333</v>
      </c>
      <c r="P306" s="83">
        <f t="shared" si="991"/>
        <v>1666.5</v>
      </c>
      <c r="Q306" s="83">
        <f t="shared" si="992"/>
        <v>666.6</v>
      </c>
      <c r="R306" s="83">
        <f t="shared" si="993"/>
        <v>6.3</v>
      </c>
      <c r="S306" s="83">
        <f t="shared" si="994"/>
        <v>333.3</v>
      </c>
      <c r="T306" s="84">
        <f t="shared" si="995"/>
        <v>8671.8</v>
      </c>
      <c r="U306" s="77">
        <f t="shared" si="996"/>
        <v>12.6</v>
      </c>
      <c r="V306" s="42">
        <f t="shared" si="15"/>
        <v>63</v>
      </c>
      <c r="W306" s="77">
        <f t="shared" si="997"/>
        <v>12.6</v>
      </c>
      <c r="X306" s="77">
        <f t="shared" si="998"/>
        <v>100.8</v>
      </c>
      <c r="Y306" s="77">
        <f t="shared" si="999"/>
        <v>189</v>
      </c>
      <c r="Z306" s="84">
        <f t="shared" si="1000"/>
        <v>42190.8</v>
      </c>
      <c r="AA306" s="85">
        <f t="shared" si="1001"/>
        <v>8438.16</v>
      </c>
      <c r="AB306" s="83">
        <f t="shared" si="1002"/>
        <v>50628.96</v>
      </c>
      <c r="AC306" s="77">
        <f t="shared" si="1003"/>
        <v>1260</v>
      </c>
      <c r="AD306" s="77">
        <f>E306*2.1</f>
        <v>1260</v>
      </c>
      <c r="AE306" s="83">
        <f>AC306-AD306</f>
        <v>0</v>
      </c>
      <c r="AF306" s="79"/>
      <c r="AG306" s="86">
        <f t="shared" si="1006"/>
        <v>-100</v>
      </c>
      <c r="AH306" s="63">
        <f t="shared" si="1007"/>
        <v>35990</v>
      </c>
      <c r="AI306" s="90">
        <v>37990.0</v>
      </c>
      <c r="AJ306" s="90">
        <v>35990.0</v>
      </c>
      <c r="AK306" s="14">
        <f t="shared" si="1008"/>
        <v>7.98079808</v>
      </c>
      <c r="AL306" s="14"/>
      <c r="AM306" s="14">
        <f t="shared" si="1009"/>
        <v>100</v>
      </c>
      <c r="AN306" s="14">
        <f t="shared" si="1010"/>
        <v>107.9807981</v>
      </c>
      <c r="AO306" s="87">
        <f t="shared" si="1011"/>
        <v>1.079807981</v>
      </c>
      <c r="AP306" s="14">
        <f t="shared" si="1012"/>
        <v>-146.3896</v>
      </c>
      <c r="AQ306" s="14">
        <f t="shared" si="1013"/>
        <v>347.3</v>
      </c>
      <c r="AR306" s="88">
        <f t="shared" ref="AR306:AS306" si="1041">AI306/94</f>
        <v>404.1489362</v>
      </c>
      <c r="AS306" s="88">
        <f t="shared" si="1041"/>
        <v>382.8723404</v>
      </c>
      <c r="AT306" s="89">
        <f t="shared" ref="AT306:AU306" si="1042">AI306/24</f>
        <v>1582.916667</v>
      </c>
      <c r="AU306" s="89">
        <f t="shared" si="1042"/>
        <v>1499.583333</v>
      </c>
      <c r="AV306" s="89">
        <f t="shared" ref="AV306:AW306" si="1043">AI306/125</f>
        <v>303.92</v>
      </c>
      <c r="AW306" s="89">
        <f t="shared" si="1043"/>
        <v>287.92</v>
      </c>
      <c r="AX306" s="79"/>
      <c r="AY306" s="79"/>
    </row>
    <row r="307" ht="15.0" customHeight="1">
      <c r="A307" s="77" t="s">
        <v>607</v>
      </c>
      <c r="B307" s="77" t="s">
        <v>608</v>
      </c>
      <c r="C307" s="77" t="s">
        <v>609</v>
      </c>
      <c r="D307" s="78"/>
      <c r="E307" s="77">
        <v>125.0</v>
      </c>
      <c r="F307" s="77">
        <v>10.0</v>
      </c>
      <c r="G307" s="78">
        <v>8.3061E7</v>
      </c>
      <c r="H307" s="81">
        <v>0.05</v>
      </c>
      <c r="I307" s="77">
        <f t="shared" ref="I307:I385" si="1047">D307*H307</f>
        <v>0</v>
      </c>
      <c r="J307" s="79"/>
      <c r="K307" s="77">
        <f t="shared" ref="K307:K384" si="1048">D307*4%</f>
        <v>0</v>
      </c>
      <c r="L307" s="82">
        <f t="shared" si="987"/>
        <v>135</v>
      </c>
      <c r="M307" s="77">
        <f t="shared" si="988"/>
        <v>1.25</v>
      </c>
      <c r="N307" s="83">
        <f t="shared" si="989"/>
        <v>10.8</v>
      </c>
      <c r="O307" s="83">
        <f t="shared" si="990"/>
        <v>13.5</v>
      </c>
      <c r="P307" s="83">
        <f t="shared" si="991"/>
        <v>6.75</v>
      </c>
      <c r="Q307" s="83">
        <f t="shared" si="992"/>
        <v>2.7</v>
      </c>
      <c r="R307" s="83">
        <f t="shared" si="993"/>
        <v>0</v>
      </c>
      <c r="S307" s="83">
        <f t="shared" si="994"/>
        <v>1.35</v>
      </c>
      <c r="T307" s="84">
        <f t="shared" si="995"/>
        <v>36.35</v>
      </c>
      <c r="U307" s="77">
        <f t="shared" si="996"/>
        <v>0</v>
      </c>
      <c r="V307" s="42">
        <f t="shared" si="15"/>
        <v>0</v>
      </c>
      <c r="W307" s="77">
        <f t="shared" si="997"/>
        <v>0</v>
      </c>
      <c r="X307" s="77">
        <f t="shared" si="998"/>
        <v>0</v>
      </c>
      <c r="Y307" s="77">
        <f t="shared" si="999"/>
        <v>0</v>
      </c>
      <c r="Z307" s="84">
        <f t="shared" si="1000"/>
        <v>171.35</v>
      </c>
      <c r="AA307" s="85">
        <f t="shared" si="1001"/>
        <v>34.27</v>
      </c>
      <c r="AB307" s="83">
        <f t="shared" si="1002"/>
        <v>205.62</v>
      </c>
      <c r="AC307" s="77">
        <f t="shared" ref="AC307:AC519" si="1049">D307*2.1</f>
        <v>0</v>
      </c>
      <c r="AD307" s="83">
        <f t="shared" ref="AD307:AD519" si="1050">AB307-AC307</f>
        <v>205.62</v>
      </c>
      <c r="AE307" s="83">
        <f t="shared" ref="AE307:AE519" si="1051">AD307/AB307*100</f>
        <v>100</v>
      </c>
      <c r="AF307" s="79">
        <v>10500.0</v>
      </c>
      <c r="AG307" s="86">
        <f t="shared" si="1006"/>
        <v>7677.777778</v>
      </c>
      <c r="AH307" s="63">
        <f t="shared" si="1007"/>
        <v>490</v>
      </c>
      <c r="AI307" s="90">
        <v>11990.0</v>
      </c>
      <c r="AJ307" s="90">
        <v>10990.0</v>
      </c>
      <c r="AK307" s="14">
        <f t="shared" si="1008"/>
        <v>8040.740741</v>
      </c>
      <c r="AL307" s="14"/>
      <c r="AM307" s="14">
        <f t="shared" si="1009"/>
        <v>4.458598726</v>
      </c>
      <c r="AN307" s="14">
        <f t="shared" si="1010"/>
        <v>362.962963</v>
      </c>
      <c r="AO307" s="87">
        <f t="shared" si="1011"/>
        <v>81.40740741</v>
      </c>
      <c r="AP307" s="14">
        <f t="shared" si="1012"/>
        <v>107.8438</v>
      </c>
      <c r="AQ307" s="14">
        <f t="shared" si="1013"/>
        <v>109.9</v>
      </c>
      <c r="AR307" s="88">
        <f t="shared" ref="AR307:AS307" si="1044">AI307/94</f>
        <v>127.5531915</v>
      </c>
      <c r="AS307" s="88">
        <f t="shared" si="1044"/>
        <v>116.9148936</v>
      </c>
      <c r="AT307" s="89">
        <f t="shared" ref="AT307:AU307" si="1045">AI307/24</f>
        <v>499.5833333</v>
      </c>
      <c r="AU307" s="89">
        <f t="shared" si="1045"/>
        <v>457.9166667</v>
      </c>
      <c r="AV307" s="89">
        <f t="shared" ref="AV307:AW307" si="1046">AI307/125</f>
        <v>95.92</v>
      </c>
      <c r="AW307" s="89">
        <f t="shared" si="1046"/>
        <v>87.92</v>
      </c>
      <c r="AX307" s="79"/>
      <c r="AY307" s="79"/>
    </row>
    <row r="308" ht="15.75" customHeight="1">
      <c r="A308" s="77"/>
      <c r="B308" s="77" t="s">
        <v>610</v>
      </c>
      <c r="C308" s="77" t="s">
        <v>611</v>
      </c>
      <c r="D308" s="78"/>
      <c r="E308" s="77">
        <v>145.0</v>
      </c>
      <c r="F308" s="77">
        <v>10.0</v>
      </c>
      <c r="G308" s="78">
        <v>8.3061E7</v>
      </c>
      <c r="H308" s="81">
        <v>0.05</v>
      </c>
      <c r="I308" s="77">
        <f t="shared" si="1047"/>
        <v>0</v>
      </c>
      <c r="J308" s="79"/>
      <c r="K308" s="77">
        <f t="shared" si="1048"/>
        <v>0</v>
      </c>
      <c r="L308" s="82">
        <f t="shared" si="987"/>
        <v>155</v>
      </c>
      <c r="M308" s="77">
        <f t="shared" ref="M308:M519" si="1055">D308*1%</f>
        <v>0</v>
      </c>
      <c r="N308" s="83">
        <f t="shared" si="989"/>
        <v>12.4</v>
      </c>
      <c r="O308" s="83">
        <f t="shared" si="990"/>
        <v>15.5</v>
      </c>
      <c r="P308" s="83">
        <f t="shared" si="991"/>
        <v>7.75</v>
      </c>
      <c r="Q308" s="83">
        <f t="shared" si="992"/>
        <v>3.1</v>
      </c>
      <c r="R308" s="83">
        <f t="shared" si="993"/>
        <v>0</v>
      </c>
      <c r="S308" s="83">
        <f t="shared" si="994"/>
        <v>1.55</v>
      </c>
      <c r="T308" s="84">
        <f t="shared" si="995"/>
        <v>40.3</v>
      </c>
      <c r="U308" s="77">
        <f t="shared" si="996"/>
        <v>0</v>
      </c>
      <c r="V308" s="42">
        <f t="shared" si="15"/>
        <v>0</v>
      </c>
      <c r="W308" s="77">
        <f t="shared" si="997"/>
        <v>0</v>
      </c>
      <c r="X308" s="77">
        <f t="shared" si="998"/>
        <v>0</v>
      </c>
      <c r="Y308" s="77">
        <f t="shared" si="999"/>
        <v>0</v>
      </c>
      <c r="Z308" s="84">
        <f t="shared" si="1000"/>
        <v>195.3</v>
      </c>
      <c r="AA308" s="85">
        <f t="shared" si="1001"/>
        <v>39.06</v>
      </c>
      <c r="AB308" s="83">
        <f t="shared" si="1002"/>
        <v>234.36</v>
      </c>
      <c r="AC308" s="77">
        <f t="shared" si="1049"/>
        <v>0</v>
      </c>
      <c r="AD308" s="83">
        <f t="shared" si="1050"/>
        <v>234.36</v>
      </c>
      <c r="AE308" s="83">
        <f t="shared" si="1051"/>
        <v>100</v>
      </c>
      <c r="AF308" s="79">
        <v>16500.0</v>
      </c>
      <c r="AG308" s="86">
        <f t="shared" si="1006"/>
        <v>10545.16129</v>
      </c>
      <c r="AH308" s="63">
        <f t="shared" si="1007"/>
        <v>490</v>
      </c>
      <c r="AI308" s="90">
        <v>17990.0</v>
      </c>
      <c r="AJ308" s="90">
        <v>16990.0</v>
      </c>
      <c r="AK308" s="14">
        <f t="shared" si="1008"/>
        <v>10861.29032</v>
      </c>
      <c r="AL308" s="14"/>
      <c r="AM308" s="14">
        <f t="shared" si="1009"/>
        <v>2.884049441</v>
      </c>
      <c r="AN308" s="14">
        <f t="shared" si="1010"/>
        <v>316.1290323</v>
      </c>
      <c r="AO308" s="87">
        <f t="shared" si="1011"/>
        <v>109.6129032</v>
      </c>
      <c r="AP308" s="14">
        <f t="shared" si="1012"/>
        <v>167.5564</v>
      </c>
      <c r="AQ308" s="14">
        <f t="shared" si="1013"/>
        <v>169.9</v>
      </c>
      <c r="AR308" s="88">
        <f t="shared" ref="AR308:AS308" si="1052">AI308/94</f>
        <v>191.3829787</v>
      </c>
      <c r="AS308" s="88">
        <f t="shared" si="1052"/>
        <v>180.7446809</v>
      </c>
      <c r="AT308" s="89">
        <f t="shared" ref="AT308:AU308" si="1053">AI308/24</f>
        <v>749.5833333</v>
      </c>
      <c r="AU308" s="89">
        <f t="shared" si="1053"/>
        <v>707.9166667</v>
      </c>
      <c r="AV308" s="89">
        <f t="shared" ref="AV308:AW308" si="1054">AI308/125</f>
        <v>143.92</v>
      </c>
      <c r="AW308" s="89">
        <f t="shared" si="1054"/>
        <v>135.92</v>
      </c>
      <c r="AX308" s="79"/>
      <c r="AY308" s="79"/>
    </row>
    <row r="309" ht="15.75" customHeight="1">
      <c r="A309" s="77"/>
      <c r="B309" s="77" t="s">
        <v>612</v>
      </c>
      <c r="C309" s="77" t="s">
        <v>613</v>
      </c>
      <c r="D309" s="78"/>
      <c r="E309" s="77">
        <v>145.0</v>
      </c>
      <c r="F309" s="77">
        <v>10.0</v>
      </c>
      <c r="G309" s="78">
        <v>8.3061E7</v>
      </c>
      <c r="H309" s="81">
        <v>0.05</v>
      </c>
      <c r="I309" s="77">
        <f t="shared" si="1047"/>
        <v>0</v>
      </c>
      <c r="J309" s="79"/>
      <c r="K309" s="77">
        <f t="shared" si="1048"/>
        <v>0</v>
      </c>
      <c r="L309" s="82">
        <f t="shared" si="987"/>
        <v>155</v>
      </c>
      <c r="M309" s="77">
        <f t="shared" si="1055"/>
        <v>0</v>
      </c>
      <c r="N309" s="83">
        <f t="shared" si="989"/>
        <v>12.4</v>
      </c>
      <c r="O309" s="83">
        <f t="shared" si="990"/>
        <v>15.5</v>
      </c>
      <c r="P309" s="83">
        <f t="shared" si="991"/>
        <v>7.75</v>
      </c>
      <c r="Q309" s="83">
        <f t="shared" si="992"/>
        <v>3.1</v>
      </c>
      <c r="R309" s="83">
        <f t="shared" si="993"/>
        <v>0</v>
      </c>
      <c r="S309" s="83">
        <f t="shared" si="994"/>
        <v>1.55</v>
      </c>
      <c r="T309" s="84">
        <f t="shared" si="995"/>
        <v>40.3</v>
      </c>
      <c r="U309" s="77">
        <f t="shared" si="996"/>
        <v>0</v>
      </c>
      <c r="V309" s="42">
        <f t="shared" si="15"/>
        <v>0</v>
      </c>
      <c r="W309" s="77">
        <f t="shared" si="997"/>
        <v>0</v>
      </c>
      <c r="X309" s="77">
        <f t="shared" si="998"/>
        <v>0</v>
      </c>
      <c r="Y309" s="77">
        <f t="shared" si="999"/>
        <v>0</v>
      </c>
      <c r="Z309" s="84">
        <f t="shared" si="1000"/>
        <v>195.3</v>
      </c>
      <c r="AA309" s="85">
        <f t="shared" si="1001"/>
        <v>39.06</v>
      </c>
      <c r="AB309" s="83">
        <f t="shared" si="1002"/>
        <v>234.36</v>
      </c>
      <c r="AC309" s="77">
        <f t="shared" si="1049"/>
        <v>0</v>
      </c>
      <c r="AD309" s="83">
        <f t="shared" si="1050"/>
        <v>234.36</v>
      </c>
      <c r="AE309" s="83">
        <f t="shared" si="1051"/>
        <v>100</v>
      </c>
      <c r="AF309" s="79">
        <v>19500.0</v>
      </c>
      <c r="AG309" s="86">
        <f t="shared" si="1006"/>
        <v>12480.64516</v>
      </c>
      <c r="AH309" s="63">
        <f t="shared" si="1007"/>
        <v>400</v>
      </c>
      <c r="AI309" s="90">
        <v>21990.0</v>
      </c>
      <c r="AJ309" s="90">
        <v>19900.0</v>
      </c>
      <c r="AK309" s="14">
        <f t="shared" si="1008"/>
        <v>12738.70968</v>
      </c>
      <c r="AL309" s="14"/>
      <c r="AM309" s="14">
        <f t="shared" si="1009"/>
        <v>2.010050251</v>
      </c>
      <c r="AN309" s="14">
        <f t="shared" si="1010"/>
        <v>258.0645161</v>
      </c>
      <c r="AO309" s="87">
        <f t="shared" si="1011"/>
        <v>128.3870968</v>
      </c>
      <c r="AP309" s="14">
        <f t="shared" si="1012"/>
        <v>196.6564</v>
      </c>
      <c r="AQ309" s="14">
        <f t="shared" si="1013"/>
        <v>199</v>
      </c>
      <c r="AR309" s="88">
        <f t="shared" ref="AR309:AS309" si="1056">AI309/94</f>
        <v>233.9361702</v>
      </c>
      <c r="AS309" s="88">
        <f t="shared" si="1056"/>
        <v>211.7021277</v>
      </c>
      <c r="AT309" s="89">
        <f t="shared" ref="AT309:AU309" si="1057">AI309/24</f>
        <v>916.25</v>
      </c>
      <c r="AU309" s="89">
        <f t="shared" si="1057"/>
        <v>829.1666667</v>
      </c>
      <c r="AV309" s="89">
        <f t="shared" ref="AV309:AW309" si="1058">AI309/125</f>
        <v>175.92</v>
      </c>
      <c r="AW309" s="89">
        <f t="shared" si="1058"/>
        <v>159.2</v>
      </c>
      <c r="AX309" s="79"/>
      <c r="AY309" s="79"/>
    </row>
    <row r="310" ht="15.75" customHeight="1">
      <c r="A310" s="77"/>
      <c r="B310" s="77" t="s">
        <v>614</v>
      </c>
      <c r="C310" s="77" t="s">
        <v>615</v>
      </c>
      <c r="D310" s="78"/>
      <c r="E310" s="77">
        <v>145.0</v>
      </c>
      <c r="F310" s="77">
        <v>10.0</v>
      </c>
      <c r="G310" s="78">
        <v>8.3061E7</v>
      </c>
      <c r="H310" s="81">
        <v>0.05</v>
      </c>
      <c r="I310" s="77">
        <f t="shared" si="1047"/>
        <v>0</v>
      </c>
      <c r="J310" s="79"/>
      <c r="K310" s="77">
        <f t="shared" si="1048"/>
        <v>0</v>
      </c>
      <c r="L310" s="82">
        <f t="shared" si="987"/>
        <v>155</v>
      </c>
      <c r="M310" s="77">
        <f t="shared" si="1055"/>
        <v>0</v>
      </c>
      <c r="N310" s="83">
        <f t="shared" si="989"/>
        <v>12.4</v>
      </c>
      <c r="O310" s="83">
        <f t="shared" si="990"/>
        <v>15.5</v>
      </c>
      <c r="P310" s="83">
        <f t="shared" si="991"/>
        <v>7.75</v>
      </c>
      <c r="Q310" s="83">
        <f t="shared" si="992"/>
        <v>3.1</v>
      </c>
      <c r="R310" s="83">
        <f t="shared" si="993"/>
        <v>0</v>
      </c>
      <c r="S310" s="83">
        <f t="shared" si="994"/>
        <v>1.55</v>
      </c>
      <c r="T310" s="84">
        <f t="shared" si="995"/>
        <v>40.3</v>
      </c>
      <c r="U310" s="77">
        <f t="shared" si="996"/>
        <v>0</v>
      </c>
      <c r="V310" s="42">
        <f t="shared" si="15"/>
        <v>0</v>
      </c>
      <c r="W310" s="77">
        <f t="shared" si="997"/>
        <v>0</v>
      </c>
      <c r="X310" s="77">
        <f t="shared" si="998"/>
        <v>0</v>
      </c>
      <c r="Y310" s="77">
        <f t="shared" si="999"/>
        <v>0</v>
      </c>
      <c r="Z310" s="84">
        <f t="shared" si="1000"/>
        <v>195.3</v>
      </c>
      <c r="AA310" s="85">
        <f t="shared" si="1001"/>
        <v>39.06</v>
      </c>
      <c r="AB310" s="83">
        <f t="shared" si="1002"/>
        <v>234.36</v>
      </c>
      <c r="AC310" s="77">
        <f t="shared" si="1049"/>
        <v>0</v>
      </c>
      <c r="AD310" s="83">
        <f t="shared" si="1050"/>
        <v>234.36</v>
      </c>
      <c r="AE310" s="83">
        <f t="shared" si="1051"/>
        <v>100</v>
      </c>
      <c r="AF310" s="79">
        <v>22500.0</v>
      </c>
      <c r="AG310" s="86">
        <f t="shared" si="1006"/>
        <v>14416.12903</v>
      </c>
      <c r="AH310" s="63">
        <f t="shared" si="1007"/>
        <v>490</v>
      </c>
      <c r="AI310" s="90">
        <v>24990.0</v>
      </c>
      <c r="AJ310" s="90">
        <v>22990.0</v>
      </c>
      <c r="AK310" s="14">
        <f t="shared" si="1008"/>
        <v>14732.25806</v>
      </c>
      <c r="AL310" s="14"/>
      <c r="AM310" s="14">
        <f t="shared" si="1009"/>
        <v>2.131361462</v>
      </c>
      <c r="AN310" s="14">
        <f t="shared" si="1010"/>
        <v>316.1290323</v>
      </c>
      <c r="AO310" s="87">
        <f t="shared" si="1011"/>
        <v>148.3225806</v>
      </c>
      <c r="AP310" s="14">
        <f t="shared" si="1012"/>
        <v>227.5564</v>
      </c>
      <c r="AQ310" s="14">
        <f t="shared" si="1013"/>
        <v>229.9</v>
      </c>
      <c r="AR310" s="88">
        <f t="shared" ref="AR310:AS310" si="1059">AI310/94</f>
        <v>265.8510638</v>
      </c>
      <c r="AS310" s="88">
        <f t="shared" si="1059"/>
        <v>244.5744681</v>
      </c>
      <c r="AT310" s="89">
        <f t="shared" ref="AT310:AU310" si="1060">AI310/24</f>
        <v>1041.25</v>
      </c>
      <c r="AU310" s="89">
        <f t="shared" si="1060"/>
        <v>957.9166667</v>
      </c>
      <c r="AV310" s="89">
        <f t="shared" ref="AV310:AW310" si="1061">AI310/125</f>
        <v>199.92</v>
      </c>
      <c r="AW310" s="89">
        <f t="shared" si="1061"/>
        <v>183.92</v>
      </c>
      <c r="AX310" s="79"/>
      <c r="AY310" s="79"/>
    </row>
    <row r="311" ht="15.75" customHeight="1">
      <c r="A311" s="77"/>
      <c r="B311" s="77" t="s">
        <v>616</v>
      </c>
      <c r="C311" s="77" t="s">
        <v>617</v>
      </c>
      <c r="D311" s="78"/>
      <c r="E311" s="77">
        <v>125.0</v>
      </c>
      <c r="F311" s="77">
        <v>10.0</v>
      </c>
      <c r="G311" s="78">
        <v>8.3061E7</v>
      </c>
      <c r="H311" s="81">
        <v>0.05</v>
      </c>
      <c r="I311" s="77">
        <f t="shared" si="1047"/>
        <v>0</v>
      </c>
      <c r="J311" s="79"/>
      <c r="K311" s="77">
        <f t="shared" si="1048"/>
        <v>0</v>
      </c>
      <c r="L311" s="82">
        <f t="shared" si="987"/>
        <v>135</v>
      </c>
      <c r="M311" s="77">
        <f t="shared" si="1055"/>
        <v>0</v>
      </c>
      <c r="N311" s="83">
        <f t="shared" si="989"/>
        <v>10.8</v>
      </c>
      <c r="O311" s="83">
        <f t="shared" si="990"/>
        <v>13.5</v>
      </c>
      <c r="P311" s="83">
        <f t="shared" si="991"/>
        <v>6.75</v>
      </c>
      <c r="Q311" s="83">
        <f t="shared" si="992"/>
        <v>2.7</v>
      </c>
      <c r="R311" s="83">
        <f t="shared" si="993"/>
        <v>0</v>
      </c>
      <c r="S311" s="83">
        <f t="shared" si="994"/>
        <v>1.35</v>
      </c>
      <c r="T311" s="84">
        <f t="shared" si="995"/>
        <v>35.1</v>
      </c>
      <c r="U311" s="77">
        <f t="shared" si="996"/>
        <v>0</v>
      </c>
      <c r="V311" s="42">
        <f t="shared" si="15"/>
        <v>0</v>
      </c>
      <c r="W311" s="77">
        <f t="shared" si="997"/>
        <v>0</v>
      </c>
      <c r="X311" s="77">
        <f t="shared" si="998"/>
        <v>0</v>
      </c>
      <c r="Y311" s="77">
        <f t="shared" si="999"/>
        <v>0</v>
      </c>
      <c r="Z311" s="84">
        <f t="shared" si="1000"/>
        <v>170.1</v>
      </c>
      <c r="AA311" s="85">
        <f t="shared" si="1001"/>
        <v>34.02</v>
      </c>
      <c r="AB311" s="83">
        <f t="shared" si="1002"/>
        <v>204.12</v>
      </c>
      <c r="AC311" s="77">
        <f t="shared" si="1049"/>
        <v>0</v>
      </c>
      <c r="AD311" s="83">
        <f t="shared" si="1050"/>
        <v>204.12</v>
      </c>
      <c r="AE311" s="83">
        <f t="shared" si="1051"/>
        <v>100</v>
      </c>
      <c r="AF311" s="79">
        <v>8500.0</v>
      </c>
      <c r="AG311" s="86">
        <f t="shared" si="1006"/>
        <v>6196.296296</v>
      </c>
      <c r="AH311" s="63">
        <f t="shared" si="1007"/>
        <v>490</v>
      </c>
      <c r="AI311" s="90">
        <v>9900.0</v>
      </c>
      <c r="AJ311" s="90">
        <v>8990.0</v>
      </c>
      <c r="AK311" s="14">
        <f t="shared" si="1008"/>
        <v>6559.259259</v>
      </c>
      <c r="AL311" s="14"/>
      <c r="AM311" s="14">
        <f t="shared" si="1009"/>
        <v>5.450500556</v>
      </c>
      <c r="AN311" s="14">
        <f t="shared" si="1010"/>
        <v>362.962963</v>
      </c>
      <c r="AO311" s="87">
        <f t="shared" si="1011"/>
        <v>66.59259259</v>
      </c>
      <c r="AP311" s="14">
        <f t="shared" si="1012"/>
        <v>87.8588</v>
      </c>
      <c r="AQ311" s="14">
        <f t="shared" si="1013"/>
        <v>89.9</v>
      </c>
      <c r="AR311" s="88">
        <f t="shared" ref="AR311:AS311" si="1062">AI311/94</f>
        <v>105.3191489</v>
      </c>
      <c r="AS311" s="88">
        <f t="shared" si="1062"/>
        <v>95.63829787</v>
      </c>
      <c r="AT311" s="89">
        <f t="shared" ref="AT311:AU311" si="1063">AI311/24</f>
        <v>412.5</v>
      </c>
      <c r="AU311" s="89">
        <f t="shared" si="1063"/>
        <v>374.5833333</v>
      </c>
      <c r="AV311" s="89">
        <f t="shared" ref="AV311:AW311" si="1064">AI311/125</f>
        <v>79.2</v>
      </c>
      <c r="AW311" s="89">
        <f t="shared" si="1064"/>
        <v>71.92</v>
      </c>
      <c r="AX311" s="79"/>
      <c r="AY311" s="79"/>
    </row>
    <row r="312" ht="15.75" customHeight="1">
      <c r="A312" s="77"/>
      <c r="B312" s="77" t="s">
        <v>618</v>
      </c>
      <c r="C312" s="77" t="s">
        <v>619</v>
      </c>
      <c r="D312" s="78"/>
      <c r="E312" s="77">
        <v>125.0</v>
      </c>
      <c r="F312" s="77">
        <v>10.0</v>
      </c>
      <c r="G312" s="78">
        <v>8.3061E7</v>
      </c>
      <c r="H312" s="81">
        <v>0.05</v>
      </c>
      <c r="I312" s="77">
        <f t="shared" si="1047"/>
        <v>0</v>
      </c>
      <c r="J312" s="79"/>
      <c r="K312" s="77">
        <f t="shared" si="1048"/>
        <v>0</v>
      </c>
      <c r="L312" s="82">
        <f t="shared" si="987"/>
        <v>135</v>
      </c>
      <c r="M312" s="77">
        <f t="shared" si="1055"/>
        <v>0</v>
      </c>
      <c r="N312" s="83">
        <f t="shared" si="989"/>
        <v>10.8</v>
      </c>
      <c r="O312" s="83">
        <f t="shared" si="990"/>
        <v>13.5</v>
      </c>
      <c r="P312" s="83">
        <f t="shared" si="991"/>
        <v>6.75</v>
      </c>
      <c r="Q312" s="83">
        <f t="shared" si="992"/>
        <v>2.7</v>
      </c>
      <c r="R312" s="83">
        <f t="shared" si="993"/>
        <v>0</v>
      </c>
      <c r="S312" s="83">
        <f t="shared" si="994"/>
        <v>1.35</v>
      </c>
      <c r="T312" s="84">
        <f t="shared" si="995"/>
        <v>35.1</v>
      </c>
      <c r="U312" s="77">
        <f t="shared" si="996"/>
        <v>0</v>
      </c>
      <c r="V312" s="42">
        <f t="shared" si="15"/>
        <v>0</v>
      </c>
      <c r="W312" s="77">
        <f t="shared" si="997"/>
        <v>0</v>
      </c>
      <c r="X312" s="77">
        <f t="shared" si="998"/>
        <v>0</v>
      </c>
      <c r="Y312" s="77">
        <f t="shared" si="999"/>
        <v>0</v>
      </c>
      <c r="Z312" s="84">
        <f t="shared" si="1000"/>
        <v>170.1</v>
      </c>
      <c r="AA312" s="85">
        <f t="shared" si="1001"/>
        <v>34.02</v>
      </c>
      <c r="AB312" s="83">
        <f t="shared" si="1002"/>
        <v>204.12</v>
      </c>
      <c r="AC312" s="77">
        <f t="shared" si="1049"/>
        <v>0</v>
      </c>
      <c r="AD312" s="83">
        <f t="shared" si="1050"/>
        <v>204.12</v>
      </c>
      <c r="AE312" s="83">
        <f t="shared" si="1051"/>
        <v>100</v>
      </c>
      <c r="AF312" s="79">
        <v>10500.0</v>
      </c>
      <c r="AG312" s="86">
        <f t="shared" si="1006"/>
        <v>7677.777778</v>
      </c>
      <c r="AH312" s="63">
        <f t="shared" si="1007"/>
        <v>490</v>
      </c>
      <c r="AI312" s="90">
        <v>11990.0</v>
      </c>
      <c r="AJ312" s="90">
        <v>10990.0</v>
      </c>
      <c r="AK312" s="14">
        <f t="shared" si="1008"/>
        <v>8040.740741</v>
      </c>
      <c r="AL312" s="14"/>
      <c r="AM312" s="14">
        <f t="shared" si="1009"/>
        <v>4.458598726</v>
      </c>
      <c r="AN312" s="14">
        <f t="shared" si="1010"/>
        <v>362.962963</v>
      </c>
      <c r="AO312" s="87">
        <f t="shared" si="1011"/>
        <v>81.40740741</v>
      </c>
      <c r="AP312" s="14">
        <f t="shared" si="1012"/>
        <v>107.8588</v>
      </c>
      <c r="AQ312" s="14">
        <f t="shared" si="1013"/>
        <v>109.9</v>
      </c>
      <c r="AR312" s="88">
        <f t="shared" ref="AR312:AS312" si="1065">AI312/94</f>
        <v>127.5531915</v>
      </c>
      <c r="AS312" s="88">
        <f t="shared" si="1065"/>
        <v>116.9148936</v>
      </c>
      <c r="AT312" s="89">
        <f t="shared" ref="AT312:AU312" si="1066">AI312/24</f>
        <v>499.5833333</v>
      </c>
      <c r="AU312" s="89">
        <f t="shared" si="1066"/>
        <v>457.9166667</v>
      </c>
      <c r="AV312" s="89">
        <f t="shared" ref="AV312:AW312" si="1067">AI312/125</f>
        <v>95.92</v>
      </c>
      <c r="AW312" s="89">
        <f t="shared" si="1067"/>
        <v>87.92</v>
      </c>
      <c r="AX312" s="79"/>
      <c r="AY312" s="79"/>
    </row>
    <row r="313" ht="15.75" customHeight="1">
      <c r="A313" s="77"/>
      <c r="B313" s="77" t="s">
        <v>620</v>
      </c>
      <c r="C313" s="77" t="s">
        <v>621</v>
      </c>
      <c r="D313" s="78"/>
      <c r="E313" s="77">
        <v>145.0</v>
      </c>
      <c r="F313" s="77">
        <v>10.0</v>
      </c>
      <c r="G313" s="78">
        <v>8.3061E7</v>
      </c>
      <c r="H313" s="81">
        <v>0.05</v>
      </c>
      <c r="I313" s="77">
        <f t="shared" si="1047"/>
        <v>0</v>
      </c>
      <c r="J313" s="79"/>
      <c r="K313" s="77">
        <f t="shared" si="1048"/>
        <v>0</v>
      </c>
      <c r="L313" s="82">
        <f t="shared" si="987"/>
        <v>155</v>
      </c>
      <c r="M313" s="77">
        <f t="shared" si="1055"/>
        <v>0</v>
      </c>
      <c r="N313" s="83">
        <f t="shared" si="989"/>
        <v>12.4</v>
      </c>
      <c r="O313" s="83">
        <f t="shared" si="990"/>
        <v>15.5</v>
      </c>
      <c r="P313" s="83">
        <f t="shared" si="991"/>
        <v>7.75</v>
      </c>
      <c r="Q313" s="83">
        <f t="shared" si="992"/>
        <v>3.1</v>
      </c>
      <c r="R313" s="83">
        <f t="shared" si="993"/>
        <v>0</v>
      </c>
      <c r="S313" s="83">
        <f t="shared" si="994"/>
        <v>1.55</v>
      </c>
      <c r="T313" s="84">
        <f t="shared" si="995"/>
        <v>40.3</v>
      </c>
      <c r="U313" s="77">
        <f t="shared" si="996"/>
        <v>0</v>
      </c>
      <c r="V313" s="42">
        <f t="shared" si="15"/>
        <v>0</v>
      </c>
      <c r="W313" s="77">
        <f t="shared" si="997"/>
        <v>0</v>
      </c>
      <c r="X313" s="77">
        <f t="shared" si="998"/>
        <v>0</v>
      </c>
      <c r="Y313" s="77">
        <f t="shared" si="999"/>
        <v>0</v>
      </c>
      <c r="Z313" s="84">
        <f t="shared" si="1000"/>
        <v>195.3</v>
      </c>
      <c r="AA313" s="85">
        <f t="shared" si="1001"/>
        <v>39.06</v>
      </c>
      <c r="AB313" s="83">
        <f t="shared" si="1002"/>
        <v>234.36</v>
      </c>
      <c r="AC313" s="77">
        <f t="shared" si="1049"/>
        <v>0</v>
      </c>
      <c r="AD313" s="83">
        <f t="shared" si="1050"/>
        <v>234.36</v>
      </c>
      <c r="AE313" s="83">
        <f t="shared" si="1051"/>
        <v>100</v>
      </c>
      <c r="AF313" s="79">
        <v>12500.0</v>
      </c>
      <c r="AG313" s="86">
        <f t="shared" si="1006"/>
        <v>7964.516129</v>
      </c>
      <c r="AH313" s="63">
        <f t="shared" si="1007"/>
        <v>490</v>
      </c>
      <c r="AI313" s="90">
        <v>13990.0</v>
      </c>
      <c r="AJ313" s="90">
        <v>12990.0</v>
      </c>
      <c r="AK313" s="14">
        <f t="shared" si="1008"/>
        <v>8280.645161</v>
      </c>
      <c r="AL313" s="14"/>
      <c r="AM313" s="14">
        <f t="shared" si="1009"/>
        <v>3.77213241</v>
      </c>
      <c r="AN313" s="14">
        <f t="shared" si="1010"/>
        <v>316.1290323</v>
      </c>
      <c r="AO313" s="87">
        <f t="shared" si="1011"/>
        <v>83.80645161</v>
      </c>
      <c r="AP313" s="14">
        <f t="shared" si="1012"/>
        <v>127.5564</v>
      </c>
      <c r="AQ313" s="14">
        <f t="shared" si="1013"/>
        <v>129.9</v>
      </c>
      <c r="AR313" s="88">
        <f t="shared" ref="AR313:AS313" si="1068">AI313/94</f>
        <v>148.8297872</v>
      </c>
      <c r="AS313" s="88">
        <f t="shared" si="1068"/>
        <v>138.1914894</v>
      </c>
      <c r="AT313" s="89">
        <f t="shared" ref="AT313:AU313" si="1069">AI313/24</f>
        <v>582.9166667</v>
      </c>
      <c r="AU313" s="89">
        <f t="shared" si="1069"/>
        <v>541.25</v>
      </c>
      <c r="AV313" s="89">
        <f t="shared" ref="AV313:AW313" si="1070">AI313/125</f>
        <v>111.92</v>
      </c>
      <c r="AW313" s="89">
        <f t="shared" si="1070"/>
        <v>103.92</v>
      </c>
      <c r="AX313" s="79"/>
      <c r="AY313" s="79"/>
    </row>
    <row r="314" ht="15.75" customHeight="1">
      <c r="A314" s="77"/>
      <c r="B314" s="77" t="s">
        <v>622</v>
      </c>
      <c r="C314" s="77" t="s">
        <v>623</v>
      </c>
      <c r="D314" s="78"/>
      <c r="E314" s="77">
        <v>145.0</v>
      </c>
      <c r="F314" s="77">
        <v>10.0</v>
      </c>
      <c r="G314" s="78">
        <v>8.3061E7</v>
      </c>
      <c r="H314" s="81">
        <v>0.05</v>
      </c>
      <c r="I314" s="77">
        <f t="shared" si="1047"/>
        <v>0</v>
      </c>
      <c r="J314" s="79"/>
      <c r="K314" s="77">
        <f t="shared" si="1048"/>
        <v>0</v>
      </c>
      <c r="L314" s="82">
        <f t="shared" si="987"/>
        <v>155</v>
      </c>
      <c r="M314" s="77">
        <f t="shared" si="1055"/>
        <v>0</v>
      </c>
      <c r="N314" s="83">
        <f t="shared" si="989"/>
        <v>12.4</v>
      </c>
      <c r="O314" s="83">
        <f t="shared" si="990"/>
        <v>15.5</v>
      </c>
      <c r="P314" s="83">
        <f t="shared" si="991"/>
        <v>7.75</v>
      </c>
      <c r="Q314" s="83">
        <f t="shared" si="992"/>
        <v>3.1</v>
      </c>
      <c r="R314" s="83">
        <f t="shared" si="993"/>
        <v>0</v>
      </c>
      <c r="S314" s="83">
        <f t="shared" si="994"/>
        <v>1.55</v>
      </c>
      <c r="T314" s="84">
        <f t="shared" si="995"/>
        <v>40.3</v>
      </c>
      <c r="U314" s="77">
        <f t="shared" si="996"/>
        <v>0</v>
      </c>
      <c r="V314" s="42">
        <f t="shared" si="15"/>
        <v>0</v>
      </c>
      <c r="W314" s="77">
        <f t="shared" si="997"/>
        <v>0</v>
      </c>
      <c r="X314" s="77">
        <f t="shared" si="998"/>
        <v>0</v>
      </c>
      <c r="Y314" s="77">
        <f t="shared" si="999"/>
        <v>0</v>
      </c>
      <c r="Z314" s="84">
        <f t="shared" si="1000"/>
        <v>195.3</v>
      </c>
      <c r="AA314" s="85">
        <f t="shared" si="1001"/>
        <v>39.06</v>
      </c>
      <c r="AB314" s="83">
        <f t="shared" si="1002"/>
        <v>234.36</v>
      </c>
      <c r="AC314" s="77">
        <f t="shared" si="1049"/>
        <v>0</v>
      </c>
      <c r="AD314" s="83">
        <f t="shared" si="1050"/>
        <v>234.36</v>
      </c>
      <c r="AE314" s="83">
        <f t="shared" si="1051"/>
        <v>100</v>
      </c>
      <c r="AF314" s="79">
        <v>14500.0</v>
      </c>
      <c r="AG314" s="86">
        <f t="shared" si="1006"/>
        <v>9254.83871</v>
      </c>
      <c r="AH314" s="63">
        <f t="shared" si="1007"/>
        <v>490</v>
      </c>
      <c r="AI314" s="90">
        <v>15990.0</v>
      </c>
      <c r="AJ314" s="90">
        <v>14990.0</v>
      </c>
      <c r="AK314" s="14">
        <f t="shared" si="1008"/>
        <v>9570.967742</v>
      </c>
      <c r="AL314" s="14"/>
      <c r="AM314" s="14">
        <f t="shared" si="1009"/>
        <v>3.268845897</v>
      </c>
      <c r="AN314" s="14">
        <f t="shared" si="1010"/>
        <v>316.1290323</v>
      </c>
      <c r="AO314" s="87">
        <f t="shared" si="1011"/>
        <v>96.70967742</v>
      </c>
      <c r="AP314" s="14">
        <f t="shared" si="1012"/>
        <v>147.5564</v>
      </c>
      <c r="AQ314" s="14">
        <f t="shared" si="1013"/>
        <v>149.9</v>
      </c>
      <c r="AR314" s="88">
        <f t="shared" ref="AR314:AS314" si="1071">AI314/94</f>
        <v>170.106383</v>
      </c>
      <c r="AS314" s="88">
        <f t="shared" si="1071"/>
        <v>159.4680851</v>
      </c>
      <c r="AT314" s="89">
        <f t="shared" ref="AT314:AU314" si="1072">AI314/24</f>
        <v>666.25</v>
      </c>
      <c r="AU314" s="89">
        <f t="shared" si="1072"/>
        <v>624.5833333</v>
      </c>
      <c r="AV314" s="89">
        <f t="shared" ref="AV314:AW314" si="1073">AI314/125</f>
        <v>127.92</v>
      </c>
      <c r="AW314" s="89">
        <f t="shared" si="1073"/>
        <v>119.92</v>
      </c>
      <c r="AX314" s="79"/>
      <c r="AY314" s="79"/>
    </row>
    <row r="315" ht="15.75" customHeight="1">
      <c r="A315" s="77"/>
      <c r="B315" s="77" t="s">
        <v>624</v>
      </c>
      <c r="C315" s="77" t="s">
        <v>625</v>
      </c>
      <c r="D315" s="78"/>
      <c r="E315" s="77">
        <v>145.0</v>
      </c>
      <c r="F315" s="77">
        <v>10.0</v>
      </c>
      <c r="G315" s="78">
        <v>8.3061E7</v>
      </c>
      <c r="H315" s="81">
        <v>0.05</v>
      </c>
      <c r="I315" s="77">
        <f t="shared" si="1047"/>
        <v>0</v>
      </c>
      <c r="J315" s="79"/>
      <c r="K315" s="77">
        <f t="shared" si="1048"/>
        <v>0</v>
      </c>
      <c r="L315" s="82">
        <f t="shared" si="987"/>
        <v>155</v>
      </c>
      <c r="M315" s="77">
        <f t="shared" si="1055"/>
        <v>0</v>
      </c>
      <c r="N315" s="83">
        <f t="shared" si="989"/>
        <v>12.4</v>
      </c>
      <c r="O315" s="83">
        <f t="shared" si="990"/>
        <v>15.5</v>
      </c>
      <c r="P315" s="83">
        <f t="shared" si="991"/>
        <v>7.75</v>
      </c>
      <c r="Q315" s="83">
        <f t="shared" si="992"/>
        <v>3.1</v>
      </c>
      <c r="R315" s="83">
        <f t="shared" si="993"/>
        <v>0</v>
      </c>
      <c r="S315" s="83">
        <f t="shared" si="994"/>
        <v>1.55</v>
      </c>
      <c r="T315" s="84">
        <f t="shared" si="995"/>
        <v>40.3</v>
      </c>
      <c r="U315" s="77">
        <f t="shared" si="996"/>
        <v>0</v>
      </c>
      <c r="V315" s="42">
        <f t="shared" si="15"/>
        <v>0</v>
      </c>
      <c r="W315" s="77">
        <f t="shared" si="997"/>
        <v>0</v>
      </c>
      <c r="X315" s="77">
        <f t="shared" si="998"/>
        <v>0</v>
      </c>
      <c r="Y315" s="77">
        <f t="shared" si="999"/>
        <v>0</v>
      </c>
      <c r="Z315" s="84">
        <f t="shared" si="1000"/>
        <v>195.3</v>
      </c>
      <c r="AA315" s="85">
        <f t="shared" si="1001"/>
        <v>39.06</v>
      </c>
      <c r="AB315" s="83">
        <f t="shared" si="1002"/>
        <v>234.36</v>
      </c>
      <c r="AC315" s="77">
        <f t="shared" si="1049"/>
        <v>0</v>
      </c>
      <c r="AD315" s="83">
        <f t="shared" si="1050"/>
        <v>234.36</v>
      </c>
      <c r="AE315" s="83">
        <f t="shared" si="1051"/>
        <v>100</v>
      </c>
      <c r="AF315" s="79">
        <v>18500.0</v>
      </c>
      <c r="AG315" s="86">
        <f t="shared" si="1006"/>
        <v>11835.48387</v>
      </c>
      <c r="AH315" s="63">
        <f t="shared" si="1007"/>
        <v>490</v>
      </c>
      <c r="AI315" s="90">
        <v>20990.0</v>
      </c>
      <c r="AJ315" s="90">
        <v>18990.0</v>
      </c>
      <c r="AK315" s="14">
        <f t="shared" si="1008"/>
        <v>12151.6129</v>
      </c>
      <c r="AL315" s="14"/>
      <c r="AM315" s="14">
        <f t="shared" si="1009"/>
        <v>2.580305424</v>
      </c>
      <c r="AN315" s="14">
        <f t="shared" si="1010"/>
        <v>316.1290323</v>
      </c>
      <c r="AO315" s="87">
        <f t="shared" si="1011"/>
        <v>122.516129</v>
      </c>
      <c r="AP315" s="14">
        <f t="shared" si="1012"/>
        <v>187.5564</v>
      </c>
      <c r="AQ315" s="14">
        <f t="shared" si="1013"/>
        <v>189.9</v>
      </c>
      <c r="AR315" s="88">
        <f t="shared" ref="AR315:AS315" si="1074">AI315/94</f>
        <v>223.2978723</v>
      </c>
      <c r="AS315" s="88">
        <f t="shared" si="1074"/>
        <v>202.0212766</v>
      </c>
      <c r="AT315" s="89">
        <f t="shared" ref="AT315:AU315" si="1075">AI315/24</f>
        <v>874.5833333</v>
      </c>
      <c r="AU315" s="89">
        <f t="shared" si="1075"/>
        <v>791.25</v>
      </c>
      <c r="AV315" s="89">
        <f t="shared" ref="AV315:AW315" si="1076">AI315/125</f>
        <v>167.92</v>
      </c>
      <c r="AW315" s="89">
        <f t="shared" si="1076"/>
        <v>151.92</v>
      </c>
      <c r="AX315" s="79"/>
      <c r="AY315" s="79"/>
    </row>
    <row r="316" ht="15.75" customHeight="1">
      <c r="A316" s="77"/>
      <c r="B316" s="77" t="s">
        <v>626</v>
      </c>
      <c r="C316" s="77" t="s">
        <v>627</v>
      </c>
      <c r="D316" s="78"/>
      <c r="E316" s="77">
        <v>145.0</v>
      </c>
      <c r="F316" s="77">
        <v>10.0</v>
      </c>
      <c r="G316" s="78">
        <v>8.3061E7</v>
      </c>
      <c r="H316" s="81">
        <v>0.05</v>
      </c>
      <c r="I316" s="77">
        <f t="shared" si="1047"/>
        <v>0</v>
      </c>
      <c r="J316" s="79"/>
      <c r="K316" s="77">
        <f t="shared" si="1048"/>
        <v>0</v>
      </c>
      <c r="L316" s="82">
        <f t="shared" si="987"/>
        <v>155</v>
      </c>
      <c r="M316" s="77">
        <f t="shared" si="1055"/>
        <v>0</v>
      </c>
      <c r="N316" s="83">
        <f t="shared" si="989"/>
        <v>12.4</v>
      </c>
      <c r="O316" s="83">
        <f t="shared" si="990"/>
        <v>15.5</v>
      </c>
      <c r="P316" s="83">
        <f t="shared" si="991"/>
        <v>7.75</v>
      </c>
      <c r="Q316" s="83">
        <f t="shared" si="992"/>
        <v>3.1</v>
      </c>
      <c r="R316" s="83">
        <f t="shared" si="993"/>
        <v>0</v>
      </c>
      <c r="S316" s="83">
        <f t="shared" si="994"/>
        <v>1.55</v>
      </c>
      <c r="T316" s="84">
        <f t="shared" si="995"/>
        <v>40.3</v>
      </c>
      <c r="U316" s="77">
        <f t="shared" si="996"/>
        <v>0</v>
      </c>
      <c r="V316" s="42">
        <f t="shared" si="15"/>
        <v>0</v>
      </c>
      <c r="W316" s="77">
        <f t="shared" si="997"/>
        <v>0</v>
      </c>
      <c r="X316" s="77">
        <f t="shared" si="998"/>
        <v>0</v>
      </c>
      <c r="Y316" s="77">
        <f t="shared" si="999"/>
        <v>0</v>
      </c>
      <c r="Z316" s="84">
        <f t="shared" si="1000"/>
        <v>195.3</v>
      </c>
      <c r="AA316" s="85">
        <f t="shared" si="1001"/>
        <v>39.06</v>
      </c>
      <c r="AB316" s="83">
        <f t="shared" si="1002"/>
        <v>234.36</v>
      </c>
      <c r="AC316" s="77">
        <f t="shared" si="1049"/>
        <v>0</v>
      </c>
      <c r="AD316" s="83">
        <f t="shared" si="1050"/>
        <v>234.36</v>
      </c>
      <c r="AE316" s="83">
        <f t="shared" si="1051"/>
        <v>100</v>
      </c>
      <c r="AF316" s="79">
        <v>21500.0</v>
      </c>
      <c r="AG316" s="86">
        <f t="shared" si="1006"/>
        <v>13770.96774</v>
      </c>
      <c r="AH316" s="63">
        <f t="shared" si="1007"/>
        <v>490</v>
      </c>
      <c r="AI316" s="90">
        <v>23990.0</v>
      </c>
      <c r="AJ316" s="90">
        <v>21990.0</v>
      </c>
      <c r="AK316" s="14">
        <f t="shared" si="1008"/>
        <v>14087.09677</v>
      </c>
      <c r="AL316" s="14"/>
      <c r="AM316" s="14">
        <f t="shared" si="1009"/>
        <v>2.228285584</v>
      </c>
      <c r="AN316" s="14">
        <f t="shared" si="1010"/>
        <v>316.1290323</v>
      </c>
      <c r="AO316" s="87">
        <f t="shared" si="1011"/>
        <v>141.8709677</v>
      </c>
      <c r="AP316" s="14">
        <f t="shared" si="1012"/>
        <v>217.5564</v>
      </c>
      <c r="AQ316" s="14">
        <f t="shared" si="1013"/>
        <v>219.9</v>
      </c>
      <c r="AR316" s="88">
        <f t="shared" ref="AR316:AS316" si="1077">AI316/94</f>
        <v>255.212766</v>
      </c>
      <c r="AS316" s="88">
        <f t="shared" si="1077"/>
        <v>233.9361702</v>
      </c>
      <c r="AT316" s="89">
        <f t="shared" ref="AT316:AU316" si="1078">AI316/24</f>
        <v>999.5833333</v>
      </c>
      <c r="AU316" s="89">
        <f t="shared" si="1078"/>
        <v>916.25</v>
      </c>
      <c r="AV316" s="89">
        <f t="shared" ref="AV316:AW316" si="1079">AI316/125</f>
        <v>191.92</v>
      </c>
      <c r="AW316" s="89">
        <f t="shared" si="1079"/>
        <v>175.92</v>
      </c>
      <c r="AX316" s="79"/>
      <c r="AY316" s="79"/>
    </row>
    <row r="317" ht="15.75" customHeight="1">
      <c r="A317" s="77"/>
      <c r="B317" s="77" t="s">
        <v>628</v>
      </c>
      <c r="C317" s="77" t="s">
        <v>629</v>
      </c>
      <c r="D317" s="78"/>
      <c r="E317" s="77">
        <v>145.0</v>
      </c>
      <c r="F317" s="77">
        <v>10.0</v>
      </c>
      <c r="G317" s="78">
        <v>8.3061E7</v>
      </c>
      <c r="H317" s="81">
        <v>0.05</v>
      </c>
      <c r="I317" s="77">
        <f t="shared" si="1047"/>
        <v>0</v>
      </c>
      <c r="J317" s="79"/>
      <c r="K317" s="77">
        <f t="shared" si="1048"/>
        <v>0</v>
      </c>
      <c r="L317" s="82">
        <f t="shared" si="987"/>
        <v>155</v>
      </c>
      <c r="M317" s="77">
        <f t="shared" si="1055"/>
        <v>0</v>
      </c>
      <c r="N317" s="83">
        <f t="shared" si="989"/>
        <v>12.4</v>
      </c>
      <c r="O317" s="83">
        <f t="shared" si="990"/>
        <v>15.5</v>
      </c>
      <c r="P317" s="83">
        <f t="shared" si="991"/>
        <v>7.75</v>
      </c>
      <c r="Q317" s="83">
        <f t="shared" si="992"/>
        <v>3.1</v>
      </c>
      <c r="R317" s="83">
        <f t="shared" si="993"/>
        <v>0</v>
      </c>
      <c r="S317" s="83">
        <f t="shared" si="994"/>
        <v>1.55</v>
      </c>
      <c r="T317" s="84">
        <f t="shared" si="995"/>
        <v>40.3</v>
      </c>
      <c r="U317" s="77">
        <f t="shared" si="996"/>
        <v>0</v>
      </c>
      <c r="V317" s="42">
        <f t="shared" si="15"/>
        <v>0</v>
      </c>
      <c r="W317" s="77">
        <f t="shared" si="997"/>
        <v>0</v>
      </c>
      <c r="X317" s="77">
        <f t="shared" si="998"/>
        <v>0</v>
      </c>
      <c r="Y317" s="77">
        <f t="shared" si="999"/>
        <v>0</v>
      </c>
      <c r="Z317" s="84">
        <f t="shared" si="1000"/>
        <v>195.3</v>
      </c>
      <c r="AA317" s="85">
        <f t="shared" si="1001"/>
        <v>39.06</v>
      </c>
      <c r="AB317" s="83">
        <f t="shared" si="1002"/>
        <v>234.36</v>
      </c>
      <c r="AC317" s="77">
        <f t="shared" si="1049"/>
        <v>0</v>
      </c>
      <c r="AD317" s="83">
        <f t="shared" si="1050"/>
        <v>234.36</v>
      </c>
      <c r="AE317" s="83">
        <f t="shared" si="1051"/>
        <v>100</v>
      </c>
      <c r="AF317" s="79">
        <v>24500.0</v>
      </c>
      <c r="AG317" s="86">
        <f t="shared" si="1006"/>
        <v>15706.45161</v>
      </c>
      <c r="AH317" s="63">
        <f t="shared" si="1007"/>
        <v>490</v>
      </c>
      <c r="AI317" s="90">
        <v>26990.0</v>
      </c>
      <c r="AJ317" s="90">
        <v>24990.0</v>
      </c>
      <c r="AK317" s="14">
        <f t="shared" si="1008"/>
        <v>16022.58065</v>
      </c>
      <c r="AL317" s="14"/>
      <c r="AM317" s="14">
        <f t="shared" si="1009"/>
        <v>1.960784314</v>
      </c>
      <c r="AN317" s="14">
        <f t="shared" si="1010"/>
        <v>316.1290323</v>
      </c>
      <c r="AO317" s="87">
        <f t="shared" si="1011"/>
        <v>161.2258065</v>
      </c>
      <c r="AP317" s="14">
        <f t="shared" si="1012"/>
        <v>247.5564</v>
      </c>
      <c r="AQ317" s="14">
        <f t="shared" si="1013"/>
        <v>249.9</v>
      </c>
      <c r="AR317" s="88">
        <f t="shared" ref="AR317:AS317" si="1080">AI317/94</f>
        <v>287.1276596</v>
      </c>
      <c r="AS317" s="88">
        <f t="shared" si="1080"/>
        <v>265.8510638</v>
      </c>
      <c r="AT317" s="89">
        <f t="shared" ref="AT317:AU317" si="1081">AI317/24</f>
        <v>1124.583333</v>
      </c>
      <c r="AU317" s="89">
        <f t="shared" si="1081"/>
        <v>1041.25</v>
      </c>
      <c r="AV317" s="89">
        <f t="shared" ref="AV317:AW317" si="1082">AI317/125</f>
        <v>215.92</v>
      </c>
      <c r="AW317" s="89">
        <f t="shared" si="1082"/>
        <v>199.92</v>
      </c>
      <c r="AX317" s="79"/>
      <c r="AY317" s="79"/>
    </row>
    <row r="318" ht="15.75" customHeight="1">
      <c r="A318" s="77"/>
      <c r="B318" s="77" t="s">
        <v>630</v>
      </c>
      <c r="C318" s="77" t="s">
        <v>631</v>
      </c>
      <c r="D318" s="78"/>
      <c r="E318" s="77">
        <v>125.0</v>
      </c>
      <c r="F318" s="77">
        <v>10.0</v>
      </c>
      <c r="G318" s="78">
        <v>8.3061E7</v>
      </c>
      <c r="H318" s="81">
        <v>0.05</v>
      </c>
      <c r="I318" s="77">
        <f t="shared" si="1047"/>
        <v>0</v>
      </c>
      <c r="J318" s="79"/>
      <c r="K318" s="77">
        <f t="shared" si="1048"/>
        <v>0</v>
      </c>
      <c r="L318" s="82">
        <f t="shared" si="987"/>
        <v>135</v>
      </c>
      <c r="M318" s="77">
        <f t="shared" si="1055"/>
        <v>0</v>
      </c>
      <c r="N318" s="83">
        <f t="shared" si="989"/>
        <v>10.8</v>
      </c>
      <c r="O318" s="83">
        <f t="shared" si="990"/>
        <v>13.5</v>
      </c>
      <c r="P318" s="83">
        <f t="shared" si="991"/>
        <v>6.75</v>
      </c>
      <c r="Q318" s="83">
        <f t="shared" si="992"/>
        <v>2.7</v>
      </c>
      <c r="R318" s="83">
        <f t="shared" si="993"/>
        <v>0</v>
      </c>
      <c r="S318" s="83">
        <f t="shared" si="994"/>
        <v>1.35</v>
      </c>
      <c r="T318" s="84">
        <f t="shared" si="995"/>
        <v>35.1</v>
      </c>
      <c r="U318" s="77">
        <f t="shared" si="996"/>
        <v>0</v>
      </c>
      <c r="V318" s="42">
        <f t="shared" si="15"/>
        <v>0</v>
      </c>
      <c r="W318" s="77">
        <f t="shared" si="997"/>
        <v>0</v>
      </c>
      <c r="X318" s="77">
        <f t="shared" si="998"/>
        <v>0</v>
      </c>
      <c r="Y318" s="77">
        <f t="shared" si="999"/>
        <v>0</v>
      </c>
      <c r="Z318" s="84">
        <f t="shared" si="1000"/>
        <v>170.1</v>
      </c>
      <c r="AA318" s="85">
        <f t="shared" si="1001"/>
        <v>34.02</v>
      </c>
      <c r="AB318" s="83">
        <f t="shared" si="1002"/>
        <v>204.12</v>
      </c>
      <c r="AC318" s="77">
        <f t="shared" si="1049"/>
        <v>0</v>
      </c>
      <c r="AD318" s="83">
        <f t="shared" si="1050"/>
        <v>204.12</v>
      </c>
      <c r="AE318" s="83">
        <f t="shared" si="1051"/>
        <v>100</v>
      </c>
      <c r="AF318" s="79">
        <v>10500.0</v>
      </c>
      <c r="AG318" s="86">
        <f t="shared" si="1006"/>
        <v>7677.777778</v>
      </c>
      <c r="AH318" s="63">
        <f t="shared" si="1007"/>
        <v>490</v>
      </c>
      <c r="AI318" s="90">
        <v>11990.0</v>
      </c>
      <c r="AJ318" s="90">
        <v>10990.0</v>
      </c>
      <c r="AK318" s="14">
        <f t="shared" si="1008"/>
        <v>8040.740741</v>
      </c>
      <c r="AL318" s="14"/>
      <c r="AM318" s="14">
        <f t="shared" si="1009"/>
        <v>4.458598726</v>
      </c>
      <c r="AN318" s="14">
        <f t="shared" si="1010"/>
        <v>362.962963</v>
      </c>
      <c r="AO318" s="87">
        <f t="shared" si="1011"/>
        <v>81.40740741</v>
      </c>
      <c r="AP318" s="14">
        <f t="shared" si="1012"/>
        <v>107.8588</v>
      </c>
      <c r="AQ318" s="14">
        <f t="shared" si="1013"/>
        <v>109.9</v>
      </c>
      <c r="AR318" s="88">
        <f t="shared" ref="AR318:AS318" si="1083">AI318/94</f>
        <v>127.5531915</v>
      </c>
      <c r="AS318" s="88">
        <f t="shared" si="1083"/>
        <v>116.9148936</v>
      </c>
      <c r="AT318" s="89">
        <f t="shared" ref="AT318:AU318" si="1084">AI318/24</f>
        <v>499.5833333</v>
      </c>
      <c r="AU318" s="89">
        <f t="shared" si="1084"/>
        <v>457.9166667</v>
      </c>
      <c r="AV318" s="89">
        <f t="shared" ref="AV318:AW318" si="1085">AI318/125</f>
        <v>95.92</v>
      </c>
      <c r="AW318" s="89">
        <f t="shared" si="1085"/>
        <v>87.92</v>
      </c>
      <c r="AX318" s="79"/>
      <c r="AY318" s="79"/>
    </row>
    <row r="319" ht="15.75" customHeight="1">
      <c r="A319" s="77"/>
      <c r="B319" s="77" t="s">
        <v>632</v>
      </c>
      <c r="C319" s="77" t="s">
        <v>633</v>
      </c>
      <c r="D319" s="78"/>
      <c r="E319" s="77">
        <v>125.0</v>
      </c>
      <c r="F319" s="77">
        <v>10.0</v>
      </c>
      <c r="G319" s="78">
        <v>8.3061E7</v>
      </c>
      <c r="H319" s="81">
        <v>0.05</v>
      </c>
      <c r="I319" s="77">
        <f t="shared" si="1047"/>
        <v>0</v>
      </c>
      <c r="J319" s="79"/>
      <c r="K319" s="77">
        <f t="shared" si="1048"/>
        <v>0</v>
      </c>
      <c r="L319" s="82">
        <f t="shared" si="987"/>
        <v>135</v>
      </c>
      <c r="M319" s="77">
        <f t="shared" si="1055"/>
        <v>0</v>
      </c>
      <c r="N319" s="83">
        <f t="shared" si="989"/>
        <v>10.8</v>
      </c>
      <c r="O319" s="83">
        <f t="shared" si="990"/>
        <v>13.5</v>
      </c>
      <c r="P319" s="83">
        <f t="shared" si="991"/>
        <v>6.75</v>
      </c>
      <c r="Q319" s="83">
        <f t="shared" si="992"/>
        <v>2.7</v>
      </c>
      <c r="R319" s="83">
        <f t="shared" si="993"/>
        <v>0</v>
      </c>
      <c r="S319" s="83">
        <f t="shared" si="994"/>
        <v>1.35</v>
      </c>
      <c r="T319" s="84">
        <f t="shared" si="995"/>
        <v>35.1</v>
      </c>
      <c r="U319" s="77">
        <f t="shared" si="996"/>
        <v>0</v>
      </c>
      <c r="V319" s="42">
        <f t="shared" si="15"/>
        <v>0</v>
      </c>
      <c r="W319" s="77">
        <f t="shared" si="997"/>
        <v>0</v>
      </c>
      <c r="X319" s="77">
        <f t="shared" si="998"/>
        <v>0</v>
      </c>
      <c r="Y319" s="77">
        <f t="shared" si="999"/>
        <v>0</v>
      </c>
      <c r="Z319" s="84">
        <f t="shared" si="1000"/>
        <v>170.1</v>
      </c>
      <c r="AA319" s="85">
        <f t="shared" si="1001"/>
        <v>34.02</v>
      </c>
      <c r="AB319" s="83">
        <f t="shared" si="1002"/>
        <v>204.12</v>
      </c>
      <c r="AC319" s="77">
        <f t="shared" si="1049"/>
        <v>0</v>
      </c>
      <c r="AD319" s="83">
        <f t="shared" si="1050"/>
        <v>204.12</v>
      </c>
      <c r="AE319" s="83">
        <f t="shared" si="1051"/>
        <v>100</v>
      </c>
      <c r="AF319" s="79">
        <v>12500.0</v>
      </c>
      <c r="AG319" s="86">
        <f t="shared" si="1006"/>
        <v>9159.259259</v>
      </c>
      <c r="AH319" s="63">
        <f t="shared" si="1007"/>
        <v>490</v>
      </c>
      <c r="AI319" s="90">
        <v>13990.0</v>
      </c>
      <c r="AJ319" s="90">
        <v>12990.0</v>
      </c>
      <c r="AK319" s="14">
        <f t="shared" si="1008"/>
        <v>9522.222222</v>
      </c>
      <c r="AL319" s="14"/>
      <c r="AM319" s="14">
        <f t="shared" si="1009"/>
        <v>3.77213241</v>
      </c>
      <c r="AN319" s="14">
        <f t="shared" si="1010"/>
        <v>362.962963</v>
      </c>
      <c r="AO319" s="87">
        <f t="shared" si="1011"/>
        <v>96.22222222</v>
      </c>
      <c r="AP319" s="14">
        <f t="shared" si="1012"/>
        <v>127.8588</v>
      </c>
      <c r="AQ319" s="14">
        <f t="shared" si="1013"/>
        <v>129.9</v>
      </c>
      <c r="AR319" s="88">
        <f t="shared" ref="AR319:AS319" si="1086">AI319/94</f>
        <v>148.8297872</v>
      </c>
      <c r="AS319" s="88">
        <f t="shared" si="1086"/>
        <v>138.1914894</v>
      </c>
      <c r="AT319" s="89">
        <f t="shared" ref="AT319:AU319" si="1087">AI319/24</f>
        <v>582.9166667</v>
      </c>
      <c r="AU319" s="89">
        <f t="shared" si="1087"/>
        <v>541.25</v>
      </c>
      <c r="AV319" s="89">
        <f t="shared" ref="AV319:AW319" si="1088">AI319/125</f>
        <v>111.92</v>
      </c>
      <c r="AW319" s="89">
        <f t="shared" si="1088"/>
        <v>103.92</v>
      </c>
      <c r="AX319" s="79"/>
      <c r="AY319" s="79"/>
    </row>
    <row r="320" ht="15.75" customHeight="1">
      <c r="A320" s="77"/>
      <c r="B320" s="77" t="s">
        <v>634</v>
      </c>
      <c r="C320" s="77" t="s">
        <v>635</v>
      </c>
      <c r="D320" s="78"/>
      <c r="E320" s="77">
        <v>145.0</v>
      </c>
      <c r="F320" s="77">
        <v>10.0</v>
      </c>
      <c r="G320" s="78">
        <v>8.3061E7</v>
      </c>
      <c r="H320" s="81">
        <v>0.05</v>
      </c>
      <c r="I320" s="77">
        <f t="shared" si="1047"/>
        <v>0</v>
      </c>
      <c r="J320" s="79"/>
      <c r="K320" s="77">
        <f t="shared" si="1048"/>
        <v>0</v>
      </c>
      <c r="L320" s="82">
        <f t="shared" si="987"/>
        <v>155</v>
      </c>
      <c r="M320" s="77">
        <f t="shared" si="1055"/>
        <v>0</v>
      </c>
      <c r="N320" s="83">
        <f t="shared" si="989"/>
        <v>12.4</v>
      </c>
      <c r="O320" s="83">
        <f t="shared" si="990"/>
        <v>15.5</v>
      </c>
      <c r="P320" s="83">
        <f t="shared" si="991"/>
        <v>7.75</v>
      </c>
      <c r="Q320" s="83">
        <f t="shared" si="992"/>
        <v>3.1</v>
      </c>
      <c r="R320" s="83">
        <f t="shared" si="993"/>
        <v>0</v>
      </c>
      <c r="S320" s="83">
        <f t="shared" si="994"/>
        <v>1.55</v>
      </c>
      <c r="T320" s="84">
        <f t="shared" si="995"/>
        <v>40.3</v>
      </c>
      <c r="U320" s="77">
        <f t="shared" si="996"/>
        <v>0</v>
      </c>
      <c r="V320" s="42">
        <f t="shared" si="15"/>
        <v>0</v>
      </c>
      <c r="W320" s="77">
        <f t="shared" si="997"/>
        <v>0</v>
      </c>
      <c r="X320" s="77">
        <f t="shared" si="998"/>
        <v>0</v>
      </c>
      <c r="Y320" s="77">
        <f t="shared" si="999"/>
        <v>0</v>
      </c>
      <c r="Z320" s="84">
        <f t="shared" si="1000"/>
        <v>195.3</v>
      </c>
      <c r="AA320" s="85">
        <f t="shared" si="1001"/>
        <v>39.06</v>
      </c>
      <c r="AB320" s="83">
        <f t="shared" si="1002"/>
        <v>234.36</v>
      </c>
      <c r="AC320" s="77">
        <f t="shared" si="1049"/>
        <v>0</v>
      </c>
      <c r="AD320" s="83">
        <f t="shared" si="1050"/>
        <v>234.36</v>
      </c>
      <c r="AE320" s="83">
        <f t="shared" si="1051"/>
        <v>100</v>
      </c>
      <c r="AF320" s="79">
        <v>14500.0</v>
      </c>
      <c r="AG320" s="86">
        <f t="shared" si="1006"/>
        <v>9254.83871</v>
      </c>
      <c r="AH320" s="63">
        <f t="shared" si="1007"/>
        <v>490</v>
      </c>
      <c r="AI320" s="90">
        <v>15990.0</v>
      </c>
      <c r="AJ320" s="90">
        <v>14990.0</v>
      </c>
      <c r="AK320" s="14">
        <f t="shared" si="1008"/>
        <v>9570.967742</v>
      </c>
      <c r="AL320" s="14"/>
      <c r="AM320" s="14">
        <f t="shared" si="1009"/>
        <v>3.268845897</v>
      </c>
      <c r="AN320" s="14">
        <f t="shared" si="1010"/>
        <v>316.1290323</v>
      </c>
      <c r="AO320" s="87">
        <f t="shared" si="1011"/>
        <v>96.70967742</v>
      </c>
      <c r="AP320" s="14">
        <f t="shared" si="1012"/>
        <v>147.5564</v>
      </c>
      <c r="AQ320" s="14">
        <f t="shared" si="1013"/>
        <v>149.9</v>
      </c>
      <c r="AR320" s="88">
        <f t="shared" ref="AR320:AS320" si="1089">AI320/94</f>
        <v>170.106383</v>
      </c>
      <c r="AS320" s="88">
        <f t="shared" si="1089"/>
        <v>159.4680851</v>
      </c>
      <c r="AT320" s="89">
        <f t="shared" ref="AT320:AU320" si="1090">AI320/24</f>
        <v>666.25</v>
      </c>
      <c r="AU320" s="89">
        <f t="shared" si="1090"/>
        <v>624.5833333</v>
      </c>
      <c r="AV320" s="89">
        <f t="shared" ref="AV320:AW320" si="1091">AI320/125</f>
        <v>127.92</v>
      </c>
      <c r="AW320" s="89">
        <f t="shared" si="1091"/>
        <v>119.92</v>
      </c>
      <c r="AX320" s="79"/>
      <c r="AY320" s="79"/>
    </row>
    <row r="321" ht="15.75" customHeight="1">
      <c r="A321" s="77"/>
      <c r="B321" s="77" t="s">
        <v>636</v>
      </c>
      <c r="C321" s="77" t="s">
        <v>637</v>
      </c>
      <c r="D321" s="78"/>
      <c r="E321" s="77">
        <v>145.0</v>
      </c>
      <c r="F321" s="77">
        <v>10.0</v>
      </c>
      <c r="G321" s="78">
        <v>8.3061E7</v>
      </c>
      <c r="H321" s="81">
        <v>0.05</v>
      </c>
      <c r="I321" s="77">
        <f t="shared" si="1047"/>
        <v>0</v>
      </c>
      <c r="J321" s="79"/>
      <c r="K321" s="77">
        <f t="shared" si="1048"/>
        <v>0</v>
      </c>
      <c r="L321" s="82">
        <f t="shared" si="987"/>
        <v>155</v>
      </c>
      <c r="M321" s="77">
        <f t="shared" si="1055"/>
        <v>0</v>
      </c>
      <c r="N321" s="83">
        <f t="shared" si="989"/>
        <v>12.4</v>
      </c>
      <c r="O321" s="83">
        <f t="shared" si="990"/>
        <v>15.5</v>
      </c>
      <c r="P321" s="83">
        <f t="shared" si="991"/>
        <v>7.75</v>
      </c>
      <c r="Q321" s="83">
        <f t="shared" si="992"/>
        <v>3.1</v>
      </c>
      <c r="R321" s="83">
        <f t="shared" si="993"/>
        <v>0</v>
      </c>
      <c r="S321" s="83">
        <f t="shared" si="994"/>
        <v>1.55</v>
      </c>
      <c r="T321" s="84">
        <f t="shared" si="995"/>
        <v>40.3</v>
      </c>
      <c r="U321" s="77">
        <f t="shared" si="996"/>
        <v>0</v>
      </c>
      <c r="V321" s="42">
        <f t="shared" si="15"/>
        <v>0</v>
      </c>
      <c r="W321" s="77">
        <f t="shared" si="997"/>
        <v>0</v>
      </c>
      <c r="X321" s="77">
        <f t="shared" si="998"/>
        <v>0</v>
      </c>
      <c r="Y321" s="77">
        <f t="shared" si="999"/>
        <v>0</v>
      </c>
      <c r="Z321" s="84">
        <f t="shared" si="1000"/>
        <v>195.3</v>
      </c>
      <c r="AA321" s="85">
        <f t="shared" si="1001"/>
        <v>39.06</v>
      </c>
      <c r="AB321" s="83">
        <f t="shared" si="1002"/>
        <v>234.36</v>
      </c>
      <c r="AC321" s="77">
        <f t="shared" si="1049"/>
        <v>0</v>
      </c>
      <c r="AD321" s="83">
        <f t="shared" si="1050"/>
        <v>234.36</v>
      </c>
      <c r="AE321" s="83">
        <f t="shared" si="1051"/>
        <v>100</v>
      </c>
      <c r="AF321" s="79">
        <v>16500.0</v>
      </c>
      <c r="AG321" s="86">
        <f t="shared" si="1006"/>
        <v>10545.16129</v>
      </c>
      <c r="AH321" s="63">
        <f t="shared" si="1007"/>
        <v>490</v>
      </c>
      <c r="AI321" s="90">
        <v>18990.0</v>
      </c>
      <c r="AJ321" s="90">
        <v>16990.0</v>
      </c>
      <c r="AK321" s="14">
        <f t="shared" si="1008"/>
        <v>10861.29032</v>
      </c>
      <c r="AL321" s="14"/>
      <c r="AM321" s="14">
        <f t="shared" si="1009"/>
        <v>2.884049441</v>
      </c>
      <c r="AN321" s="14">
        <f t="shared" si="1010"/>
        <v>316.1290323</v>
      </c>
      <c r="AO321" s="87">
        <f t="shared" si="1011"/>
        <v>109.6129032</v>
      </c>
      <c r="AP321" s="14">
        <f t="shared" si="1012"/>
        <v>167.5564</v>
      </c>
      <c r="AQ321" s="14">
        <f t="shared" si="1013"/>
        <v>169.9</v>
      </c>
      <c r="AR321" s="88">
        <f t="shared" ref="AR321:AS321" si="1092">AI321/94</f>
        <v>202.0212766</v>
      </c>
      <c r="AS321" s="88">
        <f t="shared" si="1092"/>
        <v>180.7446809</v>
      </c>
      <c r="AT321" s="89">
        <f t="shared" ref="AT321:AU321" si="1093">AI321/24</f>
        <v>791.25</v>
      </c>
      <c r="AU321" s="89">
        <f t="shared" si="1093"/>
        <v>707.9166667</v>
      </c>
      <c r="AV321" s="89">
        <f t="shared" ref="AV321:AW321" si="1094">AI321/125</f>
        <v>151.92</v>
      </c>
      <c r="AW321" s="89">
        <f t="shared" si="1094"/>
        <v>135.92</v>
      </c>
      <c r="AX321" s="79"/>
      <c r="AY321" s="79"/>
    </row>
    <row r="322" ht="15.75" customHeight="1">
      <c r="A322" s="77"/>
      <c r="B322" s="77" t="s">
        <v>638</v>
      </c>
      <c r="C322" s="77" t="s">
        <v>639</v>
      </c>
      <c r="D322" s="78"/>
      <c r="E322" s="77">
        <v>145.0</v>
      </c>
      <c r="F322" s="77">
        <v>10.0</v>
      </c>
      <c r="G322" s="78">
        <v>8.3061E7</v>
      </c>
      <c r="H322" s="81">
        <v>0.05</v>
      </c>
      <c r="I322" s="77">
        <f t="shared" si="1047"/>
        <v>0</v>
      </c>
      <c r="J322" s="79"/>
      <c r="K322" s="77">
        <f t="shared" si="1048"/>
        <v>0</v>
      </c>
      <c r="L322" s="82">
        <f t="shared" si="987"/>
        <v>155</v>
      </c>
      <c r="M322" s="77">
        <f t="shared" si="1055"/>
        <v>0</v>
      </c>
      <c r="N322" s="83">
        <f t="shared" si="989"/>
        <v>12.4</v>
      </c>
      <c r="O322" s="83">
        <f t="shared" si="990"/>
        <v>15.5</v>
      </c>
      <c r="P322" s="83">
        <f t="shared" si="991"/>
        <v>7.75</v>
      </c>
      <c r="Q322" s="83">
        <f t="shared" si="992"/>
        <v>3.1</v>
      </c>
      <c r="R322" s="83">
        <f t="shared" si="993"/>
        <v>0</v>
      </c>
      <c r="S322" s="83">
        <f t="shared" si="994"/>
        <v>1.55</v>
      </c>
      <c r="T322" s="84">
        <f t="shared" si="995"/>
        <v>40.3</v>
      </c>
      <c r="U322" s="77">
        <f t="shared" si="996"/>
        <v>0</v>
      </c>
      <c r="V322" s="42">
        <f t="shared" si="15"/>
        <v>0</v>
      </c>
      <c r="W322" s="77">
        <f t="shared" si="997"/>
        <v>0</v>
      </c>
      <c r="X322" s="77">
        <f t="shared" si="998"/>
        <v>0</v>
      </c>
      <c r="Y322" s="77">
        <f t="shared" si="999"/>
        <v>0</v>
      </c>
      <c r="Z322" s="84">
        <f t="shared" si="1000"/>
        <v>195.3</v>
      </c>
      <c r="AA322" s="85">
        <f t="shared" si="1001"/>
        <v>39.06</v>
      </c>
      <c r="AB322" s="83">
        <f t="shared" si="1002"/>
        <v>234.36</v>
      </c>
      <c r="AC322" s="77">
        <f t="shared" si="1049"/>
        <v>0</v>
      </c>
      <c r="AD322" s="83">
        <f t="shared" si="1050"/>
        <v>234.36</v>
      </c>
      <c r="AE322" s="83">
        <f t="shared" si="1051"/>
        <v>100</v>
      </c>
      <c r="AF322" s="79">
        <v>18500.0</v>
      </c>
      <c r="AG322" s="86">
        <f t="shared" si="1006"/>
        <v>11835.48387</v>
      </c>
      <c r="AH322" s="63">
        <f t="shared" si="1007"/>
        <v>490</v>
      </c>
      <c r="AI322" s="90">
        <v>19990.0</v>
      </c>
      <c r="AJ322" s="90">
        <v>18990.0</v>
      </c>
      <c r="AK322" s="14">
        <f t="shared" si="1008"/>
        <v>12151.6129</v>
      </c>
      <c r="AL322" s="14"/>
      <c r="AM322" s="14">
        <f t="shared" si="1009"/>
        <v>2.580305424</v>
      </c>
      <c r="AN322" s="14">
        <f t="shared" si="1010"/>
        <v>316.1290323</v>
      </c>
      <c r="AO322" s="87">
        <f t="shared" si="1011"/>
        <v>122.516129</v>
      </c>
      <c r="AP322" s="14">
        <f t="shared" si="1012"/>
        <v>187.5564</v>
      </c>
      <c r="AQ322" s="14">
        <f t="shared" si="1013"/>
        <v>189.9</v>
      </c>
      <c r="AR322" s="88">
        <f t="shared" ref="AR322:AS322" si="1095">AI322/94</f>
        <v>212.6595745</v>
      </c>
      <c r="AS322" s="88">
        <f t="shared" si="1095"/>
        <v>202.0212766</v>
      </c>
      <c r="AT322" s="89">
        <f t="shared" ref="AT322:AU322" si="1096">AI322/24</f>
        <v>832.9166667</v>
      </c>
      <c r="AU322" s="89">
        <f t="shared" si="1096"/>
        <v>791.25</v>
      </c>
      <c r="AV322" s="89">
        <f t="shared" ref="AV322:AW322" si="1097">AI322/125</f>
        <v>159.92</v>
      </c>
      <c r="AW322" s="89">
        <f t="shared" si="1097"/>
        <v>151.92</v>
      </c>
      <c r="AX322" s="79"/>
      <c r="AY322" s="79"/>
    </row>
    <row r="323" ht="15.75" customHeight="1">
      <c r="A323" s="77"/>
      <c r="B323" s="77" t="s">
        <v>640</v>
      </c>
      <c r="C323" s="77" t="s">
        <v>641</v>
      </c>
      <c r="D323" s="78"/>
      <c r="E323" s="77">
        <v>145.0</v>
      </c>
      <c r="F323" s="77">
        <v>10.0</v>
      </c>
      <c r="G323" s="78">
        <v>8.3061E7</v>
      </c>
      <c r="H323" s="81">
        <v>0.05</v>
      </c>
      <c r="I323" s="77">
        <f t="shared" si="1047"/>
        <v>0</v>
      </c>
      <c r="J323" s="79"/>
      <c r="K323" s="77">
        <f t="shared" si="1048"/>
        <v>0</v>
      </c>
      <c r="L323" s="82">
        <f t="shared" si="987"/>
        <v>155</v>
      </c>
      <c r="M323" s="77">
        <f t="shared" si="1055"/>
        <v>0</v>
      </c>
      <c r="N323" s="83">
        <f t="shared" si="989"/>
        <v>12.4</v>
      </c>
      <c r="O323" s="83">
        <f t="shared" si="990"/>
        <v>15.5</v>
      </c>
      <c r="P323" s="83">
        <f t="shared" si="991"/>
        <v>7.75</v>
      </c>
      <c r="Q323" s="83">
        <f t="shared" si="992"/>
        <v>3.1</v>
      </c>
      <c r="R323" s="83">
        <f t="shared" si="993"/>
        <v>0</v>
      </c>
      <c r="S323" s="83">
        <f t="shared" si="994"/>
        <v>1.55</v>
      </c>
      <c r="T323" s="84">
        <f t="shared" si="995"/>
        <v>40.3</v>
      </c>
      <c r="U323" s="77">
        <f t="shared" si="996"/>
        <v>0</v>
      </c>
      <c r="V323" s="42">
        <f t="shared" si="15"/>
        <v>0</v>
      </c>
      <c r="W323" s="77">
        <f t="shared" si="997"/>
        <v>0</v>
      </c>
      <c r="X323" s="77">
        <f t="shared" si="998"/>
        <v>0</v>
      </c>
      <c r="Y323" s="77">
        <f t="shared" si="999"/>
        <v>0</v>
      </c>
      <c r="Z323" s="84">
        <f t="shared" si="1000"/>
        <v>195.3</v>
      </c>
      <c r="AA323" s="85">
        <f t="shared" si="1001"/>
        <v>39.06</v>
      </c>
      <c r="AB323" s="83">
        <f t="shared" si="1002"/>
        <v>234.36</v>
      </c>
      <c r="AC323" s="77">
        <f t="shared" si="1049"/>
        <v>0</v>
      </c>
      <c r="AD323" s="83">
        <f t="shared" si="1050"/>
        <v>234.36</v>
      </c>
      <c r="AE323" s="83">
        <f t="shared" si="1051"/>
        <v>100</v>
      </c>
      <c r="AF323" s="79">
        <v>21500.0</v>
      </c>
      <c r="AG323" s="86">
        <f t="shared" si="1006"/>
        <v>13770.96774</v>
      </c>
      <c r="AH323" s="63">
        <f t="shared" si="1007"/>
        <v>490</v>
      </c>
      <c r="AI323" s="90">
        <v>23990.0</v>
      </c>
      <c r="AJ323" s="90">
        <v>21990.0</v>
      </c>
      <c r="AK323" s="14">
        <f t="shared" si="1008"/>
        <v>14087.09677</v>
      </c>
      <c r="AL323" s="14"/>
      <c r="AM323" s="14">
        <f t="shared" si="1009"/>
        <v>2.228285584</v>
      </c>
      <c r="AN323" s="14">
        <f t="shared" si="1010"/>
        <v>316.1290323</v>
      </c>
      <c r="AO323" s="87">
        <f t="shared" si="1011"/>
        <v>141.8709677</v>
      </c>
      <c r="AP323" s="14">
        <f t="shared" si="1012"/>
        <v>217.5564</v>
      </c>
      <c r="AQ323" s="14">
        <f t="shared" si="1013"/>
        <v>219.9</v>
      </c>
      <c r="AR323" s="88">
        <f t="shared" ref="AR323:AS323" si="1098">AI323/94</f>
        <v>255.212766</v>
      </c>
      <c r="AS323" s="88">
        <f t="shared" si="1098"/>
        <v>233.9361702</v>
      </c>
      <c r="AT323" s="89">
        <f t="shared" ref="AT323:AU323" si="1099">AI323/24</f>
        <v>999.5833333</v>
      </c>
      <c r="AU323" s="89">
        <f t="shared" si="1099"/>
        <v>916.25</v>
      </c>
      <c r="AV323" s="89">
        <f t="shared" ref="AV323:AW323" si="1100">AI323/125</f>
        <v>191.92</v>
      </c>
      <c r="AW323" s="89">
        <f t="shared" si="1100"/>
        <v>175.92</v>
      </c>
      <c r="AX323" s="79"/>
      <c r="AY323" s="79"/>
    </row>
    <row r="324" ht="15.75" customHeight="1">
      <c r="A324" s="77"/>
      <c r="B324" s="77" t="s">
        <v>642</v>
      </c>
      <c r="C324" s="77" t="s">
        <v>643</v>
      </c>
      <c r="D324" s="78"/>
      <c r="E324" s="77">
        <v>145.0</v>
      </c>
      <c r="F324" s="77">
        <v>10.0</v>
      </c>
      <c r="G324" s="78">
        <v>8.3061E7</v>
      </c>
      <c r="H324" s="81">
        <v>0.05</v>
      </c>
      <c r="I324" s="77">
        <f t="shared" si="1047"/>
        <v>0</v>
      </c>
      <c r="J324" s="79"/>
      <c r="K324" s="77">
        <f t="shared" si="1048"/>
        <v>0</v>
      </c>
      <c r="L324" s="82">
        <f t="shared" si="987"/>
        <v>155</v>
      </c>
      <c r="M324" s="77">
        <f t="shared" si="1055"/>
        <v>0</v>
      </c>
      <c r="N324" s="83">
        <f t="shared" si="989"/>
        <v>12.4</v>
      </c>
      <c r="O324" s="83">
        <f t="shared" si="990"/>
        <v>15.5</v>
      </c>
      <c r="P324" s="83">
        <f t="shared" si="991"/>
        <v>7.75</v>
      </c>
      <c r="Q324" s="83">
        <f t="shared" si="992"/>
        <v>3.1</v>
      </c>
      <c r="R324" s="83">
        <f t="shared" si="993"/>
        <v>0</v>
      </c>
      <c r="S324" s="83">
        <f t="shared" si="994"/>
        <v>1.55</v>
      </c>
      <c r="T324" s="84">
        <f t="shared" si="995"/>
        <v>40.3</v>
      </c>
      <c r="U324" s="77">
        <f t="shared" si="996"/>
        <v>0</v>
      </c>
      <c r="V324" s="42">
        <f t="shared" si="15"/>
        <v>0</v>
      </c>
      <c r="W324" s="77">
        <f t="shared" si="997"/>
        <v>0</v>
      </c>
      <c r="X324" s="77">
        <f t="shared" si="998"/>
        <v>0</v>
      </c>
      <c r="Y324" s="77">
        <f t="shared" si="999"/>
        <v>0</v>
      </c>
      <c r="Z324" s="84">
        <f t="shared" si="1000"/>
        <v>195.3</v>
      </c>
      <c r="AA324" s="85">
        <f t="shared" si="1001"/>
        <v>39.06</v>
      </c>
      <c r="AB324" s="83">
        <f t="shared" si="1002"/>
        <v>234.36</v>
      </c>
      <c r="AC324" s="77">
        <f t="shared" si="1049"/>
        <v>0</v>
      </c>
      <c r="AD324" s="83">
        <f t="shared" si="1050"/>
        <v>234.36</v>
      </c>
      <c r="AE324" s="83">
        <f t="shared" si="1051"/>
        <v>100</v>
      </c>
      <c r="AF324" s="79">
        <v>24500.0</v>
      </c>
      <c r="AG324" s="86">
        <f t="shared" si="1006"/>
        <v>15706.45161</v>
      </c>
      <c r="AH324" s="63">
        <f t="shared" si="1007"/>
        <v>1490</v>
      </c>
      <c r="AI324" s="90">
        <v>26990.0</v>
      </c>
      <c r="AJ324" s="90">
        <v>25990.0</v>
      </c>
      <c r="AK324" s="14">
        <f t="shared" si="1008"/>
        <v>16667.74194</v>
      </c>
      <c r="AL324" s="14"/>
      <c r="AM324" s="14">
        <f t="shared" si="1009"/>
        <v>5.732974221</v>
      </c>
      <c r="AN324" s="14">
        <f t="shared" si="1010"/>
        <v>961.2903226</v>
      </c>
      <c r="AO324" s="87">
        <f t="shared" si="1011"/>
        <v>167.6774194</v>
      </c>
      <c r="AP324" s="14">
        <f t="shared" si="1012"/>
        <v>257.5564</v>
      </c>
      <c r="AQ324" s="14">
        <f t="shared" si="1013"/>
        <v>259.9</v>
      </c>
      <c r="AR324" s="88">
        <f t="shared" ref="AR324:AS324" si="1101">AI324/94</f>
        <v>287.1276596</v>
      </c>
      <c r="AS324" s="88">
        <f t="shared" si="1101"/>
        <v>276.4893617</v>
      </c>
      <c r="AT324" s="89">
        <f t="shared" ref="AT324:AU324" si="1102">AI324/24</f>
        <v>1124.583333</v>
      </c>
      <c r="AU324" s="89">
        <f t="shared" si="1102"/>
        <v>1082.916667</v>
      </c>
      <c r="AV324" s="89">
        <f t="shared" ref="AV324:AW324" si="1103">AI324/125</f>
        <v>215.92</v>
      </c>
      <c r="AW324" s="89">
        <f t="shared" si="1103"/>
        <v>207.92</v>
      </c>
      <c r="AX324" s="79"/>
      <c r="AY324" s="79"/>
    </row>
    <row r="325" ht="15.75" customHeight="1">
      <c r="A325" s="77"/>
      <c r="B325" s="77" t="s">
        <v>644</v>
      </c>
      <c r="C325" s="77" t="s">
        <v>645</v>
      </c>
      <c r="D325" s="78"/>
      <c r="E325" s="77">
        <v>125.0</v>
      </c>
      <c r="F325" s="77">
        <v>10.0</v>
      </c>
      <c r="G325" s="78">
        <v>8.3061E7</v>
      </c>
      <c r="H325" s="81">
        <v>0.05</v>
      </c>
      <c r="I325" s="77">
        <f t="shared" si="1047"/>
        <v>0</v>
      </c>
      <c r="J325" s="79"/>
      <c r="K325" s="77">
        <f t="shared" si="1048"/>
        <v>0</v>
      </c>
      <c r="L325" s="82">
        <f t="shared" si="987"/>
        <v>135</v>
      </c>
      <c r="M325" s="77">
        <f t="shared" si="1055"/>
        <v>0</v>
      </c>
      <c r="N325" s="83">
        <f t="shared" si="989"/>
        <v>10.8</v>
      </c>
      <c r="O325" s="83">
        <f t="shared" si="990"/>
        <v>13.5</v>
      </c>
      <c r="P325" s="83">
        <f t="shared" si="991"/>
        <v>6.75</v>
      </c>
      <c r="Q325" s="83">
        <f t="shared" si="992"/>
        <v>2.7</v>
      </c>
      <c r="R325" s="83">
        <f t="shared" si="993"/>
        <v>0</v>
      </c>
      <c r="S325" s="83">
        <f t="shared" si="994"/>
        <v>1.35</v>
      </c>
      <c r="T325" s="84">
        <f t="shared" si="995"/>
        <v>35.1</v>
      </c>
      <c r="U325" s="77">
        <f t="shared" si="996"/>
        <v>0</v>
      </c>
      <c r="V325" s="42">
        <f t="shared" si="15"/>
        <v>0</v>
      </c>
      <c r="W325" s="77">
        <f t="shared" si="997"/>
        <v>0</v>
      </c>
      <c r="X325" s="77">
        <f t="shared" si="998"/>
        <v>0</v>
      </c>
      <c r="Y325" s="77">
        <f t="shared" si="999"/>
        <v>0</v>
      </c>
      <c r="Z325" s="84">
        <f t="shared" si="1000"/>
        <v>170.1</v>
      </c>
      <c r="AA325" s="85">
        <f t="shared" si="1001"/>
        <v>34.02</v>
      </c>
      <c r="AB325" s="83">
        <f t="shared" si="1002"/>
        <v>204.12</v>
      </c>
      <c r="AC325" s="77">
        <f t="shared" si="1049"/>
        <v>0</v>
      </c>
      <c r="AD325" s="83">
        <f t="shared" si="1050"/>
        <v>204.12</v>
      </c>
      <c r="AE325" s="83">
        <f t="shared" si="1051"/>
        <v>100</v>
      </c>
      <c r="AF325" s="79">
        <v>12500.0</v>
      </c>
      <c r="AG325" s="86">
        <f t="shared" si="1006"/>
        <v>9159.259259</v>
      </c>
      <c r="AH325" s="63">
        <f t="shared" si="1007"/>
        <v>490</v>
      </c>
      <c r="AI325" s="90">
        <v>13990.0</v>
      </c>
      <c r="AJ325" s="90">
        <v>12990.0</v>
      </c>
      <c r="AK325" s="14">
        <f t="shared" si="1008"/>
        <v>9522.222222</v>
      </c>
      <c r="AL325" s="14"/>
      <c r="AM325" s="14">
        <f t="shared" si="1009"/>
        <v>3.77213241</v>
      </c>
      <c r="AN325" s="14">
        <f t="shared" si="1010"/>
        <v>362.962963</v>
      </c>
      <c r="AO325" s="87">
        <f t="shared" si="1011"/>
        <v>96.22222222</v>
      </c>
      <c r="AP325" s="14">
        <f t="shared" si="1012"/>
        <v>127.8588</v>
      </c>
      <c r="AQ325" s="14">
        <f t="shared" si="1013"/>
        <v>129.9</v>
      </c>
      <c r="AR325" s="88">
        <f t="shared" ref="AR325:AS325" si="1104">AI325/94</f>
        <v>148.8297872</v>
      </c>
      <c r="AS325" s="88">
        <f t="shared" si="1104"/>
        <v>138.1914894</v>
      </c>
      <c r="AT325" s="89">
        <f t="shared" ref="AT325:AU325" si="1105">AI325/24</f>
        <v>582.9166667</v>
      </c>
      <c r="AU325" s="89">
        <f t="shared" si="1105"/>
        <v>541.25</v>
      </c>
      <c r="AV325" s="89">
        <f t="shared" ref="AV325:AW325" si="1106">AI325/125</f>
        <v>111.92</v>
      </c>
      <c r="AW325" s="89">
        <f t="shared" si="1106"/>
        <v>103.92</v>
      </c>
      <c r="AX325" s="79"/>
      <c r="AY325" s="79"/>
    </row>
    <row r="326" ht="15.75" customHeight="1">
      <c r="A326" s="77"/>
      <c r="B326" s="77" t="s">
        <v>646</v>
      </c>
      <c r="C326" s="77" t="s">
        <v>647</v>
      </c>
      <c r="D326" s="78"/>
      <c r="E326" s="77">
        <v>125.0</v>
      </c>
      <c r="F326" s="77">
        <v>10.0</v>
      </c>
      <c r="G326" s="78">
        <v>8.3061E7</v>
      </c>
      <c r="H326" s="81">
        <v>0.05</v>
      </c>
      <c r="I326" s="77">
        <f t="shared" si="1047"/>
        <v>0</v>
      </c>
      <c r="J326" s="79"/>
      <c r="K326" s="77">
        <f t="shared" si="1048"/>
        <v>0</v>
      </c>
      <c r="L326" s="82">
        <f t="shared" si="987"/>
        <v>135</v>
      </c>
      <c r="M326" s="77">
        <f t="shared" si="1055"/>
        <v>0</v>
      </c>
      <c r="N326" s="83">
        <f t="shared" si="989"/>
        <v>10.8</v>
      </c>
      <c r="O326" s="83">
        <f t="shared" si="990"/>
        <v>13.5</v>
      </c>
      <c r="P326" s="83">
        <f t="shared" si="991"/>
        <v>6.75</v>
      </c>
      <c r="Q326" s="83">
        <f t="shared" si="992"/>
        <v>2.7</v>
      </c>
      <c r="R326" s="83">
        <f t="shared" si="993"/>
        <v>0</v>
      </c>
      <c r="S326" s="83">
        <f t="shared" si="994"/>
        <v>1.35</v>
      </c>
      <c r="T326" s="84">
        <f t="shared" si="995"/>
        <v>35.1</v>
      </c>
      <c r="U326" s="77">
        <f t="shared" si="996"/>
        <v>0</v>
      </c>
      <c r="V326" s="42">
        <f t="shared" si="15"/>
        <v>0</v>
      </c>
      <c r="W326" s="77">
        <f t="shared" si="997"/>
        <v>0</v>
      </c>
      <c r="X326" s="77">
        <f t="shared" si="998"/>
        <v>0</v>
      </c>
      <c r="Y326" s="77">
        <f t="shared" si="999"/>
        <v>0</v>
      </c>
      <c r="Z326" s="84">
        <f t="shared" si="1000"/>
        <v>170.1</v>
      </c>
      <c r="AA326" s="85">
        <f t="shared" si="1001"/>
        <v>34.02</v>
      </c>
      <c r="AB326" s="83">
        <f t="shared" si="1002"/>
        <v>204.12</v>
      </c>
      <c r="AC326" s="77">
        <f t="shared" si="1049"/>
        <v>0</v>
      </c>
      <c r="AD326" s="83">
        <f t="shared" si="1050"/>
        <v>204.12</v>
      </c>
      <c r="AE326" s="83">
        <f t="shared" si="1051"/>
        <v>100</v>
      </c>
      <c r="AF326" s="79">
        <v>14500.0</v>
      </c>
      <c r="AG326" s="86">
        <f t="shared" si="1006"/>
        <v>10640.74074</v>
      </c>
      <c r="AH326" s="63">
        <f t="shared" si="1007"/>
        <v>490</v>
      </c>
      <c r="AI326" s="90">
        <v>15990.0</v>
      </c>
      <c r="AJ326" s="90">
        <v>14990.0</v>
      </c>
      <c r="AK326" s="14">
        <f t="shared" si="1008"/>
        <v>11003.7037</v>
      </c>
      <c r="AL326" s="14"/>
      <c r="AM326" s="14">
        <f t="shared" si="1009"/>
        <v>3.268845897</v>
      </c>
      <c r="AN326" s="14">
        <f t="shared" si="1010"/>
        <v>362.962963</v>
      </c>
      <c r="AO326" s="87">
        <f t="shared" si="1011"/>
        <v>111.037037</v>
      </c>
      <c r="AP326" s="14">
        <f t="shared" si="1012"/>
        <v>147.8588</v>
      </c>
      <c r="AQ326" s="14">
        <f t="shared" si="1013"/>
        <v>149.9</v>
      </c>
      <c r="AR326" s="88">
        <f t="shared" ref="AR326:AS326" si="1107">AI326/94</f>
        <v>170.106383</v>
      </c>
      <c r="AS326" s="88">
        <f t="shared" si="1107"/>
        <v>159.4680851</v>
      </c>
      <c r="AT326" s="89">
        <f t="shared" ref="AT326:AU326" si="1108">AI326/24</f>
        <v>666.25</v>
      </c>
      <c r="AU326" s="89">
        <f t="shared" si="1108"/>
        <v>624.5833333</v>
      </c>
      <c r="AV326" s="89">
        <f t="shared" ref="AV326:AW326" si="1109">AI326/125</f>
        <v>127.92</v>
      </c>
      <c r="AW326" s="89">
        <f t="shared" si="1109"/>
        <v>119.92</v>
      </c>
      <c r="AX326" s="79"/>
      <c r="AY326" s="79"/>
    </row>
    <row r="327" ht="15.75" customHeight="1">
      <c r="A327" s="77"/>
      <c r="B327" s="77" t="s">
        <v>648</v>
      </c>
      <c r="C327" s="77" t="s">
        <v>649</v>
      </c>
      <c r="D327" s="78"/>
      <c r="E327" s="77">
        <v>145.0</v>
      </c>
      <c r="F327" s="77">
        <v>10.0</v>
      </c>
      <c r="G327" s="78">
        <v>8.3061E7</v>
      </c>
      <c r="H327" s="81">
        <v>0.05</v>
      </c>
      <c r="I327" s="77">
        <f t="shared" si="1047"/>
        <v>0</v>
      </c>
      <c r="J327" s="79"/>
      <c r="K327" s="77">
        <f t="shared" si="1048"/>
        <v>0</v>
      </c>
      <c r="L327" s="82">
        <f t="shared" si="987"/>
        <v>155</v>
      </c>
      <c r="M327" s="77">
        <f t="shared" si="1055"/>
        <v>0</v>
      </c>
      <c r="N327" s="83">
        <f t="shared" si="989"/>
        <v>12.4</v>
      </c>
      <c r="O327" s="83">
        <f t="shared" si="990"/>
        <v>15.5</v>
      </c>
      <c r="P327" s="83">
        <f t="shared" si="991"/>
        <v>7.75</v>
      </c>
      <c r="Q327" s="83">
        <f t="shared" si="992"/>
        <v>3.1</v>
      </c>
      <c r="R327" s="83">
        <f t="shared" si="993"/>
        <v>0</v>
      </c>
      <c r="S327" s="83">
        <f t="shared" si="994"/>
        <v>1.55</v>
      </c>
      <c r="T327" s="84">
        <f t="shared" si="995"/>
        <v>40.3</v>
      </c>
      <c r="U327" s="77">
        <f t="shared" si="996"/>
        <v>0</v>
      </c>
      <c r="V327" s="42">
        <f t="shared" si="15"/>
        <v>0</v>
      </c>
      <c r="W327" s="77">
        <f t="shared" si="997"/>
        <v>0</v>
      </c>
      <c r="X327" s="77">
        <f t="shared" si="998"/>
        <v>0</v>
      </c>
      <c r="Y327" s="77">
        <f t="shared" si="999"/>
        <v>0</v>
      </c>
      <c r="Z327" s="84">
        <f t="shared" si="1000"/>
        <v>195.3</v>
      </c>
      <c r="AA327" s="85">
        <f t="shared" si="1001"/>
        <v>39.06</v>
      </c>
      <c r="AB327" s="83">
        <f t="shared" si="1002"/>
        <v>234.36</v>
      </c>
      <c r="AC327" s="77">
        <f t="shared" si="1049"/>
        <v>0</v>
      </c>
      <c r="AD327" s="83">
        <f t="shared" si="1050"/>
        <v>234.36</v>
      </c>
      <c r="AE327" s="83">
        <f t="shared" si="1051"/>
        <v>100</v>
      </c>
      <c r="AF327" s="79">
        <v>16500.0</v>
      </c>
      <c r="AG327" s="86">
        <f t="shared" si="1006"/>
        <v>10545.16129</v>
      </c>
      <c r="AH327" s="63">
        <f t="shared" si="1007"/>
        <v>490</v>
      </c>
      <c r="AI327" s="90">
        <v>17990.0</v>
      </c>
      <c r="AJ327" s="90">
        <v>16990.0</v>
      </c>
      <c r="AK327" s="14">
        <f t="shared" si="1008"/>
        <v>10861.29032</v>
      </c>
      <c r="AL327" s="14"/>
      <c r="AM327" s="14">
        <f t="shared" si="1009"/>
        <v>2.884049441</v>
      </c>
      <c r="AN327" s="14">
        <f t="shared" si="1010"/>
        <v>316.1290323</v>
      </c>
      <c r="AO327" s="87">
        <f t="shared" si="1011"/>
        <v>109.6129032</v>
      </c>
      <c r="AP327" s="14">
        <f t="shared" si="1012"/>
        <v>167.5564</v>
      </c>
      <c r="AQ327" s="14">
        <f t="shared" si="1013"/>
        <v>169.9</v>
      </c>
      <c r="AR327" s="88">
        <f t="shared" ref="AR327:AS327" si="1110">AI327/94</f>
        <v>191.3829787</v>
      </c>
      <c r="AS327" s="88">
        <f t="shared" si="1110"/>
        <v>180.7446809</v>
      </c>
      <c r="AT327" s="89">
        <f t="shared" ref="AT327:AU327" si="1111">AI327/24</f>
        <v>749.5833333</v>
      </c>
      <c r="AU327" s="89">
        <f t="shared" si="1111"/>
        <v>707.9166667</v>
      </c>
      <c r="AV327" s="89">
        <f t="shared" ref="AV327:AW327" si="1112">AI327/125</f>
        <v>143.92</v>
      </c>
      <c r="AW327" s="89">
        <f t="shared" si="1112"/>
        <v>135.92</v>
      </c>
      <c r="AX327" s="79"/>
      <c r="AY327" s="79"/>
    </row>
    <row r="328" ht="15.75" customHeight="1">
      <c r="A328" s="77"/>
      <c r="B328" s="77" t="s">
        <v>650</v>
      </c>
      <c r="C328" s="77" t="s">
        <v>651</v>
      </c>
      <c r="D328" s="78"/>
      <c r="E328" s="77">
        <v>145.0</v>
      </c>
      <c r="F328" s="77">
        <v>10.0</v>
      </c>
      <c r="G328" s="78">
        <v>8.3061E7</v>
      </c>
      <c r="H328" s="81">
        <v>0.05</v>
      </c>
      <c r="I328" s="77">
        <f t="shared" si="1047"/>
        <v>0</v>
      </c>
      <c r="J328" s="79"/>
      <c r="K328" s="77">
        <f t="shared" si="1048"/>
        <v>0</v>
      </c>
      <c r="L328" s="82">
        <f t="shared" si="987"/>
        <v>155</v>
      </c>
      <c r="M328" s="77">
        <f t="shared" si="1055"/>
        <v>0</v>
      </c>
      <c r="N328" s="83">
        <f t="shared" si="989"/>
        <v>12.4</v>
      </c>
      <c r="O328" s="83">
        <f t="shared" si="990"/>
        <v>15.5</v>
      </c>
      <c r="P328" s="83">
        <f t="shared" si="991"/>
        <v>7.75</v>
      </c>
      <c r="Q328" s="83">
        <f t="shared" si="992"/>
        <v>3.1</v>
      </c>
      <c r="R328" s="83">
        <f t="shared" si="993"/>
        <v>0</v>
      </c>
      <c r="S328" s="83">
        <f t="shared" si="994"/>
        <v>1.55</v>
      </c>
      <c r="T328" s="84">
        <f t="shared" si="995"/>
        <v>40.3</v>
      </c>
      <c r="U328" s="77">
        <f t="shared" si="996"/>
        <v>0</v>
      </c>
      <c r="V328" s="42">
        <f t="shared" si="15"/>
        <v>0</v>
      </c>
      <c r="W328" s="77">
        <f t="shared" si="997"/>
        <v>0</v>
      </c>
      <c r="X328" s="77">
        <f t="shared" si="998"/>
        <v>0</v>
      </c>
      <c r="Y328" s="77">
        <f t="shared" si="999"/>
        <v>0</v>
      </c>
      <c r="Z328" s="84">
        <f t="shared" si="1000"/>
        <v>195.3</v>
      </c>
      <c r="AA328" s="85">
        <f t="shared" si="1001"/>
        <v>39.06</v>
      </c>
      <c r="AB328" s="83">
        <f t="shared" si="1002"/>
        <v>234.36</v>
      </c>
      <c r="AC328" s="77">
        <f t="shared" si="1049"/>
        <v>0</v>
      </c>
      <c r="AD328" s="83">
        <f t="shared" si="1050"/>
        <v>234.36</v>
      </c>
      <c r="AE328" s="83">
        <f t="shared" si="1051"/>
        <v>100</v>
      </c>
      <c r="AF328" s="79">
        <v>16500.0</v>
      </c>
      <c r="AG328" s="86">
        <f t="shared" si="1006"/>
        <v>10545.16129</v>
      </c>
      <c r="AH328" s="63">
        <f t="shared" si="1007"/>
        <v>490</v>
      </c>
      <c r="AI328" s="90">
        <v>17990.0</v>
      </c>
      <c r="AJ328" s="90">
        <v>16990.0</v>
      </c>
      <c r="AK328" s="14">
        <f t="shared" si="1008"/>
        <v>10861.29032</v>
      </c>
      <c r="AL328" s="14"/>
      <c r="AM328" s="14">
        <f t="shared" si="1009"/>
        <v>2.884049441</v>
      </c>
      <c r="AN328" s="14">
        <f t="shared" si="1010"/>
        <v>316.1290323</v>
      </c>
      <c r="AO328" s="87">
        <f t="shared" si="1011"/>
        <v>109.6129032</v>
      </c>
      <c r="AP328" s="14">
        <f t="shared" si="1012"/>
        <v>167.5564</v>
      </c>
      <c r="AQ328" s="14">
        <f t="shared" si="1013"/>
        <v>169.9</v>
      </c>
      <c r="AR328" s="88">
        <f t="shared" ref="AR328:AS328" si="1113">AI328/94</f>
        <v>191.3829787</v>
      </c>
      <c r="AS328" s="88">
        <f t="shared" si="1113"/>
        <v>180.7446809</v>
      </c>
      <c r="AT328" s="89">
        <f t="shared" ref="AT328:AU328" si="1114">AI328/24</f>
        <v>749.5833333</v>
      </c>
      <c r="AU328" s="89">
        <f t="shared" si="1114"/>
        <v>707.9166667</v>
      </c>
      <c r="AV328" s="89">
        <f t="shared" ref="AV328:AW328" si="1115">AI328/125</f>
        <v>143.92</v>
      </c>
      <c r="AW328" s="89">
        <f t="shared" si="1115"/>
        <v>135.92</v>
      </c>
      <c r="AX328" s="79"/>
      <c r="AY328" s="79"/>
    </row>
    <row r="329" ht="15.75" customHeight="1">
      <c r="A329" s="77"/>
      <c r="B329" s="77" t="s">
        <v>652</v>
      </c>
      <c r="C329" s="77" t="s">
        <v>653</v>
      </c>
      <c r="D329" s="78"/>
      <c r="E329" s="77">
        <v>145.0</v>
      </c>
      <c r="F329" s="77">
        <v>10.0</v>
      </c>
      <c r="G329" s="78">
        <v>8.3061E7</v>
      </c>
      <c r="H329" s="81">
        <v>0.05</v>
      </c>
      <c r="I329" s="77">
        <f t="shared" si="1047"/>
        <v>0</v>
      </c>
      <c r="J329" s="79"/>
      <c r="K329" s="77">
        <f t="shared" si="1048"/>
        <v>0</v>
      </c>
      <c r="L329" s="82">
        <f t="shared" si="987"/>
        <v>155</v>
      </c>
      <c r="M329" s="77">
        <f t="shared" si="1055"/>
        <v>0</v>
      </c>
      <c r="N329" s="83">
        <f t="shared" si="989"/>
        <v>12.4</v>
      </c>
      <c r="O329" s="83">
        <f t="shared" si="990"/>
        <v>15.5</v>
      </c>
      <c r="P329" s="83">
        <f t="shared" si="991"/>
        <v>7.75</v>
      </c>
      <c r="Q329" s="83">
        <f t="shared" si="992"/>
        <v>3.1</v>
      </c>
      <c r="R329" s="83">
        <f t="shared" si="993"/>
        <v>0</v>
      </c>
      <c r="S329" s="83">
        <f t="shared" si="994"/>
        <v>1.55</v>
      </c>
      <c r="T329" s="84">
        <f t="shared" si="995"/>
        <v>40.3</v>
      </c>
      <c r="U329" s="77">
        <f t="shared" si="996"/>
        <v>0</v>
      </c>
      <c r="V329" s="42">
        <f t="shared" si="15"/>
        <v>0</v>
      </c>
      <c r="W329" s="77">
        <f t="shared" si="997"/>
        <v>0</v>
      </c>
      <c r="X329" s="77">
        <f t="shared" si="998"/>
        <v>0</v>
      </c>
      <c r="Y329" s="77">
        <f t="shared" si="999"/>
        <v>0</v>
      </c>
      <c r="Z329" s="84">
        <f t="shared" si="1000"/>
        <v>195.3</v>
      </c>
      <c r="AA329" s="85">
        <f t="shared" si="1001"/>
        <v>39.06</v>
      </c>
      <c r="AB329" s="83">
        <f t="shared" si="1002"/>
        <v>234.36</v>
      </c>
      <c r="AC329" s="77">
        <f t="shared" si="1049"/>
        <v>0</v>
      </c>
      <c r="AD329" s="83">
        <f t="shared" si="1050"/>
        <v>234.36</v>
      </c>
      <c r="AE329" s="83">
        <f t="shared" si="1051"/>
        <v>100</v>
      </c>
      <c r="AF329" s="79">
        <v>19500.0</v>
      </c>
      <c r="AG329" s="86">
        <f t="shared" si="1006"/>
        <v>12480.64516</v>
      </c>
      <c r="AH329" s="63">
        <f t="shared" si="1007"/>
        <v>490</v>
      </c>
      <c r="AI329" s="90">
        <v>21990.0</v>
      </c>
      <c r="AJ329" s="90">
        <v>19990.0</v>
      </c>
      <c r="AK329" s="14">
        <f t="shared" si="1008"/>
        <v>12796.77419</v>
      </c>
      <c r="AL329" s="14"/>
      <c r="AM329" s="14">
        <f t="shared" si="1009"/>
        <v>2.451225613</v>
      </c>
      <c r="AN329" s="14">
        <f t="shared" si="1010"/>
        <v>316.1290323</v>
      </c>
      <c r="AO329" s="87">
        <f t="shared" si="1011"/>
        <v>128.9677419</v>
      </c>
      <c r="AP329" s="14">
        <f t="shared" si="1012"/>
        <v>197.5564</v>
      </c>
      <c r="AQ329" s="14">
        <f t="shared" si="1013"/>
        <v>199.9</v>
      </c>
      <c r="AR329" s="88">
        <f t="shared" ref="AR329:AS329" si="1116">AI329/94</f>
        <v>233.9361702</v>
      </c>
      <c r="AS329" s="88">
        <f t="shared" si="1116"/>
        <v>212.6595745</v>
      </c>
      <c r="AT329" s="89">
        <f t="shared" ref="AT329:AU329" si="1117">AI329/24</f>
        <v>916.25</v>
      </c>
      <c r="AU329" s="89">
        <f t="shared" si="1117"/>
        <v>832.9166667</v>
      </c>
      <c r="AV329" s="89">
        <f t="shared" ref="AV329:AW329" si="1118">AI329/125</f>
        <v>175.92</v>
      </c>
      <c r="AW329" s="89">
        <f t="shared" si="1118"/>
        <v>159.92</v>
      </c>
      <c r="AX329" s="79"/>
      <c r="AY329" s="79"/>
    </row>
    <row r="330" ht="15.75" customHeight="1">
      <c r="A330" s="77"/>
      <c r="B330" s="77" t="s">
        <v>654</v>
      </c>
      <c r="C330" s="77" t="s">
        <v>655</v>
      </c>
      <c r="D330" s="78"/>
      <c r="E330" s="77">
        <v>145.0</v>
      </c>
      <c r="F330" s="77">
        <v>10.0</v>
      </c>
      <c r="G330" s="78">
        <v>8.3061E7</v>
      </c>
      <c r="H330" s="81">
        <v>0.05</v>
      </c>
      <c r="I330" s="77">
        <f t="shared" si="1047"/>
        <v>0</v>
      </c>
      <c r="J330" s="79"/>
      <c r="K330" s="77">
        <f t="shared" si="1048"/>
        <v>0</v>
      </c>
      <c r="L330" s="82">
        <f t="shared" si="987"/>
        <v>155</v>
      </c>
      <c r="M330" s="77">
        <f t="shared" si="1055"/>
        <v>0</v>
      </c>
      <c r="N330" s="83">
        <f t="shared" si="989"/>
        <v>12.4</v>
      </c>
      <c r="O330" s="83">
        <f t="shared" si="990"/>
        <v>15.5</v>
      </c>
      <c r="P330" s="83">
        <f t="shared" si="991"/>
        <v>7.75</v>
      </c>
      <c r="Q330" s="83">
        <f t="shared" si="992"/>
        <v>3.1</v>
      </c>
      <c r="R330" s="83">
        <f t="shared" si="993"/>
        <v>0</v>
      </c>
      <c r="S330" s="83">
        <f t="shared" si="994"/>
        <v>1.55</v>
      </c>
      <c r="T330" s="84">
        <f t="shared" si="995"/>
        <v>40.3</v>
      </c>
      <c r="U330" s="77">
        <f t="shared" si="996"/>
        <v>0</v>
      </c>
      <c r="V330" s="42">
        <f t="shared" si="15"/>
        <v>0</v>
      </c>
      <c r="W330" s="77">
        <f t="shared" si="997"/>
        <v>0</v>
      </c>
      <c r="X330" s="77">
        <f t="shared" si="998"/>
        <v>0</v>
      </c>
      <c r="Y330" s="77">
        <f t="shared" si="999"/>
        <v>0</v>
      </c>
      <c r="Z330" s="84">
        <f t="shared" si="1000"/>
        <v>195.3</v>
      </c>
      <c r="AA330" s="85">
        <f t="shared" si="1001"/>
        <v>39.06</v>
      </c>
      <c r="AB330" s="83">
        <f t="shared" si="1002"/>
        <v>234.36</v>
      </c>
      <c r="AC330" s="77">
        <f t="shared" si="1049"/>
        <v>0</v>
      </c>
      <c r="AD330" s="83">
        <f t="shared" si="1050"/>
        <v>234.36</v>
      </c>
      <c r="AE330" s="83">
        <f t="shared" si="1051"/>
        <v>100</v>
      </c>
      <c r="AF330" s="79">
        <v>22500.0</v>
      </c>
      <c r="AG330" s="86">
        <f t="shared" si="1006"/>
        <v>14416.12903</v>
      </c>
      <c r="AH330" s="63">
        <f t="shared" si="1007"/>
        <v>400</v>
      </c>
      <c r="AI330" s="90">
        <v>24990.0</v>
      </c>
      <c r="AJ330" s="90">
        <v>22900.0</v>
      </c>
      <c r="AK330" s="14">
        <f t="shared" si="1008"/>
        <v>14674.19355</v>
      </c>
      <c r="AL330" s="14"/>
      <c r="AM330" s="14">
        <f t="shared" si="1009"/>
        <v>1.746724891</v>
      </c>
      <c r="AN330" s="14">
        <f t="shared" si="1010"/>
        <v>258.0645161</v>
      </c>
      <c r="AO330" s="87">
        <f t="shared" si="1011"/>
        <v>147.7419355</v>
      </c>
      <c r="AP330" s="14">
        <f t="shared" si="1012"/>
        <v>226.6564</v>
      </c>
      <c r="AQ330" s="14">
        <f t="shared" si="1013"/>
        <v>229</v>
      </c>
      <c r="AR330" s="88">
        <f t="shared" ref="AR330:AS330" si="1119">AI330/94</f>
        <v>265.8510638</v>
      </c>
      <c r="AS330" s="88">
        <f t="shared" si="1119"/>
        <v>243.6170213</v>
      </c>
      <c r="AT330" s="89">
        <f t="shared" ref="AT330:AU330" si="1120">AI330/24</f>
        <v>1041.25</v>
      </c>
      <c r="AU330" s="89">
        <f t="shared" si="1120"/>
        <v>954.1666667</v>
      </c>
      <c r="AV330" s="89">
        <f t="shared" ref="AV330:AW330" si="1121">AI330/125</f>
        <v>199.92</v>
      </c>
      <c r="AW330" s="89">
        <f t="shared" si="1121"/>
        <v>183.2</v>
      </c>
      <c r="AX330" s="79"/>
      <c r="AY330" s="79"/>
    </row>
    <row r="331" ht="15.75" customHeight="1">
      <c r="A331" s="77"/>
      <c r="B331" s="77" t="s">
        <v>656</v>
      </c>
      <c r="C331" s="77" t="s">
        <v>657</v>
      </c>
      <c r="D331" s="78"/>
      <c r="E331" s="77">
        <v>125.0</v>
      </c>
      <c r="F331" s="77">
        <v>10.0</v>
      </c>
      <c r="G331" s="78">
        <v>8.3061E7</v>
      </c>
      <c r="H331" s="81">
        <v>0.05</v>
      </c>
      <c r="I331" s="77">
        <f t="shared" si="1047"/>
        <v>0</v>
      </c>
      <c r="J331" s="79"/>
      <c r="K331" s="77">
        <f t="shared" si="1048"/>
        <v>0</v>
      </c>
      <c r="L331" s="82">
        <f t="shared" si="987"/>
        <v>135</v>
      </c>
      <c r="M331" s="77">
        <f t="shared" si="1055"/>
        <v>0</v>
      </c>
      <c r="N331" s="83">
        <f t="shared" si="989"/>
        <v>10.8</v>
      </c>
      <c r="O331" s="83">
        <f t="shared" si="990"/>
        <v>13.5</v>
      </c>
      <c r="P331" s="83">
        <f t="shared" si="991"/>
        <v>6.75</v>
      </c>
      <c r="Q331" s="83">
        <f t="shared" si="992"/>
        <v>2.7</v>
      </c>
      <c r="R331" s="83">
        <f t="shared" si="993"/>
        <v>0</v>
      </c>
      <c r="S331" s="83">
        <f t="shared" si="994"/>
        <v>1.35</v>
      </c>
      <c r="T331" s="84">
        <f t="shared" si="995"/>
        <v>35.1</v>
      </c>
      <c r="U331" s="77">
        <f t="shared" si="996"/>
        <v>0</v>
      </c>
      <c r="V331" s="42">
        <f t="shared" si="15"/>
        <v>0</v>
      </c>
      <c r="W331" s="77">
        <f t="shared" si="997"/>
        <v>0</v>
      </c>
      <c r="X331" s="77">
        <f t="shared" si="998"/>
        <v>0</v>
      </c>
      <c r="Y331" s="77">
        <f t="shared" si="999"/>
        <v>0</v>
      </c>
      <c r="Z331" s="84">
        <f t="shared" si="1000"/>
        <v>170.1</v>
      </c>
      <c r="AA331" s="85">
        <f t="shared" si="1001"/>
        <v>34.02</v>
      </c>
      <c r="AB331" s="83">
        <f t="shared" si="1002"/>
        <v>204.12</v>
      </c>
      <c r="AC331" s="77">
        <f t="shared" si="1049"/>
        <v>0</v>
      </c>
      <c r="AD331" s="83">
        <f t="shared" si="1050"/>
        <v>204.12</v>
      </c>
      <c r="AE331" s="83">
        <f t="shared" si="1051"/>
        <v>100</v>
      </c>
      <c r="AF331" s="79">
        <v>8500.0</v>
      </c>
      <c r="AG331" s="86">
        <f t="shared" si="1006"/>
        <v>6196.296296</v>
      </c>
      <c r="AH331" s="63">
        <f t="shared" si="1007"/>
        <v>490</v>
      </c>
      <c r="AI331" s="90">
        <v>9990.0</v>
      </c>
      <c r="AJ331" s="90">
        <v>8990.0</v>
      </c>
      <c r="AK331" s="14">
        <f t="shared" si="1008"/>
        <v>6559.259259</v>
      </c>
      <c r="AL331" s="14"/>
      <c r="AM331" s="14">
        <f t="shared" si="1009"/>
        <v>5.450500556</v>
      </c>
      <c r="AN331" s="14">
        <f t="shared" si="1010"/>
        <v>362.962963</v>
      </c>
      <c r="AO331" s="87">
        <f t="shared" si="1011"/>
        <v>66.59259259</v>
      </c>
      <c r="AP331" s="14">
        <f t="shared" si="1012"/>
        <v>87.8588</v>
      </c>
      <c r="AQ331" s="14">
        <f t="shared" si="1013"/>
        <v>89.9</v>
      </c>
      <c r="AR331" s="88">
        <f t="shared" ref="AR331:AS331" si="1122">AI331/94</f>
        <v>106.2765957</v>
      </c>
      <c r="AS331" s="88">
        <f t="shared" si="1122"/>
        <v>95.63829787</v>
      </c>
      <c r="AT331" s="89">
        <f t="shared" ref="AT331:AU331" si="1123">AI331/24</f>
        <v>416.25</v>
      </c>
      <c r="AU331" s="89">
        <f t="shared" si="1123"/>
        <v>374.5833333</v>
      </c>
      <c r="AV331" s="89">
        <f t="shared" ref="AV331:AW331" si="1124">AI331/125</f>
        <v>79.92</v>
      </c>
      <c r="AW331" s="89">
        <f t="shared" si="1124"/>
        <v>71.92</v>
      </c>
      <c r="AX331" s="79"/>
      <c r="AY331" s="79"/>
    </row>
    <row r="332" ht="15.75" customHeight="1">
      <c r="A332" s="77"/>
      <c r="B332" s="77" t="s">
        <v>658</v>
      </c>
      <c r="C332" s="77" t="s">
        <v>659</v>
      </c>
      <c r="D332" s="78"/>
      <c r="E332" s="77">
        <v>125.0</v>
      </c>
      <c r="F332" s="77">
        <v>10.0</v>
      </c>
      <c r="G332" s="78">
        <v>8.3061E7</v>
      </c>
      <c r="H332" s="81">
        <v>0.05</v>
      </c>
      <c r="I332" s="77">
        <f t="shared" si="1047"/>
        <v>0</v>
      </c>
      <c r="J332" s="79"/>
      <c r="K332" s="77">
        <f t="shared" si="1048"/>
        <v>0</v>
      </c>
      <c r="L332" s="82">
        <f t="shared" si="987"/>
        <v>135</v>
      </c>
      <c r="M332" s="77">
        <f t="shared" si="1055"/>
        <v>0</v>
      </c>
      <c r="N332" s="83">
        <f t="shared" si="989"/>
        <v>10.8</v>
      </c>
      <c r="O332" s="83">
        <f t="shared" si="990"/>
        <v>13.5</v>
      </c>
      <c r="P332" s="83">
        <f t="shared" si="991"/>
        <v>6.75</v>
      </c>
      <c r="Q332" s="83">
        <f t="shared" si="992"/>
        <v>2.7</v>
      </c>
      <c r="R332" s="83">
        <f t="shared" si="993"/>
        <v>0</v>
      </c>
      <c r="S332" s="83">
        <f t="shared" si="994"/>
        <v>1.35</v>
      </c>
      <c r="T332" s="84">
        <f t="shared" si="995"/>
        <v>35.1</v>
      </c>
      <c r="U332" s="77">
        <f t="shared" si="996"/>
        <v>0</v>
      </c>
      <c r="V332" s="42">
        <f t="shared" si="15"/>
        <v>0</v>
      </c>
      <c r="W332" s="77">
        <f t="shared" si="997"/>
        <v>0</v>
      </c>
      <c r="X332" s="77">
        <f t="shared" si="998"/>
        <v>0</v>
      </c>
      <c r="Y332" s="77">
        <f t="shared" si="999"/>
        <v>0</v>
      </c>
      <c r="Z332" s="84">
        <f t="shared" si="1000"/>
        <v>170.1</v>
      </c>
      <c r="AA332" s="85">
        <f t="shared" si="1001"/>
        <v>34.02</v>
      </c>
      <c r="AB332" s="83">
        <f t="shared" si="1002"/>
        <v>204.12</v>
      </c>
      <c r="AC332" s="77">
        <f t="shared" si="1049"/>
        <v>0</v>
      </c>
      <c r="AD332" s="83">
        <f t="shared" si="1050"/>
        <v>204.12</v>
      </c>
      <c r="AE332" s="83">
        <f t="shared" si="1051"/>
        <v>100</v>
      </c>
      <c r="AF332" s="79">
        <v>10500.0</v>
      </c>
      <c r="AG332" s="86">
        <f t="shared" si="1006"/>
        <v>7677.777778</v>
      </c>
      <c r="AH332" s="63">
        <f t="shared" si="1007"/>
        <v>490</v>
      </c>
      <c r="AI332" s="90">
        <v>11990.0</v>
      </c>
      <c r="AJ332" s="90">
        <v>10990.0</v>
      </c>
      <c r="AK332" s="14">
        <f t="shared" si="1008"/>
        <v>8040.740741</v>
      </c>
      <c r="AL332" s="14"/>
      <c r="AM332" s="14">
        <f t="shared" si="1009"/>
        <v>4.458598726</v>
      </c>
      <c r="AN332" s="14">
        <f t="shared" si="1010"/>
        <v>362.962963</v>
      </c>
      <c r="AO332" s="87">
        <f t="shared" si="1011"/>
        <v>81.40740741</v>
      </c>
      <c r="AP332" s="14">
        <f t="shared" si="1012"/>
        <v>107.8588</v>
      </c>
      <c r="AQ332" s="14">
        <f t="shared" si="1013"/>
        <v>109.9</v>
      </c>
      <c r="AR332" s="88">
        <f t="shared" ref="AR332:AS332" si="1125">AI332/94</f>
        <v>127.5531915</v>
      </c>
      <c r="AS332" s="88">
        <f t="shared" si="1125"/>
        <v>116.9148936</v>
      </c>
      <c r="AT332" s="89">
        <f t="shared" ref="AT332:AU332" si="1126">AI332/24</f>
        <v>499.5833333</v>
      </c>
      <c r="AU332" s="89">
        <f t="shared" si="1126"/>
        <v>457.9166667</v>
      </c>
      <c r="AV332" s="89">
        <f t="shared" ref="AV332:AW332" si="1127">AI332/125</f>
        <v>95.92</v>
      </c>
      <c r="AW332" s="89">
        <f t="shared" si="1127"/>
        <v>87.92</v>
      </c>
      <c r="AX332" s="79"/>
      <c r="AY332" s="79"/>
    </row>
    <row r="333" ht="15.75" customHeight="1">
      <c r="A333" s="77"/>
      <c r="B333" s="77" t="s">
        <v>660</v>
      </c>
      <c r="C333" s="77" t="s">
        <v>661</v>
      </c>
      <c r="D333" s="78"/>
      <c r="E333" s="77">
        <v>145.0</v>
      </c>
      <c r="F333" s="77">
        <v>10.0</v>
      </c>
      <c r="G333" s="78">
        <v>8.3061E7</v>
      </c>
      <c r="H333" s="81">
        <v>0.05</v>
      </c>
      <c r="I333" s="77">
        <f t="shared" si="1047"/>
        <v>0</v>
      </c>
      <c r="J333" s="79"/>
      <c r="K333" s="77">
        <f t="shared" si="1048"/>
        <v>0</v>
      </c>
      <c r="L333" s="82">
        <f t="shared" si="987"/>
        <v>155</v>
      </c>
      <c r="M333" s="77">
        <f t="shared" si="1055"/>
        <v>0</v>
      </c>
      <c r="N333" s="83">
        <f t="shared" si="989"/>
        <v>12.4</v>
      </c>
      <c r="O333" s="83">
        <f t="shared" si="990"/>
        <v>15.5</v>
      </c>
      <c r="P333" s="83">
        <f t="shared" si="991"/>
        <v>7.75</v>
      </c>
      <c r="Q333" s="83">
        <f t="shared" si="992"/>
        <v>3.1</v>
      </c>
      <c r="R333" s="83">
        <f t="shared" si="993"/>
        <v>0</v>
      </c>
      <c r="S333" s="83">
        <f t="shared" si="994"/>
        <v>1.55</v>
      </c>
      <c r="T333" s="84">
        <f t="shared" si="995"/>
        <v>40.3</v>
      </c>
      <c r="U333" s="77">
        <f t="shared" si="996"/>
        <v>0</v>
      </c>
      <c r="V333" s="42">
        <f t="shared" si="15"/>
        <v>0</v>
      </c>
      <c r="W333" s="77">
        <f t="shared" si="997"/>
        <v>0</v>
      </c>
      <c r="X333" s="77">
        <f t="shared" si="998"/>
        <v>0</v>
      </c>
      <c r="Y333" s="77">
        <f t="shared" si="999"/>
        <v>0</v>
      </c>
      <c r="Z333" s="84">
        <f t="shared" si="1000"/>
        <v>195.3</v>
      </c>
      <c r="AA333" s="85">
        <f t="shared" si="1001"/>
        <v>39.06</v>
      </c>
      <c r="AB333" s="83">
        <f t="shared" si="1002"/>
        <v>234.36</v>
      </c>
      <c r="AC333" s="77">
        <f t="shared" si="1049"/>
        <v>0</v>
      </c>
      <c r="AD333" s="83">
        <f t="shared" si="1050"/>
        <v>234.36</v>
      </c>
      <c r="AE333" s="83">
        <f t="shared" si="1051"/>
        <v>100</v>
      </c>
      <c r="AF333" s="79">
        <v>12500.0</v>
      </c>
      <c r="AG333" s="86">
        <f t="shared" si="1006"/>
        <v>7964.516129</v>
      </c>
      <c r="AH333" s="63">
        <f t="shared" si="1007"/>
        <v>490</v>
      </c>
      <c r="AI333" s="90">
        <v>13990.0</v>
      </c>
      <c r="AJ333" s="90">
        <v>12990.0</v>
      </c>
      <c r="AK333" s="14">
        <f t="shared" si="1008"/>
        <v>8280.645161</v>
      </c>
      <c r="AL333" s="14"/>
      <c r="AM333" s="14">
        <f t="shared" si="1009"/>
        <v>3.77213241</v>
      </c>
      <c r="AN333" s="14">
        <f t="shared" si="1010"/>
        <v>316.1290323</v>
      </c>
      <c r="AO333" s="87">
        <f t="shared" si="1011"/>
        <v>83.80645161</v>
      </c>
      <c r="AP333" s="14">
        <f t="shared" si="1012"/>
        <v>127.5564</v>
      </c>
      <c r="AQ333" s="14">
        <f t="shared" si="1013"/>
        <v>129.9</v>
      </c>
      <c r="AR333" s="88">
        <f t="shared" ref="AR333:AS333" si="1128">AI333/94</f>
        <v>148.8297872</v>
      </c>
      <c r="AS333" s="88">
        <f t="shared" si="1128"/>
        <v>138.1914894</v>
      </c>
      <c r="AT333" s="89">
        <f t="shared" ref="AT333:AU333" si="1129">AI333/24</f>
        <v>582.9166667</v>
      </c>
      <c r="AU333" s="89">
        <f t="shared" si="1129"/>
        <v>541.25</v>
      </c>
      <c r="AV333" s="89">
        <f t="shared" ref="AV333:AW333" si="1130">AI333/125</f>
        <v>111.92</v>
      </c>
      <c r="AW333" s="89">
        <f t="shared" si="1130"/>
        <v>103.92</v>
      </c>
      <c r="AX333" s="79"/>
      <c r="AY333" s="79"/>
    </row>
    <row r="334" ht="15.75" customHeight="1">
      <c r="A334" s="77"/>
      <c r="B334" s="77" t="s">
        <v>662</v>
      </c>
      <c r="C334" s="77" t="s">
        <v>663</v>
      </c>
      <c r="D334" s="78"/>
      <c r="E334" s="77">
        <v>145.0</v>
      </c>
      <c r="F334" s="77">
        <v>10.0</v>
      </c>
      <c r="G334" s="78">
        <v>8.3061E7</v>
      </c>
      <c r="H334" s="81">
        <v>0.05</v>
      </c>
      <c r="I334" s="77">
        <f t="shared" si="1047"/>
        <v>0</v>
      </c>
      <c r="J334" s="79"/>
      <c r="K334" s="77">
        <f t="shared" si="1048"/>
        <v>0</v>
      </c>
      <c r="L334" s="82">
        <f t="shared" si="987"/>
        <v>155</v>
      </c>
      <c r="M334" s="77">
        <f t="shared" si="1055"/>
        <v>0</v>
      </c>
      <c r="N334" s="83">
        <f t="shared" si="989"/>
        <v>12.4</v>
      </c>
      <c r="O334" s="83">
        <f t="shared" si="990"/>
        <v>15.5</v>
      </c>
      <c r="P334" s="83">
        <f t="shared" si="991"/>
        <v>7.75</v>
      </c>
      <c r="Q334" s="83">
        <f t="shared" si="992"/>
        <v>3.1</v>
      </c>
      <c r="R334" s="83">
        <f t="shared" si="993"/>
        <v>0</v>
      </c>
      <c r="S334" s="83">
        <f t="shared" si="994"/>
        <v>1.55</v>
      </c>
      <c r="T334" s="84">
        <f t="shared" si="995"/>
        <v>40.3</v>
      </c>
      <c r="U334" s="77">
        <f t="shared" si="996"/>
        <v>0</v>
      </c>
      <c r="V334" s="42">
        <f t="shared" si="15"/>
        <v>0</v>
      </c>
      <c r="W334" s="77">
        <f t="shared" si="997"/>
        <v>0</v>
      </c>
      <c r="X334" s="77">
        <f t="shared" si="998"/>
        <v>0</v>
      </c>
      <c r="Y334" s="77">
        <f t="shared" si="999"/>
        <v>0</v>
      </c>
      <c r="Z334" s="84">
        <f t="shared" si="1000"/>
        <v>195.3</v>
      </c>
      <c r="AA334" s="85">
        <f t="shared" si="1001"/>
        <v>39.06</v>
      </c>
      <c r="AB334" s="83">
        <f t="shared" si="1002"/>
        <v>234.36</v>
      </c>
      <c r="AC334" s="77">
        <f t="shared" si="1049"/>
        <v>0</v>
      </c>
      <c r="AD334" s="83">
        <f t="shared" si="1050"/>
        <v>234.36</v>
      </c>
      <c r="AE334" s="83">
        <f t="shared" si="1051"/>
        <v>100</v>
      </c>
      <c r="AF334" s="79">
        <v>14500.0</v>
      </c>
      <c r="AG334" s="86">
        <f t="shared" si="1006"/>
        <v>9254.83871</v>
      </c>
      <c r="AH334" s="63">
        <f t="shared" si="1007"/>
        <v>490</v>
      </c>
      <c r="AI334" s="90">
        <v>15990.0</v>
      </c>
      <c r="AJ334" s="90">
        <v>14990.0</v>
      </c>
      <c r="AK334" s="14">
        <f t="shared" si="1008"/>
        <v>9570.967742</v>
      </c>
      <c r="AL334" s="14"/>
      <c r="AM334" s="14">
        <f t="shared" si="1009"/>
        <v>3.268845897</v>
      </c>
      <c r="AN334" s="14">
        <f t="shared" si="1010"/>
        <v>316.1290323</v>
      </c>
      <c r="AO334" s="87">
        <f t="shared" si="1011"/>
        <v>96.70967742</v>
      </c>
      <c r="AP334" s="14">
        <f t="shared" si="1012"/>
        <v>147.5564</v>
      </c>
      <c r="AQ334" s="14">
        <f t="shared" si="1013"/>
        <v>149.9</v>
      </c>
      <c r="AR334" s="88">
        <f t="shared" ref="AR334:AS334" si="1131">AI334/94</f>
        <v>170.106383</v>
      </c>
      <c r="AS334" s="88">
        <f t="shared" si="1131"/>
        <v>159.4680851</v>
      </c>
      <c r="AT334" s="89">
        <f t="shared" ref="AT334:AU334" si="1132">AI334/24</f>
        <v>666.25</v>
      </c>
      <c r="AU334" s="89">
        <f t="shared" si="1132"/>
        <v>624.5833333</v>
      </c>
      <c r="AV334" s="89">
        <f t="shared" ref="AV334:AW334" si="1133">AI334/125</f>
        <v>127.92</v>
      </c>
      <c r="AW334" s="89">
        <f t="shared" si="1133"/>
        <v>119.92</v>
      </c>
      <c r="AX334" s="79"/>
      <c r="AY334" s="79"/>
    </row>
    <row r="335" ht="15.75" customHeight="1">
      <c r="A335" s="77"/>
      <c r="B335" s="77" t="s">
        <v>664</v>
      </c>
      <c r="C335" s="77" t="s">
        <v>665</v>
      </c>
      <c r="D335" s="78"/>
      <c r="E335" s="77">
        <v>145.0</v>
      </c>
      <c r="F335" s="77">
        <v>10.0</v>
      </c>
      <c r="G335" s="78">
        <v>8.3061E7</v>
      </c>
      <c r="H335" s="81">
        <v>0.05</v>
      </c>
      <c r="I335" s="77">
        <f t="shared" si="1047"/>
        <v>0</v>
      </c>
      <c r="J335" s="79"/>
      <c r="K335" s="77">
        <f t="shared" si="1048"/>
        <v>0</v>
      </c>
      <c r="L335" s="82">
        <f t="shared" si="987"/>
        <v>155</v>
      </c>
      <c r="M335" s="77">
        <f t="shared" si="1055"/>
        <v>0</v>
      </c>
      <c r="N335" s="83">
        <f t="shared" si="989"/>
        <v>12.4</v>
      </c>
      <c r="O335" s="83">
        <f t="shared" si="990"/>
        <v>15.5</v>
      </c>
      <c r="P335" s="83">
        <f t="shared" si="991"/>
        <v>7.75</v>
      </c>
      <c r="Q335" s="83">
        <f t="shared" si="992"/>
        <v>3.1</v>
      </c>
      <c r="R335" s="83">
        <f t="shared" si="993"/>
        <v>0</v>
      </c>
      <c r="S335" s="83">
        <f t="shared" si="994"/>
        <v>1.55</v>
      </c>
      <c r="T335" s="84">
        <f t="shared" si="995"/>
        <v>40.3</v>
      </c>
      <c r="U335" s="77">
        <f t="shared" si="996"/>
        <v>0</v>
      </c>
      <c r="V335" s="42">
        <f t="shared" si="15"/>
        <v>0</v>
      </c>
      <c r="W335" s="77">
        <f t="shared" si="997"/>
        <v>0</v>
      </c>
      <c r="X335" s="77">
        <f t="shared" si="998"/>
        <v>0</v>
      </c>
      <c r="Y335" s="77">
        <f t="shared" si="999"/>
        <v>0</v>
      </c>
      <c r="Z335" s="84">
        <f t="shared" si="1000"/>
        <v>195.3</v>
      </c>
      <c r="AA335" s="85">
        <f t="shared" si="1001"/>
        <v>39.06</v>
      </c>
      <c r="AB335" s="83">
        <f t="shared" si="1002"/>
        <v>234.36</v>
      </c>
      <c r="AC335" s="77">
        <f t="shared" si="1049"/>
        <v>0</v>
      </c>
      <c r="AD335" s="83">
        <f t="shared" si="1050"/>
        <v>234.36</v>
      </c>
      <c r="AE335" s="83">
        <f t="shared" si="1051"/>
        <v>100</v>
      </c>
      <c r="AF335" s="79">
        <v>18500.0</v>
      </c>
      <c r="AG335" s="86">
        <f t="shared" si="1006"/>
        <v>11835.48387</v>
      </c>
      <c r="AH335" s="63">
        <f t="shared" si="1007"/>
        <v>490</v>
      </c>
      <c r="AI335" s="90">
        <v>20990.0</v>
      </c>
      <c r="AJ335" s="90">
        <v>18990.0</v>
      </c>
      <c r="AK335" s="14">
        <f t="shared" si="1008"/>
        <v>12151.6129</v>
      </c>
      <c r="AL335" s="14"/>
      <c r="AM335" s="14">
        <f t="shared" si="1009"/>
        <v>2.580305424</v>
      </c>
      <c r="AN335" s="14">
        <f t="shared" si="1010"/>
        <v>316.1290323</v>
      </c>
      <c r="AO335" s="87">
        <f t="shared" si="1011"/>
        <v>122.516129</v>
      </c>
      <c r="AP335" s="14">
        <f t="shared" si="1012"/>
        <v>187.5564</v>
      </c>
      <c r="AQ335" s="14">
        <f t="shared" si="1013"/>
        <v>189.9</v>
      </c>
      <c r="AR335" s="88">
        <f t="shared" ref="AR335:AS335" si="1134">AI335/94</f>
        <v>223.2978723</v>
      </c>
      <c r="AS335" s="88">
        <f t="shared" si="1134"/>
        <v>202.0212766</v>
      </c>
      <c r="AT335" s="89">
        <f t="shared" ref="AT335:AU335" si="1135">AI335/24</f>
        <v>874.5833333</v>
      </c>
      <c r="AU335" s="89">
        <f t="shared" si="1135"/>
        <v>791.25</v>
      </c>
      <c r="AV335" s="89">
        <f t="shared" ref="AV335:AW335" si="1136">AI335/125</f>
        <v>167.92</v>
      </c>
      <c r="AW335" s="89">
        <f t="shared" si="1136"/>
        <v>151.92</v>
      </c>
      <c r="AX335" s="79"/>
      <c r="AY335" s="79"/>
    </row>
    <row r="336" ht="15.75" customHeight="1">
      <c r="A336" s="77"/>
      <c r="B336" s="77" t="s">
        <v>666</v>
      </c>
      <c r="C336" s="77" t="s">
        <v>667</v>
      </c>
      <c r="D336" s="78"/>
      <c r="E336" s="77">
        <v>145.0</v>
      </c>
      <c r="F336" s="77">
        <v>10.0</v>
      </c>
      <c r="G336" s="78">
        <v>8.3061E7</v>
      </c>
      <c r="H336" s="81">
        <v>0.05</v>
      </c>
      <c r="I336" s="77">
        <f t="shared" si="1047"/>
        <v>0</v>
      </c>
      <c r="J336" s="79"/>
      <c r="K336" s="77">
        <f t="shared" si="1048"/>
        <v>0</v>
      </c>
      <c r="L336" s="82">
        <f t="shared" si="987"/>
        <v>155</v>
      </c>
      <c r="M336" s="77">
        <f t="shared" si="1055"/>
        <v>0</v>
      </c>
      <c r="N336" s="83">
        <f t="shared" si="989"/>
        <v>12.4</v>
      </c>
      <c r="O336" s="83">
        <f t="shared" si="990"/>
        <v>15.5</v>
      </c>
      <c r="P336" s="83">
        <f t="shared" si="991"/>
        <v>7.75</v>
      </c>
      <c r="Q336" s="83">
        <f t="shared" si="992"/>
        <v>3.1</v>
      </c>
      <c r="R336" s="83">
        <f t="shared" si="993"/>
        <v>0</v>
      </c>
      <c r="S336" s="83">
        <f t="shared" si="994"/>
        <v>1.55</v>
      </c>
      <c r="T336" s="84">
        <f t="shared" si="995"/>
        <v>40.3</v>
      </c>
      <c r="U336" s="77">
        <f t="shared" si="996"/>
        <v>0</v>
      </c>
      <c r="V336" s="42">
        <f t="shared" si="15"/>
        <v>0</v>
      </c>
      <c r="W336" s="77">
        <f t="shared" si="997"/>
        <v>0</v>
      </c>
      <c r="X336" s="77">
        <f t="shared" si="998"/>
        <v>0</v>
      </c>
      <c r="Y336" s="77">
        <f t="shared" si="999"/>
        <v>0</v>
      </c>
      <c r="Z336" s="84">
        <f t="shared" si="1000"/>
        <v>195.3</v>
      </c>
      <c r="AA336" s="85">
        <f t="shared" si="1001"/>
        <v>39.06</v>
      </c>
      <c r="AB336" s="83">
        <f t="shared" si="1002"/>
        <v>234.36</v>
      </c>
      <c r="AC336" s="77">
        <f t="shared" si="1049"/>
        <v>0</v>
      </c>
      <c r="AD336" s="83">
        <f t="shared" si="1050"/>
        <v>234.36</v>
      </c>
      <c r="AE336" s="83">
        <f t="shared" si="1051"/>
        <v>100</v>
      </c>
      <c r="AF336" s="79">
        <v>21500.0</v>
      </c>
      <c r="AG336" s="86">
        <f t="shared" si="1006"/>
        <v>13770.96774</v>
      </c>
      <c r="AH336" s="63">
        <f t="shared" si="1007"/>
        <v>490</v>
      </c>
      <c r="AI336" s="90">
        <v>23990.0</v>
      </c>
      <c r="AJ336" s="90">
        <v>21990.0</v>
      </c>
      <c r="AK336" s="14">
        <f t="shared" si="1008"/>
        <v>14087.09677</v>
      </c>
      <c r="AL336" s="14"/>
      <c r="AM336" s="14">
        <f t="shared" si="1009"/>
        <v>2.228285584</v>
      </c>
      <c r="AN336" s="14">
        <f t="shared" si="1010"/>
        <v>316.1290323</v>
      </c>
      <c r="AO336" s="87">
        <f t="shared" si="1011"/>
        <v>141.8709677</v>
      </c>
      <c r="AP336" s="14">
        <f t="shared" si="1012"/>
        <v>217.5564</v>
      </c>
      <c r="AQ336" s="14">
        <f t="shared" si="1013"/>
        <v>219.9</v>
      </c>
      <c r="AR336" s="88">
        <f t="shared" ref="AR336:AS336" si="1137">AI336/94</f>
        <v>255.212766</v>
      </c>
      <c r="AS336" s="88">
        <f t="shared" si="1137"/>
        <v>233.9361702</v>
      </c>
      <c r="AT336" s="89">
        <f t="shared" ref="AT336:AU336" si="1138">AI336/24</f>
        <v>999.5833333</v>
      </c>
      <c r="AU336" s="89">
        <f t="shared" si="1138"/>
        <v>916.25</v>
      </c>
      <c r="AV336" s="89">
        <f t="shared" ref="AV336:AW336" si="1139">AI336/125</f>
        <v>191.92</v>
      </c>
      <c r="AW336" s="89">
        <f t="shared" si="1139"/>
        <v>175.92</v>
      </c>
      <c r="AX336" s="79"/>
      <c r="AY336" s="79"/>
    </row>
    <row r="337" ht="15.75" customHeight="1">
      <c r="A337" s="77"/>
      <c r="B337" s="77" t="s">
        <v>668</v>
      </c>
      <c r="C337" s="77" t="s">
        <v>669</v>
      </c>
      <c r="D337" s="78"/>
      <c r="E337" s="77">
        <v>145.0</v>
      </c>
      <c r="F337" s="77">
        <v>10.0</v>
      </c>
      <c r="G337" s="78">
        <v>8.3061E7</v>
      </c>
      <c r="H337" s="81">
        <v>0.05</v>
      </c>
      <c r="I337" s="77">
        <f t="shared" si="1047"/>
        <v>0</v>
      </c>
      <c r="J337" s="79"/>
      <c r="K337" s="77">
        <f t="shared" si="1048"/>
        <v>0</v>
      </c>
      <c r="L337" s="82">
        <f t="shared" si="987"/>
        <v>155</v>
      </c>
      <c r="M337" s="77">
        <f t="shared" si="1055"/>
        <v>0</v>
      </c>
      <c r="N337" s="83">
        <f t="shared" si="989"/>
        <v>12.4</v>
      </c>
      <c r="O337" s="83">
        <f t="shared" si="990"/>
        <v>15.5</v>
      </c>
      <c r="P337" s="83">
        <f t="shared" si="991"/>
        <v>7.75</v>
      </c>
      <c r="Q337" s="83">
        <f t="shared" si="992"/>
        <v>3.1</v>
      </c>
      <c r="R337" s="83">
        <f t="shared" si="993"/>
        <v>0</v>
      </c>
      <c r="S337" s="83">
        <f t="shared" si="994"/>
        <v>1.55</v>
      </c>
      <c r="T337" s="84">
        <f t="shared" si="995"/>
        <v>40.3</v>
      </c>
      <c r="U337" s="77">
        <f t="shared" si="996"/>
        <v>0</v>
      </c>
      <c r="V337" s="42">
        <f t="shared" si="15"/>
        <v>0</v>
      </c>
      <c r="W337" s="77">
        <f t="shared" si="997"/>
        <v>0</v>
      </c>
      <c r="X337" s="77">
        <f t="shared" si="998"/>
        <v>0</v>
      </c>
      <c r="Y337" s="77">
        <f t="shared" si="999"/>
        <v>0</v>
      </c>
      <c r="Z337" s="84">
        <f t="shared" si="1000"/>
        <v>195.3</v>
      </c>
      <c r="AA337" s="85">
        <f t="shared" si="1001"/>
        <v>39.06</v>
      </c>
      <c r="AB337" s="83">
        <f t="shared" si="1002"/>
        <v>234.36</v>
      </c>
      <c r="AC337" s="77">
        <f t="shared" si="1049"/>
        <v>0</v>
      </c>
      <c r="AD337" s="83">
        <f t="shared" si="1050"/>
        <v>234.36</v>
      </c>
      <c r="AE337" s="83">
        <f t="shared" si="1051"/>
        <v>100</v>
      </c>
      <c r="AF337" s="79">
        <v>24500.0</v>
      </c>
      <c r="AG337" s="86">
        <f t="shared" si="1006"/>
        <v>15706.45161</v>
      </c>
      <c r="AH337" s="63">
        <f t="shared" si="1007"/>
        <v>490</v>
      </c>
      <c r="AI337" s="90">
        <v>26990.0</v>
      </c>
      <c r="AJ337" s="90">
        <v>24990.0</v>
      </c>
      <c r="AK337" s="14">
        <f t="shared" si="1008"/>
        <v>16022.58065</v>
      </c>
      <c r="AL337" s="14"/>
      <c r="AM337" s="14">
        <f t="shared" si="1009"/>
        <v>1.960784314</v>
      </c>
      <c r="AN337" s="14">
        <f t="shared" si="1010"/>
        <v>316.1290323</v>
      </c>
      <c r="AO337" s="87">
        <f t="shared" si="1011"/>
        <v>161.2258065</v>
      </c>
      <c r="AP337" s="14">
        <f t="shared" si="1012"/>
        <v>247.5564</v>
      </c>
      <c r="AQ337" s="14">
        <f t="shared" si="1013"/>
        <v>249.9</v>
      </c>
      <c r="AR337" s="88">
        <f t="shared" ref="AR337:AS337" si="1140">AI337/94</f>
        <v>287.1276596</v>
      </c>
      <c r="AS337" s="88">
        <f t="shared" si="1140"/>
        <v>265.8510638</v>
      </c>
      <c r="AT337" s="89">
        <f t="shared" ref="AT337:AU337" si="1141">AI337/24</f>
        <v>1124.583333</v>
      </c>
      <c r="AU337" s="89">
        <f t="shared" si="1141"/>
        <v>1041.25</v>
      </c>
      <c r="AV337" s="89">
        <f t="shared" ref="AV337:AW337" si="1142">AI337/125</f>
        <v>215.92</v>
      </c>
      <c r="AW337" s="89">
        <f t="shared" si="1142"/>
        <v>199.92</v>
      </c>
      <c r="AX337" s="79"/>
      <c r="AY337" s="79"/>
    </row>
    <row r="338" ht="15.75" customHeight="1">
      <c r="A338" s="77"/>
      <c r="B338" s="77" t="s">
        <v>670</v>
      </c>
      <c r="C338" s="77" t="s">
        <v>671</v>
      </c>
      <c r="D338" s="78"/>
      <c r="E338" s="77">
        <v>125.0</v>
      </c>
      <c r="F338" s="77">
        <v>10.0</v>
      </c>
      <c r="G338" s="78">
        <v>8.3061E7</v>
      </c>
      <c r="H338" s="81">
        <v>0.05</v>
      </c>
      <c r="I338" s="77">
        <f t="shared" si="1047"/>
        <v>0</v>
      </c>
      <c r="J338" s="79"/>
      <c r="K338" s="77">
        <f t="shared" si="1048"/>
        <v>0</v>
      </c>
      <c r="L338" s="82">
        <f t="shared" si="987"/>
        <v>135</v>
      </c>
      <c r="M338" s="77">
        <f t="shared" si="1055"/>
        <v>0</v>
      </c>
      <c r="N338" s="83">
        <f t="shared" si="989"/>
        <v>10.8</v>
      </c>
      <c r="O338" s="83">
        <f t="shared" si="990"/>
        <v>13.5</v>
      </c>
      <c r="P338" s="83">
        <f t="shared" si="991"/>
        <v>6.75</v>
      </c>
      <c r="Q338" s="83">
        <f t="shared" si="992"/>
        <v>2.7</v>
      </c>
      <c r="R338" s="83">
        <f t="shared" si="993"/>
        <v>0</v>
      </c>
      <c r="S338" s="83">
        <f t="shared" si="994"/>
        <v>1.35</v>
      </c>
      <c r="T338" s="84">
        <f t="shared" si="995"/>
        <v>35.1</v>
      </c>
      <c r="U338" s="77">
        <f t="shared" si="996"/>
        <v>0</v>
      </c>
      <c r="V338" s="42">
        <f t="shared" si="15"/>
        <v>0</v>
      </c>
      <c r="W338" s="77">
        <f t="shared" si="997"/>
        <v>0</v>
      </c>
      <c r="X338" s="77">
        <f t="shared" si="998"/>
        <v>0</v>
      </c>
      <c r="Y338" s="77">
        <f t="shared" si="999"/>
        <v>0</v>
      </c>
      <c r="Z338" s="84">
        <f t="shared" si="1000"/>
        <v>170.1</v>
      </c>
      <c r="AA338" s="85">
        <f t="shared" si="1001"/>
        <v>34.02</v>
      </c>
      <c r="AB338" s="83">
        <f t="shared" si="1002"/>
        <v>204.12</v>
      </c>
      <c r="AC338" s="77">
        <f t="shared" si="1049"/>
        <v>0</v>
      </c>
      <c r="AD338" s="83">
        <f t="shared" si="1050"/>
        <v>204.12</v>
      </c>
      <c r="AE338" s="83">
        <f t="shared" si="1051"/>
        <v>100</v>
      </c>
      <c r="AF338" s="79">
        <v>10500.0</v>
      </c>
      <c r="AG338" s="86">
        <f t="shared" si="1006"/>
        <v>7677.777778</v>
      </c>
      <c r="AH338" s="63">
        <f t="shared" si="1007"/>
        <v>490</v>
      </c>
      <c r="AI338" s="90">
        <v>11990.0</v>
      </c>
      <c r="AJ338" s="90">
        <v>10990.0</v>
      </c>
      <c r="AK338" s="14">
        <f t="shared" si="1008"/>
        <v>8040.740741</v>
      </c>
      <c r="AL338" s="14"/>
      <c r="AM338" s="14">
        <f t="shared" si="1009"/>
        <v>4.458598726</v>
      </c>
      <c r="AN338" s="14">
        <f t="shared" si="1010"/>
        <v>362.962963</v>
      </c>
      <c r="AO338" s="87">
        <f t="shared" si="1011"/>
        <v>81.40740741</v>
      </c>
      <c r="AP338" s="14">
        <f t="shared" si="1012"/>
        <v>107.8588</v>
      </c>
      <c r="AQ338" s="14">
        <f t="shared" si="1013"/>
        <v>109.9</v>
      </c>
      <c r="AR338" s="88">
        <f t="shared" ref="AR338:AS338" si="1143">AI338/94</f>
        <v>127.5531915</v>
      </c>
      <c r="AS338" s="88">
        <f t="shared" si="1143"/>
        <v>116.9148936</v>
      </c>
      <c r="AT338" s="89">
        <f t="shared" ref="AT338:AU338" si="1144">AI338/24</f>
        <v>499.5833333</v>
      </c>
      <c r="AU338" s="89">
        <f t="shared" si="1144"/>
        <v>457.9166667</v>
      </c>
      <c r="AV338" s="89">
        <f t="shared" ref="AV338:AW338" si="1145">AI338/125</f>
        <v>95.92</v>
      </c>
      <c r="AW338" s="89">
        <f t="shared" si="1145"/>
        <v>87.92</v>
      </c>
      <c r="AX338" s="79"/>
      <c r="AY338" s="79"/>
    </row>
    <row r="339" ht="15.75" customHeight="1">
      <c r="A339" s="77"/>
      <c r="B339" s="77" t="s">
        <v>672</v>
      </c>
      <c r="C339" s="77" t="s">
        <v>673</v>
      </c>
      <c r="D339" s="78"/>
      <c r="E339" s="77">
        <v>125.0</v>
      </c>
      <c r="F339" s="77">
        <v>10.0</v>
      </c>
      <c r="G339" s="78">
        <v>8.3061E7</v>
      </c>
      <c r="H339" s="81">
        <v>0.05</v>
      </c>
      <c r="I339" s="77">
        <f t="shared" si="1047"/>
        <v>0</v>
      </c>
      <c r="J339" s="79"/>
      <c r="K339" s="77">
        <f t="shared" si="1048"/>
        <v>0</v>
      </c>
      <c r="L339" s="82">
        <f t="shared" si="987"/>
        <v>135</v>
      </c>
      <c r="M339" s="77">
        <f t="shared" si="1055"/>
        <v>0</v>
      </c>
      <c r="N339" s="83">
        <f t="shared" si="989"/>
        <v>10.8</v>
      </c>
      <c r="O339" s="83">
        <f t="shared" si="990"/>
        <v>13.5</v>
      </c>
      <c r="P339" s="83">
        <f t="shared" si="991"/>
        <v>6.75</v>
      </c>
      <c r="Q339" s="83">
        <f t="shared" si="992"/>
        <v>2.7</v>
      </c>
      <c r="R339" s="83">
        <f t="shared" si="993"/>
        <v>0</v>
      </c>
      <c r="S339" s="83">
        <f t="shared" si="994"/>
        <v>1.35</v>
      </c>
      <c r="T339" s="84">
        <f t="shared" si="995"/>
        <v>35.1</v>
      </c>
      <c r="U339" s="77">
        <f t="shared" si="996"/>
        <v>0</v>
      </c>
      <c r="V339" s="42">
        <f t="shared" si="15"/>
        <v>0</v>
      </c>
      <c r="W339" s="77">
        <f t="shared" si="997"/>
        <v>0</v>
      </c>
      <c r="X339" s="77">
        <f t="shared" si="998"/>
        <v>0</v>
      </c>
      <c r="Y339" s="77">
        <f t="shared" si="999"/>
        <v>0</v>
      </c>
      <c r="Z339" s="84">
        <f t="shared" si="1000"/>
        <v>170.1</v>
      </c>
      <c r="AA339" s="85">
        <f t="shared" si="1001"/>
        <v>34.02</v>
      </c>
      <c r="AB339" s="83">
        <f t="shared" si="1002"/>
        <v>204.12</v>
      </c>
      <c r="AC339" s="77">
        <f t="shared" si="1049"/>
        <v>0</v>
      </c>
      <c r="AD339" s="83">
        <f t="shared" si="1050"/>
        <v>204.12</v>
      </c>
      <c r="AE339" s="83">
        <f t="shared" si="1051"/>
        <v>100</v>
      </c>
      <c r="AF339" s="79">
        <v>12500.0</v>
      </c>
      <c r="AG339" s="86">
        <f t="shared" si="1006"/>
        <v>9159.259259</v>
      </c>
      <c r="AH339" s="63">
        <f t="shared" si="1007"/>
        <v>490</v>
      </c>
      <c r="AI339" s="90">
        <v>13990.0</v>
      </c>
      <c r="AJ339" s="90">
        <v>12990.0</v>
      </c>
      <c r="AK339" s="14">
        <f t="shared" si="1008"/>
        <v>9522.222222</v>
      </c>
      <c r="AL339" s="14"/>
      <c r="AM339" s="14">
        <f t="shared" si="1009"/>
        <v>3.77213241</v>
      </c>
      <c r="AN339" s="14">
        <f t="shared" si="1010"/>
        <v>362.962963</v>
      </c>
      <c r="AO339" s="87">
        <f t="shared" si="1011"/>
        <v>96.22222222</v>
      </c>
      <c r="AP339" s="14">
        <f t="shared" si="1012"/>
        <v>127.8588</v>
      </c>
      <c r="AQ339" s="14">
        <f t="shared" si="1013"/>
        <v>129.9</v>
      </c>
      <c r="AR339" s="88">
        <f t="shared" ref="AR339:AS339" si="1146">AI339/94</f>
        <v>148.8297872</v>
      </c>
      <c r="AS339" s="88">
        <f t="shared" si="1146"/>
        <v>138.1914894</v>
      </c>
      <c r="AT339" s="89">
        <f t="shared" ref="AT339:AU339" si="1147">AI339/24</f>
        <v>582.9166667</v>
      </c>
      <c r="AU339" s="89">
        <f t="shared" si="1147"/>
        <v>541.25</v>
      </c>
      <c r="AV339" s="89">
        <f t="shared" ref="AV339:AW339" si="1148">AI339/125</f>
        <v>111.92</v>
      </c>
      <c r="AW339" s="89">
        <f t="shared" si="1148"/>
        <v>103.92</v>
      </c>
      <c r="AX339" s="79"/>
      <c r="AY339" s="79"/>
    </row>
    <row r="340" ht="15.75" customHeight="1">
      <c r="A340" s="77"/>
      <c r="B340" s="77" t="s">
        <v>674</v>
      </c>
      <c r="C340" s="77" t="s">
        <v>675</v>
      </c>
      <c r="D340" s="78"/>
      <c r="E340" s="77">
        <v>145.0</v>
      </c>
      <c r="F340" s="77">
        <v>10.0</v>
      </c>
      <c r="G340" s="78">
        <v>8.3061E7</v>
      </c>
      <c r="H340" s="81">
        <v>0.05</v>
      </c>
      <c r="I340" s="77">
        <f t="shared" si="1047"/>
        <v>0</v>
      </c>
      <c r="J340" s="79"/>
      <c r="K340" s="77">
        <f t="shared" si="1048"/>
        <v>0</v>
      </c>
      <c r="L340" s="82">
        <f t="shared" si="987"/>
        <v>155</v>
      </c>
      <c r="M340" s="77">
        <f t="shared" si="1055"/>
        <v>0</v>
      </c>
      <c r="N340" s="83">
        <f t="shared" si="989"/>
        <v>12.4</v>
      </c>
      <c r="O340" s="83">
        <f t="shared" si="990"/>
        <v>15.5</v>
      </c>
      <c r="P340" s="83">
        <f t="shared" si="991"/>
        <v>7.75</v>
      </c>
      <c r="Q340" s="83">
        <f t="shared" si="992"/>
        <v>3.1</v>
      </c>
      <c r="R340" s="83">
        <f t="shared" si="993"/>
        <v>0</v>
      </c>
      <c r="S340" s="83">
        <f t="shared" si="994"/>
        <v>1.55</v>
      </c>
      <c r="T340" s="84">
        <f t="shared" si="995"/>
        <v>40.3</v>
      </c>
      <c r="U340" s="77">
        <f t="shared" si="996"/>
        <v>0</v>
      </c>
      <c r="V340" s="42">
        <f t="shared" si="15"/>
        <v>0</v>
      </c>
      <c r="W340" s="77">
        <f t="shared" si="997"/>
        <v>0</v>
      </c>
      <c r="X340" s="77">
        <f t="shared" si="998"/>
        <v>0</v>
      </c>
      <c r="Y340" s="77">
        <f t="shared" si="999"/>
        <v>0</v>
      </c>
      <c r="Z340" s="84">
        <f t="shared" si="1000"/>
        <v>195.3</v>
      </c>
      <c r="AA340" s="85">
        <f t="shared" si="1001"/>
        <v>39.06</v>
      </c>
      <c r="AB340" s="83">
        <f t="shared" si="1002"/>
        <v>234.36</v>
      </c>
      <c r="AC340" s="77">
        <f t="shared" si="1049"/>
        <v>0</v>
      </c>
      <c r="AD340" s="83">
        <f t="shared" si="1050"/>
        <v>234.36</v>
      </c>
      <c r="AE340" s="83">
        <f t="shared" si="1051"/>
        <v>100</v>
      </c>
      <c r="AF340" s="79">
        <v>14500.0</v>
      </c>
      <c r="AG340" s="86">
        <f t="shared" si="1006"/>
        <v>9254.83871</v>
      </c>
      <c r="AH340" s="63">
        <f t="shared" si="1007"/>
        <v>490</v>
      </c>
      <c r="AI340" s="90">
        <v>15990.0</v>
      </c>
      <c r="AJ340" s="90">
        <v>14990.0</v>
      </c>
      <c r="AK340" s="14">
        <f t="shared" si="1008"/>
        <v>9570.967742</v>
      </c>
      <c r="AL340" s="14"/>
      <c r="AM340" s="14">
        <f t="shared" si="1009"/>
        <v>3.268845897</v>
      </c>
      <c r="AN340" s="14">
        <f t="shared" si="1010"/>
        <v>316.1290323</v>
      </c>
      <c r="AO340" s="87">
        <f t="shared" si="1011"/>
        <v>96.70967742</v>
      </c>
      <c r="AP340" s="14">
        <f t="shared" si="1012"/>
        <v>147.5564</v>
      </c>
      <c r="AQ340" s="14">
        <f t="shared" si="1013"/>
        <v>149.9</v>
      </c>
      <c r="AR340" s="88">
        <f t="shared" ref="AR340:AS340" si="1149">AI340/94</f>
        <v>170.106383</v>
      </c>
      <c r="AS340" s="88">
        <f t="shared" si="1149"/>
        <v>159.4680851</v>
      </c>
      <c r="AT340" s="89">
        <f t="shared" ref="AT340:AU340" si="1150">AI340/24</f>
        <v>666.25</v>
      </c>
      <c r="AU340" s="89">
        <f t="shared" si="1150"/>
        <v>624.5833333</v>
      </c>
      <c r="AV340" s="89">
        <f t="shared" ref="AV340:AW340" si="1151">AI340/125</f>
        <v>127.92</v>
      </c>
      <c r="AW340" s="89">
        <f t="shared" si="1151"/>
        <v>119.92</v>
      </c>
      <c r="AX340" s="79"/>
      <c r="AY340" s="79"/>
    </row>
    <row r="341" ht="15.75" customHeight="1">
      <c r="A341" s="77"/>
      <c r="B341" s="77" t="s">
        <v>676</v>
      </c>
      <c r="C341" s="77" t="s">
        <v>677</v>
      </c>
      <c r="D341" s="78"/>
      <c r="E341" s="77">
        <v>145.0</v>
      </c>
      <c r="F341" s="77">
        <v>10.0</v>
      </c>
      <c r="G341" s="78">
        <v>8.3061E7</v>
      </c>
      <c r="H341" s="81">
        <v>0.05</v>
      </c>
      <c r="I341" s="77">
        <f t="shared" si="1047"/>
        <v>0</v>
      </c>
      <c r="J341" s="79"/>
      <c r="K341" s="77">
        <f t="shared" si="1048"/>
        <v>0</v>
      </c>
      <c r="L341" s="82">
        <f t="shared" si="987"/>
        <v>155</v>
      </c>
      <c r="M341" s="77">
        <f t="shared" si="1055"/>
        <v>0</v>
      </c>
      <c r="N341" s="83">
        <f t="shared" si="989"/>
        <v>12.4</v>
      </c>
      <c r="O341" s="83">
        <f t="shared" si="990"/>
        <v>15.5</v>
      </c>
      <c r="P341" s="83">
        <f t="shared" si="991"/>
        <v>7.75</v>
      </c>
      <c r="Q341" s="83">
        <f t="shared" si="992"/>
        <v>3.1</v>
      </c>
      <c r="R341" s="83">
        <f t="shared" si="993"/>
        <v>0</v>
      </c>
      <c r="S341" s="83">
        <f t="shared" si="994"/>
        <v>1.55</v>
      </c>
      <c r="T341" s="84">
        <f t="shared" si="995"/>
        <v>40.3</v>
      </c>
      <c r="U341" s="77">
        <f t="shared" si="996"/>
        <v>0</v>
      </c>
      <c r="V341" s="42">
        <f t="shared" si="15"/>
        <v>0</v>
      </c>
      <c r="W341" s="77">
        <f t="shared" si="997"/>
        <v>0</v>
      </c>
      <c r="X341" s="77">
        <f t="shared" si="998"/>
        <v>0</v>
      </c>
      <c r="Y341" s="77">
        <f t="shared" si="999"/>
        <v>0</v>
      </c>
      <c r="Z341" s="84">
        <f t="shared" si="1000"/>
        <v>195.3</v>
      </c>
      <c r="AA341" s="85">
        <f t="shared" si="1001"/>
        <v>39.06</v>
      </c>
      <c r="AB341" s="83">
        <f t="shared" si="1002"/>
        <v>234.36</v>
      </c>
      <c r="AC341" s="77">
        <f t="shared" si="1049"/>
        <v>0</v>
      </c>
      <c r="AD341" s="83">
        <f t="shared" si="1050"/>
        <v>234.36</v>
      </c>
      <c r="AE341" s="83">
        <f t="shared" si="1051"/>
        <v>100</v>
      </c>
      <c r="AF341" s="79">
        <v>16500.0</v>
      </c>
      <c r="AG341" s="86">
        <f t="shared" si="1006"/>
        <v>10545.16129</v>
      </c>
      <c r="AH341" s="63">
        <f t="shared" si="1007"/>
        <v>490</v>
      </c>
      <c r="AI341" s="90">
        <v>17990.0</v>
      </c>
      <c r="AJ341" s="90">
        <v>16990.0</v>
      </c>
      <c r="AK341" s="14">
        <f t="shared" si="1008"/>
        <v>10861.29032</v>
      </c>
      <c r="AL341" s="14"/>
      <c r="AM341" s="14">
        <f t="shared" si="1009"/>
        <v>2.884049441</v>
      </c>
      <c r="AN341" s="14">
        <f t="shared" si="1010"/>
        <v>316.1290323</v>
      </c>
      <c r="AO341" s="87">
        <f t="shared" si="1011"/>
        <v>109.6129032</v>
      </c>
      <c r="AP341" s="14">
        <f t="shared" si="1012"/>
        <v>167.5564</v>
      </c>
      <c r="AQ341" s="14">
        <f t="shared" si="1013"/>
        <v>169.9</v>
      </c>
      <c r="AR341" s="88">
        <f t="shared" ref="AR341:AS341" si="1152">AI341/94</f>
        <v>191.3829787</v>
      </c>
      <c r="AS341" s="88">
        <f t="shared" si="1152"/>
        <v>180.7446809</v>
      </c>
      <c r="AT341" s="89">
        <f t="shared" ref="AT341:AU341" si="1153">AI341/24</f>
        <v>749.5833333</v>
      </c>
      <c r="AU341" s="89">
        <f t="shared" si="1153"/>
        <v>707.9166667</v>
      </c>
      <c r="AV341" s="89">
        <f t="shared" ref="AV341:AW341" si="1154">AI341/125</f>
        <v>143.92</v>
      </c>
      <c r="AW341" s="89">
        <f t="shared" si="1154"/>
        <v>135.92</v>
      </c>
      <c r="AX341" s="79"/>
      <c r="AY341" s="79"/>
    </row>
    <row r="342" ht="15.75" customHeight="1">
      <c r="A342" s="77"/>
      <c r="B342" s="77" t="s">
        <v>678</v>
      </c>
      <c r="C342" s="77" t="s">
        <v>679</v>
      </c>
      <c r="D342" s="78"/>
      <c r="E342" s="77">
        <v>145.0</v>
      </c>
      <c r="F342" s="77">
        <v>10.0</v>
      </c>
      <c r="G342" s="78">
        <v>8.3061E7</v>
      </c>
      <c r="H342" s="81">
        <v>0.05</v>
      </c>
      <c r="I342" s="77">
        <f t="shared" si="1047"/>
        <v>0</v>
      </c>
      <c r="J342" s="79"/>
      <c r="K342" s="77">
        <f t="shared" si="1048"/>
        <v>0</v>
      </c>
      <c r="L342" s="82">
        <f t="shared" si="987"/>
        <v>155</v>
      </c>
      <c r="M342" s="77">
        <f t="shared" si="1055"/>
        <v>0</v>
      </c>
      <c r="N342" s="83">
        <f t="shared" si="989"/>
        <v>12.4</v>
      </c>
      <c r="O342" s="83">
        <f t="shared" si="990"/>
        <v>15.5</v>
      </c>
      <c r="P342" s="83">
        <f t="shared" si="991"/>
        <v>7.75</v>
      </c>
      <c r="Q342" s="83">
        <f t="shared" si="992"/>
        <v>3.1</v>
      </c>
      <c r="R342" s="83">
        <f t="shared" si="993"/>
        <v>0</v>
      </c>
      <c r="S342" s="83">
        <f t="shared" si="994"/>
        <v>1.55</v>
      </c>
      <c r="T342" s="84">
        <f t="shared" si="995"/>
        <v>40.3</v>
      </c>
      <c r="U342" s="77">
        <f t="shared" si="996"/>
        <v>0</v>
      </c>
      <c r="V342" s="42">
        <f t="shared" si="15"/>
        <v>0</v>
      </c>
      <c r="W342" s="77">
        <f t="shared" si="997"/>
        <v>0</v>
      </c>
      <c r="X342" s="77">
        <f t="shared" si="998"/>
        <v>0</v>
      </c>
      <c r="Y342" s="77">
        <f t="shared" si="999"/>
        <v>0</v>
      </c>
      <c r="Z342" s="84">
        <f t="shared" si="1000"/>
        <v>195.3</v>
      </c>
      <c r="AA342" s="85">
        <f t="shared" si="1001"/>
        <v>39.06</v>
      </c>
      <c r="AB342" s="83">
        <f t="shared" si="1002"/>
        <v>234.36</v>
      </c>
      <c r="AC342" s="77">
        <f t="shared" si="1049"/>
        <v>0</v>
      </c>
      <c r="AD342" s="83">
        <f t="shared" si="1050"/>
        <v>234.36</v>
      </c>
      <c r="AE342" s="83">
        <f t="shared" si="1051"/>
        <v>100</v>
      </c>
      <c r="AF342" s="79">
        <v>16500.0</v>
      </c>
      <c r="AG342" s="86">
        <f t="shared" si="1006"/>
        <v>10545.16129</v>
      </c>
      <c r="AH342" s="63">
        <f t="shared" si="1007"/>
        <v>490</v>
      </c>
      <c r="AI342" s="90">
        <v>17990.0</v>
      </c>
      <c r="AJ342" s="90">
        <v>16990.0</v>
      </c>
      <c r="AK342" s="14">
        <f t="shared" si="1008"/>
        <v>10861.29032</v>
      </c>
      <c r="AL342" s="14"/>
      <c r="AM342" s="14">
        <f t="shared" si="1009"/>
        <v>2.884049441</v>
      </c>
      <c r="AN342" s="14">
        <f t="shared" si="1010"/>
        <v>316.1290323</v>
      </c>
      <c r="AO342" s="87">
        <f t="shared" si="1011"/>
        <v>109.6129032</v>
      </c>
      <c r="AP342" s="14">
        <f t="shared" si="1012"/>
        <v>167.5564</v>
      </c>
      <c r="AQ342" s="14">
        <f t="shared" si="1013"/>
        <v>169.9</v>
      </c>
      <c r="AR342" s="88">
        <f t="shared" ref="AR342:AS342" si="1155">AI342/94</f>
        <v>191.3829787</v>
      </c>
      <c r="AS342" s="88">
        <f t="shared" si="1155"/>
        <v>180.7446809</v>
      </c>
      <c r="AT342" s="89">
        <f t="shared" ref="AT342:AU342" si="1156">AI342/24</f>
        <v>749.5833333</v>
      </c>
      <c r="AU342" s="89">
        <f t="shared" si="1156"/>
        <v>707.9166667</v>
      </c>
      <c r="AV342" s="89">
        <f t="shared" ref="AV342:AW342" si="1157">AI342/125</f>
        <v>143.92</v>
      </c>
      <c r="AW342" s="89">
        <f t="shared" si="1157"/>
        <v>135.92</v>
      </c>
      <c r="AX342" s="79"/>
      <c r="AY342" s="79"/>
    </row>
    <row r="343" ht="15.75" customHeight="1">
      <c r="A343" s="77"/>
      <c r="B343" s="77" t="s">
        <v>680</v>
      </c>
      <c r="C343" s="77" t="s">
        <v>681</v>
      </c>
      <c r="D343" s="78"/>
      <c r="E343" s="77">
        <v>145.0</v>
      </c>
      <c r="F343" s="77">
        <v>10.0</v>
      </c>
      <c r="G343" s="78">
        <v>8.3061E7</v>
      </c>
      <c r="H343" s="81">
        <v>0.05</v>
      </c>
      <c r="I343" s="77">
        <f t="shared" si="1047"/>
        <v>0</v>
      </c>
      <c r="J343" s="79"/>
      <c r="K343" s="77">
        <f t="shared" si="1048"/>
        <v>0</v>
      </c>
      <c r="L343" s="82">
        <f t="shared" si="987"/>
        <v>155</v>
      </c>
      <c r="M343" s="77">
        <f t="shared" si="1055"/>
        <v>0</v>
      </c>
      <c r="N343" s="83">
        <f t="shared" si="989"/>
        <v>12.4</v>
      </c>
      <c r="O343" s="83">
        <f t="shared" si="990"/>
        <v>15.5</v>
      </c>
      <c r="P343" s="83">
        <f t="shared" si="991"/>
        <v>7.75</v>
      </c>
      <c r="Q343" s="83">
        <f t="shared" si="992"/>
        <v>3.1</v>
      </c>
      <c r="R343" s="83">
        <f t="shared" si="993"/>
        <v>0</v>
      </c>
      <c r="S343" s="83">
        <f t="shared" si="994"/>
        <v>1.55</v>
      </c>
      <c r="T343" s="84">
        <f t="shared" si="995"/>
        <v>40.3</v>
      </c>
      <c r="U343" s="77">
        <f t="shared" si="996"/>
        <v>0</v>
      </c>
      <c r="V343" s="42">
        <f t="shared" si="15"/>
        <v>0</v>
      </c>
      <c r="W343" s="77">
        <f t="shared" si="997"/>
        <v>0</v>
      </c>
      <c r="X343" s="77">
        <f t="shared" si="998"/>
        <v>0</v>
      </c>
      <c r="Y343" s="77">
        <f t="shared" si="999"/>
        <v>0</v>
      </c>
      <c r="Z343" s="84">
        <f t="shared" si="1000"/>
        <v>195.3</v>
      </c>
      <c r="AA343" s="85">
        <f t="shared" si="1001"/>
        <v>39.06</v>
      </c>
      <c r="AB343" s="83">
        <f t="shared" si="1002"/>
        <v>234.36</v>
      </c>
      <c r="AC343" s="77">
        <f t="shared" si="1049"/>
        <v>0</v>
      </c>
      <c r="AD343" s="83">
        <f t="shared" si="1050"/>
        <v>234.36</v>
      </c>
      <c r="AE343" s="83">
        <f t="shared" si="1051"/>
        <v>100</v>
      </c>
      <c r="AF343" s="79">
        <v>19500.0</v>
      </c>
      <c r="AG343" s="86">
        <f t="shared" si="1006"/>
        <v>12480.64516</v>
      </c>
      <c r="AH343" s="63">
        <f t="shared" si="1007"/>
        <v>490</v>
      </c>
      <c r="AI343" s="90">
        <v>21990.0</v>
      </c>
      <c r="AJ343" s="90">
        <v>19990.0</v>
      </c>
      <c r="AK343" s="14">
        <f t="shared" si="1008"/>
        <v>12796.77419</v>
      </c>
      <c r="AL343" s="14"/>
      <c r="AM343" s="14">
        <f t="shared" si="1009"/>
        <v>2.451225613</v>
      </c>
      <c r="AN343" s="14">
        <f t="shared" si="1010"/>
        <v>316.1290323</v>
      </c>
      <c r="AO343" s="87">
        <f t="shared" si="1011"/>
        <v>128.9677419</v>
      </c>
      <c r="AP343" s="14">
        <f t="shared" si="1012"/>
        <v>197.5564</v>
      </c>
      <c r="AQ343" s="14">
        <f t="shared" si="1013"/>
        <v>199.9</v>
      </c>
      <c r="AR343" s="88">
        <f t="shared" ref="AR343:AS343" si="1158">AI343/94</f>
        <v>233.9361702</v>
      </c>
      <c r="AS343" s="88">
        <f t="shared" si="1158"/>
        <v>212.6595745</v>
      </c>
      <c r="AT343" s="89">
        <f t="shared" ref="AT343:AU343" si="1159">AI343/24</f>
        <v>916.25</v>
      </c>
      <c r="AU343" s="89">
        <f t="shared" si="1159"/>
        <v>832.9166667</v>
      </c>
      <c r="AV343" s="89">
        <f t="shared" ref="AV343:AW343" si="1160">AI343/125</f>
        <v>175.92</v>
      </c>
      <c r="AW343" s="89">
        <f t="shared" si="1160"/>
        <v>159.92</v>
      </c>
      <c r="AX343" s="79"/>
      <c r="AY343" s="79"/>
    </row>
    <row r="344" ht="15.75" customHeight="1">
      <c r="A344" s="77"/>
      <c r="B344" s="77" t="s">
        <v>682</v>
      </c>
      <c r="C344" s="77" t="s">
        <v>683</v>
      </c>
      <c r="D344" s="78"/>
      <c r="E344" s="77">
        <v>145.0</v>
      </c>
      <c r="F344" s="77">
        <v>10.0</v>
      </c>
      <c r="G344" s="78">
        <v>8.3061E7</v>
      </c>
      <c r="H344" s="81">
        <v>0.05</v>
      </c>
      <c r="I344" s="77">
        <f t="shared" si="1047"/>
        <v>0</v>
      </c>
      <c r="J344" s="79"/>
      <c r="K344" s="77">
        <f t="shared" si="1048"/>
        <v>0</v>
      </c>
      <c r="L344" s="82">
        <f t="shared" si="987"/>
        <v>155</v>
      </c>
      <c r="M344" s="77">
        <f t="shared" si="1055"/>
        <v>0</v>
      </c>
      <c r="N344" s="83">
        <f t="shared" si="989"/>
        <v>12.4</v>
      </c>
      <c r="O344" s="83">
        <f t="shared" si="990"/>
        <v>15.5</v>
      </c>
      <c r="P344" s="83">
        <f t="shared" si="991"/>
        <v>7.75</v>
      </c>
      <c r="Q344" s="83">
        <f t="shared" si="992"/>
        <v>3.1</v>
      </c>
      <c r="R344" s="83">
        <f t="shared" si="993"/>
        <v>0</v>
      </c>
      <c r="S344" s="83">
        <f t="shared" si="994"/>
        <v>1.55</v>
      </c>
      <c r="T344" s="84">
        <f t="shared" si="995"/>
        <v>40.3</v>
      </c>
      <c r="U344" s="77">
        <f t="shared" si="996"/>
        <v>0</v>
      </c>
      <c r="V344" s="42">
        <f t="shared" si="15"/>
        <v>0</v>
      </c>
      <c r="W344" s="77">
        <f t="shared" si="997"/>
        <v>0</v>
      </c>
      <c r="X344" s="77">
        <f t="shared" si="998"/>
        <v>0</v>
      </c>
      <c r="Y344" s="77">
        <f t="shared" si="999"/>
        <v>0</v>
      </c>
      <c r="Z344" s="84">
        <f t="shared" si="1000"/>
        <v>195.3</v>
      </c>
      <c r="AA344" s="85">
        <f t="shared" si="1001"/>
        <v>39.06</v>
      </c>
      <c r="AB344" s="83">
        <f t="shared" si="1002"/>
        <v>234.36</v>
      </c>
      <c r="AC344" s="77">
        <f t="shared" si="1049"/>
        <v>0</v>
      </c>
      <c r="AD344" s="83">
        <f t="shared" si="1050"/>
        <v>234.36</v>
      </c>
      <c r="AE344" s="83">
        <f t="shared" si="1051"/>
        <v>100</v>
      </c>
      <c r="AF344" s="79">
        <v>22500.0</v>
      </c>
      <c r="AG344" s="86">
        <f t="shared" si="1006"/>
        <v>14416.12903</v>
      </c>
      <c r="AH344" s="63">
        <f t="shared" si="1007"/>
        <v>490</v>
      </c>
      <c r="AI344" s="90">
        <v>24990.0</v>
      </c>
      <c r="AJ344" s="90">
        <v>22990.0</v>
      </c>
      <c r="AK344" s="14">
        <f t="shared" si="1008"/>
        <v>14732.25806</v>
      </c>
      <c r="AL344" s="14"/>
      <c r="AM344" s="14">
        <f t="shared" si="1009"/>
        <v>2.131361462</v>
      </c>
      <c r="AN344" s="14">
        <f t="shared" si="1010"/>
        <v>316.1290323</v>
      </c>
      <c r="AO344" s="87">
        <f t="shared" si="1011"/>
        <v>148.3225806</v>
      </c>
      <c r="AP344" s="14">
        <f t="shared" si="1012"/>
        <v>227.5564</v>
      </c>
      <c r="AQ344" s="14">
        <f t="shared" si="1013"/>
        <v>229.9</v>
      </c>
      <c r="AR344" s="88">
        <f t="shared" ref="AR344:AS344" si="1161">AI344/94</f>
        <v>265.8510638</v>
      </c>
      <c r="AS344" s="88">
        <f t="shared" si="1161"/>
        <v>244.5744681</v>
      </c>
      <c r="AT344" s="89">
        <f t="shared" ref="AT344:AU344" si="1162">AI344/24</f>
        <v>1041.25</v>
      </c>
      <c r="AU344" s="89">
        <f t="shared" si="1162"/>
        <v>957.9166667</v>
      </c>
      <c r="AV344" s="89">
        <f t="shared" ref="AV344:AW344" si="1163">AI344/125</f>
        <v>199.92</v>
      </c>
      <c r="AW344" s="89">
        <f t="shared" si="1163"/>
        <v>183.92</v>
      </c>
      <c r="AX344" s="79"/>
      <c r="AY344" s="79"/>
    </row>
    <row r="345" ht="15.75" customHeight="1">
      <c r="A345" s="77"/>
      <c r="B345" s="77" t="s">
        <v>684</v>
      </c>
      <c r="C345" s="77" t="s">
        <v>685</v>
      </c>
      <c r="D345" s="78"/>
      <c r="E345" s="77">
        <v>125.0</v>
      </c>
      <c r="F345" s="77">
        <v>10.0</v>
      </c>
      <c r="G345" s="78">
        <v>8.3061E7</v>
      </c>
      <c r="H345" s="81">
        <v>0.05</v>
      </c>
      <c r="I345" s="77">
        <f t="shared" si="1047"/>
        <v>0</v>
      </c>
      <c r="J345" s="79"/>
      <c r="K345" s="77">
        <f t="shared" si="1048"/>
        <v>0</v>
      </c>
      <c r="L345" s="82">
        <f t="shared" si="987"/>
        <v>135</v>
      </c>
      <c r="M345" s="77">
        <f t="shared" si="1055"/>
        <v>0</v>
      </c>
      <c r="N345" s="83">
        <f t="shared" si="989"/>
        <v>10.8</v>
      </c>
      <c r="O345" s="83">
        <f t="shared" si="990"/>
        <v>13.5</v>
      </c>
      <c r="P345" s="83">
        <f t="shared" si="991"/>
        <v>6.75</v>
      </c>
      <c r="Q345" s="83">
        <f t="shared" si="992"/>
        <v>2.7</v>
      </c>
      <c r="R345" s="83">
        <f t="shared" si="993"/>
        <v>0</v>
      </c>
      <c r="S345" s="83">
        <f t="shared" si="994"/>
        <v>1.35</v>
      </c>
      <c r="T345" s="84">
        <f t="shared" si="995"/>
        <v>35.1</v>
      </c>
      <c r="U345" s="77">
        <f t="shared" si="996"/>
        <v>0</v>
      </c>
      <c r="V345" s="42">
        <f t="shared" si="15"/>
        <v>0</v>
      </c>
      <c r="W345" s="77">
        <f t="shared" si="997"/>
        <v>0</v>
      </c>
      <c r="X345" s="77">
        <f t="shared" si="998"/>
        <v>0</v>
      </c>
      <c r="Y345" s="77">
        <f t="shared" si="999"/>
        <v>0</v>
      </c>
      <c r="Z345" s="84">
        <f t="shared" si="1000"/>
        <v>170.1</v>
      </c>
      <c r="AA345" s="85">
        <f t="shared" si="1001"/>
        <v>34.02</v>
      </c>
      <c r="AB345" s="83">
        <f t="shared" si="1002"/>
        <v>204.12</v>
      </c>
      <c r="AC345" s="77">
        <f t="shared" si="1049"/>
        <v>0</v>
      </c>
      <c r="AD345" s="83">
        <f t="shared" si="1050"/>
        <v>204.12</v>
      </c>
      <c r="AE345" s="83">
        <f t="shared" si="1051"/>
        <v>100</v>
      </c>
      <c r="AF345" s="79"/>
      <c r="AG345" s="86">
        <f t="shared" si="1006"/>
        <v>-100</v>
      </c>
      <c r="AH345" s="63">
        <f t="shared" si="1007"/>
        <v>0</v>
      </c>
      <c r="AI345" s="63">
        <f>AF345+(AF345*9%)</f>
        <v>0</v>
      </c>
      <c r="AJ345" s="63">
        <f>AI345-(AI345*7%)</f>
        <v>0</v>
      </c>
      <c r="AK345" s="14">
        <f t="shared" si="1008"/>
        <v>-100</v>
      </c>
      <c r="AL345" s="14"/>
      <c r="AM345" s="14" t="str">
        <f t="shared" si="1009"/>
        <v>#DIV/0!</v>
      </c>
      <c r="AN345" s="14">
        <f t="shared" si="1010"/>
        <v>0</v>
      </c>
      <c r="AO345" s="87">
        <f t="shared" si="1011"/>
        <v>0</v>
      </c>
      <c r="AP345" s="14">
        <f t="shared" si="1012"/>
        <v>-2.0412</v>
      </c>
      <c r="AQ345" s="14">
        <f t="shared" si="1013"/>
        <v>0</v>
      </c>
      <c r="AR345" s="88">
        <f t="shared" ref="AR345:AS345" si="1164">AI345/94</f>
        <v>0</v>
      </c>
      <c r="AS345" s="88">
        <f t="shared" si="1164"/>
        <v>0</v>
      </c>
      <c r="AT345" s="89">
        <f t="shared" ref="AT345:AU345" si="1165">AI345/24</f>
        <v>0</v>
      </c>
      <c r="AU345" s="89">
        <f t="shared" si="1165"/>
        <v>0</v>
      </c>
      <c r="AV345" s="89">
        <f t="shared" ref="AV345:AW345" si="1166">AI345/125</f>
        <v>0</v>
      </c>
      <c r="AW345" s="89">
        <f t="shared" si="1166"/>
        <v>0</v>
      </c>
      <c r="AX345" s="79"/>
      <c r="AY345" s="79"/>
    </row>
    <row r="346" ht="15.75" customHeight="1">
      <c r="A346" s="77"/>
      <c r="B346" s="77" t="s">
        <v>686</v>
      </c>
      <c r="C346" s="77" t="s">
        <v>687</v>
      </c>
      <c r="D346" s="78"/>
      <c r="E346" s="77">
        <v>125.0</v>
      </c>
      <c r="F346" s="77">
        <v>10.0</v>
      </c>
      <c r="G346" s="78">
        <v>8.3061E7</v>
      </c>
      <c r="H346" s="81">
        <v>0.05</v>
      </c>
      <c r="I346" s="77">
        <f t="shared" si="1047"/>
        <v>0</v>
      </c>
      <c r="J346" s="79"/>
      <c r="K346" s="77">
        <f t="shared" si="1048"/>
        <v>0</v>
      </c>
      <c r="L346" s="82">
        <f t="shared" si="987"/>
        <v>135</v>
      </c>
      <c r="M346" s="77">
        <f t="shared" si="1055"/>
        <v>0</v>
      </c>
      <c r="N346" s="83">
        <f t="shared" si="989"/>
        <v>10.8</v>
      </c>
      <c r="O346" s="83">
        <f t="shared" si="990"/>
        <v>13.5</v>
      </c>
      <c r="P346" s="83">
        <f t="shared" si="991"/>
        <v>6.75</v>
      </c>
      <c r="Q346" s="83">
        <f t="shared" si="992"/>
        <v>2.7</v>
      </c>
      <c r="R346" s="83">
        <f t="shared" si="993"/>
        <v>0</v>
      </c>
      <c r="S346" s="83">
        <f t="shared" si="994"/>
        <v>1.35</v>
      </c>
      <c r="T346" s="84">
        <f t="shared" si="995"/>
        <v>35.1</v>
      </c>
      <c r="U346" s="77">
        <f t="shared" si="996"/>
        <v>0</v>
      </c>
      <c r="V346" s="42">
        <f t="shared" si="15"/>
        <v>0</v>
      </c>
      <c r="W346" s="77">
        <f t="shared" si="997"/>
        <v>0</v>
      </c>
      <c r="X346" s="77">
        <f t="shared" si="998"/>
        <v>0</v>
      </c>
      <c r="Y346" s="77">
        <f t="shared" si="999"/>
        <v>0</v>
      </c>
      <c r="Z346" s="84">
        <f t="shared" si="1000"/>
        <v>170.1</v>
      </c>
      <c r="AA346" s="85">
        <f t="shared" si="1001"/>
        <v>34.02</v>
      </c>
      <c r="AB346" s="83">
        <f t="shared" si="1002"/>
        <v>204.12</v>
      </c>
      <c r="AC346" s="77">
        <f t="shared" si="1049"/>
        <v>0</v>
      </c>
      <c r="AD346" s="83">
        <f t="shared" si="1050"/>
        <v>204.12</v>
      </c>
      <c r="AE346" s="83">
        <f t="shared" si="1051"/>
        <v>100</v>
      </c>
      <c r="AF346" s="79">
        <v>10500.0</v>
      </c>
      <c r="AG346" s="86">
        <f t="shared" si="1006"/>
        <v>7677.777778</v>
      </c>
      <c r="AH346" s="63">
        <f t="shared" si="1007"/>
        <v>490</v>
      </c>
      <c r="AI346" s="90">
        <v>11990.0</v>
      </c>
      <c r="AJ346" s="90">
        <v>10990.0</v>
      </c>
      <c r="AK346" s="14">
        <f t="shared" si="1008"/>
        <v>8040.740741</v>
      </c>
      <c r="AL346" s="14"/>
      <c r="AM346" s="14">
        <f t="shared" si="1009"/>
        <v>4.458598726</v>
      </c>
      <c r="AN346" s="14">
        <f t="shared" si="1010"/>
        <v>362.962963</v>
      </c>
      <c r="AO346" s="87">
        <f t="shared" si="1011"/>
        <v>81.40740741</v>
      </c>
      <c r="AP346" s="14">
        <f t="shared" si="1012"/>
        <v>107.8588</v>
      </c>
      <c r="AQ346" s="14">
        <f t="shared" si="1013"/>
        <v>109.9</v>
      </c>
      <c r="AR346" s="88">
        <f t="shared" ref="AR346:AS346" si="1167">AI346/94</f>
        <v>127.5531915</v>
      </c>
      <c r="AS346" s="88">
        <f t="shared" si="1167"/>
        <v>116.9148936</v>
      </c>
      <c r="AT346" s="89">
        <f t="shared" ref="AT346:AU346" si="1168">AI346/24</f>
        <v>499.5833333</v>
      </c>
      <c r="AU346" s="89">
        <f t="shared" si="1168"/>
        <v>457.9166667</v>
      </c>
      <c r="AV346" s="89">
        <f t="shared" ref="AV346:AW346" si="1169">AI346/125</f>
        <v>95.92</v>
      </c>
      <c r="AW346" s="89">
        <f t="shared" si="1169"/>
        <v>87.92</v>
      </c>
      <c r="AX346" s="79"/>
      <c r="AY346" s="79"/>
    </row>
    <row r="347" ht="15.75" customHeight="1">
      <c r="A347" s="77"/>
      <c r="B347" s="77" t="s">
        <v>688</v>
      </c>
      <c r="C347" s="77" t="s">
        <v>689</v>
      </c>
      <c r="D347" s="78"/>
      <c r="E347" s="77">
        <v>145.0</v>
      </c>
      <c r="F347" s="77">
        <v>10.0</v>
      </c>
      <c r="G347" s="78">
        <v>8.3061E7</v>
      </c>
      <c r="H347" s="81">
        <v>0.05</v>
      </c>
      <c r="I347" s="77">
        <f t="shared" si="1047"/>
        <v>0</v>
      </c>
      <c r="J347" s="79"/>
      <c r="K347" s="77">
        <f t="shared" si="1048"/>
        <v>0</v>
      </c>
      <c r="L347" s="82">
        <f t="shared" si="987"/>
        <v>155</v>
      </c>
      <c r="M347" s="77">
        <f t="shared" si="1055"/>
        <v>0</v>
      </c>
      <c r="N347" s="83">
        <f t="shared" si="989"/>
        <v>12.4</v>
      </c>
      <c r="O347" s="83">
        <f t="shared" si="990"/>
        <v>15.5</v>
      </c>
      <c r="P347" s="83">
        <f t="shared" si="991"/>
        <v>7.75</v>
      </c>
      <c r="Q347" s="83">
        <f t="shared" si="992"/>
        <v>3.1</v>
      </c>
      <c r="R347" s="83">
        <f t="shared" si="993"/>
        <v>0</v>
      </c>
      <c r="S347" s="83">
        <f t="shared" si="994"/>
        <v>1.55</v>
      </c>
      <c r="T347" s="84">
        <f t="shared" si="995"/>
        <v>40.3</v>
      </c>
      <c r="U347" s="77">
        <f t="shared" si="996"/>
        <v>0</v>
      </c>
      <c r="V347" s="42">
        <f t="shared" si="15"/>
        <v>0</v>
      </c>
      <c r="W347" s="77">
        <f t="shared" si="997"/>
        <v>0</v>
      </c>
      <c r="X347" s="77">
        <f t="shared" si="998"/>
        <v>0</v>
      </c>
      <c r="Y347" s="77">
        <f t="shared" si="999"/>
        <v>0</v>
      </c>
      <c r="Z347" s="84">
        <f t="shared" si="1000"/>
        <v>195.3</v>
      </c>
      <c r="AA347" s="85">
        <f t="shared" si="1001"/>
        <v>39.06</v>
      </c>
      <c r="AB347" s="83">
        <f t="shared" si="1002"/>
        <v>234.36</v>
      </c>
      <c r="AC347" s="77">
        <f t="shared" si="1049"/>
        <v>0</v>
      </c>
      <c r="AD347" s="83">
        <f t="shared" si="1050"/>
        <v>234.36</v>
      </c>
      <c r="AE347" s="83">
        <f t="shared" si="1051"/>
        <v>100</v>
      </c>
      <c r="AF347" s="79">
        <v>12500.0</v>
      </c>
      <c r="AG347" s="86">
        <f t="shared" si="1006"/>
        <v>7964.516129</v>
      </c>
      <c r="AH347" s="63">
        <f t="shared" si="1007"/>
        <v>490</v>
      </c>
      <c r="AI347" s="90">
        <v>13990.0</v>
      </c>
      <c r="AJ347" s="90">
        <v>12990.0</v>
      </c>
      <c r="AK347" s="14">
        <f t="shared" si="1008"/>
        <v>8280.645161</v>
      </c>
      <c r="AL347" s="14"/>
      <c r="AM347" s="14">
        <f t="shared" si="1009"/>
        <v>3.77213241</v>
      </c>
      <c r="AN347" s="14">
        <f t="shared" si="1010"/>
        <v>316.1290323</v>
      </c>
      <c r="AO347" s="87">
        <f t="shared" si="1011"/>
        <v>83.80645161</v>
      </c>
      <c r="AP347" s="14">
        <f t="shared" si="1012"/>
        <v>127.5564</v>
      </c>
      <c r="AQ347" s="14">
        <f t="shared" si="1013"/>
        <v>129.9</v>
      </c>
      <c r="AR347" s="88">
        <f t="shared" ref="AR347:AS347" si="1170">AI347/94</f>
        <v>148.8297872</v>
      </c>
      <c r="AS347" s="88">
        <f t="shared" si="1170"/>
        <v>138.1914894</v>
      </c>
      <c r="AT347" s="89">
        <f t="shared" ref="AT347:AU347" si="1171">AI347/24</f>
        <v>582.9166667</v>
      </c>
      <c r="AU347" s="89">
        <f t="shared" si="1171"/>
        <v>541.25</v>
      </c>
      <c r="AV347" s="89">
        <f t="shared" ref="AV347:AW347" si="1172">AI347/125</f>
        <v>111.92</v>
      </c>
      <c r="AW347" s="89">
        <f t="shared" si="1172"/>
        <v>103.92</v>
      </c>
      <c r="AX347" s="79"/>
      <c r="AY347" s="79"/>
    </row>
    <row r="348" ht="15.75" customHeight="1">
      <c r="A348" s="77"/>
      <c r="B348" s="77" t="s">
        <v>690</v>
      </c>
      <c r="C348" s="77" t="s">
        <v>691</v>
      </c>
      <c r="D348" s="78"/>
      <c r="E348" s="77">
        <v>145.0</v>
      </c>
      <c r="F348" s="77">
        <v>10.0</v>
      </c>
      <c r="G348" s="78">
        <v>8.3061E7</v>
      </c>
      <c r="H348" s="81">
        <v>0.05</v>
      </c>
      <c r="I348" s="77">
        <f t="shared" si="1047"/>
        <v>0</v>
      </c>
      <c r="J348" s="79"/>
      <c r="K348" s="77">
        <f t="shared" si="1048"/>
        <v>0</v>
      </c>
      <c r="L348" s="82">
        <f t="shared" si="987"/>
        <v>155</v>
      </c>
      <c r="M348" s="77">
        <f t="shared" si="1055"/>
        <v>0</v>
      </c>
      <c r="N348" s="83">
        <f t="shared" si="989"/>
        <v>12.4</v>
      </c>
      <c r="O348" s="83">
        <f t="shared" si="990"/>
        <v>15.5</v>
      </c>
      <c r="P348" s="83">
        <f t="shared" si="991"/>
        <v>7.75</v>
      </c>
      <c r="Q348" s="83">
        <f t="shared" si="992"/>
        <v>3.1</v>
      </c>
      <c r="R348" s="83">
        <f t="shared" si="993"/>
        <v>0</v>
      </c>
      <c r="S348" s="83">
        <f t="shared" si="994"/>
        <v>1.55</v>
      </c>
      <c r="T348" s="84">
        <f t="shared" si="995"/>
        <v>40.3</v>
      </c>
      <c r="U348" s="77">
        <f t="shared" si="996"/>
        <v>0</v>
      </c>
      <c r="V348" s="42">
        <f t="shared" si="15"/>
        <v>0</v>
      </c>
      <c r="W348" s="77">
        <f t="shared" si="997"/>
        <v>0</v>
      </c>
      <c r="X348" s="77">
        <f t="shared" si="998"/>
        <v>0</v>
      </c>
      <c r="Y348" s="77">
        <f t="shared" si="999"/>
        <v>0</v>
      </c>
      <c r="Z348" s="84">
        <f t="shared" si="1000"/>
        <v>195.3</v>
      </c>
      <c r="AA348" s="85">
        <f t="shared" si="1001"/>
        <v>39.06</v>
      </c>
      <c r="AB348" s="83">
        <f t="shared" si="1002"/>
        <v>234.36</v>
      </c>
      <c r="AC348" s="77">
        <f t="shared" si="1049"/>
        <v>0</v>
      </c>
      <c r="AD348" s="83">
        <f t="shared" si="1050"/>
        <v>234.36</v>
      </c>
      <c r="AE348" s="83">
        <f t="shared" si="1051"/>
        <v>100</v>
      </c>
      <c r="AF348" s="79">
        <v>14500.0</v>
      </c>
      <c r="AG348" s="86">
        <f t="shared" si="1006"/>
        <v>9254.83871</v>
      </c>
      <c r="AH348" s="63">
        <f t="shared" si="1007"/>
        <v>990</v>
      </c>
      <c r="AI348" s="90">
        <v>15990.0</v>
      </c>
      <c r="AJ348" s="90">
        <v>15490.0</v>
      </c>
      <c r="AK348" s="14">
        <f t="shared" si="1008"/>
        <v>9893.548387</v>
      </c>
      <c r="AL348" s="14"/>
      <c r="AM348" s="14">
        <f t="shared" si="1009"/>
        <v>6.391220142</v>
      </c>
      <c r="AN348" s="14">
        <f t="shared" si="1010"/>
        <v>638.7096774</v>
      </c>
      <c r="AO348" s="87">
        <f t="shared" si="1011"/>
        <v>99.93548387</v>
      </c>
      <c r="AP348" s="14">
        <f t="shared" si="1012"/>
        <v>152.5564</v>
      </c>
      <c r="AQ348" s="14">
        <f t="shared" si="1013"/>
        <v>154.9</v>
      </c>
      <c r="AR348" s="88">
        <f t="shared" ref="AR348:AS348" si="1173">AI348/94</f>
        <v>170.106383</v>
      </c>
      <c r="AS348" s="88">
        <f t="shared" si="1173"/>
        <v>164.787234</v>
      </c>
      <c r="AT348" s="89">
        <f t="shared" ref="AT348:AU348" si="1174">AI348/24</f>
        <v>666.25</v>
      </c>
      <c r="AU348" s="89">
        <f t="shared" si="1174"/>
        <v>645.4166667</v>
      </c>
      <c r="AV348" s="89">
        <f t="shared" ref="AV348:AW348" si="1175">AI348/125</f>
        <v>127.92</v>
      </c>
      <c r="AW348" s="89">
        <f t="shared" si="1175"/>
        <v>123.92</v>
      </c>
      <c r="AX348" s="79"/>
      <c r="AY348" s="79"/>
    </row>
    <row r="349" ht="15.75" customHeight="1">
      <c r="A349" s="77"/>
      <c r="B349" s="77" t="s">
        <v>692</v>
      </c>
      <c r="C349" s="77" t="s">
        <v>693</v>
      </c>
      <c r="D349" s="78"/>
      <c r="E349" s="77">
        <v>145.0</v>
      </c>
      <c r="F349" s="77">
        <v>10.0</v>
      </c>
      <c r="G349" s="78">
        <v>8.3061E7</v>
      </c>
      <c r="H349" s="81">
        <v>0.05</v>
      </c>
      <c r="I349" s="77">
        <f t="shared" si="1047"/>
        <v>0</v>
      </c>
      <c r="J349" s="79"/>
      <c r="K349" s="77">
        <f t="shared" si="1048"/>
        <v>0</v>
      </c>
      <c r="L349" s="82">
        <f t="shared" si="987"/>
        <v>155</v>
      </c>
      <c r="M349" s="77">
        <f t="shared" si="1055"/>
        <v>0</v>
      </c>
      <c r="N349" s="83">
        <f t="shared" si="989"/>
        <v>12.4</v>
      </c>
      <c r="O349" s="83">
        <f t="shared" si="990"/>
        <v>15.5</v>
      </c>
      <c r="P349" s="83">
        <f t="shared" si="991"/>
        <v>7.75</v>
      </c>
      <c r="Q349" s="83">
        <f t="shared" si="992"/>
        <v>3.1</v>
      </c>
      <c r="R349" s="83">
        <f t="shared" si="993"/>
        <v>0</v>
      </c>
      <c r="S349" s="83">
        <f t="shared" si="994"/>
        <v>1.55</v>
      </c>
      <c r="T349" s="84">
        <f t="shared" si="995"/>
        <v>40.3</v>
      </c>
      <c r="U349" s="77">
        <f t="shared" si="996"/>
        <v>0</v>
      </c>
      <c r="V349" s="42">
        <f t="shared" si="15"/>
        <v>0</v>
      </c>
      <c r="W349" s="77">
        <f t="shared" si="997"/>
        <v>0</v>
      </c>
      <c r="X349" s="77">
        <f t="shared" si="998"/>
        <v>0</v>
      </c>
      <c r="Y349" s="77">
        <f t="shared" si="999"/>
        <v>0</v>
      </c>
      <c r="Z349" s="84">
        <f t="shared" si="1000"/>
        <v>195.3</v>
      </c>
      <c r="AA349" s="85">
        <f t="shared" si="1001"/>
        <v>39.06</v>
      </c>
      <c r="AB349" s="83">
        <f t="shared" si="1002"/>
        <v>234.36</v>
      </c>
      <c r="AC349" s="77">
        <f t="shared" si="1049"/>
        <v>0</v>
      </c>
      <c r="AD349" s="83">
        <f t="shared" si="1050"/>
        <v>234.36</v>
      </c>
      <c r="AE349" s="83">
        <f t="shared" si="1051"/>
        <v>100</v>
      </c>
      <c r="AF349" s="79">
        <v>16500.0</v>
      </c>
      <c r="AG349" s="86">
        <f t="shared" si="1006"/>
        <v>10545.16129</v>
      </c>
      <c r="AH349" s="63">
        <f t="shared" si="1007"/>
        <v>490</v>
      </c>
      <c r="AI349" s="90">
        <v>17990.0</v>
      </c>
      <c r="AJ349" s="90">
        <v>16990.0</v>
      </c>
      <c r="AK349" s="14">
        <f t="shared" si="1008"/>
        <v>10861.29032</v>
      </c>
      <c r="AL349" s="14"/>
      <c r="AM349" s="14">
        <f t="shared" si="1009"/>
        <v>2.884049441</v>
      </c>
      <c r="AN349" s="14">
        <f t="shared" si="1010"/>
        <v>316.1290323</v>
      </c>
      <c r="AO349" s="87">
        <f t="shared" si="1011"/>
        <v>109.6129032</v>
      </c>
      <c r="AP349" s="14">
        <f t="shared" si="1012"/>
        <v>167.5564</v>
      </c>
      <c r="AQ349" s="14">
        <f t="shared" si="1013"/>
        <v>169.9</v>
      </c>
      <c r="AR349" s="88">
        <f t="shared" ref="AR349:AS349" si="1176">AI349/94</f>
        <v>191.3829787</v>
      </c>
      <c r="AS349" s="88">
        <f t="shared" si="1176"/>
        <v>180.7446809</v>
      </c>
      <c r="AT349" s="89">
        <f t="shared" ref="AT349:AU349" si="1177">AI349/24</f>
        <v>749.5833333</v>
      </c>
      <c r="AU349" s="89">
        <f t="shared" si="1177"/>
        <v>707.9166667</v>
      </c>
      <c r="AV349" s="89">
        <f t="shared" ref="AV349:AW349" si="1178">AI349/125</f>
        <v>143.92</v>
      </c>
      <c r="AW349" s="89">
        <f t="shared" si="1178"/>
        <v>135.92</v>
      </c>
      <c r="AX349" s="79"/>
      <c r="AY349" s="79"/>
    </row>
    <row r="350" ht="15.75" customHeight="1">
      <c r="A350" s="77"/>
      <c r="B350" s="77" t="s">
        <v>694</v>
      </c>
      <c r="C350" s="77" t="s">
        <v>695</v>
      </c>
      <c r="D350" s="78"/>
      <c r="E350" s="77">
        <v>145.0</v>
      </c>
      <c r="F350" s="77">
        <v>10.0</v>
      </c>
      <c r="G350" s="78">
        <v>8.3061E7</v>
      </c>
      <c r="H350" s="81">
        <v>0.05</v>
      </c>
      <c r="I350" s="77">
        <f t="shared" si="1047"/>
        <v>0</v>
      </c>
      <c r="J350" s="79"/>
      <c r="K350" s="77">
        <f t="shared" si="1048"/>
        <v>0</v>
      </c>
      <c r="L350" s="82">
        <f t="shared" si="987"/>
        <v>155</v>
      </c>
      <c r="M350" s="77">
        <f t="shared" si="1055"/>
        <v>0</v>
      </c>
      <c r="N350" s="83">
        <f t="shared" si="989"/>
        <v>12.4</v>
      </c>
      <c r="O350" s="83">
        <f t="shared" si="990"/>
        <v>15.5</v>
      </c>
      <c r="P350" s="83">
        <f t="shared" si="991"/>
        <v>7.75</v>
      </c>
      <c r="Q350" s="83">
        <f t="shared" si="992"/>
        <v>3.1</v>
      </c>
      <c r="R350" s="83">
        <f t="shared" si="993"/>
        <v>0</v>
      </c>
      <c r="S350" s="83">
        <f t="shared" si="994"/>
        <v>1.55</v>
      </c>
      <c r="T350" s="84">
        <f t="shared" si="995"/>
        <v>40.3</v>
      </c>
      <c r="U350" s="77">
        <f t="shared" si="996"/>
        <v>0</v>
      </c>
      <c r="V350" s="42">
        <f t="shared" si="15"/>
        <v>0</v>
      </c>
      <c r="W350" s="77">
        <f t="shared" si="997"/>
        <v>0</v>
      </c>
      <c r="X350" s="77">
        <f t="shared" si="998"/>
        <v>0</v>
      </c>
      <c r="Y350" s="77">
        <f t="shared" si="999"/>
        <v>0</v>
      </c>
      <c r="Z350" s="84">
        <f t="shared" si="1000"/>
        <v>195.3</v>
      </c>
      <c r="AA350" s="85">
        <f t="shared" si="1001"/>
        <v>39.06</v>
      </c>
      <c r="AB350" s="83">
        <f t="shared" si="1002"/>
        <v>234.36</v>
      </c>
      <c r="AC350" s="77">
        <f t="shared" si="1049"/>
        <v>0</v>
      </c>
      <c r="AD350" s="83">
        <f t="shared" si="1050"/>
        <v>234.36</v>
      </c>
      <c r="AE350" s="83">
        <f t="shared" si="1051"/>
        <v>100</v>
      </c>
      <c r="AF350" s="79">
        <v>19500.0</v>
      </c>
      <c r="AG350" s="86">
        <f t="shared" si="1006"/>
        <v>12480.64516</v>
      </c>
      <c r="AH350" s="63">
        <f t="shared" si="1007"/>
        <v>490</v>
      </c>
      <c r="AI350" s="90">
        <v>21990.0</v>
      </c>
      <c r="AJ350" s="90">
        <v>19990.0</v>
      </c>
      <c r="AK350" s="14">
        <f t="shared" si="1008"/>
        <v>12796.77419</v>
      </c>
      <c r="AL350" s="14"/>
      <c r="AM350" s="14">
        <f t="shared" si="1009"/>
        <v>2.451225613</v>
      </c>
      <c r="AN350" s="14">
        <f t="shared" si="1010"/>
        <v>316.1290323</v>
      </c>
      <c r="AO350" s="87">
        <f t="shared" si="1011"/>
        <v>128.9677419</v>
      </c>
      <c r="AP350" s="14">
        <f t="shared" si="1012"/>
        <v>197.5564</v>
      </c>
      <c r="AQ350" s="14">
        <f t="shared" si="1013"/>
        <v>199.9</v>
      </c>
      <c r="AR350" s="88">
        <f t="shared" ref="AR350:AS350" si="1179">AI350/94</f>
        <v>233.9361702</v>
      </c>
      <c r="AS350" s="88">
        <f t="shared" si="1179"/>
        <v>212.6595745</v>
      </c>
      <c r="AT350" s="89">
        <f t="shared" ref="AT350:AU350" si="1180">AI350/24</f>
        <v>916.25</v>
      </c>
      <c r="AU350" s="89">
        <f t="shared" si="1180"/>
        <v>832.9166667</v>
      </c>
      <c r="AV350" s="89">
        <f t="shared" ref="AV350:AW350" si="1181">AI350/125</f>
        <v>175.92</v>
      </c>
      <c r="AW350" s="89">
        <f t="shared" si="1181"/>
        <v>159.92</v>
      </c>
      <c r="AX350" s="79"/>
      <c r="AY350" s="79"/>
    </row>
    <row r="351" ht="15.75" customHeight="1">
      <c r="A351" s="77"/>
      <c r="B351" s="77" t="s">
        <v>696</v>
      </c>
      <c r="C351" s="77" t="s">
        <v>697</v>
      </c>
      <c r="D351" s="78"/>
      <c r="E351" s="77">
        <v>145.0</v>
      </c>
      <c r="F351" s="77">
        <v>10.0</v>
      </c>
      <c r="G351" s="78">
        <v>8.3061E7</v>
      </c>
      <c r="H351" s="81">
        <v>0.05</v>
      </c>
      <c r="I351" s="77">
        <f t="shared" si="1047"/>
        <v>0</v>
      </c>
      <c r="J351" s="79"/>
      <c r="K351" s="77">
        <f t="shared" si="1048"/>
        <v>0</v>
      </c>
      <c r="L351" s="82">
        <f t="shared" si="987"/>
        <v>155</v>
      </c>
      <c r="M351" s="77">
        <f t="shared" si="1055"/>
        <v>0</v>
      </c>
      <c r="N351" s="83">
        <f t="shared" si="989"/>
        <v>12.4</v>
      </c>
      <c r="O351" s="83">
        <f t="shared" si="990"/>
        <v>15.5</v>
      </c>
      <c r="P351" s="83">
        <f t="shared" si="991"/>
        <v>7.75</v>
      </c>
      <c r="Q351" s="83">
        <f t="shared" si="992"/>
        <v>3.1</v>
      </c>
      <c r="R351" s="83">
        <f t="shared" si="993"/>
        <v>0</v>
      </c>
      <c r="S351" s="83">
        <f t="shared" si="994"/>
        <v>1.55</v>
      </c>
      <c r="T351" s="84">
        <f t="shared" si="995"/>
        <v>40.3</v>
      </c>
      <c r="U351" s="77">
        <f t="shared" si="996"/>
        <v>0</v>
      </c>
      <c r="V351" s="42">
        <f t="shared" si="15"/>
        <v>0</v>
      </c>
      <c r="W351" s="77">
        <f t="shared" si="997"/>
        <v>0</v>
      </c>
      <c r="X351" s="77">
        <f t="shared" si="998"/>
        <v>0</v>
      </c>
      <c r="Y351" s="77">
        <f t="shared" si="999"/>
        <v>0</v>
      </c>
      <c r="Z351" s="84">
        <f t="shared" si="1000"/>
        <v>195.3</v>
      </c>
      <c r="AA351" s="85">
        <f t="shared" si="1001"/>
        <v>39.06</v>
      </c>
      <c r="AB351" s="83">
        <f t="shared" si="1002"/>
        <v>234.36</v>
      </c>
      <c r="AC351" s="77">
        <f t="shared" si="1049"/>
        <v>0</v>
      </c>
      <c r="AD351" s="83">
        <f t="shared" si="1050"/>
        <v>234.36</v>
      </c>
      <c r="AE351" s="83">
        <f t="shared" si="1051"/>
        <v>100</v>
      </c>
      <c r="AF351" s="79">
        <v>22500.0</v>
      </c>
      <c r="AG351" s="86">
        <f t="shared" si="1006"/>
        <v>14416.12903</v>
      </c>
      <c r="AH351" s="63">
        <f t="shared" si="1007"/>
        <v>490</v>
      </c>
      <c r="AI351" s="90">
        <v>24990.0</v>
      </c>
      <c r="AJ351" s="90">
        <v>22990.0</v>
      </c>
      <c r="AK351" s="14">
        <f t="shared" si="1008"/>
        <v>14732.25806</v>
      </c>
      <c r="AL351" s="14"/>
      <c r="AM351" s="14">
        <f t="shared" si="1009"/>
        <v>2.131361462</v>
      </c>
      <c r="AN351" s="14">
        <f t="shared" si="1010"/>
        <v>316.1290323</v>
      </c>
      <c r="AO351" s="87">
        <f t="shared" si="1011"/>
        <v>148.3225806</v>
      </c>
      <c r="AP351" s="14">
        <f t="shared" si="1012"/>
        <v>227.5564</v>
      </c>
      <c r="AQ351" s="14">
        <f t="shared" si="1013"/>
        <v>229.9</v>
      </c>
      <c r="AR351" s="88">
        <f t="shared" ref="AR351:AS351" si="1182">AI351/94</f>
        <v>265.8510638</v>
      </c>
      <c r="AS351" s="88">
        <f t="shared" si="1182"/>
        <v>244.5744681</v>
      </c>
      <c r="AT351" s="89">
        <f t="shared" ref="AT351:AU351" si="1183">AI351/24</f>
        <v>1041.25</v>
      </c>
      <c r="AU351" s="89">
        <f t="shared" si="1183"/>
        <v>957.9166667</v>
      </c>
      <c r="AV351" s="89">
        <f t="shared" ref="AV351:AW351" si="1184">AI351/125</f>
        <v>199.92</v>
      </c>
      <c r="AW351" s="89">
        <f t="shared" si="1184"/>
        <v>183.92</v>
      </c>
      <c r="AX351" s="79"/>
      <c r="AY351" s="79"/>
    </row>
    <row r="352" ht="15.75" customHeight="1">
      <c r="A352" s="77"/>
      <c r="B352" s="77" t="s">
        <v>698</v>
      </c>
      <c r="C352" s="77" t="s">
        <v>699</v>
      </c>
      <c r="D352" s="78"/>
      <c r="E352" s="77">
        <v>125.0</v>
      </c>
      <c r="F352" s="77">
        <v>10.0</v>
      </c>
      <c r="G352" s="78">
        <v>8.3061E7</v>
      </c>
      <c r="H352" s="81">
        <v>0.05</v>
      </c>
      <c r="I352" s="77">
        <f t="shared" si="1047"/>
        <v>0</v>
      </c>
      <c r="J352" s="79"/>
      <c r="K352" s="77">
        <f t="shared" si="1048"/>
        <v>0</v>
      </c>
      <c r="L352" s="82">
        <f t="shared" si="987"/>
        <v>135</v>
      </c>
      <c r="M352" s="77">
        <f t="shared" si="1055"/>
        <v>0</v>
      </c>
      <c r="N352" s="83">
        <f t="shared" si="989"/>
        <v>10.8</v>
      </c>
      <c r="O352" s="83">
        <f t="shared" si="990"/>
        <v>13.5</v>
      </c>
      <c r="P352" s="83">
        <f t="shared" si="991"/>
        <v>6.75</v>
      </c>
      <c r="Q352" s="83">
        <f t="shared" si="992"/>
        <v>2.7</v>
      </c>
      <c r="R352" s="83">
        <f t="shared" si="993"/>
        <v>0</v>
      </c>
      <c r="S352" s="83">
        <f t="shared" si="994"/>
        <v>1.35</v>
      </c>
      <c r="T352" s="84">
        <f t="shared" si="995"/>
        <v>35.1</v>
      </c>
      <c r="U352" s="77">
        <f t="shared" si="996"/>
        <v>0</v>
      </c>
      <c r="V352" s="42">
        <f t="shared" si="15"/>
        <v>0</v>
      </c>
      <c r="W352" s="77">
        <f t="shared" si="997"/>
        <v>0</v>
      </c>
      <c r="X352" s="77">
        <f t="shared" si="998"/>
        <v>0</v>
      </c>
      <c r="Y352" s="77">
        <f t="shared" si="999"/>
        <v>0</v>
      </c>
      <c r="Z352" s="84">
        <f t="shared" si="1000"/>
        <v>170.1</v>
      </c>
      <c r="AA352" s="85">
        <f t="shared" si="1001"/>
        <v>34.02</v>
      </c>
      <c r="AB352" s="83">
        <f t="shared" si="1002"/>
        <v>204.12</v>
      </c>
      <c r="AC352" s="77">
        <f t="shared" si="1049"/>
        <v>0</v>
      </c>
      <c r="AD352" s="83">
        <f t="shared" si="1050"/>
        <v>204.12</v>
      </c>
      <c r="AE352" s="83">
        <f t="shared" si="1051"/>
        <v>100</v>
      </c>
      <c r="AF352" s="79">
        <v>8500.0</v>
      </c>
      <c r="AG352" s="86">
        <f t="shared" si="1006"/>
        <v>6196.296296</v>
      </c>
      <c r="AH352" s="63">
        <f t="shared" si="1007"/>
        <v>490</v>
      </c>
      <c r="AI352" s="90">
        <v>9990.0</v>
      </c>
      <c r="AJ352" s="90">
        <v>8990.0</v>
      </c>
      <c r="AK352" s="14">
        <f t="shared" si="1008"/>
        <v>6559.259259</v>
      </c>
      <c r="AL352" s="14"/>
      <c r="AM352" s="14">
        <f t="shared" si="1009"/>
        <v>5.450500556</v>
      </c>
      <c r="AN352" s="14">
        <f t="shared" si="1010"/>
        <v>362.962963</v>
      </c>
      <c r="AO352" s="87">
        <f t="shared" si="1011"/>
        <v>66.59259259</v>
      </c>
      <c r="AP352" s="14">
        <f t="shared" si="1012"/>
        <v>87.8588</v>
      </c>
      <c r="AQ352" s="14">
        <f t="shared" si="1013"/>
        <v>89.9</v>
      </c>
      <c r="AR352" s="88">
        <f t="shared" ref="AR352:AS352" si="1185">AI352/94</f>
        <v>106.2765957</v>
      </c>
      <c r="AS352" s="88">
        <f t="shared" si="1185"/>
        <v>95.63829787</v>
      </c>
      <c r="AT352" s="89">
        <f t="shared" ref="AT352:AU352" si="1186">AI352/24</f>
        <v>416.25</v>
      </c>
      <c r="AU352" s="89">
        <f t="shared" si="1186"/>
        <v>374.5833333</v>
      </c>
      <c r="AV352" s="89">
        <f t="shared" ref="AV352:AW352" si="1187">AI352/125</f>
        <v>79.92</v>
      </c>
      <c r="AW352" s="89">
        <f t="shared" si="1187"/>
        <v>71.92</v>
      </c>
      <c r="AX352" s="79"/>
      <c r="AY352" s="79"/>
    </row>
    <row r="353" ht="15.75" customHeight="1">
      <c r="A353" s="77"/>
      <c r="B353" s="77" t="s">
        <v>700</v>
      </c>
      <c r="C353" s="77" t="s">
        <v>701</v>
      </c>
      <c r="D353" s="78"/>
      <c r="E353" s="77">
        <v>125.0</v>
      </c>
      <c r="F353" s="77">
        <v>10.0</v>
      </c>
      <c r="G353" s="78">
        <v>8.3061E7</v>
      </c>
      <c r="H353" s="81">
        <v>0.05</v>
      </c>
      <c r="I353" s="77">
        <f t="shared" si="1047"/>
        <v>0</v>
      </c>
      <c r="J353" s="79"/>
      <c r="K353" s="77">
        <f t="shared" si="1048"/>
        <v>0</v>
      </c>
      <c r="L353" s="82">
        <f t="shared" si="987"/>
        <v>135</v>
      </c>
      <c r="M353" s="77">
        <f t="shared" si="1055"/>
        <v>0</v>
      </c>
      <c r="N353" s="83">
        <f t="shared" si="989"/>
        <v>10.8</v>
      </c>
      <c r="O353" s="83">
        <f t="shared" si="990"/>
        <v>13.5</v>
      </c>
      <c r="P353" s="83">
        <f t="shared" si="991"/>
        <v>6.75</v>
      </c>
      <c r="Q353" s="83">
        <f t="shared" si="992"/>
        <v>2.7</v>
      </c>
      <c r="R353" s="83">
        <f t="shared" si="993"/>
        <v>0</v>
      </c>
      <c r="S353" s="83">
        <f t="shared" si="994"/>
        <v>1.35</v>
      </c>
      <c r="T353" s="84">
        <f t="shared" si="995"/>
        <v>35.1</v>
      </c>
      <c r="U353" s="77">
        <f t="shared" si="996"/>
        <v>0</v>
      </c>
      <c r="V353" s="42">
        <f t="shared" si="15"/>
        <v>0</v>
      </c>
      <c r="W353" s="77">
        <f t="shared" si="997"/>
        <v>0</v>
      </c>
      <c r="X353" s="77">
        <f t="shared" si="998"/>
        <v>0</v>
      </c>
      <c r="Y353" s="77">
        <f t="shared" si="999"/>
        <v>0</v>
      </c>
      <c r="Z353" s="84">
        <f t="shared" si="1000"/>
        <v>170.1</v>
      </c>
      <c r="AA353" s="85">
        <f t="shared" si="1001"/>
        <v>34.02</v>
      </c>
      <c r="AB353" s="83">
        <f t="shared" si="1002"/>
        <v>204.12</v>
      </c>
      <c r="AC353" s="77">
        <f t="shared" si="1049"/>
        <v>0</v>
      </c>
      <c r="AD353" s="83">
        <f t="shared" si="1050"/>
        <v>204.12</v>
      </c>
      <c r="AE353" s="83">
        <f t="shared" si="1051"/>
        <v>100</v>
      </c>
      <c r="AF353" s="79">
        <v>10500.0</v>
      </c>
      <c r="AG353" s="86">
        <f t="shared" si="1006"/>
        <v>7677.777778</v>
      </c>
      <c r="AH353" s="63">
        <f t="shared" si="1007"/>
        <v>490</v>
      </c>
      <c r="AI353" s="90">
        <v>12990.0</v>
      </c>
      <c r="AJ353" s="90">
        <v>10990.0</v>
      </c>
      <c r="AK353" s="14">
        <f t="shared" si="1008"/>
        <v>8040.740741</v>
      </c>
      <c r="AL353" s="14"/>
      <c r="AM353" s="14">
        <f t="shared" si="1009"/>
        <v>4.458598726</v>
      </c>
      <c r="AN353" s="14">
        <f t="shared" si="1010"/>
        <v>362.962963</v>
      </c>
      <c r="AO353" s="87">
        <f t="shared" si="1011"/>
        <v>81.40740741</v>
      </c>
      <c r="AP353" s="14">
        <f t="shared" si="1012"/>
        <v>107.8588</v>
      </c>
      <c r="AQ353" s="14">
        <f t="shared" si="1013"/>
        <v>109.9</v>
      </c>
      <c r="AR353" s="88">
        <f t="shared" ref="AR353:AS353" si="1188">AI353/94</f>
        <v>138.1914894</v>
      </c>
      <c r="AS353" s="88">
        <f t="shared" si="1188"/>
        <v>116.9148936</v>
      </c>
      <c r="AT353" s="89">
        <f t="shared" ref="AT353:AU353" si="1189">AI353/24</f>
        <v>541.25</v>
      </c>
      <c r="AU353" s="89">
        <f t="shared" si="1189"/>
        <v>457.9166667</v>
      </c>
      <c r="AV353" s="89">
        <f t="shared" ref="AV353:AW353" si="1190">AI353/125</f>
        <v>103.92</v>
      </c>
      <c r="AW353" s="89">
        <f t="shared" si="1190"/>
        <v>87.92</v>
      </c>
      <c r="AX353" s="79"/>
      <c r="AY353" s="79"/>
    </row>
    <row r="354" ht="15.75" customHeight="1">
      <c r="A354" s="77"/>
      <c r="B354" s="77" t="s">
        <v>702</v>
      </c>
      <c r="C354" s="77" t="s">
        <v>703</v>
      </c>
      <c r="D354" s="78"/>
      <c r="E354" s="77">
        <v>145.0</v>
      </c>
      <c r="F354" s="77">
        <v>10.0</v>
      </c>
      <c r="G354" s="78">
        <v>8.3061E7</v>
      </c>
      <c r="H354" s="81">
        <v>0.05</v>
      </c>
      <c r="I354" s="77">
        <f t="shared" si="1047"/>
        <v>0</v>
      </c>
      <c r="J354" s="79"/>
      <c r="K354" s="77">
        <f t="shared" si="1048"/>
        <v>0</v>
      </c>
      <c r="L354" s="82">
        <f t="shared" si="987"/>
        <v>155</v>
      </c>
      <c r="M354" s="77">
        <f t="shared" si="1055"/>
        <v>0</v>
      </c>
      <c r="N354" s="83">
        <f t="shared" si="989"/>
        <v>12.4</v>
      </c>
      <c r="O354" s="83">
        <f t="shared" si="990"/>
        <v>15.5</v>
      </c>
      <c r="P354" s="83">
        <f t="shared" si="991"/>
        <v>7.75</v>
      </c>
      <c r="Q354" s="83">
        <f t="shared" si="992"/>
        <v>3.1</v>
      </c>
      <c r="R354" s="83">
        <f t="shared" si="993"/>
        <v>0</v>
      </c>
      <c r="S354" s="83">
        <f t="shared" si="994"/>
        <v>1.55</v>
      </c>
      <c r="T354" s="84">
        <f t="shared" si="995"/>
        <v>40.3</v>
      </c>
      <c r="U354" s="77">
        <f t="shared" si="996"/>
        <v>0</v>
      </c>
      <c r="V354" s="42">
        <f t="shared" si="15"/>
        <v>0</v>
      </c>
      <c r="W354" s="77">
        <f t="shared" si="997"/>
        <v>0</v>
      </c>
      <c r="X354" s="77">
        <f t="shared" si="998"/>
        <v>0</v>
      </c>
      <c r="Y354" s="77">
        <f t="shared" si="999"/>
        <v>0</v>
      </c>
      <c r="Z354" s="84">
        <f t="shared" si="1000"/>
        <v>195.3</v>
      </c>
      <c r="AA354" s="85">
        <f t="shared" si="1001"/>
        <v>39.06</v>
      </c>
      <c r="AB354" s="83">
        <f t="shared" si="1002"/>
        <v>234.36</v>
      </c>
      <c r="AC354" s="77">
        <f t="shared" si="1049"/>
        <v>0</v>
      </c>
      <c r="AD354" s="83">
        <f t="shared" si="1050"/>
        <v>234.36</v>
      </c>
      <c r="AE354" s="83">
        <f t="shared" si="1051"/>
        <v>100</v>
      </c>
      <c r="AF354" s="79">
        <v>12500.0</v>
      </c>
      <c r="AG354" s="86">
        <f t="shared" si="1006"/>
        <v>7964.516129</v>
      </c>
      <c r="AH354" s="63">
        <f t="shared" si="1007"/>
        <v>490</v>
      </c>
      <c r="AI354" s="90">
        <v>14990.0</v>
      </c>
      <c r="AJ354" s="90">
        <v>12990.0</v>
      </c>
      <c r="AK354" s="14">
        <f t="shared" si="1008"/>
        <v>8280.645161</v>
      </c>
      <c r="AL354" s="14"/>
      <c r="AM354" s="14">
        <f t="shared" si="1009"/>
        <v>3.77213241</v>
      </c>
      <c r="AN354" s="14">
        <f t="shared" si="1010"/>
        <v>316.1290323</v>
      </c>
      <c r="AO354" s="87">
        <f t="shared" si="1011"/>
        <v>83.80645161</v>
      </c>
      <c r="AP354" s="14">
        <f t="shared" si="1012"/>
        <v>127.5564</v>
      </c>
      <c r="AQ354" s="14">
        <f t="shared" si="1013"/>
        <v>129.9</v>
      </c>
      <c r="AR354" s="88">
        <f t="shared" ref="AR354:AS354" si="1191">AI354/94</f>
        <v>159.4680851</v>
      </c>
      <c r="AS354" s="88">
        <f t="shared" si="1191"/>
        <v>138.1914894</v>
      </c>
      <c r="AT354" s="89">
        <f t="shared" ref="AT354:AU354" si="1192">AI354/24</f>
        <v>624.5833333</v>
      </c>
      <c r="AU354" s="89">
        <f t="shared" si="1192"/>
        <v>541.25</v>
      </c>
      <c r="AV354" s="89">
        <f t="shared" ref="AV354:AW354" si="1193">AI354/125</f>
        <v>119.92</v>
      </c>
      <c r="AW354" s="89">
        <f t="shared" si="1193"/>
        <v>103.92</v>
      </c>
      <c r="AX354" s="79"/>
      <c r="AY354" s="79"/>
    </row>
    <row r="355" ht="15.75" customHeight="1">
      <c r="A355" s="77"/>
      <c r="B355" s="77" t="s">
        <v>704</v>
      </c>
      <c r="C355" s="77" t="s">
        <v>705</v>
      </c>
      <c r="D355" s="78"/>
      <c r="E355" s="77">
        <v>145.0</v>
      </c>
      <c r="F355" s="77">
        <v>10.0</v>
      </c>
      <c r="G355" s="78">
        <v>8.3061E7</v>
      </c>
      <c r="H355" s="81">
        <v>0.05</v>
      </c>
      <c r="I355" s="77">
        <f t="shared" si="1047"/>
        <v>0</v>
      </c>
      <c r="J355" s="79"/>
      <c r="K355" s="77">
        <f t="shared" si="1048"/>
        <v>0</v>
      </c>
      <c r="L355" s="82">
        <f t="shared" si="987"/>
        <v>155</v>
      </c>
      <c r="M355" s="77">
        <f t="shared" si="1055"/>
        <v>0</v>
      </c>
      <c r="N355" s="83">
        <f t="shared" si="989"/>
        <v>12.4</v>
      </c>
      <c r="O355" s="83">
        <f t="shared" si="990"/>
        <v>15.5</v>
      </c>
      <c r="P355" s="83">
        <f t="shared" si="991"/>
        <v>7.75</v>
      </c>
      <c r="Q355" s="83">
        <f t="shared" si="992"/>
        <v>3.1</v>
      </c>
      <c r="R355" s="83">
        <f t="shared" si="993"/>
        <v>0</v>
      </c>
      <c r="S355" s="83">
        <f t="shared" si="994"/>
        <v>1.55</v>
      </c>
      <c r="T355" s="84">
        <f t="shared" si="995"/>
        <v>40.3</v>
      </c>
      <c r="U355" s="77">
        <f t="shared" si="996"/>
        <v>0</v>
      </c>
      <c r="V355" s="42">
        <f t="shared" si="15"/>
        <v>0</v>
      </c>
      <c r="W355" s="77">
        <f t="shared" si="997"/>
        <v>0</v>
      </c>
      <c r="X355" s="77">
        <f t="shared" si="998"/>
        <v>0</v>
      </c>
      <c r="Y355" s="77">
        <f t="shared" si="999"/>
        <v>0</v>
      </c>
      <c r="Z355" s="84">
        <f t="shared" si="1000"/>
        <v>195.3</v>
      </c>
      <c r="AA355" s="85">
        <f t="shared" si="1001"/>
        <v>39.06</v>
      </c>
      <c r="AB355" s="83">
        <f t="shared" si="1002"/>
        <v>234.36</v>
      </c>
      <c r="AC355" s="77">
        <f t="shared" si="1049"/>
        <v>0</v>
      </c>
      <c r="AD355" s="83">
        <f t="shared" si="1050"/>
        <v>234.36</v>
      </c>
      <c r="AE355" s="83">
        <f t="shared" si="1051"/>
        <v>100</v>
      </c>
      <c r="AF355" s="79">
        <v>14500.0</v>
      </c>
      <c r="AG355" s="86">
        <f t="shared" si="1006"/>
        <v>9254.83871</v>
      </c>
      <c r="AH355" s="63">
        <f t="shared" si="1007"/>
        <v>490</v>
      </c>
      <c r="AI355" s="90">
        <v>16990.0</v>
      </c>
      <c r="AJ355" s="90">
        <v>14990.0</v>
      </c>
      <c r="AK355" s="14">
        <f t="shared" si="1008"/>
        <v>9570.967742</v>
      </c>
      <c r="AL355" s="14"/>
      <c r="AM355" s="14">
        <f t="shared" si="1009"/>
        <v>3.268845897</v>
      </c>
      <c r="AN355" s="14">
        <f t="shared" si="1010"/>
        <v>316.1290323</v>
      </c>
      <c r="AO355" s="87">
        <f t="shared" si="1011"/>
        <v>96.70967742</v>
      </c>
      <c r="AP355" s="14">
        <f t="shared" si="1012"/>
        <v>147.5564</v>
      </c>
      <c r="AQ355" s="14">
        <f t="shared" si="1013"/>
        <v>149.9</v>
      </c>
      <c r="AR355" s="88">
        <f t="shared" ref="AR355:AS355" si="1194">AI355/94</f>
        <v>180.7446809</v>
      </c>
      <c r="AS355" s="88">
        <f t="shared" si="1194"/>
        <v>159.4680851</v>
      </c>
      <c r="AT355" s="89">
        <f t="shared" ref="AT355:AU355" si="1195">AI355/24</f>
        <v>707.9166667</v>
      </c>
      <c r="AU355" s="89">
        <f t="shared" si="1195"/>
        <v>624.5833333</v>
      </c>
      <c r="AV355" s="89">
        <f t="shared" ref="AV355:AW355" si="1196">AI355/125</f>
        <v>135.92</v>
      </c>
      <c r="AW355" s="89">
        <f t="shared" si="1196"/>
        <v>119.92</v>
      </c>
      <c r="AX355" s="79"/>
      <c r="AY355" s="79"/>
    </row>
    <row r="356" ht="15.75" customHeight="1">
      <c r="A356" s="77"/>
      <c r="B356" s="77" t="s">
        <v>706</v>
      </c>
      <c r="C356" s="77" t="s">
        <v>707</v>
      </c>
      <c r="D356" s="78"/>
      <c r="E356" s="77">
        <v>145.0</v>
      </c>
      <c r="F356" s="77">
        <v>10.0</v>
      </c>
      <c r="G356" s="78">
        <v>8.3061E7</v>
      </c>
      <c r="H356" s="81">
        <v>0.05</v>
      </c>
      <c r="I356" s="77">
        <f t="shared" si="1047"/>
        <v>0</v>
      </c>
      <c r="J356" s="79"/>
      <c r="K356" s="77">
        <f t="shared" si="1048"/>
        <v>0</v>
      </c>
      <c r="L356" s="82">
        <f t="shared" si="987"/>
        <v>155</v>
      </c>
      <c r="M356" s="77">
        <f t="shared" si="1055"/>
        <v>0</v>
      </c>
      <c r="N356" s="83">
        <f t="shared" si="989"/>
        <v>12.4</v>
      </c>
      <c r="O356" s="83">
        <f t="shared" si="990"/>
        <v>15.5</v>
      </c>
      <c r="P356" s="83">
        <f t="shared" si="991"/>
        <v>7.75</v>
      </c>
      <c r="Q356" s="83">
        <f t="shared" si="992"/>
        <v>3.1</v>
      </c>
      <c r="R356" s="83">
        <f t="shared" si="993"/>
        <v>0</v>
      </c>
      <c r="S356" s="83">
        <f t="shared" si="994"/>
        <v>1.55</v>
      </c>
      <c r="T356" s="84">
        <f t="shared" si="995"/>
        <v>40.3</v>
      </c>
      <c r="U356" s="77">
        <f t="shared" si="996"/>
        <v>0</v>
      </c>
      <c r="V356" s="42">
        <f t="shared" si="15"/>
        <v>0</v>
      </c>
      <c r="W356" s="77">
        <f t="shared" si="997"/>
        <v>0</v>
      </c>
      <c r="X356" s="77">
        <f t="shared" si="998"/>
        <v>0</v>
      </c>
      <c r="Y356" s="77">
        <f t="shared" si="999"/>
        <v>0</v>
      </c>
      <c r="Z356" s="84">
        <f t="shared" si="1000"/>
        <v>195.3</v>
      </c>
      <c r="AA356" s="85">
        <f t="shared" si="1001"/>
        <v>39.06</v>
      </c>
      <c r="AB356" s="83">
        <f t="shared" si="1002"/>
        <v>234.36</v>
      </c>
      <c r="AC356" s="77">
        <f t="shared" si="1049"/>
        <v>0</v>
      </c>
      <c r="AD356" s="83">
        <f t="shared" si="1050"/>
        <v>234.36</v>
      </c>
      <c r="AE356" s="83">
        <f t="shared" si="1051"/>
        <v>100</v>
      </c>
      <c r="AF356" s="79">
        <v>16500.0</v>
      </c>
      <c r="AG356" s="86">
        <f t="shared" si="1006"/>
        <v>10545.16129</v>
      </c>
      <c r="AH356" s="63">
        <f t="shared" si="1007"/>
        <v>490</v>
      </c>
      <c r="AI356" s="90">
        <v>18990.0</v>
      </c>
      <c r="AJ356" s="90">
        <v>16990.0</v>
      </c>
      <c r="AK356" s="14">
        <f t="shared" si="1008"/>
        <v>10861.29032</v>
      </c>
      <c r="AL356" s="14"/>
      <c r="AM356" s="14">
        <f t="shared" si="1009"/>
        <v>2.884049441</v>
      </c>
      <c r="AN356" s="14">
        <f t="shared" si="1010"/>
        <v>316.1290323</v>
      </c>
      <c r="AO356" s="87">
        <f t="shared" si="1011"/>
        <v>109.6129032</v>
      </c>
      <c r="AP356" s="14">
        <f t="shared" si="1012"/>
        <v>167.5564</v>
      </c>
      <c r="AQ356" s="14">
        <f t="shared" si="1013"/>
        <v>169.9</v>
      </c>
      <c r="AR356" s="88">
        <f t="shared" ref="AR356:AS356" si="1197">AI356/94</f>
        <v>202.0212766</v>
      </c>
      <c r="AS356" s="88">
        <f t="shared" si="1197"/>
        <v>180.7446809</v>
      </c>
      <c r="AT356" s="89">
        <f t="shared" ref="AT356:AU356" si="1198">AI356/24</f>
        <v>791.25</v>
      </c>
      <c r="AU356" s="89">
        <f t="shared" si="1198"/>
        <v>707.9166667</v>
      </c>
      <c r="AV356" s="89">
        <f t="shared" ref="AV356:AW356" si="1199">AI356/125</f>
        <v>151.92</v>
      </c>
      <c r="AW356" s="89">
        <f t="shared" si="1199"/>
        <v>135.92</v>
      </c>
      <c r="AX356" s="79"/>
      <c r="AY356" s="79"/>
    </row>
    <row r="357" ht="15.75" customHeight="1">
      <c r="A357" s="77"/>
      <c r="B357" s="77" t="s">
        <v>708</v>
      </c>
      <c r="C357" s="77" t="s">
        <v>709</v>
      </c>
      <c r="D357" s="78"/>
      <c r="E357" s="77">
        <v>145.0</v>
      </c>
      <c r="F357" s="77">
        <v>10.0</v>
      </c>
      <c r="G357" s="78">
        <v>8.3061E7</v>
      </c>
      <c r="H357" s="81">
        <v>0.05</v>
      </c>
      <c r="I357" s="77">
        <f t="shared" si="1047"/>
        <v>0</v>
      </c>
      <c r="J357" s="79"/>
      <c r="K357" s="77">
        <f t="shared" si="1048"/>
        <v>0</v>
      </c>
      <c r="L357" s="82">
        <f t="shared" si="987"/>
        <v>155</v>
      </c>
      <c r="M357" s="77">
        <f t="shared" si="1055"/>
        <v>0</v>
      </c>
      <c r="N357" s="83">
        <f t="shared" si="989"/>
        <v>12.4</v>
      </c>
      <c r="O357" s="83">
        <f t="shared" si="990"/>
        <v>15.5</v>
      </c>
      <c r="P357" s="83">
        <f t="shared" si="991"/>
        <v>7.75</v>
      </c>
      <c r="Q357" s="83">
        <f t="shared" si="992"/>
        <v>3.1</v>
      </c>
      <c r="R357" s="83">
        <f t="shared" si="993"/>
        <v>0</v>
      </c>
      <c r="S357" s="83">
        <f t="shared" si="994"/>
        <v>1.55</v>
      </c>
      <c r="T357" s="84">
        <f t="shared" si="995"/>
        <v>40.3</v>
      </c>
      <c r="U357" s="77">
        <f t="shared" si="996"/>
        <v>0</v>
      </c>
      <c r="V357" s="42">
        <f t="shared" si="15"/>
        <v>0</v>
      </c>
      <c r="W357" s="77">
        <f t="shared" si="997"/>
        <v>0</v>
      </c>
      <c r="X357" s="77">
        <f t="shared" si="998"/>
        <v>0</v>
      </c>
      <c r="Y357" s="77">
        <f t="shared" si="999"/>
        <v>0</v>
      </c>
      <c r="Z357" s="84">
        <f t="shared" si="1000"/>
        <v>195.3</v>
      </c>
      <c r="AA357" s="85">
        <f t="shared" si="1001"/>
        <v>39.06</v>
      </c>
      <c r="AB357" s="83">
        <f t="shared" si="1002"/>
        <v>234.36</v>
      </c>
      <c r="AC357" s="77">
        <f t="shared" si="1049"/>
        <v>0</v>
      </c>
      <c r="AD357" s="83">
        <f t="shared" si="1050"/>
        <v>234.36</v>
      </c>
      <c r="AE357" s="83">
        <f t="shared" si="1051"/>
        <v>100</v>
      </c>
      <c r="AF357" s="79">
        <v>19500.0</v>
      </c>
      <c r="AG357" s="86">
        <f t="shared" si="1006"/>
        <v>12480.64516</v>
      </c>
      <c r="AH357" s="63">
        <f t="shared" si="1007"/>
        <v>490</v>
      </c>
      <c r="AI357" s="90">
        <v>21990.0</v>
      </c>
      <c r="AJ357" s="90">
        <v>19990.0</v>
      </c>
      <c r="AK357" s="14">
        <f t="shared" si="1008"/>
        <v>12796.77419</v>
      </c>
      <c r="AL357" s="14"/>
      <c r="AM357" s="14">
        <f t="shared" si="1009"/>
        <v>2.451225613</v>
      </c>
      <c r="AN357" s="14">
        <f t="shared" si="1010"/>
        <v>316.1290323</v>
      </c>
      <c r="AO357" s="87">
        <f t="shared" si="1011"/>
        <v>128.9677419</v>
      </c>
      <c r="AP357" s="14">
        <f t="shared" si="1012"/>
        <v>197.5564</v>
      </c>
      <c r="AQ357" s="14">
        <f t="shared" si="1013"/>
        <v>199.9</v>
      </c>
      <c r="AR357" s="88">
        <f t="shared" ref="AR357:AS357" si="1200">AI357/94</f>
        <v>233.9361702</v>
      </c>
      <c r="AS357" s="88">
        <f t="shared" si="1200"/>
        <v>212.6595745</v>
      </c>
      <c r="AT357" s="89">
        <f t="shared" ref="AT357:AU357" si="1201">AI357/24</f>
        <v>916.25</v>
      </c>
      <c r="AU357" s="89">
        <f t="shared" si="1201"/>
        <v>832.9166667</v>
      </c>
      <c r="AV357" s="89">
        <f t="shared" ref="AV357:AW357" si="1202">AI357/125</f>
        <v>175.92</v>
      </c>
      <c r="AW357" s="89">
        <f t="shared" si="1202"/>
        <v>159.92</v>
      </c>
      <c r="AX357" s="79"/>
      <c r="AY357" s="79"/>
    </row>
    <row r="358" ht="15.75" customHeight="1">
      <c r="A358" s="77"/>
      <c r="B358" s="77" t="s">
        <v>710</v>
      </c>
      <c r="C358" s="77" t="s">
        <v>711</v>
      </c>
      <c r="D358" s="78"/>
      <c r="E358" s="77">
        <v>145.0</v>
      </c>
      <c r="F358" s="77">
        <v>10.0</v>
      </c>
      <c r="G358" s="78">
        <v>8.3061E7</v>
      </c>
      <c r="H358" s="81">
        <v>0.05</v>
      </c>
      <c r="I358" s="77">
        <f t="shared" si="1047"/>
        <v>0</v>
      </c>
      <c r="J358" s="79"/>
      <c r="K358" s="77">
        <f t="shared" si="1048"/>
        <v>0</v>
      </c>
      <c r="L358" s="82">
        <f t="shared" si="987"/>
        <v>155</v>
      </c>
      <c r="M358" s="77">
        <f t="shared" si="1055"/>
        <v>0</v>
      </c>
      <c r="N358" s="83">
        <f t="shared" si="989"/>
        <v>12.4</v>
      </c>
      <c r="O358" s="83">
        <f t="shared" si="990"/>
        <v>15.5</v>
      </c>
      <c r="P358" s="83">
        <f t="shared" si="991"/>
        <v>7.75</v>
      </c>
      <c r="Q358" s="83">
        <f t="shared" si="992"/>
        <v>3.1</v>
      </c>
      <c r="R358" s="83">
        <f t="shared" si="993"/>
        <v>0</v>
      </c>
      <c r="S358" s="83">
        <f t="shared" si="994"/>
        <v>1.55</v>
      </c>
      <c r="T358" s="84">
        <f t="shared" si="995"/>
        <v>40.3</v>
      </c>
      <c r="U358" s="77">
        <f t="shared" si="996"/>
        <v>0</v>
      </c>
      <c r="V358" s="42">
        <f t="shared" si="15"/>
        <v>0</v>
      </c>
      <c r="W358" s="77">
        <f t="shared" si="997"/>
        <v>0</v>
      </c>
      <c r="X358" s="77">
        <f t="shared" si="998"/>
        <v>0</v>
      </c>
      <c r="Y358" s="77">
        <f t="shared" si="999"/>
        <v>0</v>
      </c>
      <c r="Z358" s="84">
        <f t="shared" si="1000"/>
        <v>195.3</v>
      </c>
      <c r="AA358" s="85">
        <f t="shared" si="1001"/>
        <v>39.06</v>
      </c>
      <c r="AB358" s="83">
        <f t="shared" si="1002"/>
        <v>234.36</v>
      </c>
      <c r="AC358" s="77">
        <f t="shared" si="1049"/>
        <v>0</v>
      </c>
      <c r="AD358" s="83">
        <f t="shared" si="1050"/>
        <v>234.36</v>
      </c>
      <c r="AE358" s="83">
        <f t="shared" si="1051"/>
        <v>100</v>
      </c>
      <c r="AF358" s="79">
        <v>22500.0</v>
      </c>
      <c r="AG358" s="86">
        <f t="shared" si="1006"/>
        <v>14416.12903</v>
      </c>
      <c r="AH358" s="63">
        <f t="shared" si="1007"/>
        <v>990</v>
      </c>
      <c r="AI358" s="90">
        <v>24990.0</v>
      </c>
      <c r="AJ358" s="90">
        <v>23490.0</v>
      </c>
      <c r="AK358" s="14">
        <f t="shared" si="1008"/>
        <v>15054.83871</v>
      </c>
      <c r="AL358" s="14"/>
      <c r="AM358" s="14">
        <f t="shared" si="1009"/>
        <v>4.214559387</v>
      </c>
      <c r="AN358" s="14">
        <f t="shared" si="1010"/>
        <v>638.7096774</v>
      </c>
      <c r="AO358" s="87">
        <f t="shared" si="1011"/>
        <v>151.5483871</v>
      </c>
      <c r="AP358" s="14">
        <f t="shared" si="1012"/>
        <v>232.5564</v>
      </c>
      <c r="AQ358" s="14">
        <f t="shared" si="1013"/>
        <v>234.9</v>
      </c>
      <c r="AR358" s="88">
        <f t="shared" ref="AR358:AS358" si="1203">AI358/94</f>
        <v>265.8510638</v>
      </c>
      <c r="AS358" s="88">
        <f t="shared" si="1203"/>
        <v>249.893617</v>
      </c>
      <c r="AT358" s="89">
        <f t="shared" ref="AT358:AU358" si="1204">AI358/24</f>
        <v>1041.25</v>
      </c>
      <c r="AU358" s="89">
        <f t="shared" si="1204"/>
        <v>978.75</v>
      </c>
      <c r="AV358" s="89">
        <f t="shared" ref="AV358:AW358" si="1205">AI358/125</f>
        <v>199.92</v>
      </c>
      <c r="AW358" s="89">
        <f t="shared" si="1205"/>
        <v>187.92</v>
      </c>
      <c r="AX358" s="79"/>
      <c r="AY358" s="79"/>
    </row>
    <row r="359" ht="15.75" customHeight="1">
      <c r="A359" s="77"/>
      <c r="B359" s="77" t="s">
        <v>712</v>
      </c>
      <c r="C359" s="77" t="s">
        <v>713</v>
      </c>
      <c r="D359" s="78"/>
      <c r="E359" s="77">
        <v>125.0</v>
      </c>
      <c r="F359" s="77">
        <v>10.0</v>
      </c>
      <c r="G359" s="78">
        <v>8.3061E7</v>
      </c>
      <c r="H359" s="81">
        <v>0.05</v>
      </c>
      <c r="I359" s="77">
        <f t="shared" si="1047"/>
        <v>0</v>
      </c>
      <c r="J359" s="79"/>
      <c r="K359" s="77">
        <f t="shared" si="1048"/>
        <v>0</v>
      </c>
      <c r="L359" s="82">
        <f t="shared" si="987"/>
        <v>135</v>
      </c>
      <c r="M359" s="77">
        <f t="shared" si="1055"/>
        <v>0</v>
      </c>
      <c r="N359" s="83">
        <f t="shared" si="989"/>
        <v>10.8</v>
      </c>
      <c r="O359" s="83">
        <f t="shared" si="990"/>
        <v>13.5</v>
      </c>
      <c r="P359" s="83">
        <f t="shared" si="991"/>
        <v>6.75</v>
      </c>
      <c r="Q359" s="83">
        <f t="shared" si="992"/>
        <v>2.7</v>
      </c>
      <c r="R359" s="83">
        <f t="shared" si="993"/>
        <v>0</v>
      </c>
      <c r="S359" s="83">
        <f t="shared" si="994"/>
        <v>1.35</v>
      </c>
      <c r="T359" s="84">
        <f t="shared" si="995"/>
        <v>35.1</v>
      </c>
      <c r="U359" s="77">
        <f t="shared" si="996"/>
        <v>0</v>
      </c>
      <c r="V359" s="42">
        <f t="shared" si="15"/>
        <v>0</v>
      </c>
      <c r="W359" s="77">
        <f t="shared" si="997"/>
        <v>0</v>
      </c>
      <c r="X359" s="77">
        <f t="shared" si="998"/>
        <v>0</v>
      </c>
      <c r="Y359" s="77">
        <f t="shared" si="999"/>
        <v>0</v>
      </c>
      <c r="Z359" s="84">
        <f t="shared" si="1000"/>
        <v>170.1</v>
      </c>
      <c r="AA359" s="85">
        <f t="shared" si="1001"/>
        <v>34.02</v>
      </c>
      <c r="AB359" s="83">
        <f t="shared" si="1002"/>
        <v>204.12</v>
      </c>
      <c r="AC359" s="77">
        <f t="shared" si="1049"/>
        <v>0</v>
      </c>
      <c r="AD359" s="83">
        <f t="shared" si="1050"/>
        <v>204.12</v>
      </c>
      <c r="AE359" s="83">
        <f t="shared" si="1051"/>
        <v>100</v>
      </c>
      <c r="AF359" s="79">
        <v>8500.0</v>
      </c>
      <c r="AG359" s="86">
        <f t="shared" si="1006"/>
        <v>6196.296296</v>
      </c>
      <c r="AH359" s="63">
        <f t="shared" si="1007"/>
        <v>490</v>
      </c>
      <c r="AI359" s="90">
        <v>9990.0</v>
      </c>
      <c r="AJ359" s="90">
        <v>8990.0</v>
      </c>
      <c r="AK359" s="14">
        <f t="shared" si="1008"/>
        <v>6559.259259</v>
      </c>
      <c r="AL359" s="14"/>
      <c r="AM359" s="14">
        <f t="shared" si="1009"/>
        <v>5.450500556</v>
      </c>
      <c r="AN359" s="14">
        <f t="shared" si="1010"/>
        <v>362.962963</v>
      </c>
      <c r="AO359" s="87">
        <f t="shared" si="1011"/>
        <v>66.59259259</v>
      </c>
      <c r="AP359" s="14">
        <f t="shared" si="1012"/>
        <v>87.8588</v>
      </c>
      <c r="AQ359" s="14">
        <f t="shared" si="1013"/>
        <v>89.9</v>
      </c>
      <c r="AR359" s="88">
        <f t="shared" ref="AR359:AS359" si="1206">AI359/94</f>
        <v>106.2765957</v>
      </c>
      <c r="AS359" s="88">
        <f t="shared" si="1206"/>
        <v>95.63829787</v>
      </c>
      <c r="AT359" s="89">
        <f t="shared" ref="AT359:AU359" si="1207">AI359/24</f>
        <v>416.25</v>
      </c>
      <c r="AU359" s="89">
        <f t="shared" si="1207"/>
        <v>374.5833333</v>
      </c>
      <c r="AV359" s="89">
        <f t="shared" ref="AV359:AW359" si="1208">AI359/125</f>
        <v>79.92</v>
      </c>
      <c r="AW359" s="89">
        <f t="shared" si="1208"/>
        <v>71.92</v>
      </c>
      <c r="AX359" s="79"/>
      <c r="AY359" s="79"/>
    </row>
    <row r="360" ht="15.75" customHeight="1">
      <c r="A360" s="77"/>
      <c r="B360" s="77" t="s">
        <v>714</v>
      </c>
      <c r="C360" s="77" t="s">
        <v>715</v>
      </c>
      <c r="D360" s="78"/>
      <c r="E360" s="77">
        <v>125.0</v>
      </c>
      <c r="F360" s="77">
        <v>10.0</v>
      </c>
      <c r="G360" s="78">
        <v>8.3061E7</v>
      </c>
      <c r="H360" s="81">
        <v>0.05</v>
      </c>
      <c r="I360" s="77">
        <f t="shared" si="1047"/>
        <v>0</v>
      </c>
      <c r="J360" s="79"/>
      <c r="K360" s="77">
        <f t="shared" si="1048"/>
        <v>0</v>
      </c>
      <c r="L360" s="82">
        <f t="shared" si="987"/>
        <v>135</v>
      </c>
      <c r="M360" s="77">
        <f t="shared" si="1055"/>
        <v>0</v>
      </c>
      <c r="N360" s="83">
        <f t="shared" si="989"/>
        <v>10.8</v>
      </c>
      <c r="O360" s="83">
        <f t="shared" si="990"/>
        <v>13.5</v>
      </c>
      <c r="P360" s="83">
        <f t="shared" si="991"/>
        <v>6.75</v>
      </c>
      <c r="Q360" s="83">
        <f t="shared" si="992"/>
        <v>2.7</v>
      </c>
      <c r="R360" s="83">
        <f t="shared" si="993"/>
        <v>0</v>
      </c>
      <c r="S360" s="83">
        <f t="shared" si="994"/>
        <v>1.35</v>
      </c>
      <c r="T360" s="84">
        <f t="shared" si="995"/>
        <v>35.1</v>
      </c>
      <c r="U360" s="77">
        <f t="shared" si="996"/>
        <v>0</v>
      </c>
      <c r="V360" s="42">
        <f t="shared" si="15"/>
        <v>0</v>
      </c>
      <c r="W360" s="77">
        <f t="shared" si="997"/>
        <v>0</v>
      </c>
      <c r="X360" s="77">
        <f t="shared" si="998"/>
        <v>0</v>
      </c>
      <c r="Y360" s="77">
        <f t="shared" si="999"/>
        <v>0</v>
      </c>
      <c r="Z360" s="84">
        <f t="shared" si="1000"/>
        <v>170.1</v>
      </c>
      <c r="AA360" s="85">
        <f t="shared" si="1001"/>
        <v>34.02</v>
      </c>
      <c r="AB360" s="83">
        <f t="shared" si="1002"/>
        <v>204.12</v>
      </c>
      <c r="AC360" s="77">
        <f t="shared" si="1049"/>
        <v>0</v>
      </c>
      <c r="AD360" s="83">
        <f t="shared" si="1050"/>
        <v>204.12</v>
      </c>
      <c r="AE360" s="83">
        <f t="shared" si="1051"/>
        <v>100</v>
      </c>
      <c r="AF360" s="79">
        <v>10500.0</v>
      </c>
      <c r="AG360" s="86">
        <f t="shared" si="1006"/>
        <v>7677.777778</v>
      </c>
      <c r="AH360" s="63">
        <f t="shared" si="1007"/>
        <v>490</v>
      </c>
      <c r="AI360" s="90">
        <v>11990.0</v>
      </c>
      <c r="AJ360" s="90">
        <v>10990.0</v>
      </c>
      <c r="AK360" s="14">
        <f t="shared" si="1008"/>
        <v>8040.740741</v>
      </c>
      <c r="AL360" s="14"/>
      <c r="AM360" s="14">
        <f t="shared" si="1009"/>
        <v>4.458598726</v>
      </c>
      <c r="AN360" s="14">
        <f t="shared" si="1010"/>
        <v>362.962963</v>
      </c>
      <c r="AO360" s="87">
        <f t="shared" si="1011"/>
        <v>81.40740741</v>
      </c>
      <c r="AP360" s="14">
        <f t="shared" si="1012"/>
        <v>107.8588</v>
      </c>
      <c r="AQ360" s="14">
        <f t="shared" si="1013"/>
        <v>109.9</v>
      </c>
      <c r="AR360" s="88">
        <f t="shared" ref="AR360:AS360" si="1209">AI360/94</f>
        <v>127.5531915</v>
      </c>
      <c r="AS360" s="88">
        <f t="shared" si="1209"/>
        <v>116.9148936</v>
      </c>
      <c r="AT360" s="89">
        <f t="shared" ref="AT360:AU360" si="1210">AI360/24</f>
        <v>499.5833333</v>
      </c>
      <c r="AU360" s="89">
        <f t="shared" si="1210"/>
        <v>457.9166667</v>
      </c>
      <c r="AV360" s="89">
        <f t="shared" ref="AV360:AW360" si="1211">AI360/125</f>
        <v>95.92</v>
      </c>
      <c r="AW360" s="89">
        <f t="shared" si="1211"/>
        <v>87.92</v>
      </c>
      <c r="AX360" s="79"/>
      <c r="AY360" s="79"/>
    </row>
    <row r="361" ht="15.75" customHeight="1">
      <c r="A361" s="77"/>
      <c r="B361" s="77" t="s">
        <v>716</v>
      </c>
      <c r="C361" s="77" t="s">
        <v>717</v>
      </c>
      <c r="D361" s="78"/>
      <c r="E361" s="77">
        <v>145.0</v>
      </c>
      <c r="F361" s="77">
        <v>10.0</v>
      </c>
      <c r="G361" s="78">
        <v>8.3061E7</v>
      </c>
      <c r="H361" s="81">
        <v>0.05</v>
      </c>
      <c r="I361" s="77">
        <f t="shared" si="1047"/>
        <v>0</v>
      </c>
      <c r="J361" s="79"/>
      <c r="K361" s="77">
        <f t="shared" si="1048"/>
        <v>0</v>
      </c>
      <c r="L361" s="82">
        <f t="shared" si="987"/>
        <v>155</v>
      </c>
      <c r="M361" s="77">
        <f t="shared" si="1055"/>
        <v>0</v>
      </c>
      <c r="N361" s="83">
        <f t="shared" si="989"/>
        <v>12.4</v>
      </c>
      <c r="O361" s="83">
        <f t="shared" si="990"/>
        <v>15.5</v>
      </c>
      <c r="P361" s="83">
        <f t="shared" si="991"/>
        <v>7.75</v>
      </c>
      <c r="Q361" s="83">
        <f t="shared" si="992"/>
        <v>3.1</v>
      </c>
      <c r="R361" s="83">
        <f t="shared" si="993"/>
        <v>0</v>
      </c>
      <c r="S361" s="83">
        <f t="shared" si="994"/>
        <v>1.55</v>
      </c>
      <c r="T361" s="84">
        <f t="shared" si="995"/>
        <v>40.3</v>
      </c>
      <c r="U361" s="77">
        <f t="shared" si="996"/>
        <v>0</v>
      </c>
      <c r="V361" s="42">
        <f t="shared" si="15"/>
        <v>0</v>
      </c>
      <c r="W361" s="77">
        <f t="shared" si="997"/>
        <v>0</v>
      </c>
      <c r="X361" s="77">
        <f t="shared" si="998"/>
        <v>0</v>
      </c>
      <c r="Y361" s="77">
        <f t="shared" si="999"/>
        <v>0</v>
      </c>
      <c r="Z361" s="84">
        <f t="shared" si="1000"/>
        <v>195.3</v>
      </c>
      <c r="AA361" s="85">
        <f t="shared" si="1001"/>
        <v>39.06</v>
      </c>
      <c r="AB361" s="83">
        <f t="shared" si="1002"/>
        <v>234.36</v>
      </c>
      <c r="AC361" s="77">
        <f t="shared" si="1049"/>
        <v>0</v>
      </c>
      <c r="AD361" s="83">
        <f t="shared" si="1050"/>
        <v>234.36</v>
      </c>
      <c r="AE361" s="83">
        <f t="shared" si="1051"/>
        <v>100</v>
      </c>
      <c r="AF361" s="79">
        <v>12500.0</v>
      </c>
      <c r="AG361" s="86">
        <f t="shared" si="1006"/>
        <v>7964.516129</v>
      </c>
      <c r="AH361" s="63">
        <f t="shared" si="1007"/>
        <v>400</v>
      </c>
      <c r="AI361" s="90">
        <v>13900.0</v>
      </c>
      <c r="AJ361" s="90">
        <v>12900.0</v>
      </c>
      <c r="AK361" s="14">
        <f t="shared" si="1008"/>
        <v>8222.580645</v>
      </c>
      <c r="AL361" s="14"/>
      <c r="AM361" s="14">
        <f t="shared" si="1009"/>
        <v>3.100775194</v>
      </c>
      <c r="AN361" s="14">
        <f t="shared" si="1010"/>
        <v>258.0645161</v>
      </c>
      <c r="AO361" s="87">
        <f t="shared" si="1011"/>
        <v>83.22580645</v>
      </c>
      <c r="AP361" s="14">
        <f t="shared" si="1012"/>
        <v>126.6564</v>
      </c>
      <c r="AQ361" s="14">
        <f t="shared" si="1013"/>
        <v>129</v>
      </c>
      <c r="AR361" s="88">
        <f t="shared" ref="AR361:AS361" si="1212">AI361/94</f>
        <v>147.8723404</v>
      </c>
      <c r="AS361" s="88">
        <f t="shared" si="1212"/>
        <v>137.2340426</v>
      </c>
      <c r="AT361" s="89">
        <f t="shared" ref="AT361:AU361" si="1213">AI361/24</f>
        <v>579.1666667</v>
      </c>
      <c r="AU361" s="89">
        <f t="shared" si="1213"/>
        <v>537.5</v>
      </c>
      <c r="AV361" s="89">
        <f t="shared" ref="AV361:AW361" si="1214">AI361/125</f>
        <v>111.2</v>
      </c>
      <c r="AW361" s="89">
        <f t="shared" si="1214"/>
        <v>103.2</v>
      </c>
      <c r="AX361" s="79"/>
      <c r="AY361" s="79"/>
    </row>
    <row r="362" ht="15.75" customHeight="1">
      <c r="A362" s="77"/>
      <c r="B362" s="77" t="s">
        <v>718</v>
      </c>
      <c r="C362" s="77" t="s">
        <v>719</v>
      </c>
      <c r="D362" s="78"/>
      <c r="E362" s="77">
        <v>145.0</v>
      </c>
      <c r="F362" s="77">
        <v>10.0</v>
      </c>
      <c r="G362" s="78">
        <v>8.3061E7</v>
      </c>
      <c r="H362" s="81">
        <v>0.05</v>
      </c>
      <c r="I362" s="77">
        <f t="shared" si="1047"/>
        <v>0</v>
      </c>
      <c r="J362" s="79"/>
      <c r="K362" s="77">
        <f t="shared" si="1048"/>
        <v>0</v>
      </c>
      <c r="L362" s="82">
        <f t="shared" si="987"/>
        <v>155</v>
      </c>
      <c r="M362" s="77">
        <f t="shared" si="1055"/>
        <v>0</v>
      </c>
      <c r="N362" s="83">
        <f t="shared" si="989"/>
        <v>12.4</v>
      </c>
      <c r="O362" s="83">
        <f t="shared" si="990"/>
        <v>15.5</v>
      </c>
      <c r="P362" s="83">
        <f t="shared" si="991"/>
        <v>7.75</v>
      </c>
      <c r="Q362" s="83">
        <f t="shared" si="992"/>
        <v>3.1</v>
      </c>
      <c r="R362" s="83">
        <f t="shared" si="993"/>
        <v>0</v>
      </c>
      <c r="S362" s="83">
        <f t="shared" si="994"/>
        <v>1.55</v>
      </c>
      <c r="T362" s="84">
        <f t="shared" si="995"/>
        <v>40.3</v>
      </c>
      <c r="U362" s="77">
        <f t="shared" si="996"/>
        <v>0</v>
      </c>
      <c r="V362" s="42">
        <f t="shared" si="15"/>
        <v>0</v>
      </c>
      <c r="W362" s="77">
        <f t="shared" si="997"/>
        <v>0</v>
      </c>
      <c r="X362" s="77">
        <f t="shared" si="998"/>
        <v>0</v>
      </c>
      <c r="Y362" s="77">
        <f t="shared" si="999"/>
        <v>0</v>
      </c>
      <c r="Z362" s="84">
        <f t="shared" si="1000"/>
        <v>195.3</v>
      </c>
      <c r="AA362" s="85">
        <f t="shared" si="1001"/>
        <v>39.06</v>
      </c>
      <c r="AB362" s="83">
        <f t="shared" si="1002"/>
        <v>234.36</v>
      </c>
      <c r="AC362" s="77">
        <f t="shared" si="1049"/>
        <v>0</v>
      </c>
      <c r="AD362" s="83">
        <f t="shared" si="1050"/>
        <v>234.36</v>
      </c>
      <c r="AE362" s="83">
        <f t="shared" si="1051"/>
        <v>100</v>
      </c>
      <c r="AF362" s="79">
        <v>14500.0</v>
      </c>
      <c r="AG362" s="86">
        <f t="shared" si="1006"/>
        <v>9254.83871</v>
      </c>
      <c r="AH362" s="63">
        <f t="shared" si="1007"/>
        <v>490</v>
      </c>
      <c r="AI362" s="90">
        <v>16990.0</v>
      </c>
      <c r="AJ362" s="90">
        <v>14990.0</v>
      </c>
      <c r="AK362" s="14">
        <f t="shared" si="1008"/>
        <v>9570.967742</v>
      </c>
      <c r="AL362" s="14"/>
      <c r="AM362" s="14">
        <f t="shared" si="1009"/>
        <v>3.268845897</v>
      </c>
      <c r="AN362" s="14">
        <f t="shared" si="1010"/>
        <v>316.1290323</v>
      </c>
      <c r="AO362" s="87">
        <f t="shared" si="1011"/>
        <v>96.70967742</v>
      </c>
      <c r="AP362" s="14">
        <f t="shared" si="1012"/>
        <v>147.5564</v>
      </c>
      <c r="AQ362" s="14">
        <f t="shared" si="1013"/>
        <v>149.9</v>
      </c>
      <c r="AR362" s="88">
        <f t="shared" ref="AR362:AS362" si="1215">AI362/94</f>
        <v>180.7446809</v>
      </c>
      <c r="AS362" s="88">
        <f t="shared" si="1215"/>
        <v>159.4680851</v>
      </c>
      <c r="AT362" s="89">
        <f t="shared" ref="AT362:AU362" si="1216">AI362/24</f>
        <v>707.9166667</v>
      </c>
      <c r="AU362" s="89">
        <f t="shared" si="1216"/>
        <v>624.5833333</v>
      </c>
      <c r="AV362" s="89">
        <f t="shared" ref="AV362:AW362" si="1217">AI362/125</f>
        <v>135.92</v>
      </c>
      <c r="AW362" s="89">
        <f t="shared" si="1217"/>
        <v>119.92</v>
      </c>
      <c r="AX362" s="79"/>
      <c r="AY362" s="79"/>
    </row>
    <row r="363" ht="15.75" customHeight="1">
      <c r="A363" s="77"/>
      <c r="B363" s="77" t="s">
        <v>720</v>
      </c>
      <c r="C363" s="77" t="s">
        <v>721</v>
      </c>
      <c r="D363" s="78"/>
      <c r="E363" s="77">
        <v>145.0</v>
      </c>
      <c r="F363" s="77">
        <v>10.0</v>
      </c>
      <c r="G363" s="78">
        <v>8.3061E7</v>
      </c>
      <c r="H363" s="81">
        <v>0.05</v>
      </c>
      <c r="I363" s="77">
        <f t="shared" si="1047"/>
        <v>0</v>
      </c>
      <c r="J363" s="79"/>
      <c r="K363" s="77">
        <f t="shared" si="1048"/>
        <v>0</v>
      </c>
      <c r="L363" s="82">
        <f t="shared" si="987"/>
        <v>155</v>
      </c>
      <c r="M363" s="77">
        <f t="shared" si="1055"/>
        <v>0</v>
      </c>
      <c r="N363" s="83">
        <f t="shared" si="989"/>
        <v>12.4</v>
      </c>
      <c r="O363" s="83">
        <f t="shared" si="990"/>
        <v>15.5</v>
      </c>
      <c r="P363" s="83">
        <f t="shared" si="991"/>
        <v>7.75</v>
      </c>
      <c r="Q363" s="83">
        <f t="shared" si="992"/>
        <v>3.1</v>
      </c>
      <c r="R363" s="83">
        <f t="shared" si="993"/>
        <v>0</v>
      </c>
      <c r="S363" s="83">
        <f t="shared" si="994"/>
        <v>1.55</v>
      </c>
      <c r="T363" s="84">
        <f t="shared" si="995"/>
        <v>40.3</v>
      </c>
      <c r="U363" s="77">
        <f t="shared" si="996"/>
        <v>0</v>
      </c>
      <c r="V363" s="42">
        <f t="shared" si="15"/>
        <v>0</v>
      </c>
      <c r="W363" s="77">
        <f t="shared" si="997"/>
        <v>0</v>
      </c>
      <c r="X363" s="77">
        <f t="shared" si="998"/>
        <v>0</v>
      </c>
      <c r="Y363" s="77">
        <f t="shared" si="999"/>
        <v>0</v>
      </c>
      <c r="Z363" s="84">
        <f t="shared" si="1000"/>
        <v>195.3</v>
      </c>
      <c r="AA363" s="85">
        <f t="shared" si="1001"/>
        <v>39.06</v>
      </c>
      <c r="AB363" s="83">
        <f t="shared" si="1002"/>
        <v>234.36</v>
      </c>
      <c r="AC363" s="77">
        <f t="shared" si="1049"/>
        <v>0</v>
      </c>
      <c r="AD363" s="83">
        <f t="shared" si="1050"/>
        <v>234.36</v>
      </c>
      <c r="AE363" s="83">
        <f t="shared" si="1051"/>
        <v>100</v>
      </c>
      <c r="AF363" s="79">
        <v>18500.0</v>
      </c>
      <c r="AG363" s="86">
        <f t="shared" si="1006"/>
        <v>11835.48387</v>
      </c>
      <c r="AH363" s="63">
        <f t="shared" si="1007"/>
        <v>490</v>
      </c>
      <c r="AI363" s="90">
        <v>19990.0</v>
      </c>
      <c r="AJ363" s="90">
        <v>18990.0</v>
      </c>
      <c r="AK363" s="14">
        <f t="shared" si="1008"/>
        <v>12151.6129</v>
      </c>
      <c r="AL363" s="14"/>
      <c r="AM363" s="14">
        <f t="shared" si="1009"/>
        <v>2.580305424</v>
      </c>
      <c r="AN363" s="14">
        <f t="shared" si="1010"/>
        <v>316.1290323</v>
      </c>
      <c r="AO363" s="87">
        <f t="shared" si="1011"/>
        <v>122.516129</v>
      </c>
      <c r="AP363" s="14">
        <f t="shared" si="1012"/>
        <v>187.5564</v>
      </c>
      <c r="AQ363" s="14">
        <f t="shared" si="1013"/>
        <v>189.9</v>
      </c>
      <c r="AR363" s="88">
        <f t="shared" ref="AR363:AS363" si="1218">AI363/94</f>
        <v>212.6595745</v>
      </c>
      <c r="AS363" s="88">
        <f t="shared" si="1218"/>
        <v>202.0212766</v>
      </c>
      <c r="AT363" s="89">
        <f t="shared" ref="AT363:AU363" si="1219">AI363/24</f>
        <v>832.9166667</v>
      </c>
      <c r="AU363" s="89">
        <f t="shared" si="1219"/>
        <v>791.25</v>
      </c>
      <c r="AV363" s="89">
        <f t="shared" ref="AV363:AW363" si="1220">AI363/125</f>
        <v>159.92</v>
      </c>
      <c r="AW363" s="89">
        <f t="shared" si="1220"/>
        <v>151.92</v>
      </c>
      <c r="AX363" s="79"/>
      <c r="AY363" s="79"/>
    </row>
    <row r="364" ht="15.75" customHeight="1">
      <c r="A364" s="77"/>
      <c r="B364" s="77" t="s">
        <v>722</v>
      </c>
      <c r="C364" s="77" t="s">
        <v>723</v>
      </c>
      <c r="D364" s="78"/>
      <c r="E364" s="77">
        <v>145.0</v>
      </c>
      <c r="F364" s="77">
        <v>10.0</v>
      </c>
      <c r="G364" s="78">
        <v>8.3061E7</v>
      </c>
      <c r="H364" s="81">
        <v>0.05</v>
      </c>
      <c r="I364" s="77">
        <f t="shared" si="1047"/>
        <v>0</v>
      </c>
      <c r="J364" s="79"/>
      <c r="K364" s="77">
        <f t="shared" si="1048"/>
        <v>0</v>
      </c>
      <c r="L364" s="82">
        <f t="shared" si="987"/>
        <v>155</v>
      </c>
      <c r="M364" s="77">
        <f t="shared" si="1055"/>
        <v>0</v>
      </c>
      <c r="N364" s="83">
        <f t="shared" si="989"/>
        <v>12.4</v>
      </c>
      <c r="O364" s="83">
        <f t="shared" si="990"/>
        <v>15.5</v>
      </c>
      <c r="P364" s="83">
        <f t="shared" si="991"/>
        <v>7.75</v>
      </c>
      <c r="Q364" s="83">
        <f t="shared" si="992"/>
        <v>3.1</v>
      </c>
      <c r="R364" s="83">
        <f t="shared" si="993"/>
        <v>0</v>
      </c>
      <c r="S364" s="83">
        <f t="shared" si="994"/>
        <v>1.55</v>
      </c>
      <c r="T364" s="84">
        <f t="shared" si="995"/>
        <v>40.3</v>
      </c>
      <c r="U364" s="77">
        <f t="shared" si="996"/>
        <v>0</v>
      </c>
      <c r="V364" s="42">
        <f t="shared" si="15"/>
        <v>0</v>
      </c>
      <c r="W364" s="77">
        <f t="shared" si="997"/>
        <v>0</v>
      </c>
      <c r="X364" s="77">
        <f t="shared" si="998"/>
        <v>0</v>
      </c>
      <c r="Y364" s="77">
        <f t="shared" si="999"/>
        <v>0</v>
      </c>
      <c r="Z364" s="84">
        <f t="shared" si="1000"/>
        <v>195.3</v>
      </c>
      <c r="AA364" s="85">
        <f t="shared" si="1001"/>
        <v>39.06</v>
      </c>
      <c r="AB364" s="83">
        <f t="shared" si="1002"/>
        <v>234.36</v>
      </c>
      <c r="AC364" s="77">
        <f t="shared" si="1049"/>
        <v>0</v>
      </c>
      <c r="AD364" s="83">
        <f t="shared" si="1050"/>
        <v>234.36</v>
      </c>
      <c r="AE364" s="83">
        <f t="shared" si="1051"/>
        <v>100</v>
      </c>
      <c r="AF364" s="79">
        <v>21500.0</v>
      </c>
      <c r="AG364" s="86">
        <f t="shared" si="1006"/>
        <v>13770.96774</v>
      </c>
      <c r="AH364" s="63">
        <f t="shared" si="1007"/>
        <v>1400</v>
      </c>
      <c r="AI364" s="90">
        <v>24990.0</v>
      </c>
      <c r="AJ364" s="90">
        <v>22900.0</v>
      </c>
      <c r="AK364" s="14">
        <f t="shared" si="1008"/>
        <v>14674.19355</v>
      </c>
      <c r="AL364" s="14"/>
      <c r="AM364" s="14">
        <f t="shared" si="1009"/>
        <v>6.113537118</v>
      </c>
      <c r="AN364" s="14">
        <f t="shared" si="1010"/>
        <v>903.2258065</v>
      </c>
      <c r="AO364" s="87">
        <f t="shared" si="1011"/>
        <v>147.7419355</v>
      </c>
      <c r="AP364" s="14">
        <f t="shared" si="1012"/>
        <v>226.6564</v>
      </c>
      <c r="AQ364" s="14">
        <f t="shared" si="1013"/>
        <v>229</v>
      </c>
      <c r="AR364" s="88">
        <f t="shared" ref="AR364:AS364" si="1221">AI364/94</f>
        <v>265.8510638</v>
      </c>
      <c r="AS364" s="88">
        <f t="shared" si="1221"/>
        <v>243.6170213</v>
      </c>
      <c r="AT364" s="89">
        <f t="shared" ref="AT364:AU364" si="1222">AI364/24</f>
        <v>1041.25</v>
      </c>
      <c r="AU364" s="89">
        <f t="shared" si="1222"/>
        <v>954.1666667</v>
      </c>
      <c r="AV364" s="89">
        <f t="shared" ref="AV364:AW364" si="1223">AI364/125</f>
        <v>199.92</v>
      </c>
      <c r="AW364" s="89">
        <f t="shared" si="1223"/>
        <v>183.2</v>
      </c>
      <c r="AX364" s="79"/>
      <c r="AY364" s="79"/>
    </row>
    <row r="365" ht="15.75" customHeight="1">
      <c r="A365" s="77"/>
      <c r="B365" s="77" t="s">
        <v>724</v>
      </c>
      <c r="C365" s="77" t="s">
        <v>725</v>
      </c>
      <c r="D365" s="78"/>
      <c r="E365" s="77">
        <v>145.0</v>
      </c>
      <c r="F365" s="77">
        <v>10.0</v>
      </c>
      <c r="G365" s="78">
        <v>8.3061E7</v>
      </c>
      <c r="H365" s="81">
        <v>0.05</v>
      </c>
      <c r="I365" s="77">
        <f t="shared" si="1047"/>
        <v>0</v>
      </c>
      <c r="J365" s="79"/>
      <c r="K365" s="77">
        <f t="shared" si="1048"/>
        <v>0</v>
      </c>
      <c r="L365" s="82">
        <f t="shared" si="987"/>
        <v>155</v>
      </c>
      <c r="M365" s="77">
        <f t="shared" si="1055"/>
        <v>0</v>
      </c>
      <c r="N365" s="83">
        <f t="shared" si="989"/>
        <v>12.4</v>
      </c>
      <c r="O365" s="83">
        <f t="shared" si="990"/>
        <v>15.5</v>
      </c>
      <c r="P365" s="83">
        <f t="shared" si="991"/>
        <v>7.75</v>
      </c>
      <c r="Q365" s="83">
        <f t="shared" si="992"/>
        <v>3.1</v>
      </c>
      <c r="R365" s="83">
        <f t="shared" si="993"/>
        <v>0</v>
      </c>
      <c r="S365" s="83">
        <f t="shared" si="994"/>
        <v>1.55</v>
      </c>
      <c r="T365" s="84">
        <f t="shared" si="995"/>
        <v>40.3</v>
      </c>
      <c r="U365" s="77">
        <f t="shared" si="996"/>
        <v>0</v>
      </c>
      <c r="V365" s="42">
        <f t="shared" si="15"/>
        <v>0</v>
      </c>
      <c r="W365" s="77">
        <f t="shared" si="997"/>
        <v>0</v>
      </c>
      <c r="X365" s="77">
        <f t="shared" si="998"/>
        <v>0</v>
      </c>
      <c r="Y365" s="77">
        <f t="shared" si="999"/>
        <v>0</v>
      </c>
      <c r="Z365" s="84">
        <f t="shared" si="1000"/>
        <v>195.3</v>
      </c>
      <c r="AA365" s="85">
        <f t="shared" si="1001"/>
        <v>39.06</v>
      </c>
      <c r="AB365" s="83">
        <f t="shared" si="1002"/>
        <v>234.36</v>
      </c>
      <c r="AC365" s="77">
        <f t="shared" si="1049"/>
        <v>0</v>
      </c>
      <c r="AD365" s="83">
        <f t="shared" si="1050"/>
        <v>234.36</v>
      </c>
      <c r="AE365" s="83">
        <f t="shared" si="1051"/>
        <v>100</v>
      </c>
      <c r="AF365" s="79">
        <v>24500.0</v>
      </c>
      <c r="AG365" s="86">
        <f t="shared" si="1006"/>
        <v>15706.45161</v>
      </c>
      <c r="AH365" s="63">
        <f t="shared" si="1007"/>
        <v>1490</v>
      </c>
      <c r="AI365" s="90">
        <v>26990.0</v>
      </c>
      <c r="AJ365" s="90">
        <v>25990.0</v>
      </c>
      <c r="AK365" s="14">
        <f t="shared" si="1008"/>
        <v>16667.74194</v>
      </c>
      <c r="AL365" s="14"/>
      <c r="AM365" s="14">
        <f t="shared" si="1009"/>
        <v>5.732974221</v>
      </c>
      <c r="AN365" s="14">
        <f t="shared" si="1010"/>
        <v>961.2903226</v>
      </c>
      <c r="AO365" s="87">
        <f t="shared" si="1011"/>
        <v>167.6774194</v>
      </c>
      <c r="AP365" s="14">
        <f t="shared" si="1012"/>
        <v>257.5564</v>
      </c>
      <c r="AQ365" s="14">
        <f t="shared" si="1013"/>
        <v>259.9</v>
      </c>
      <c r="AR365" s="88">
        <f t="shared" ref="AR365:AS365" si="1224">AI365/94</f>
        <v>287.1276596</v>
      </c>
      <c r="AS365" s="88">
        <f t="shared" si="1224"/>
        <v>276.4893617</v>
      </c>
      <c r="AT365" s="89">
        <f t="shared" ref="AT365:AU365" si="1225">AI365/24</f>
        <v>1124.583333</v>
      </c>
      <c r="AU365" s="89">
        <f t="shared" si="1225"/>
        <v>1082.916667</v>
      </c>
      <c r="AV365" s="89">
        <f t="shared" ref="AV365:AW365" si="1226">AI365/125</f>
        <v>215.92</v>
      </c>
      <c r="AW365" s="89">
        <f t="shared" si="1226"/>
        <v>207.92</v>
      </c>
      <c r="AX365" s="79"/>
      <c r="AY365" s="79"/>
    </row>
    <row r="366" ht="15.75" customHeight="1">
      <c r="A366" s="77"/>
      <c r="B366" s="77" t="s">
        <v>726</v>
      </c>
      <c r="C366" s="77" t="s">
        <v>727</v>
      </c>
      <c r="D366" s="78"/>
      <c r="E366" s="77">
        <v>125.0</v>
      </c>
      <c r="F366" s="77">
        <v>10.0</v>
      </c>
      <c r="G366" s="78">
        <v>8.3061E7</v>
      </c>
      <c r="H366" s="81">
        <v>0.05</v>
      </c>
      <c r="I366" s="77">
        <f t="shared" si="1047"/>
        <v>0</v>
      </c>
      <c r="J366" s="79"/>
      <c r="K366" s="77">
        <f t="shared" si="1048"/>
        <v>0</v>
      </c>
      <c r="L366" s="82">
        <f t="shared" si="987"/>
        <v>135</v>
      </c>
      <c r="M366" s="77">
        <f t="shared" si="1055"/>
        <v>0</v>
      </c>
      <c r="N366" s="83">
        <f t="shared" si="989"/>
        <v>10.8</v>
      </c>
      <c r="O366" s="83">
        <f t="shared" si="990"/>
        <v>13.5</v>
      </c>
      <c r="P366" s="83">
        <f t="shared" si="991"/>
        <v>6.75</v>
      </c>
      <c r="Q366" s="83">
        <f t="shared" si="992"/>
        <v>2.7</v>
      </c>
      <c r="R366" s="83">
        <f t="shared" si="993"/>
        <v>0</v>
      </c>
      <c r="S366" s="83">
        <f t="shared" si="994"/>
        <v>1.35</v>
      </c>
      <c r="T366" s="84">
        <f t="shared" si="995"/>
        <v>35.1</v>
      </c>
      <c r="U366" s="77">
        <f t="shared" si="996"/>
        <v>0</v>
      </c>
      <c r="V366" s="42">
        <f t="shared" si="15"/>
        <v>0</v>
      </c>
      <c r="W366" s="77">
        <f t="shared" si="997"/>
        <v>0</v>
      </c>
      <c r="X366" s="77">
        <f t="shared" si="998"/>
        <v>0</v>
      </c>
      <c r="Y366" s="77">
        <f t="shared" si="999"/>
        <v>0</v>
      </c>
      <c r="Z366" s="84">
        <f t="shared" si="1000"/>
        <v>170.1</v>
      </c>
      <c r="AA366" s="85">
        <f t="shared" si="1001"/>
        <v>34.02</v>
      </c>
      <c r="AB366" s="83">
        <f t="shared" si="1002"/>
        <v>204.12</v>
      </c>
      <c r="AC366" s="77">
        <f t="shared" si="1049"/>
        <v>0</v>
      </c>
      <c r="AD366" s="83">
        <f t="shared" si="1050"/>
        <v>204.12</v>
      </c>
      <c r="AE366" s="83">
        <f t="shared" si="1051"/>
        <v>100</v>
      </c>
      <c r="AF366" s="79">
        <v>10500.0</v>
      </c>
      <c r="AG366" s="86">
        <f t="shared" si="1006"/>
        <v>7677.777778</v>
      </c>
      <c r="AH366" s="63">
        <f t="shared" si="1007"/>
        <v>490</v>
      </c>
      <c r="AI366" s="90">
        <v>12990.0</v>
      </c>
      <c r="AJ366" s="90">
        <v>10990.0</v>
      </c>
      <c r="AK366" s="14">
        <f t="shared" si="1008"/>
        <v>8040.740741</v>
      </c>
      <c r="AL366" s="14"/>
      <c r="AM366" s="14">
        <f t="shared" si="1009"/>
        <v>4.458598726</v>
      </c>
      <c r="AN366" s="14">
        <f t="shared" si="1010"/>
        <v>362.962963</v>
      </c>
      <c r="AO366" s="87">
        <f t="shared" si="1011"/>
        <v>81.40740741</v>
      </c>
      <c r="AP366" s="14">
        <f t="shared" si="1012"/>
        <v>107.8588</v>
      </c>
      <c r="AQ366" s="14">
        <f t="shared" si="1013"/>
        <v>109.9</v>
      </c>
      <c r="AR366" s="88">
        <f t="shared" ref="AR366:AS366" si="1227">AI366/94</f>
        <v>138.1914894</v>
      </c>
      <c r="AS366" s="88">
        <f t="shared" si="1227"/>
        <v>116.9148936</v>
      </c>
      <c r="AT366" s="89">
        <f t="shared" ref="AT366:AU366" si="1228">AI366/24</f>
        <v>541.25</v>
      </c>
      <c r="AU366" s="89">
        <f t="shared" si="1228"/>
        <v>457.9166667</v>
      </c>
      <c r="AV366" s="89">
        <f t="shared" ref="AV366:AW366" si="1229">AI366/125</f>
        <v>103.92</v>
      </c>
      <c r="AW366" s="89">
        <f t="shared" si="1229"/>
        <v>87.92</v>
      </c>
      <c r="AX366" s="79"/>
      <c r="AY366" s="79"/>
    </row>
    <row r="367" ht="15.75" customHeight="1">
      <c r="A367" s="77"/>
      <c r="B367" s="77" t="s">
        <v>728</v>
      </c>
      <c r="C367" s="77" t="s">
        <v>729</v>
      </c>
      <c r="D367" s="78"/>
      <c r="E367" s="77">
        <v>125.0</v>
      </c>
      <c r="F367" s="77">
        <v>10.0</v>
      </c>
      <c r="G367" s="78">
        <v>8.3061E7</v>
      </c>
      <c r="H367" s="81">
        <v>0.05</v>
      </c>
      <c r="I367" s="77">
        <f t="shared" si="1047"/>
        <v>0</v>
      </c>
      <c r="J367" s="79"/>
      <c r="K367" s="77">
        <f t="shared" si="1048"/>
        <v>0</v>
      </c>
      <c r="L367" s="82">
        <f t="shared" si="987"/>
        <v>135</v>
      </c>
      <c r="M367" s="77">
        <f t="shared" si="1055"/>
        <v>0</v>
      </c>
      <c r="N367" s="83">
        <f t="shared" si="989"/>
        <v>10.8</v>
      </c>
      <c r="O367" s="83">
        <f t="shared" si="990"/>
        <v>13.5</v>
      </c>
      <c r="P367" s="83">
        <f t="shared" si="991"/>
        <v>6.75</v>
      </c>
      <c r="Q367" s="83">
        <f t="shared" si="992"/>
        <v>2.7</v>
      </c>
      <c r="R367" s="83">
        <f t="shared" si="993"/>
        <v>0</v>
      </c>
      <c r="S367" s="83">
        <f t="shared" si="994"/>
        <v>1.35</v>
      </c>
      <c r="T367" s="84">
        <f t="shared" si="995"/>
        <v>35.1</v>
      </c>
      <c r="U367" s="77">
        <f t="shared" si="996"/>
        <v>0</v>
      </c>
      <c r="V367" s="42">
        <f t="shared" si="15"/>
        <v>0</v>
      </c>
      <c r="W367" s="77">
        <f t="shared" si="997"/>
        <v>0</v>
      </c>
      <c r="X367" s="77">
        <f t="shared" si="998"/>
        <v>0</v>
      </c>
      <c r="Y367" s="77">
        <f t="shared" si="999"/>
        <v>0</v>
      </c>
      <c r="Z367" s="84">
        <f t="shared" si="1000"/>
        <v>170.1</v>
      </c>
      <c r="AA367" s="85">
        <f t="shared" si="1001"/>
        <v>34.02</v>
      </c>
      <c r="AB367" s="83">
        <f t="shared" si="1002"/>
        <v>204.12</v>
      </c>
      <c r="AC367" s="77">
        <f t="shared" si="1049"/>
        <v>0</v>
      </c>
      <c r="AD367" s="83">
        <f t="shared" si="1050"/>
        <v>204.12</v>
      </c>
      <c r="AE367" s="83">
        <f t="shared" si="1051"/>
        <v>100</v>
      </c>
      <c r="AF367" s="79">
        <v>12500.0</v>
      </c>
      <c r="AG367" s="86">
        <f t="shared" si="1006"/>
        <v>9159.259259</v>
      </c>
      <c r="AH367" s="63">
        <f t="shared" si="1007"/>
        <v>490</v>
      </c>
      <c r="AI367" s="90">
        <v>14990.0</v>
      </c>
      <c r="AJ367" s="90">
        <v>12990.0</v>
      </c>
      <c r="AK367" s="14">
        <f t="shared" si="1008"/>
        <v>9522.222222</v>
      </c>
      <c r="AL367" s="14"/>
      <c r="AM367" s="14">
        <f t="shared" si="1009"/>
        <v>3.77213241</v>
      </c>
      <c r="AN367" s="14">
        <f t="shared" si="1010"/>
        <v>362.962963</v>
      </c>
      <c r="AO367" s="87">
        <f t="shared" si="1011"/>
        <v>96.22222222</v>
      </c>
      <c r="AP367" s="14">
        <f t="shared" si="1012"/>
        <v>127.8588</v>
      </c>
      <c r="AQ367" s="14">
        <f t="shared" si="1013"/>
        <v>129.9</v>
      </c>
      <c r="AR367" s="88">
        <f t="shared" ref="AR367:AS367" si="1230">AI367/94</f>
        <v>159.4680851</v>
      </c>
      <c r="AS367" s="88">
        <f t="shared" si="1230"/>
        <v>138.1914894</v>
      </c>
      <c r="AT367" s="89">
        <f t="shared" ref="AT367:AU367" si="1231">AI367/24</f>
        <v>624.5833333</v>
      </c>
      <c r="AU367" s="89">
        <f t="shared" si="1231"/>
        <v>541.25</v>
      </c>
      <c r="AV367" s="89">
        <f t="shared" ref="AV367:AW367" si="1232">AI367/125</f>
        <v>119.92</v>
      </c>
      <c r="AW367" s="89">
        <f t="shared" si="1232"/>
        <v>103.92</v>
      </c>
      <c r="AX367" s="79"/>
      <c r="AY367" s="79"/>
    </row>
    <row r="368" ht="15.75" customHeight="1">
      <c r="A368" s="77"/>
      <c r="B368" s="77" t="s">
        <v>730</v>
      </c>
      <c r="C368" s="77" t="s">
        <v>731</v>
      </c>
      <c r="D368" s="78"/>
      <c r="E368" s="77">
        <v>145.0</v>
      </c>
      <c r="F368" s="77">
        <v>10.0</v>
      </c>
      <c r="G368" s="78">
        <v>8.3061E7</v>
      </c>
      <c r="H368" s="81">
        <v>0.05</v>
      </c>
      <c r="I368" s="77">
        <f t="shared" si="1047"/>
        <v>0</v>
      </c>
      <c r="J368" s="79"/>
      <c r="K368" s="77">
        <f t="shared" si="1048"/>
        <v>0</v>
      </c>
      <c r="L368" s="82">
        <f t="shared" si="987"/>
        <v>155</v>
      </c>
      <c r="M368" s="77">
        <f t="shared" si="1055"/>
        <v>0</v>
      </c>
      <c r="N368" s="83">
        <f t="shared" si="989"/>
        <v>12.4</v>
      </c>
      <c r="O368" s="83">
        <f t="shared" si="990"/>
        <v>15.5</v>
      </c>
      <c r="P368" s="83">
        <f t="shared" si="991"/>
        <v>7.75</v>
      </c>
      <c r="Q368" s="83">
        <f t="shared" si="992"/>
        <v>3.1</v>
      </c>
      <c r="R368" s="83">
        <f t="shared" si="993"/>
        <v>0</v>
      </c>
      <c r="S368" s="83">
        <f t="shared" si="994"/>
        <v>1.55</v>
      </c>
      <c r="T368" s="84">
        <f t="shared" si="995"/>
        <v>40.3</v>
      </c>
      <c r="U368" s="77">
        <f t="shared" si="996"/>
        <v>0</v>
      </c>
      <c r="V368" s="42">
        <f t="shared" si="15"/>
        <v>0</v>
      </c>
      <c r="W368" s="77">
        <f t="shared" si="997"/>
        <v>0</v>
      </c>
      <c r="X368" s="77">
        <f t="shared" si="998"/>
        <v>0</v>
      </c>
      <c r="Y368" s="77">
        <f t="shared" si="999"/>
        <v>0</v>
      </c>
      <c r="Z368" s="84">
        <f t="shared" si="1000"/>
        <v>195.3</v>
      </c>
      <c r="AA368" s="85">
        <f t="shared" si="1001"/>
        <v>39.06</v>
      </c>
      <c r="AB368" s="83">
        <f t="shared" si="1002"/>
        <v>234.36</v>
      </c>
      <c r="AC368" s="77">
        <f t="shared" si="1049"/>
        <v>0</v>
      </c>
      <c r="AD368" s="83">
        <f t="shared" si="1050"/>
        <v>234.36</v>
      </c>
      <c r="AE368" s="83">
        <f t="shared" si="1051"/>
        <v>100</v>
      </c>
      <c r="AF368" s="79">
        <v>14500.0</v>
      </c>
      <c r="AG368" s="86">
        <f t="shared" si="1006"/>
        <v>9254.83871</v>
      </c>
      <c r="AH368" s="63">
        <f t="shared" si="1007"/>
        <v>490</v>
      </c>
      <c r="AI368" s="90">
        <v>16990.0</v>
      </c>
      <c r="AJ368" s="90">
        <v>14990.0</v>
      </c>
      <c r="AK368" s="14">
        <f t="shared" si="1008"/>
        <v>9570.967742</v>
      </c>
      <c r="AL368" s="14"/>
      <c r="AM368" s="14">
        <f t="shared" si="1009"/>
        <v>3.268845897</v>
      </c>
      <c r="AN368" s="14">
        <f t="shared" si="1010"/>
        <v>316.1290323</v>
      </c>
      <c r="AO368" s="87">
        <f t="shared" si="1011"/>
        <v>96.70967742</v>
      </c>
      <c r="AP368" s="14">
        <f t="shared" si="1012"/>
        <v>147.5564</v>
      </c>
      <c r="AQ368" s="14">
        <f t="shared" si="1013"/>
        <v>149.9</v>
      </c>
      <c r="AR368" s="88">
        <f t="shared" ref="AR368:AS368" si="1233">AI368/94</f>
        <v>180.7446809</v>
      </c>
      <c r="AS368" s="88">
        <f t="shared" si="1233"/>
        <v>159.4680851</v>
      </c>
      <c r="AT368" s="89">
        <f t="shared" ref="AT368:AU368" si="1234">AI368/24</f>
        <v>707.9166667</v>
      </c>
      <c r="AU368" s="89">
        <f t="shared" si="1234"/>
        <v>624.5833333</v>
      </c>
      <c r="AV368" s="89">
        <f t="shared" ref="AV368:AW368" si="1235">AI368/125</f>
        <v>135.92</v>
      </c>
      <c r="AW368" s="89">
        <f t="shared" si="1235"/>
        <v>119.92</v>
      </c>
      <c r="AX368" s="79"/>
      <c r="AY368" s="79"/>
    </row>
    <row r="369" ht="15.75" customHeight="1">
      <c r="A369" s="77"/>
      <c r="B369" s="77" t="s">
        <v>732</v>
      </c>
      <c r="C369" s="77" t="s">
        <v>733</v>
      </c>
      <c r="D369" s="78"/>
      <c r="E369" s="77">
        <v>145.0</v>
      </c>
      <c r="F369" s="77">
        <v>10.0</v>
      </c>
      <c r="G369" s="78">
        <v>8.3061E7</v>
      </c>
      <c r="H369" s="81">
        <v>0.05</v>
      </c>
      <c r="I369" s="77">
        <f t="shared" si="1047"/>
        <v>0</v>
      </c>
      <c r="J369" s="79"/>
      <c r="K369" s="77">
        <f t="shared" si="1048"/>
        <v>0</v>
      </c>
      <c r="L369" s="82">
        <f t="shared" si="987"/>
        <v>155</v>
      </c>
      <c r="M369" s="77">
        <f t="shared" si="1055"/>
        <v>0</v>
      </c>
      <c r="N369" s="83">
        <f t="shared" si="989"/>
        <v>12.4</v>
      </c>
      <c r="O369" s="83">
        <f t="shared" si="990"/>
        <v>15.5</v>
      </c>
      <c r="P369" s="83">
        <f t="shared" si="991"/>
        <v>7.75</v>
      </c>
      <c r="Q369" s="83">
        <f t="shared" si="992"/>
        <v>3.1</v>
      </c>
      <c r="R369" s="83">
        <f t="shared" si="993"/>
        <v>0</v>
      </c>
      <c r="S369" s="83">
        <f t="shared" si="994"/>
        <v>1.55</v>
      </c>
      <c r="T369" s="84">
        <f t="shared" si="995"/>
        <v>40.3</v>
      </c>
      <c r="U369" s="77">
        <f t="shared" si="996"/>
        <v>0</v>
      </c>
      <c r="V369" s="42">
        <f t="shared" si="15"/>
        <v>0</v>
      </c>
      <c r="W369" s="77">
        <f t="shared" si="997"/>
        <v>0</v>
      </c>
      <c r="X369" s="77">
        <f t="shared" si="998"/>
        <v>0</v>
      </c>
      <c r="Y369" s="77">
        <f t="shared" si="999"/>
        <v>0</v>
      </c>
      <c r="Z369" s="84">
        <f t="shared" si="1000"/>
        <v>195.3</v>
      </c>
      <c r="AA369" s="85">
        <f t="shared" si="1001"/>
        <v>39.06</v>
      </c>
      <c r="AB369" s="83">
        <f t="shared" si="1002"/>
        <v>234.36</v>
      </c>
      <c r="AC369" s="77">
        <f t="shared" si="1049"/>
        <v>0</v>
      </c>
      <c r="AD369" s="83">
        <f t="shared" si="1050"/>
        <v>234.36</v>
      </c>
      <c r="AE369" s="83">
        <f t="shared" si="1051"/>
        <v>100</v>
      </c>
      <c r="AF369" s="79">
        <v>16500.0</v>
      </c>
      <c r="AG369" s="86">
        <f t="shared" si="1006"/>
        <v>10545.16129</v>
      </c>
      <c r="AH369" s="63">
        <f t="shared" si="1007"/>
        <v>490</v>
      </c>
      <c r="AI369" s="90">
        <v>18990.0</v>
      </c>
      <c r="AJ369" s="90">
        <v>16990.0</v>
      </c>
      <c r="AK369" s="14">
        <f t="shared" si="1008"/>
        <v>10861.29032</v>
      </c>
      <c r="AL369" s="14"/>
      <c r="AM369" s="14">
        <f t="shared" si="1009"/>
        <v>2.884049441</v>
      </c>
      <c r="AN369" s="14">
        <f t="shared" si="1010"/>
        <v>316.1290323</v>
      </c>
      <c r="AO369" s="87">
        <f t="shared" si="1011"/>
        <v>109.6129032</v>
      </c>
      <c r="AP369" s="14">
        <f t="shared" si="1012"/>
        <v>167.5564</v>
      </c>
      <c r="AQ369" s="14">
        <f t="shared" si="1013"/>
        <v>169.9</v>
      </c>
      <c r="AR369" s="88">
        <f t="shared" ref="AR369:AS369" si="1236">AI369/94</f>
        <v>202.0212766</v>
      </c>
      <c r="AS369" s="88">
        <f t="shared" si="1236"/>
        <v>180.7446809</v>
      </c>
      <c r="AT369" s="89">
        <f t="shared" ref="AT369:AU369" si="1237">AI369/24</f>
        <v>791.25</v>
      </c>
      <c r="AU369" s="89">
        <f t="shared" si="1237"/>
        <v>707.9166667</v>
      </c>
      <c r="AV369" s="89">
        <f t="shared" ref="AV369:AW369" si="1238">AI369/125</f>
        <v>151.92</v>
      </c>
      <c r="AW369" s="89">
        <f t="shared" si="1238"/>
        <v>135.92</v>
      </c>
      <c r="AX369" s="79"/>
      <c r="AY369" s="79"/>
    </row>
    <row r="370" ht="15.75" customHeight="1">
      <c r="A370" s="77"/>
      <c r="B370" s="77" t="s">
        <v>734</v>
      </c>
      <c r="C370" s="92" t="s">
        <v>735</v>
      </c>
      <c r="D370" s="78"/>
      <c r="E370" s="77">
        <v>125.0</v>
      </c>
      <c r="F370" s="77">
        <v>10.0</v>
      </c>
      <c r="G370" s="78">
        <v>8.3061E7</v>
      </c>
      <c r="H370" s="81">
        <v>0.05</v>
      </c>
      <c r="I370" s="77">
        <f t="shared" si="1047"/>
        <v>0</v>
      </c>
      <c r="J370" s="79"/>
      <c r="K370" s="77">
        <f t="shared" si="1048"/>
        <v>0</v>
      </c>
      <c r="L370" s="82">
        <f t="shared" si="987"/>
        <v>135</v>
      </c>
      <c r="M370" s="77">
        <f t="shared" si="1055"/>
        <v>0</v>
      </c>
      <c r="N370" s="83">
        <f t="shared" si="989"/>
        <v>10.8</v>
      </c>
      <c r="O370" s="83">
        <f t="shared" si="990"/>
        <v>13.5</v>
      </c>
      <c r="P370" s="83">
        <f t="shared" si="991"/>
        <v>6.75</v>
      </c>
      <c r="Q370" s="83">
        <f t="shared" si="992"/>
        <v>2.7</v>
      </c>
      <c r="R370" s="83">
        <f t="shared" si="993"/>
        <v>0</v>
      </c>
      <c r="S370" s="83">
        <f t="shared" si="994"/>
        <v>1.35</v>
      </c>
      <c r="T370" s="84">
        <f t="shared" si="995"/>
        <v>35.1</v>
      </c>
      <c r="U370" s="77">
        <f t="shared" si="996"/>
        <v>0</v>
      </c>
      <c r="V370" s="42">
        <f t="shared" si="15"/>
        <v>0</v>
      </c>
      <c r="W370" s="77">
        <f t="shared" si="997"/>
        <v>0</v>
      </c>
      <c r="X370" s="77">
        <f t="shared" si="998"/>
        <v>0</v>
      </c>
      <c r="Y370" s="77">
        <f t="shared" si="999"/>
        <v>0</v>
      </c>
      <c r="Z370" s="84">
        <f t="shared" si="1000"/>
        <v>170.1</v>
      </c>
      <c r="AA370" s="85">
        <f t="shared" si="1001"/>
        <v>34.02</v>
      </c>
      <c r="AB370" s="83">
        <f t="shared" si="1002"/>
        <v>204.12</v>
      </c>
      <c r="AC370" s="77">
        <f t="shared" si="1049"/>
        <v>0</v>
      </c>
      <c r="AD370" s="83">
        <f t="shared" si="1050"/>
        <v>204.12</v>
      </c>
      <c r="AE370" s="83">
        <f t="shared" si="1051"/>
        <v>100</v>
      </c>
      <c r="AF370" s="79"/>
      <c r="AG370" s="86">
        <f t="shared" si="1006"/>
        <v>-100</v>
      </c>
      <c r="AH370" s="63">
        <f t="shared" si="1007"/>
        <v>189.8316</v>
      </c>
      <c r="AI370" s="63">
        <f t="shared" ref="AI370:AI384" si="1242">AB370</f>
        <v>204.12</v>
      </c>
      <c r="AJ370" s="63">
        <f t="shared" ref="AJ370:AJ384" si="1243">AI370-(AI370*7%)</f>
        <v>189.8316</v>
      </c>
      <c r="AK370" s="14">
        <f t="shared" si="1008"/>
        <v>40.616</v>
      </c>
      <c r="AL370" s="14"/>
      <c r="AM370" s="14">
        <f t="shared" si="1009"/>
        <v>100</v>
      </c>
      <c r="AN370" s="14">
        <f t="shared" si="1010"/>
        <v>140.616</v>
      </c>
      <c r="AO370" s="87">
        <f t="shared" si="1011"/>
        <v>1.40616</v>
      </c>
      <c r="AP370" s="14">
        <f t="shared" si="1012"/>
        <v>-0.142884</v>
      </c>
      <c r="AQ370" s="14">
        <f t="shared" si="1013"/>
        <v>1.898316</v>
      </c>
      <c r="AR370" s="88">
        <f t="shared" ref="AR370:AS370" si="1239">AI370/94</f>
        <v>2.171489362</v>
      </c>
      <c r="AS370" s="88">
        <f t="shared" si="1239"/>
        <v>2.019485106</v>
      </c>
      <c r="AT370" s="89">
        <f t="shared" ref="AT370:AU370" si="1240">AI370/24</f>
        <v>8.505</v>
      </c>
      <c r="AU370" s="89">
        <f t="shared" si="1240"/>
        <v>7.90965</v>
      </c>
      <c r="AV370" s="89">
        <f t="shared" ref="AV370:AW370" si="1241">AI370/125</f>
        <v>1.63296</v>
      </c>
      <c r="AW370" s="89">
        <f t="shared" si="1241"/>
        <v>1.5186528</v>
      </c>
      <c r="AX370" s="79"/>
      <c r="AY370" s="79"/>
    </row>
    <row r="371" ht="15.75" customHeight="1">
      <c r="A371" s="77"/>
      <c r="B371" s="77" t="s">
        <v>736</v>
      </c>
      <c r="C371" s="92" t="s">
        <v>737</v>
      </c>
      <c r="D371" s="78"/>
      <c r="E371" s="77">
        <v>125.0</v>
      </c>
      <c r="F371" s="77">
        <v>10.0</v>
      </c>
      <c r="G371" s="78">
        <v>8.3061E7</v>
      </c>
      <c r="H371" s="81">
        <v>0.05</v>
      </c>
      <c r="I371" s="77">
        <f t="shared" si="1047"/>
        <v>0</v>
      </c>
      <c r="J371" s="79"/>
      <c r="K371" s="77">
        <f t="shared" si="1048"/>
        <v>0</v>
      </c>
      <c r="L371" s="82">
        <f t="shared" si="987"/>
        <v>135</v>
      </c>
      <c r="M371" s="77">
        <f t="shared" si="1055"/>
        <v>0</v>
      </c>
      <c r="N371" s="83">
        <f t="shared" si="989"/>
        <v>10.8</v>
      </c>
      <c r="O371" s="83">
        <f t="shared" si="990"/>
        <v>13.5</v>
      </c>
      <c r="P371" s="83">
        <f t="shared" si="991"/>
        <v>6.75</v>
      </c>
      <c r="Q371" s="83">
        <f t="shared" si="992"/>
        <v>2.7</v>
      </c>
      <c r="R371" s="83">
        <f t="shared" si="993"/>
        <v>0</v>
      </c>
      <c r="S371" s="83">
        <f t="shared" si="994"/>
        <v>1.35</v>
      </c>
      <c r="T371" s="84">
        <f t="shared" si="995"/>
        <v>35.1</v>
      </c>
      <c r="U371" s="77">
        <f t="shared" si="996"/>
        <v>0</v>
      </c>
      <c r="V371" s="42">
        <f t="shared" si="15"/>
        <v>0</v>
      </c>
      <c r="W371" s="77">
        <f t="shared" si="997"/>
        <v>0</v>
      </c>
      <c r="X371" s="77">
        <f t="shared" si="998"/>
        <v>0</v>
      </c>
      <c r="Y371" s="77">
        <f t="shared" si="999"/>
        <v>0</v>
      </c>
      <c r="Z371" s="84">
        <f t="shared" si="1000"/>
        <v>170.1</v>
      </c>
      <c r="AA371" s="85">
        <f t="shared" si="1001"/>
        <v>34.02</v>
      </c>
      <c r="AB371" s="83">
        <f t="shared" si="1002"/>
        <v>204.12</v>
      </c>
      <c r="AC371" s="77">
        <f t="shared" si="1049"/>
        <v>0</v>
      </c>
      <c r="AD371" s="83">
        <f t="shared" si="1050"/>
        <v>204.12</v>
      </c>
      <c r="AE371" s="83">
        <f t="shared" si="1051"/>
        <v>100</v>
      </c>
      <c r="AF371" s="79"/>
      <c r="AG371" s="86">
        <f t="shared" si="1006"/>
        <v>-100</v>
      </c>
      <c r="AH371" s="63">
        <f t="shared" si="1007"/>
        <v>189.8316</v>
      </c>
      <c r="AI371" s="63">
        <f t="shared" si="1242"/>
        <v>204.12</v>
      </c>
      <c r="AJ371" s="63">
        <f t="shared" si="1243"/>
        <v>189.8316</v>
      </c>
      <c r="AK371" s="14">
        <f t="shared" si="1008"/>
        <v>40.616</v>
      </c>
      <c r="AL371" s="14"/>
      <c r="AM371" s="14">
        <f t="shared" si="1009"/>
        <v>100</v>
      </c>
      <c r="AN371" s="14">
        <f t="shared" si="1010"/>
        <v>140.616</v>
      </c>
      <c r="AO371" s="87">
        <f t="shared" si="1011"/>
        <v>1.40616</v>
      </c>
      <c r="AP371" s="14">
        <f t="shared" si="1012"/>
        <v>-0.142884</v>
      </c>
      <c r="AQ371" s="14">
        <f t="shared" si="1013"/>
        <v>1.898316</v>
      </c>
      <c r="AR371" s="88">
        <f t="shared" ref="AR371:AS371" si="1244">AI371/94</f>
        <v>2.171489362</v>
      </c>
      <c r="AS371" s="88">
        <f t="shared" si="1244"/>
        <v>2.019485106</v>
      </c>
      <c r="AT371" s="89">
        <f t="shared" ref="AT371:AU371" si="1245">AI371/24</f>
        <v>8.505</v>
      </c>
      <c r="AU371" s="89">
        <f t="shared" si="1245"/>
        <v>7.90965</v>
      </c>
      <c r="AV371" s="89">
        <f t="shared" ref="AV371:AW371" si="1246">AI371/125</f>
        <v>1.63296</v>
      </c>
      <c r="AW371" s="89">
        <f t="shared" si="1246"/>
        <v>1.5186528</v>
      </c>
      <c r="AX371" s="79"/>
      <c r="AY371" s="79"/>
    </row>
    <row r="372" ht="15.75" customHeight="1">
      <c r="A372" s="77"/>
      <c r="B372" s="77" t="s">
        <v>738</v>
      </c>
      <c r="C372" s="92" t="s">
        <v>739</v>
      </c>
      <c r="D372" s="78"/>
      <c r="E372" s="77">
        <v>145.0</v>
      </c>
      <c r="F372" s="77">
        <v>10.0</v>
      </c>
      <c r="G372" s="78">
        <v>8.3061E7</v>
      </c>
      <c r="H372" s="81">
        <v>0.05</v>
      </c>
      <c r="I372" s="77">
        <f t="shared" si="1047"/>
        <v>0</v>
      </c>
      <c r="J372" s="79"/>
      <c r="K372" s="77">
        <f t="shared" si="1048"/>
        <v>0</v>
      </c>
      <c r="L372" s="82">
        <f t="shared" si="987"/>
        <v>155</v>
      </c>
      <c r="M372" s="77">
        <f t="shared" si="1055"/>
        <v>0</v>
      </c>
      <c r="N372" s="83">
        <f t="shared" si="989"/>
        <v>12.4</v>
      </c>
      <c r="O372" s="83">
        <f t="shared" si="990"/>
        <v>15.5</v>
      </c>
      <c r="P372" s="83">
        <f t="shared" si="991"/>
        <v>7.75</v>
      </c>
      <c r="Q372" s="83">
        <f t="shared" si="992"/>
        <v>3.1</v>
      </c>
      <c r="R372" s="83">
        <f t="shared" si="993"/>
        <v>0</v>
      </c>
      <c r="S372" s="83">
        <f t="shared" si="994"/>
        <v>1.55</v>
      </c>
      <c r="T372" s="84">
        <f t="shared" si="995"/>
        <v>40.3</v>
      </c>
      <c r="U372" s="77">
        <f t="shared" si="996"/>
        <v>0</v>
      </c>
      <c r="V372" s="42">
        <f t="shared" si="15"/>
        <v>0</v>
      </c>
      <c r="W372" s="77">
        <f t="shared" si="997"/>
        <v>0</v>
      </c>
      <c r="X372" s="77">
        <f t="shared" si="998"/>
        <v>0</v>
      </c>
      <c r="Y372" s="77">
        <f t="shared" si="999"/>
        <v>0</v>
      </c>
      <c r="Z372" s="84">
        <f t="shared" si="1000"/>
        <v>195.3</v>
      </c>
      <c r="AA372" s="85">
        <f t="shared" si="1001"/>
        <v>39.06</v>
      </c>
      <c r="AB372" s="83">
        <f t="shared" si="1002"/>
        <v>234.36</v>
      </c>
      <c r="AC372" s="77">
        <f t="shared" si="1049"/>
        <v>0</v>
      </c>
      <c r="AD372" s="83">
        <f t="shared" si="1050"/>
        <v>234.36</v>
      </c>
      <c r="AE372" s="83">
        <f t="shared" si="1051"/>
        <v>100</v>
      </c>
      <c r="AF372" s="79"/>
      <c r="AG372" s="86">
        <f t="shared" si="1006"/>
        <v>-100</v>
      </c>
      <c r="AH372" s="63">
        <f t="shared" si="1007"/>
        <v>217.9548</v>
      </c>
      <c r="AI372" s="63">
        <f t="shared" si="1242"/>
        <v>234.36</v>
      </c>
      <c r="AJ372" s="63">
        <f t="shared" si="1243"/>
        <v>217.9548</v>
      </c>
      <c r="AK372" s="14">
        <f t="shared" si="1008"/>
        <v>40.616</v>
      </c>
      <c r="AL372" s="14"/>
      <c r="AM372" s="14">
        <f t="shared" si="1009"/>
        <v>100</v>
      </c>
      <c r="AN372" s="14">
        <f t="shared" si="1010"/>
        <v>140.616</v>
      </c>
      <c r="AO372" s="87">
        <f t="shared" si="1011"/>
        <v>1.40616</v>
      </c>
      <c r="AP372" s="14">
        <f t="shared" si="1012"/>
        <v>-0.164052</v>
      </c>
      <c r="AQ372" s="14">
        <f t="shared" si="1013"/>
        <v>2.179548</v>
      </c>
      <c r="AR372" s="88">
        <f t="shared" ref="AR372:AS372" si="1247">AI372/94</f>
        <v>2.493191489</v>
      </c>
      <c r="AS372" s="88">
        <f t="shared" si="1247"/>
        <v>2.318668085</v>
      </c>
      <c r="AT372" s="89">
        <f t="shared" ref="AT372:AU372" si="1248">AI372/24</f>
        <v>9.765</v>
      </c>
      <c r="AU372" s="89">
        <f t="shared" si="1248"/>
        <v>9.08145</v>
      </c>
      <c r="AV372" s="89">
        <f t="shared" ref="AV372:AW372" si="1249">AI372/125</f>
        <v>1.87488</v>
      </c>
      <c r="AW372" s="89">
        <f t="shared" si="1249"/>
        <v>1.7436384</v>
      </c>
      <c r="AX372" s="79"/>
      <c r="AY372" s="79"/>
    </row>
    <row r="373" ht="15.75" customHeight="1">
      <c r="A373" s="77"/>
      <c r="B373" s="77" t="s">
        <v>740</v>
      </c>
      <c r="C373" s="92" t="s">
        <v>741</v>
      </c>
      <c r="D373" s="78"/>
      <c r="E373" s="77">
        <v>145.0</v>
      </c>
      <c r="F373" s="77">
        <v>10.0</v>
      </c>
      <c r="G373" s="78">
        <v>8.3061E7</v>
      </c>
      <c r="H373" s="81">
        <v>0.05</v>
      </c>
      <c r="I373" s="77">
        <f t="shared" si="1047"/>
        <v>0</v>
      </c>
      <c r="J373" s="79"/>
      <c r="K373" s="77">
        <f t="shared" si="1048"/>
        <v>0</v>
      </c>
      <c r="L373" s="82">
        <f t="shared" si="987"/>
        <v>155</v>
      </c>
      <c r="M373" s="77">
        <f t="shared" si="1055"/>
        <v>0</v>
      </c>
      <c r="N373" s="83">
        <f t="shared" si="989"/>
        <v>12.4</v>
      </c>
      <c r="O373" s="83">
        <f t="shared" si="990"/>
        <v>15.5</v>
      </c>
      <c r="P373" s="83">
        <f t="shared" si="991"/>
        <v>7.75</v>
      </c>
      <c r="Q373" s="83">
        <f t="shared" si="992"/>
        <v>3.1</v>
      </c>
      <c r="R373" s="83">
        <f t="shared" si="993"/>
        <v>0</v>
      </c>
      <c r="S373" s="83">
        <f t="shared" si="994"/>
        <v>1.55</v>
      </c>
      <c r="T373" s="84">
        <f t="shared" si="995"/>
        <v>40.3</v>
      </c>
      <c r="U373" s="77">
        <f t="shared" si="996"/>
        <v>0</v>
      </c>
      <c r="V373" s="42">
        <f t="shared" si="15"/>
        <v>0</v>
      </c>
      <c r="W373" s="77">
        <f t="shared" si="997"/>
        <v>0</v>
      </c>
      <c r="X373" s="77">
        <f t="shared" si="998"/>
        <v>0</v>
      </c>
      <c r="Y373" s="77">
        <f t="shared" si="999"/>
        <v>0</v>
      </c>
      <c r="Z373" s="84">
        <f t="shared" si="1000"/>
        <v>195.3</v>
      </c>
      <c r="AA373" s="85">
        <f t="shared" si="1001"/>
        <v>39.06</v>
      </c>
      <c r="AB373" s="83">
        <f t="shared" si="1002"/>
        <v>234.36</v>
      </c>
      <c r="AC373" s="77">
        <f t="shared" si="1049"/>
        <v>0</v>
      </c>
      <c r="AD373" s="83">
        <f t="shared" si="1050"/>
        <v>234.36</v>
      </c>
      <c r="AE373" s="83">
        <f t="shared" si="1051"/>
        <v>100</v>
      </c>
      <c r="AF373" s="79"/>
      <c r="AG373" s="86">
        <f t="shared" si="1006"/>
        <v>-100</v>
      </c>
      <c r="AH373" s="63">
        <f t="shared" si="1007"/>
        <v>217.9548</v>
      </c>
      <c r="AI373" s="63">
        <f t="shared" si="1242"/>
        <v>234.36</v>
      </c>
      <c r="AJ373" s="63">
        <f t="shared" si="1243"/>
        <v>217.9548</v>
      </c>
      <c r="AK373" s="14">
        <f t="shared" si="1008"/>
        <v>40.616</v>
      </c>
      <c r="AL373" s="14"/>
      <c r="AM373" s="14">
        <f t="shared" si="1009"/>
        <v>100</v>
      </c>
      <c r="AN373" s="14">
        <f t="shared" si="1010"/>
        <v>140.616</v>
      </c>
      <c r="AO373" s="87">
        <f t="shared" si="1011"/>
        <v>1.40616</v>
      </c>
      <c r="AP373" s="14">
        <f t="shared" si="1012"/>
        <v>-0.164052</v>
      </c>
      <c r="AQ373" s="14">
        <f t="shared" si="1013"/>
        <v>2.179548</v>
      </c>
      <c r="AR373" s="88">
        <f t="shared" ref="AR373:AS373" si="1250">AI373/94</f>
        <v>2.493191489</v>
      </c>
      <c r="AS373" s="88">
        <f t="shared" si="1250"/>
        <v>2.318668085</v>
      </c>
      <c r="AT373" s="89">
        <f t="shared" ref="AT373:AU373" si="1251">AI373/24</f>
        <v>9.765</v>
      </c>
      <c r="AU373" s="89">
        <f t="shared" si="1251"/>
        <v>9.08145</v>
      </c>
      <c r="AV373" s="89">
        <f t="shared" ref="AV373:AW373" si="1252">AI373/125</f>
        <v>1.87488</v>
      </c>
      <c r="AW373" s="89">
        <f t="shared" si="1252"/>
        <v>1.7436384</v>
      </c>
      <c r="AX373" s="79"/>
      <c r="AY373" s="79"/>
    </row>
    <row r="374" ht="15.75" customHeight="1">
      <c r="A374" s="77"/>
      <c r="B374" s="77" t="s">
        <v>742</v>
      </c>
      <c r="C374" s="92" t="s">
        <v>743</v>
      </c>
      <c r="D374" s="78"/>
      <c r="E374" s="77">
        <v>145.0</v>
      </c>
      <c r="F374" s="77">
        <v>10.0</v>
      </c>
      <c r="G374" s="78">
        <v>8.3061E7</v>
      </c>
      <c r="H374" s="81">
        <v>0.05</v>
      </c>
      <c r="I374" s="77">
        <f t="shared" si="1047"/>
        <v>0</v>
      </c>
      <c r="J374" s="79"/>
      <c r="K374" s="77">
        <f t="shared" si="1048"/>
        <v>0</v>
      </c>
      <c r="L374" s="82">
        <f t="shared" si="987"/>
        <v>155</v>
      </c>
      <c r="M374" s="77">
        <f t="shared" si="1055"/>
        <v>0</v>
      </c>
      <c r="N374" s="83">
        <f t="shared" si="989"/>
        <v>12.4</v>
      </c>
      <c r="O374" s="83">
        <f t="shared" si="990"/>
        <v>15.5</v>
      </c>
      <c r="P374" s="83">
        <f t="shared" si="991"/>
        <v>7.75</v>
      </c>
      <c r="Q374" s="83">
        <f t="shared" si="992"/>
        <v>3.1</v>
      </c>
      <c r="R374" s="83">
        <f t="shared" si="993"/>
        <v>0</v>
      </c>
      <c r="S374" s="83">
        <f t="shared" si="994"/>
        <v>1.55</v>
      </c>
      <c r="T374" s="84">
        <f t="shared" si="995"/>
        <v>40.3</v>
      </c>
      <c r="U374" s="77">
        <f t="shared" si="996"/>
        <v>0</v>
      </c>
      <c r="V374" s="42">
        <f t="shared" si="15"/>
        <v>0</v>
      </c>
      <c r="W374" s="77">
        <f t="shared" si="997"/>
        <v>0</v>
      </c>
      <c r="X374" s="77">
        <f t="shared" si="998"/>
        <v>0</v>
      </c>
      <c r="Y374" s="77">
        <f t="shared" si="999"/>
        <v>0</v>
      </c>
      <c r="Z374" s="84">
        <f t="shared" si="1000"/>
        <v>195.3</v>
      </c>
      <c r="AA374" s="85">
        <f t="shared" si="1001"/>
        <v>39.06</v>
      </c>
      <c r="AB374" s="83">
        <f t="shared" si="1002"/>
        <v>234.36</v>
      </c>
      <c r="AC374" s="77">
        <f t="shared" si="1049"/>
        <v>0</v>
      </c>
      <c r="AD374" s="83">
        <f t="shared" si="1050"/>
        <v>234.36</v>
      </c>
      <c r="AE374" s="83">
        <f t="shared" si="1051"/>
        <v>100</v>
      </c>
      <c r="AF374" s="79"/>
      <c r="AG374" s="86">
        <f t="shared" si="1006"/>
        <v>-100</v>
      </c>
      <c r="AH374" s="63">
        <f t="shared" si="1007"/>
        <v>217.9548</v>
      </c>
      <c r="AI374" s="63">
        <f t="shared" si="1242"/>
        <v>234.36</v>
      </c>
      <c r="AJ374" s="63">
        <f t="shared" si="1243"/>
        <v>217.9548</v>
      </c>
      <c r="AK374" s="14">
        <f t="shared" si="1008"/>
        <v>40.616</v>
      </c>
      <c r="AL374" s="14"/>
      <c r="AM374" s="14">
        <f t="shared" si="1009"/>
        <v>100</v>
      </c>
      <c r="AN374" s="14">
        <f t="shared" si="1010"/>
        <v>140.616</v>
      </c>
      <c r="AO374" s="87">
        <f t="shared" si="1011"/>
        <v>1.40616</v>
      </c>
      <c r="AP374" s="14">
        <f t="shared" si="1012"/>
        <v>-0.164052</v>
      </c>
      <c r="AQ374" s="14">
        <f t="shared" si="1013"/>
        <v>2.179548</v>
      </c>
      <c r="AR374" s="88">
        <f t="shared" ref="AR374:AS374" si="1253">AI374/94</f>
        <v>2.493191489</v>
      </c>
      <c r="AS374" s="88">
        <f t="shared" si="1253"/>
        <v>2.318668085</v>
      </c>
      <c r="AT374" s="89">
        <f t="shared" ref="AT374:AU374" si="1254">AI374/24</f>
        <v>9.765</v>
      </c>
      <c r="AU374" s="89">
        <f t="shared" si="1254"/>
        <v>9.08145</v>
      </c>
      <c r="AV374" s="89">
        <f t="shared" ref="AV374:AW374" si="1255">AI374/125</f>
        <v>1.87488</v>
      </c>
      <c r="AW374" s="89">
        <f t="shared" si="1255"/>
        <v>1.7436384</v>
      </c>
      <c r="AX374" s="79"/>
      <c r="AY374" s="79"/>
    </row>
    <row r="375" ht="15.75" customHeight="1">
      <c r="A375" s="77"/>
      <c r="B375" s="77" t="s">
        <v>744</v>
      </c>
      <c r="C375" s="92" t="s">
        <v>745</v>
      </c>
      <c r="D375" s="78"/>
      <c r="E375" s="77">
        <v>145.0</v>
      </c>
      <c r="F375" s="77">
        <v>10.0</v>
      </c>
      <c r="G375" s="78">
        <v>8.3061E7</v>
      </c>
      <c r="H375" s="81">
        <v>0.05</v>
      </c>
      <c r="I375" s="77">
        <f t="shared" si="1047"/>
        <v>0</v>
      </c>
      <c r="J375" s="79"/>
      <c r="K375" s="77">
        <f t="shared" si="1048"/>
        <v>0</v>
      </c>
      <c r="L375" s="82">
        <f t="shared" si="987"/>
        <v>155</v>
      </c>
      <c r="M375" s="77">
        <f t="shared" si="1055"/>
        <v>0</v>
      </c>
      <c r="N375" s="83">
        <f t="shared" si="989"/>
        <v>12.4</v>
      </c>
      <c r="O375" s="83">
        <f t="shared" si="990"/>
        <v>15.5</v>
      </c>
      <c r="P375" s="83">
        <f t="shared" si="991"/>
        <v>7.75</v>
      </c>
      <c r="Q375" s="83">
        <f t="shared" si="992"/>
        <v>3.1</v>
      </c>
      <c r="R375" s="83">
        <f t="shared" si="993"/>
        <v>0</v>
      </c>
      <c r="S375" s="83">
        <f t="shared" si="994"/>
        <v>1.55</v>
      </c>
      <c r="T375" s="84">
        <f t="shared" si="995"/>
        <v>40.3</v>
      </c>
      <c r="U375" s="77">
        <f t="shared" si="996"/>
        <v>0</v>
      </c>
      <c r="V375" s="42">
        <f t="shared" si="15"/>
        <v>0</v>
      </c>
      <c r="W375" s="77">
        <f t="shared" si="997"/>
        <v>0</v>
      </c>
      <c r="X375" s="77">
        <f t="shared" si="998"/>
        <v>0</v>
      </c>
      <c r="Y375" s="77">
        <f t="shared" si="999"/>
        <v>0</v>
      </c>
      <c r="Z375" s="84">
        <f t="shared" si="1000"/>
        <v>195.3</v>
      </c>
      <c r="AA375" s="85">
        <f t="shared" si="1001"/>
        <v>39.06</v>
      </c>
      <c r="AB375" s="83">
        <f t="shared" si="1002"/>
        <v>234.36</v>
      </c>
      <c r="AC375" s="77">
        <f t="shared" si="1049"/>
        <v>0</v>
      </c>
      <c r="AD375" s="83">
        <f t="shared" si="1050"/>
        <v>234.36</v>
      </c>
      <c r="AE375" s="83">
        <f t="shared" si="1051"/>
        <v>100</v>
      </c>
      <c r="AF375" s="79"/>
      <c r="AG375" s="86">
        <f t="shared" si="1006"/>
        <v>-100</v>
      </c>
      <c r="AH375" s="63">
        <f t="shared" si="1007"/>
        <v>217.9548</v>
      </c>
      <c r="AI375" s="63">
        <f t="shared" si="1242"/>
        <v>234.36</v>
      </c>
      <c r="AJ375" s="63">
        <f t="shared" si="1243"/>
        <v>217.9548</v>
      </c>
      <c r="AK375" s="14">
        <f t="shared" si="1008"/>
        <v>40.616</v>
      </c>
      <c r="AL375" s="14"/>
      <c r="AM375" s="14">
        <f t="shared" si="1009"/>
        <v>100</v>
      </c>
      <c r="AN375" s="14">
        <f t="shared" si="1010"/>
        <v>140.616</v>
      </c>
      <c r="AO375" s="87">
        <f t="shared" si="1011"/>
        <v>1.40616</v>
      </c>
      <c r="AP375" s="14">
        <f t="shared" si="1012"/>
        <v>-0.164052</v>
      </c>
      <c r="AQ375" s="14">
        <f t="shared" si="1013"/>
        <v>2.179548</v>
      </c>
      <c r="AR375" s="88">
        <f t="shared" ref="AR375:AS375" si="1256">AI375/94</f>
        <v>2.493191489</v>
      </c>
      <c r="AS375" s="88">
        <f t="shared" si="1256"/>
        <v>2.318668085</v>
      </c>
      <c r="AT375" s="89">
        <f t="shared" ref="AT375:AU375" si="1257">AI375/24</f>
        <v>9.765</v>
      </c>
      <c r="AU375" s="89">
        <f t="shared" si="1257"/>
        <v>9.08145</v>
      </c>
      <c r="AV375" s="89">
        <f t="shared" ref="AV375:AW375" si="1258">AI375/125</f>
        <v>1.87488</v>
      </c>
      <c r="AW375" s="89">
        <f t="shared" si="1258"/>
        <v>1.7436384</v>
      </c>
      <c r="AX375" s="79"/>
      <c r="AY375" s="79"/>
    </row>
    <row r="376" ht="15.75" customHeight="1">
      <c r="A376" s="77"/>
      <c r="B376" s="77" t="s">
        <v>746</v>
      </c>
      <c r="C376" s="92" t="s">
        <v>747</v>
      </c>
      <c r="D376" s="78"/>
      <c r="E376" s="77">
        <v>145.0</v>
      </c>
      <c r="F376" s="77">
        <v>10.0</v>
      </c>
      <c r="G376" s="78">
        <v>8.3061E7</v>
      </c>
      <c r="H376" s="81">
        <v>0.05</v>
      </c>
      <c r="I376" s="77">
        <f t="shared" si="1047"/>
        <v>0</v>
      </c>
      <c r="J376" s="79"/>
      <c r="K376" s="77">
        <f t="shared" si="1048"/>
        <v>0</v>
      </c>
      <c r="L376" s="82">
        <f t="shared" si="987"/>
        <v>155</v>
      </c>
      <c r="M376" s="77">
        <f t="shared" si="1055"/>
        <v>0</v>
      </c>
      <c r="N376" s="83">
        <f t="shared" si="989"/>
        <v>12.4</v>
      </c>
      <c r="O376" s="83">
        <f t="shared" si="990"/>
        <v>15.5</v>
      </c>
      <c r="P376" s="83">
        <f t="shared" si="991"/>
        <v>7.75</v>
      </c>
      <c r="Q376" s="83">
        <f t="shared" si="992"/>
        <v>3.1</v>
      </c>
      <c r="R376" s="83">
        <f t="shared" si="993"/>
        <v>0</v>
      </c>
      <c r="S376" s="83">
        <f t="shared" si="994"/>
        <v>1.55</v>
      </c>
      <c r="T376" s="84">
        <f t="shared" si="995"/>
        <v>40.3</v>
      </c>
      <c r="U376" s="77">
        <f t="shared" si="996"/>
        <v>0</v>
      </c>
      <c r="V376" s="42">
        <f t="shared" si="15"/>
        <v>0</v>
      </c>
      <c r="W376" s="77">
        <f t="shared" si="997"/>
        <v>0</v>
      </c>
      <c r="X376" s="77">
        <f t="shared" si="998"/>
        <v>0</v>
      </c>
      <c r="Y376" s="77">
        <f t="shared" si="999"/>
        <v>0</v>
      </c>
      <c r="Z376" s="84">
        <f t="shared" si="1000"/>
        <v>195.3</v>
      </c>
      <c r="AA376" s="85">
        <f t="shared" si="1001"/>
        <v>39.06</v>
      </c>
      <c r="AB376" s="83">
        <f t="shared" si="1002"/>
        <v>234.36</v>
      </c>
      <c r="AC376" s="77">
        <f t="shared" si="1049"/>
        <v>0</v>
      </c>
      <c r="AD376" s="83">
        <f t="shared" si="1050"/>
        <v>234.36</v>
      </c>
      <c r="AE376" s="83">
        <f t="shared" si="1051"/>
        <v>100</v>
      </c>
      <c r="AF376" s="79"/>
      <c r="AG376" s="86">
        <f t="shared" si="1006"/>
        <v>-100</v>
      </c>
      <c r="AH376" s="63">
        <f t="shared" si="1007"/>
        <v>217.9548</v>
      </c>
      <c r="AI376" s="63">
        <f t="shared" si="1242"/>
        <v>234.36</v>
      </c>
      <c r="AJ376" s="63">
        <f t="shared" si="1243"/>
        <v>217.9548</v>
      </c>
      <c r="AK376" s="14">
        <f t="shared" si="1008"/>
        <v>40.616</v>
      </c>
      <c r="AL376" s="14"/>
      <c r="AM376" s="14">
        <f t="shared" si="1009"/>
        <v>100</v>
      </c>
      <c r="AN376" s="14">
        <f t="shared" si="1010"/>
        <v>140.616</v>
      </c>
      <c r="AO376" s="87">
        <f t="shared" si="1011"/>
        <v>1.40616</v>
      </c>
      <c r="AP376" s="14">
        <f t="shared" si="1012"/>
        <v>-0.164052</v>
      </c>
      <c r="AQ376" s="14">
        <f t="shared" si="1013"/>
        <v>2.179548</v>
      </c>
      <c r="AR376" s="88">
        <f t="shared" ref="AR376:AS376" si="1259">AI376/94</f>
        <v>2.493191489</v>
      </c>
      <c r="AS376" s="88">
        <f t="shared" si="1259"/>
        <v>2.318668085</v>
      </c>
      <c r="AT376" s="89">
        <f t="shared" ref="AT376:AU376" si="1260">AI376/24</f>
        <v>9.765</v>
      </c>
      <c r="AU376" s="89">
        <f t="shared" si="1260"/>
        <v>9.08145</v>
      </c>
      <c r="AV376" s="89">
        <f t="shared" ref="AV376:AW376" si="1261">AI376/125</f>
        <v>1.87488</v>
      </c>
      <c r="AW376" s="89">
        <f t="shared" si="1261"/>
        <v>1.7436384</v>
      </c>
      <c r="AX376" s="79"/>
      <c r="AY376" s="79"/>
    </row>
    <row r="377" ht="15.75" customHeight="1">
      <c r="A377" s="77"/>
      <c r="B377" s="77" t="s">
        <v>748</v>
      </c>
      <c r="C377" s="92" t="s">
        <v>749</v>
      </c>
      <c r="D377" s="78"/>
      <c r="E377" s="77">
        <v>125.0</v>
      </c>
      <c r="F377" s="77">
        <v>10.0</v>
      </c>
      <c r="G377" s="78">
        <v>8.3061E7</v>
      </c>
      <c r="H377" s="81">
        <v>0.05</v>
      </c>
      <c r="I377" s="77">
        <f t="shared" si="1047"/>
        <v>0</v>
      </c>
      <c r="J377" s="79"/>
      <c r="K377" s="77">
        <f t="shared" si="1048"/>
        <v>0</v>
      </c>
      <c r="L377" s="82">
        <f t="shared" si="987"/>
        <v>135</v>
      </c>
      <c r="M377" s="77">
        <f t="shared" si="1055"/>
        <v>0</v>
      </c>
      <c r="N377" s="83">
        <f t="shared" si="989"/>
        <v>10.8</v>
      </c>
      <c r="O377" s="83">
        <f t="shared" si="990"/>
        <v>13.5</v>
      </c>
      <c r="P377" s="83">
        <f t="shared" si="991"/>
        <v>6.75</v>
      </c>
      <c r="Q377" s="83">
        <f t="shared" si="992"/>
        <v>2.7</v>
      </c>
      <c r="R377" s="83">
        <f t="shared" si="993"/>
        <v>0</v>
      </c>
      <c r="S377" s="83">
        <f t="shared" si="994"/>
        <v>1.35</v>
      </c>
      <c r="T377" s="84">
        <f t="shared" si="995"/>
        <v>35.1</v>
      </c>
      <c r="U377" s="77">
        <f t="shared" si="996"/>
        <v>0</v>
      </c>
      <c r="V377" s="42">
        <f t="shared" si="15"/>
        <v>0</v>
      </c>
      <c r="W377" s="77">
        <f t="shared" si="997"/>
        <v>0</v>
      </c>
      <c r="X377" s="77">
        <f t="shared" si="998"/>
        <v>0</v>
      </c>
      <c r="Y377" s="77">
        <f t="shared" si="999"/>
        <v>0</v>
      </c>
      <c r="Z377" s="84">
        <f t="shared" si="1000"/>
        <v>170.1</v>
      </c>
      <c r="AA377" s="85">
        <f t="shared" si="1001"/>
        <v>34.02</v>
      </c>
      <c r="AB377" s="83">
        <f t="shared" si="1002"/>
        <v>204.12</v>
      </c>
      <c r="AC377" s="77">
        <f t="shared" si="1049"/>
        <v>0</v>
      </c>
      <c r="AD377" s="83">
        <f t="shared" si="1050"/>
        <v>204.12</v>
      </c>
      <c r="AE377" s="83">
        <f t="shared" si="1051"/>
        <v>100</v>
      </c>
      <c r="AF377" s="79"/>
      <c r="AG377" s="86">
        <f t="shared" si="1006"/>
        <v>-100</v>
      </c>
      <c r="AH377" s="63">
        <f t="shared" si="1007"/>
        <v>189.8316</v>
      </c>
      <c r="AI377" s="63">
        <f t="shared" si="1242"/>
        <v>204.12</v>
      </c>
      <c r="AJ377" s="63">
        <f t="shared" si="1243"/>
        <v>189.8316</v>
      </c>
      <c r="AK377" s="14">
        <f t="shared" si="1008"/>
        <v>40.616</v>
      </c>
      <c r="AL377" s="14"/>
      <c r="AM377" s="14">
        <f t="shared" si="1009"/>
        <v>100</v>
      </c>
      <c r="AN377" s="14">
        <f t="shared" si="1010"/>
        <v>140.616</v>
      </c>
      <c r="AO377" s="87">
        <f t="shared" si="1011"/>
        <v>1.40616</v>
      </c>
      <c r="AP377" s="14">
        <f t="shared" si="1012"/>
        <v>-0.142884</v>
      </c>
      <c r="AQ377" s="14">
        <f t="shared" si="1013"/>
        <v>1.898316</v>
      </c>
      <c r="AR377" s="88">
        <f t="shared" ref="AR377:AS377" si="1262">AI377/94</f>
        <v>2.171489362</v>
      </c>
      <c r="AS377" s="88">
        <f t="shared" si="1262"/>
        <v>2.019485106</v>
      </c>
      <c r="AT377" s="89">
        <f t="shared" ref="AT377:AU377" si="1263">AI377/24</f>
        <v>8.505</v>
      </c>
      <c r="AU377" s="89">
        <f t="shared" si="1263"/>
        <v>7.90965</v>
      </c>
      <c r="AV377" s="89">
        <f t="shared" ref="AV377:AW377" si="1264">AI377/125</f>
        <v>1.63296</v>
      </c>
      <c r="AW377" s="89">
        <f t="shared" si="1264"/>
        <v>1.5186528</v>
      </c>
      <c r="AX377" s="79"/>
      <c r="AY377" s="79"/>
    </row>
    <row r="378" ht="15.75" customHeight="1">
      <c r="A378" s="77"/>
      <c r="B378" s="77" t="s">
        <v>750</v>
      </c>
      <c r="C378" s="92" t="s">
        <v>751</v>
      </c>
      <c r="D378" s="78"/>
      <c r="E378" s="77">
        <v>125.0</v>
      </c>
      <c r="F378" s="77">
        <v>10.0</v>
      </c>
      <c r="G378" s="78">
        <v>8.3061E7</v>
      </c>
      <c r="H378" s="81">
        <v>0.05</v>
      </c>
      <c r="I378" s="77">
        <f t="shared" si="1047"/>
        <v>0</v>
      </c>
      <c r="J378" s="79"/>
      <c r="K378" s="77">
        <f t="shared" si="1048"/>
        <v>0</v>
      </c>
      <c r="L378" s="82">
        <f t="shared" si="987"/>
        <v>135</v>
      </c>
      <c r="M378" s="77">
        <f t="shared" si="1055"/>
        <v>0</v>
      </c>
      <c r="N378" s="83">
        <f t="shared" si="989"/>
        <v>10.8</v>
      </c>
      <c r="O378" s="83">
        <f t="shared" si="990"/>
        <v>13.5</v>
      </c>
      <c r="P378" s="83">
        <f t="shared" si="991"/>
        <v>6.75</v>
      </c>
      <c r="Q378" s="83">
        <f t="shared" si="992"/>
        <v>2.7</v>
      </c>
      <c r="R378" s="83">
        <f t="shared" si="993"/>
        <v>0</v>
      </c>
      <c r="S378" s="83">
        <f t="shared" si="994"/>
        <v>1.35</v>
      </c>
      <c r="T378" s="84">
        <f t="shared" si="995"/>
        <v>35.1</v>
      </c>
      <c r="U378" s="77">
        <f t="shared" si="996"/>
        <v>0</v>
      </c>
      <c r="V378" s="42">
        <f t="shared" si="15"/>
        <v>0</v>
      </c>
      <c r="W378" s="77">
        <f t="shared" si="997"/>
        <v>0</v>
      </c>
      <c r="X378" s="77">
        <f t="shared" si="998"/>
        <v>0</v>
      </c>
      <c r="Y378" s="77">
        <f t="shared" si="999"/>
        <v>0</v>
      </c>
      <c r="Z378" s="84">
        <f t="shared" si="1000"/>
        <v>170.1</v>
      </c>
      <c r="AA378" s="85">
        <f t="shared" si="1001"/>
        <v>34.02</v>
      </c>
      <c r="AB378" s="83">
        <f t="shared" si="1002"/>
        <v>204.12</v>
      </c>
      <c r="AC378" s="77">
        <f t="shared" si="1049"/>
        <v>0</v>
      </c>
      <c r="AD378" s="83">
        <f t="shared" si="1050"/>
        <v>204.12</v>
      </c>
      <c r="AE378" s="83">
        <f t="shared" si="1051"/>
        <v>100</v>
      </c>
      <c r="AF378" s="79"/>
      <c r="AG378" s="86">
        <f t="shared" si="1006"/>
        <v>-100</v>
      </c>
      <c r="AH378" s="63">
        <f t="shared" si="1007"/>
        <v>189.8316</v>
      </c>
      <c r="AI378" s="63">
        <f t="shared" si="1242"/>
        <v>204.12</v>
      </c>
      <c r="AJ378" s="63">
        <f t="shared" si="1243"/>
        <v>189.8316</v>
      </c>
      <c r="AK378" s="14">
        <f t="shared" si="1008"/>
        <v>40.616</v>
      </c>
      <c r="AL378" s="14"/>
      <c r="AM378" s="14">
        <f t="shared" si="1009"/>
        <v>100</v>
      </c>
      <c r="AN378" s="14">
        <f t="shared" si="1010"/>
        <v>140.616</v>
      </c>
      <c r="AO378" s="87">
        <f t="shared" si="1011"/>
        <v>1.40616</v>
      </c>
      <c r="AP378" s="14">
        <f t="shared" si="1012"/>
        <v>-0.142884</v>
      </c>
      <c r="AQ378" s="14">
        <f t="shared" si="1013"/>
        <v>1.898316</v>
      </c>
      <c r="AR378" s="88">
        <f t="shared" ref="AR378:AS378" si="1265">AI378/94</f>
        <v>2.171489362</v>
      </c>
      <c r="AS378" s="88">
        <f t="shared" si="1265"/>
        <v>2.019485106</v>
      </c>
      <c r="AT378" s="89">
        <f t="shared" ref="AT378:AU378" si="1266">AI378/24</f>
        <v>8.505</v>
      </c>
      <c r="AU378" s="89">
        <f t="shared" si="1266"/>
        <v>7.90965</v>
      </c>
      <c r="AV378" s="89">
        <f t="shared" ref="AV378:AW378" si="1267">AI378/125</f>
        <v>1.63296</v>
      </c>
      <c r="AW378" s="89">
        <f t="shared" si="1267"/>
        <v>1.5186528</v>
      </c>
      <c r="AX378" s="79"/>
      <c r="AY378" s="79"/>
    </row>
    <row r="379" ht="15.75" customHeight="1">
      <c r="A379" s="77"/>
      <c r="B379" s="77" t="s">
        <v>752</v>
      </c>
      <c r="C379" s="92" t="s">
        <v>753</v>
      </c>
      <c r="D379" s="78"/>
      <c r="E379" s="77">
        <v>145.0</v>
      </c>
      <c r="F379" s="77">
        <v>10.0</v>
      </c>
      <c r="G379" s="78">
        <v>8.3061E7</v>
      </c>
      <c r="H379" s="81">
        <v>0.05</v>
      </c>
      <c r="I379" s="77">
        <f t="shared" si="1047"/>
        <v>0</v>
      </c>
      <c r="J379" s="79"/>
      <c r="K379" s="77">
        <f t="shared" si="1048"/>
        <v>0</v>
      </c>
      <c r="L379" s="82">
        <f t="shared" si="987"/>
        <v>155</v>
      </c>
      <c r="M379" s="77">
        <f t="shared" si="1055"/>
        <v>0</v>
      </c>
      <c r="N379" s="83">
        <f t="shared" si="989"/>
        <v>12.4</v>
      </c>
      <c r="O379" s="83">
        <f t="shared" si="990"/>
        <v>15.5</v>
      </c>
      <c r="P379" s="83">
        <f t="shared" si="991"/>
        <v>7.75</v>
      </c>
      <c r="Q379" s="83">
        <f t="shared" si="992"/>
        <v>3.1</v>
      </c>
      <c r="R379" s="83">
        <f t="shared" si="993"/>
        <v>0</v>
      </c>
      <c r="S379" s="83">
        <f t="shared" si="994"/>
        <v>1.55</v>
      </c>
      <c r="T379" s="84">
        <f t="shared" si="995"/>
        <v>40.3</v>
      </c>
      <c r="U379" s="77">
        <f t="shared" si="996"/>
        <v>0</v>
      </c>
      <c r="V379" s="42">
        <f t="shared" si="15"/>
        <v>0</v>
      </c>
      <c r="W379" s="77">
        <f t="shared" si="997"/>
        <v>0</v>
      </c>
      <c r="X379" s="77">
        <f t="shared" si="998"/>
        <v>0</v>
      </c>
      <c r="Y379" s="77">
        <f t="shared" si="999"/>
        <v>0</v>
      </c>
      <c r="Z379" s="84">
        <f t="shared" si="1000"/>
        <v>195.3</v>
      </c>
      <c r="AA379" s="85">
        <f t="shared" si="1001"/>
        <v>39.06</v>
      </c>
      <c r="AB379" s="83">
        <f t="shared" si="1002"/>
        <v>234.36</v>
      </c>
      <c r="AC379" s="77">
        <f t="shared" si="1049"/>
        <v>0</v>
      </c>
      <c r="AD379" s="83">
        <f t="shared" si="1050"/>
        <v>234.36</v>
      </c>
      <c r="AE379" s="83">
        <f t="shared" si="1051"/>
        <v>100</v>
      </c>
      <c r="AF379" s="79"/>
      <c r="AG379" s="86">
        <f t="shared" si="1006"/>
        <v>-100</v>
      </c>
      <c r="AH379" s="63">
        <f t="shared" si="1007"/>
        <v>217.9548</v>
      </c>
      <c r="AI379" s="63">
        <f t="shared" si="1242"/>
        <v>234.36</v>
      </c>
      <c r="AJ379" s="63">
        <f t="shared" si="1243"/>
        <v>217.9548</v>
      </c>
      <c r="AK379" s="14">
        <f t="shared" si="1008"/>
        <v>40.616</v>
      </c>
      <c r="AL379" s="14"/>
      <c r="AM379" s="14">
        <f t="shared" si="1009"/>
        <v>100</v>
      </c>
      <c r="AN379" s="14">
        <f t="shared" si="1010"/>
        <v>140.616</v>
      </c>
      <c r="AO379" s="87">
        <f t="shared" si="1011"/>
        <v>1.40616</v>
      </c>
      <c r="AP379" s="14">
        <f t="shared" si="1012"/>
        <v>-0.164052</v>
      </c>
      <c r="AQ379" s="14">
        <f t="shared" si="1013"/>
        <v>2.179548</v>
      </c>
      <c r="AR379" s="88">
        <f t="shared" ref="AR379:AS379" si="1268">AI379/94</f>
        <v>2.493191489</v>
      </c>
      <c r="AS379" s="88">
        <f t="shared" si="1268"/>
        <v>2.318668085</v>
      </c>
      <c r="AT379" s="89">
        <f t="shared" ref="AT379:AU379" si="1269">AI379/24</f>
        <v>9.765</v>
      </c>
      <c r="AU379" s="89">
        <f t="shared" si="1269"/>
        <v>9.08145</v>
      </c>
      <c r="AV379" s="89">
        <f t="shared" ref="AV379:AW379" si="1270">AI379/125</f>
        <v>1.87488</v>
      </c>
      <c r="AW379" s="89">
        <f t="shared" si="1270"/>
        <v>1.7436384</v>
      </c>
      <c r="AX379" s="79"/>
      <c r="AY379" s="79"/>
    </row>
    <row r="380" ht="15.75" customHeight="1">
      <c r="A380" s="77"/>
      <c r="B380" s="77" t="s">
        <v>754</v>
      </c>
      <c r="C380" s="92" t="s">
        <v>755</v>
      </c>
      <c r="D380" s="78"/>
      <c r="E380" s="77">
        <v>145.0</v>
      </c>
      <c r="F380" s="77">
        <v>10.0</v>
      </c>
      <c r="G380" s="78">
        <v>8.3061E7</v>
      </c>
      <c r="H380" s="81">
        <v>0.05</v>
      </c>
      <c r="I380" s="77">
        <f t="shared" si="1047"/>
        <v>0</v>
      </c>
      <c r="J380" s="79"/>
      <c r="K380" s="77">
        <f t="shared" si="1048"/>
        <v>0</v>
      </c>
      <c r="L380" s="82">
        <f t="shared" si="987"/>
        <v>155</v>
      </c>
      <c r="M380" s="77">
        <f t="shared" si="1055"/>
        <v>0</v>
      </c>
      <c r="N380" s="83">
        <f t="shared" si="989"/>
        <v>12.4</v>
      </c>
      <c r="O380" s="83">
        <f t="shared" si="990"/>
        <v>15.5</v>
      </c>
      <c r="P380" s="83">
        <f t="shared" si="991"/>
        <v>7.75</v>
      </c>
      <c r="Q380" s="83">
        <f t="shared" si="992"/>
        <v>3.1</v>
      </c>
      <c r="R380" s="83">
        <f t="shared" si="993"/>
        <v>0</v>
      </c>
      <c r="S380" s="83">
        <f t="shared" si="994"/>
        <v>1.55</v>
      </c>
      <c r="T380" s="84">
        <f t="shared" si="995"/>
        <v>40.3</v>
      </c>
      <c r="U380" s="77">
        <f t="shared" si="996"/>
        <v>0</v>
      </c>
      <c r="V380" s="42">
        <f t="shared" si="15"/>
        <v>0</v>
      </c>
      <c r="W380" s="77">
        <f t="shared" si="997"/>
        <v>0</v>
      </c>
      <c r="X380" s="77">
        <f t="shared" si="998"/>
        <v>0</v>
      </c>
      <c r="Y380" s="77">
        <f t="shared" si="999"/>
        <v>0</v>
      </c>
      <c r="Z380" s="84">
        <f t="shared" si="1000"/>
        <v>195.3</v>
      </c>
      <c r="AA380" s="85">
        <f t="shared" si="1001"/>
        <v>39.06</v>
      </c>
      <c r="AB380" s="83">
        <f t="shared" si="1002"/>
        <v>234.36</v>
      </c>
      <c r="AC380" s="77">
        <f t="shared" si="1049"/>
        <v>0</v>
      </c>
      <c r="AD380" s="83">
        <f t="shared" si="1050"/>
        <v>234.36</v>
      </c>
      <c r="AE380" s="83">
        <f t="shared" si="1051"/>
        <v>100</v>
      </c>
      <c r="AF380" s="79"/>
      <c r="AG380" s="86">
        <f t="shared" si="1006"/>
        <v>-100</v>
      </c>
      <c r="AH380" s="63">
        <f t="shared" si="1007"/>
        <v>217.9548</v>
      </c>
      <c r="AI380" s="63">
        <f t="shared" si="1242"/>
        <v>234.36</v>
      </c>
      <c r="AJ380" s="63">
        <f t="shared" si="1243"/>
        <v>217.9548</v>
      </c>
      <c r="AK380" s="14">
        <f t="shared" si="1008"/>
        <v>40.616</v>
      </c>
      <c r="AL380" s="14"/>
      <c r="AM380" s="14">
        <f t="shared" si="1009"/>
        <v>100</v>
      </c>
      <c r="AN380" s="14">
        <f t="shared" si="1010"/>
        <v>140.616</v>
      </c>
      <c r="AO380" s="87">
        <f t="shared" si="1011"/>
        <v>1.40616</v>
      </c>
      <c r="AP380" s="14">
        <f t="shared" si="1012"/>
        <v>-0.164052</v>
      </c>
      <c r="AQ380" s="14">
        <f t="shared" si="1013"/>
        <v>2.179548</v>
      </c>
      <c r="AR380" s="88">
        <f t="shared" ref="AR380:AS380" si="1271">AI380/94</f>
        <v>2.493191489</v>
      </c>
      <c r="AS380" s="88">
        <f t="shared" si="1271"/>
        <v>2.318668085</v>
      </c>
      <c r="AT380" s="89">
        <f t="shared" ref="AT380:AU380" si="1272">AI380/24</f>
        <v>9.765</v>
      </c>
      <c r="AU380" s="89">
        <f t="shared" si="1272"/>
        <v>9.08145</v>
      </c>
      <c r="AV380" s="89">
        <f t="shared" ref="AV380:AW380" si="1273">AI380/125</f>
        <v>1.87488</v>
      </c>
      <c r="AW380" s="89">
        <f t="shared" si="1273"/>
        <v>1.7436384</v>
      </c>
      <c r="AX380" s="79"/>
      <c r="AY380" s="79"/>
    </row>
    <row r="381" ht="15.75" customHeight="1">
      <c r="A381" s="77"/>
      <c r="B381" s="77" t="s">
        <v>756</v>
      </c>
      <c r="C381" s="92" t="s">
        <v>757</v>
      </c>
      <c r="D381" s="78"/>
      <c r="E381" s="77">
        <v>145.0</v>
      </c>
      <c r="F381" s="77">
        <v>10.0</v>
      </c>
      <c r="G381" s="78">
        <v>8.3061E7</v>
      </c>
      <c r="H381" s="81">
        <v>0.05</v>
      </c>
      <c r="I381" s="77">
        <f t="shared" si="1047"/>
        <v>0</v>
      </c>
      <c r="J381" s="79"/>
      <c r="K381" s="77">
        <f t="shared" si="1048"/>
        <v>0</v>
      </c>
      <c r="L381" s="82">
        <f t="shared" si="987"/>
        <v>155</v>
      </c>
      <c r="M381" s="77">
        <f t="shared" si="1055"/>
        <v>0</v>
      </c>
      <c r="N381" s="83">
        <f t="shared" si="989"/>
        <v>12.4</v>
      </c>
      <c r="O381" s="83">
        <f t="shared" si="990"/>
        <v>15.5</v>
      </c>
      <c r="P381" s="83">
        <f t="shared" si="991"/>
        <v>7.75</v>
      </c>
      <c r="Q381" s="83">
        <f t="shared" si="992"/>
        <v>3.1</v>
      </c>
      <c r="R381" s="83">
        <f t="shared" si="993"/>
        <v>0</v>
      </c>
      <c r="S381" s="83">
        <f t="shared" si="994"/>
        <v>1.55</v>
      </c>
      <c r="T381" s="84">
        <f t="shared" si="995"/>
        <v>40.3</v>
      </c>
      <c r="U381" s="77">
        <f t="shared" si="996"/>
        <v>0</v>
      </c>
      <c r="V381" s="42">
        <f t="shared" si="15"/>
        <v>0</v>
      </c>
      <c r="W381" s="77">
        <f t="shared" si="997"/>
        <v>0</v>
      </c>
      <c r="X381" s="77">
        <f t="shared" si="998"/>
        <v>0</v>
      </c>
      <c r="Y381" s="77">
        <f t="shared" si="999"/>
        <v>0</v>
      </c>
      <c r="Z381" s="84">
        <f t="shared" si="1000"/>
        <v>195.3</v>
      </c>
      <c r="AA381" s="85">
        <f t="shared" si="1001"/>
        <v>39.06</v>
      </c>
      <c r="AB381" s="83">
        <f t="shared" si="1002"/>
        <v>234.36</v>
      </c>
      <c r="AC381" s="77">
        <f t="shared" si="1049"/>
        <v>0</v>
      </c>
      <c r="AD381" s="83">
        <f t="shared" si="1050"/>
        <v>234.36</v>
      </c>
      <c r="AE381" s="83">
        <f t="shared" si="1051"/>
        <v>100</v>
      </c>
      <c r="AF381" s="79"/>
      <c r="AG381" s="86">
        <f t="shared" si="1006"/>
        <v>-100</v>
      </c>
      <c r="AH381" s="63">
        <f t="shared" si="1007"/>
        <v>217.9548</v>
      </c>
      <c r="AI381" s="63">
        <f t="shared" si="1242"/>
        <v>234.36</v>
      </c>
      <c r="AJ381" s="63">
        <f t="shared" si="1243"/>
        <v>217.9548</v>
      </c>
      <c r="AK381" s="14">
        <f t="shared" si="1008"/>
        <v>40.616</v>
      </c>
      <c r="AL381" s="14"/>
      <c r="AM381" s="14">
        <f t="shared" si="1009"/>
        <v>100</v>
      </c>
      <c r="AN381" s="14">
        <f t="shared" si="1010"/>
        <v>140.616</v>
      </c>
      <c r="AO381" s="87">
        <f t="shared" si="1011"/>
        <v>1.40616</v>
      </c>
      <c r="AP381" s="14">
        <f t="shared" si="1012"/>
        <v>-0.164052</v>
      </c>
      <c r="AQ381" s="14">
        <f t="shared" si="1013"/>
        <v>2.179548</v>
      </c>
      <c r="AR381" s="88">
        <f t="shared" ref="AR381:AS381" si="1274">AI381/94</f>
        <v>2.493191489</v>
      </c>
      <c r="AS381" s="88">
        <f t="shared" si="1274"/>
        <v>2.318668085</v>
      </c>
      <c r="AT381" s="89">
        <f t="shared" ref="AT381:AU381" si="1275">AI381/24</f>
        <v>9.765</v>
      </c>
      <c r="AU381" s="89">
        <f t="shared" si="1275"/>
        <v>9.08145</v>
      </c>
      <c r="AV381" s="89">
        <f t="shared" ref="AV381:AW381" si="1276">AI381/125</f>
        <v>1.87488</v>
      </c>
      <c r="AW381" s="89">
        <f t="shared" si="1276"/>
        <v>1.7436384</v>
      </c>
      <c r="AX381" s="79"/>
      <c r="AY381" s="79"/>
    </row>
    <row r="382" ht="15.75" customHeight="1">
      <c r="A382" s="77"/>
      <c r="B382" s="77" t="s">
        <v>758</v>
      </c>
      <c r="C382" s="92" t="s">
        <v>759</v>
      </c>
      <c r="D382" s="78"/>
      <c r="E382" s="77">
        <v>145.0</v>
      </c>
      <c r="F382" s="77">
        <v>10.0</v>
      </c>
      <c r="G382" s="78">
        <v>8.3061E7</v>
      </c>
      <c r="H382" s="81">
        <v>0.05</v>
      </c>
      <c r="I382" s="77">
        <f t="shared" si="1047"/>
        <v>0</v>
      </c>
      <c r="J382" s="79"/>
      <c r="K382" s="77">
        <f t="shared" si="1048"/>
        <v>0</v>
      </c>
      <c r="L382" s="82">
        <f t="shared" si="987"/>
        <v>155</v>
      </c>
      <c r="M382" s="77">
        <f t="shared" si="1055"/>
        <v>0</v>
      </c>
      <c r="N382" s="83">
        <f t="shared" si="989"/>
        <v>12.4</v>
      </c>
      <c r="O382" s="83">
        <f t="shared" si="990"/>
        <v>15.5</v>
      </c>
      <c r="P382" s="83">
        <f t="shared" si="991"/>
        <v>7.75</v>
      </c>
      <c r="Q382" s="83">
        <f t="shared" si="992"/>
        <v>3.1</v>
      </c>
      <c r="R382" s="83">
        <f t="shared" si="993"/>
        <v>0</v>
      </c>
      <c r="S382" s="83">
        <f t="shared" si="994"/>
        <v>1.55</v>
      </c>
      <c r="T382" s="84">
        <f t="shared" si="995"/>
        <v>40.3</v>
      </c>
      <c r="U382" s="77">
        <f t="shared" si="996"/>
        <v>0</v>
      </c>
      <c r="V382" s="42">
        <f t="shared" si="15"/>
        <v>0</v>
      </c>
      <c r="W382" s="77">
        <f t="shared" si="997"/>
        <v>0</v>
      </c>
      <c r="X382" s="77">
        <f t="shared" si="998"/>
        <v>0</v>
      </c>
      <c r="Y382" s="77">
        <f t="shared" si="999"/>
        <v>0</v>
      </c>
      <c r="Z382" s="84">
        <f t="shared" si="1000"/>
        <v>195.3</v>
      </c>
      <c r="AA382" s="85">
        <f t="shared" si="1001"/>
        <v>39.06</v>
      </c>
      <c r="AB382" s="83">
        <f t="shared" si="1002"/>
        <v>234.36</v>
      </c>
      <c r="AC382" s="77">
        <f t="shared" si="1049"/>
        <v>0</v>
      </c>
      <c r="AD382" s="83">
        <f t="shared" si="1050"/>
        <v>234.36</v>
      </c>
      <c r="AE382" s="83">
        <f t="shared" si="1051"/>
        <v>100</v>
      </c>
      <c r="AF382" s="79"/>
      <c r="AG382" s="86">
        <f t="shared" si="1006"/>
        <v>-100</v>
      </c>
      <c r="AH382" s="63">
        <f t="shared" si="1007"/>
        <v>217.9548</v>
      </c>
      <c r="AI382" s="63">
        <f t="shared" si="1242"/>
        <v>234.36</v>
      </c>
      <c r="AJ382" s="63">
        <f t="shared" si="1243"/>
        <v>217.9548</v>
      </c>
      <c r="AK382" s="14">
        <f t="shared" si="1008"/>
        <v>40.616</v>
      </c>
      <c r="AL382" s="14"/>
      <c r="AM382" s="14">
        <f t="shared" si="1009"/>
        <v>100</v>
      </c>
      <c r="AN382" s="14">
        <f t="shared" si="1010"/>
        <v>140.616</v>
      </c>
      <c r="AO382" s="87">
        <f t="shared" si="1011"/>
        <v>1.40616</v>
      </c>
      <c r="AP382" s="14">
        <f t="shared" si="1012"/>
        <v>-0.164052</v>
      </c>
      <c r="AQ382" s="14">
        <f t="shared" si="1013"/>
        <v>2.179548</v>
      </c>
      <c r="AR382" s="88">
        <f t="shared" ref="AR382:AS382" si="1277">AI382/94</f>
        <v>2.493191489</v>
      </c>
      <c r="AS382" s="88">
        <f t="shared" si="1277"/>
        <v>2.318668085</v>
      </c>
      <c r="AT382" s="89">
        <f t="shared" ref="AT382:AU382" si="1278">AI382/24</f>
        <v>9.765</v>
      </c>
      <c r="AU382" s="89">
        <f t="shared" si="1278"/>
        <v>9.08145</v>
      </c>
      <c r="AV382" s="89">
        <f t="shared" ref="AV382:AW382" si="1279">AI382/125</f>
        <v>1.87488</v>
      </c>
      <c r="AW382" s="89">
        <f t="shared" si="1279"/>
        <v>1.7436384</v>
      </c>
      <c r="AX382" s="79"/>
      <c r="AY382" s="79"/>
    </row>
    <row r="383" ht="15.75" customHeight="1">
      <c r="A383" s="77"/>
      <c r="B383" s="77" t="s">
        <v>760</v>
      </c>
      <c r="C383" s="92" t="s">
        <v>761</v>
      </c>
      <c r="D383" s="78"/>
      <c r="E383" s="77">
        <v>145.0</v>
      </c>
      <c r="F383" s="77">
        <v>10.0</v>
      </c>
      <c r="G383" s="78">
        <v>8.3061E7</v>
      </c>
      <c r="H383" s="81">
        <v>0.05</v>
      </c>
      <c r="I383" s="77">
        <f t="shared" si="1047"/>
        <v>0</v>
      </c>
      <c r="J383" s="79"/>
      <c r="K383" s="77">
        <f t="shared" si="1048"/>
        <v>0</v>
      </c>
      <c r="L383" s="82">
        <f t="shared" si="987"/>
        <v>155</v>
      </c>
      <c r="M383" s="77">
        <f t="shared" si="1055"/>
        <v>0</v>
      </c>
      <c r="N383" s="83">
        <f t="shared" si="989"/>
        <v>12.4</v>
      </c>
      <c r="O383" s="83">
        <f t="shared" si="990"/>
        <v>15.5</v>
      </c>
      <c r="P383" s="83">
        <f t="shared" si="991"/>
        <v>7.75</v>
      </c>
      <c r="Q383" s="83">
        <f t="shared" si="992"/>
        <v>3.1</v>
      </c>
      <c r="R383" s="83">
        <f t="shared" si="993"/>
        <v>0</v>
      </c>
      <c r="S383" s="83">
        <f t="shared" si="994"/>
        <v>1.55</v>
      </c>
      <c r="T383" s="84">
        <f t="shared" si="995"/>
        <v>40.3</v>
      </c>
      <c r="U383" s="77">
        <f t="shared" si="996"/>
        <v>0</v>
      </c>
      <c r="V383" s="42">
        <f t="shared" si="15"/>
        <v>0</v>
      </c>
      <c r="W383" s="77">
        <f t="shared" si="997"/>
        <v>0</v>
      </c>
      <c r="X383" s="77">
        <f t="shared" si="998"/>
        <v>0</v>
      </c>
      <c r="Y383" s="77">
        <f t="shared" si="999"/>
        <v>0</v>
      </c>
      <c r="Z383" s="84">
        <f t="shared" si="1000"/>
        <v>195.3</v>
      </c>
      <c r="AA383" s="85">
        <f t="shared" si="1001"/>
        <v>39.06</v>
      </c>
      <c r="AB383" s="83">
        <f t="shared" si="1002"/>
        <v>234.36</v>
      </c>
      <c r="AC383" s="77">
        <f t="shared" si="1049"/>
        <v>0</v>
      </c>
      <c r="AD383" s="83">
        <f t="shared" si="1050"/>
        <v>234.36</v>
      </c>
      <c r="AE383" s="83">
        <f t="shared" si="1051"/>
        <v>100</v>
      </c>
      <c r="AF383" s="79"/>
      <c r="AG383" s="86">
        <f t="shared" si="1006"/>
        <v>-100</v>
      </c>
      <c r="AH383" s="63">
        <f t="shared" si="1007"/>
        <v>217.9548</v>
      </c>
      <c r="AI383" s="63">
        <f t="shared" si="1242"/>
        <v>234.36</v>
      </c>
      <c r="AJ383" s="63">
        <f t="shared" si="1243"/>
        <v>217.9548</v>
      </c>
      <c r="AK383" s="14">
        <f t="shared" si="1008"/>
        <v>40.616</v>
      </c>
      <c r="AL383" s="14"/>
      <c r="AM383" s="14">
        <f t="shared" si="1009"/>
        <v>100</v>
      </c>
      <c r="AN383" s="14">
        <f t="shared" si="1010"/>
        <v>140.616</v>
      </c>
      <c r="AO383" s="87">
        <f t="shared" si="1011"/>
        <v>1.40616</v>
      </c>
      <c r="AP383" s="14">
        <f t="shared" si="1012"/>
        <v>-0.164052</v>
      </c>
      <c r="AQ383" s="14">
        <f t="shared" si="1013"/>
        <v>2.179548</v>
      </c>
      <c r="AR383" s="88">
        <f t="shared" ref="AR383:AS383" si="1280">AI383/94</f>
        <v>2.493191489</v>
      </c>
      <c r="AS383" s="88">
        <f t="shared" si="1280"/>
        <v>2.318668085</v>
      </c>
      <c r="AT383" s="89">
        <f t="shared" ref="AT383:AU383" si="1281">AI383/24</f>
        <v>9.765</v>
      </c>
      <c r="AU383" s="89">
        <f t="shared" si="1281"/>
        <v>9.08145</v>
      </c>
      <c r="AV383" s="89">
        <f t="shared" ref="AV383:AW383" si="1282">AI383/125</f>
        <v>1.87488</v>
      </c>
      <c r="AW383" s="89">
        <f t="shared" si="1282"/>
        <v>1.7436384</v>
      </c>
      <c r="AX383" s="79"/>
      <c r="AY383" s="79"/>
    </row>
    <row r="384" ht="15.75" customHeight="1">
      <c r="A384" s="77"/>
      <c r="B384" s="77" t="s">
        <v>684</v>
      </c>
      <c r="C384" s="92" t="s">
        <v>762</v>
      </c>
      <c r="D384" s="78"/>
      <c r="E384" s="77">
        <v>125.0</v>
      </c>
      <c r="F384" s="77">
        <v>10.0</v>
      </c>
      <c r="G384" s="78">
        <v>8.3061E7</v>
      </c>
      <c r="H384" s="81">
        <v>0.05</v>
      </c>
      <c r="I384" s="77">
        <f t="shared" si="1047"/>
        <v>0</v>
      </c>
      <c r="J384" s="79"/>
      <c r="K384" s="77">
        <f t="shared" si="1048"/>
        <v>0</v>
      </c>
      <c r="L384" s="82">
        <f t="shared" si="987"/>
        <v>135</v>
      </c>
      <c r="M384" s="77">
        <f t="shared" si="1055"/>
        <v>0</v>
      </c>
      <c r="N384" s="83">
        <f t="shared" si="989"/>
        <v>10.8</v>
      </c>
      <c r="O384" s="83">
        <f t="shared" si="990"/>
        <v>13.5</v>
      </c>
      <c r="P384" s="83">
        <f t="shared" si="991"/>
        <v>6.75</v>
      </c>
      <c r="Q384" s="83">
        <f t="shared" si="992"/>
        <v>2.7</v>
      </c>
      <c r="R384" s="83">
        <f t="shared" si="993"/>
        <v>0</v>
      </c>
      <c r="S384" s="83">
        <f t="shared" si="994"/>
        <v>1.35</v>
      </c>
      <c r="T384" s="84">
        <f t="shared" si="995"/>
        <v>35.1</v>
      </c>
      <c r="U384" s="77">
        <f t="shared" si="996"/>
        <v>0</v>
      </c>
      <c r="V384" s="42">
        <f t="shared" si="15"/>
        <v>0</v>
      </c>
      <c r="W384" s="77">
        <f t="shared" si="997"/>
        <v>0</v>
      </c>
      <c r="X384" s="77">
        <f t="shared" si="998"/>
        <v>0</v>
      </c>
      <c r="Y384" s="77">
        <f t="shared" si="999"/>
        <v>0</v>
      </c>
      <c r="Z384" s="84">
        <f t="shared" si="1000"/>
        <v>170.1</v>
      </c>
      <c r="AA384" s="85">
        <f t="shared" si="1001"/>
        <v>34.02</v>
      </c>
      <c r="AB384" s="83">
        <f t="shared" si="1002"/>
        <v>204.12</v>
      </c>
      <c r="AC384" s="77">
        <f t="shared" si="1049"/>
        <v>0</v>
      </c>
      <c r="AD384" s="83">
        <f t="shared" si="1050"/>
        <v>204.12</v>
      </c>
      <c r="AE384" s="83">
        <f t="shared" si="1051"/>
        <v>100</v>
      </c>
      <c r="AF384" s="79"/>
      <c r="AG384" s="86">
        <f t="shared" si="1006"/>
        <v>-100</v>
      </c>
      <c r="AH384" s="63">
        <f t="shared" si="1007"/>
        <v>189.8316</v>
      </c>
      <c r="AI384" s="63">
        <f t="shared" si="1242"/>
        <v>204.12</v>
      </c>
      <c r="AJ384" s="63">
        <f t="shared" si="1243"/>
        <v>189.8316</v>
      </c>
      <c r="AK384" s="14">
        <f t="shared" si="1008"/>
        <v>40.616</v>
      </c>
      <c r="AL384" s="14"/>
      <c r="AM384" s="14">
        <f t="shared" si="1009"/>
        <v>100</v>
      </c>
      <c r="AN384" s="14">
        <f t="shared" si="1010"/>
        <v>140.616</v>
      </c>
      <c r="AO384" s="87">
        <f t="shared" si="1011"/>
        <v>1.40616</v>
      </c>
      <c r="AP384" s="14">
        <f t="shared" si="1012"/>
        <v>-0.142884</v>
      </c>
      <c r="AQ384" s="14">
        <f t="shared" si="1013"/>
        <v>1.898316</v>
      </c>
      <c r="AR384" s="88">
        <f t="shared" ref="AR384:AS384" si="1283">AI384/94</f>
        <v>2.171489362</v>
      </c>
      <c r="AS384" s="88">
        <f t="shared" si="1283"/>
        <v>2.019485106</v>
      </c>
      <c r="AT384" s="89">
        <f t="shared" ref="AT384:AU384" si="1284">AI384/24</f>
        <v>8.505</v>
      </c>
      <c r="AU384" s="89">
        <f t="shared" si="1284"/>
        <v>7.90965</v>
      </c>
      <c r="AV384" s="89">
        <f t="shared" ref="AV384:AW384" si="1285">AI384/125</f>
        <v>1.63296</v>
      </c>
      <c r="AW384" s="89">
        <f t="shared" si="1285"/>
        <v>1.5186528</v>
      </c>
      <c r="AX384" s="79"/>
      <c r="AY384" s="79"/>
    </row>
    <row r="385" ht="15.75" customHeight="1">
      <c r="A385" s="2" t="s">
        <v>763</v>
      </c>
      <c r="B385" s="2" t="s">
        <v>764</v>
      </c>
      <c r="C385" s="2" t="s">
        <v>765</v>
      </c>
      <c r="D385" s="188">
        <f>3600*1.5</f>
        <v>5400</v>
      </c>
      <c r="E385" s="2">
        <v>190.0</v>
      </c>
      <c r="F385" s="1">
        <v>100.0</v>
      </c>
      <c r="G385" s="10">
        <v>8.3061E7</v>
      </c>
      <c r="H385" s="59">
        <v>0.05</v>
      </c>
      <c r="I385" s="2">
        <f t="shared" si="1047"/>
        <v>270</v>
      </c>
      <c r="K385" s="94">
        <v>300.0</v>
      </c>
      <c r="L385" s="119">
        <f t="shared" si="987"/>
        <v>6260</v>
      </c>
      <c r="M385" s="2">
        <f t="shared" si="1055"/>
        <v>54</v>
      </c>
      <c r="N385" s="12">
        <f t="shared" si="989"/>
        <v>500.8</v>
      </c>
      <c r="O385" s="12">
        <f t="shared" si="990"/>
        <v>626</v>
      </c>
      <c r="P385" s="12">
        <f t="shared" si="991"/>
        <v>313</v>
      </c>
      <c r="Q385" s="12">
        <f t="shared" si="992"/>
        <v>125.2</v>
      </c>
      <c r="R385" s="12">
        <f t="shared" si="993"/>
        <v>56.7</v>
      </c>
      <c r="S385" s="12">
        <f t="shared" si="994"/>
        <v>62.6</v>
      </c>
      <c r="T385" s="60">
        <f t="shared" si="995"/>
        <v>1681.6</v>
      </c>
      <c r="U385" s="2">
        <f t="shared" si="996"/>
        <v>113.4</v>
      </c>
      <c r="V385" s="42">
        <f t="shared" si="15"/>
        <v>567</v>
      </c>
      <c r="W385" s="2">
        <f t="shared" si="997"/>
        <v>113.4</v>
      </c>
      <c r="X385" s="2">
        <f t="shared" si="998"/>
        <v>907.2</v>
      </c>
      <c r="Y385" s="2">
        <f t="shared" si="999"/>
        <v>1701</v>
      </c>
      <c r="Z385" s="60">
        <f t="shared" si="1000"/>
        <v>9642.6</v>
      </c>
      <c r="AA385" s="11">
        <f t="shared" si="1001"/>
        <v>1928.52</v>
      </c>
      <c r="AB385" s="12">
        <f t="shared" si="1002"/>
        <v>11571.12</v>
      </c>
      <c r="AC385" s="2">
        <f t="shared" si="1049"/>
        <v>11340</v>
      </c>
      <c r="AD385" s="12">
        <f t="shared" si="1050"/>
        <v>231.12</v>
      </c>
      <c r="AE385" s="12">
        <f t="shared" si="1051"/>
        <v>1.997386597</v>
      </c>
      <c r="AF385" s="61">
        <v>12450.0</v>
      </c>
      <c r="AG385" s="62">
        <f t="shared" si="1006"/>
        <v>98.88178914</v>
      </c>
      <c r="AH385" s="63">
        <f t="shared" si="1007"/>
        <v>540</v>
      </c>
      <c r="AI385" s="64">
        <v>13990.0</v>
      </c>
      <c r="AJ385" s="64">
        <v>12990.0</v>
      </c>
      <c r="AK385" s="66">
        <f t="shared" si="1008"/>
        <v>107.5079872</v>
      </c>
      <c r="AL385" s="66"/>
      <c r="AM385" s="14">
        <f t="shared" si="1009"/>
        <v>4.15704388</v>
      </c>
      <c r="AN385" s="67">
        <f t="shared" si="1010"/>
        <v>8.626198083</v>
      </c>
      <c r="AO385" s="68">
        <f t="shared" si="1011"/>
        <v>2.075079872</v>
      </c>
      <c r="AP385" s="69">
        <f t="shared" si="1012"/>
        <v>14.1888</v>
      </c>
      <c r="AQ385" s="70">
        <f t="shared" si="1013"/>
        <v>16.5</v>
      </c>
      <c r="AR385" s="71">
        <f t="shared" ref="AR385:AS385" si="1286">AI385/94</f>
        <v>148.8297872</v>
      </c>
      <c r="AS385" s="71">
        <f t="shared" si="1286"/>
        <v>138.1914894</v>
      </c>
      <c r="AT385" s="72">
        <f t="shared" ref="AT385:AU385" si="1287">AI385/24</f>
        <v>582.9166667</v>
      </c>
      <c r="AU385" s="72">
        <f t="shared" si="1287"/>
        <v>541.25</v>
      </c>
      <c r="AV385" s="73">
        <f t="shared" ref="AV385:AW385" si="1288">AI385/125</f>
        <v>111.92</v>
      </c>
      <c r="AW385" s="73">
        <f t="shared" si="1288"/>
        <v>103.92</v>
      </c>
    </row>
    <row r="386" ht="15.75" customHeight="1">
      <c r="A386" s="2"/>
      <c r="B386" s="2" t="s">
        <v>766</v>
      </c>
      <c r="C386" s="2" t="s">
        <v>767</v>
      </c>
      <c r="D386" s="188">
        <f>3600*2</f>
        <v>7200</v>
      </c>
      <c r="E386" s="2">
        <v>190.0</v>
      </c>
      <c r="F386" s="1">
        <v>100.0</v>
      </c>
      <c r="G386" s="10">
        <v>8.3061E7</v>
      </c>
      <c r="H386" s="59">
        <v>0.05</v>
      </c>
      <c r="I386" s="2">
        <f t="shared" ref="I386:I446" si="1292">E386*H386</f>
        <v>9.5</v>
      </c>
      <c r="K386" s="94">
        <v>300.0</v>
      </c>
      <c r="L386" s="119">
        <f t="shared" si="987"/>
        <v>7799.5</v>
      </c>
      <c r="M386" s="2">
        <f t="shared" si="1055"/>
        <v>72</v>
      </c>
      <c r="N386" s="12">
        <f t="shared" si="989"/>
        <v>623.96</v>
      </c>
      <c r="O386" s="12">
        <f t="shared" si="990"/>
        <v>779.95</v>
      </c>
      <c r="P386" s="12">
        <f t="shared" si="991"/>
        <v>389.975</v>
      </c>
      <c r="Q386" s="12">
        <f t="shared" si="992"/>
        <v>155.99</v>
      </c>
      <c r="R386" s="12">
        <f t="shared" si="993"/>
        <v>75.6</v>
      </c>
      <c r="S386" s="12">
        <f t="shared" si="994"/>
        <v>77.995</v>
      </c>
      <c r="T386" s="60">
        <f t="shared" si="995"/>
        <v>2099.87</v>
      </c>
      <c r="U386" s="2">
        <f t="shared" si="996"/>
        <v>151.2</v>
      </c>
      <c r="V386" s="42">
        <f t="shared" si="15"/>
        <v>756</v>
      </c>
      <c r="W386" s="2">
        <f t="shared" si="997"/>
        <v>151.2</v>
      </c>
      <c r="X386" s="2">
        <f t="shared" si="998"/>
        <v>1209.6</v>
      </c>
      <c r="Y386" s="2">
        <f t="shared" si="999"/>
        <v>2268</v>
      </c>
      <c r="Z386" s="60">
        <f t="shared" si="1000"/>
        <v>12167.37</v>
      </c>
      <c r="AA386" s="11">
        <f t="shared" si="1001"/>
        <v>2433.474</v>
      </c>
      <c r="AB386" s="12">
        <f t="shared" si="1002"/>
        <v>14600.844</v>
      </c>
      <c r="AC386" s="2">
        <f t="shared" si="1049"/>
        <v>15120</v>
      </c>
      <c r="AD386" s="12">
        <f t="shared" si="1050"/>
        <v>-519.156</v>
      </c>
      <c r="AE386" s="12">
        <f t="shared" si="1051"/>
        <v>-3.555657467</v>
      </c>
      <c r="AF386" s="61">
        <v>15950.0</v>
      </c>
      <c r="AG386" s="62">
        <f t="shared" si="1006"/>
        <v>104.5002885</v>
      </c>
      <c r="AH386" s="63">
        <f t="shared" si="1007"/>
        <v>40</v>
      </c>
      <c r="AI386" s="64">
        <v>16990.0</v>
      </c>
      <c r="AJ386" s="64">
        <v>15990.0</v>
      </c>
      <c r="AK386" s="66">
        <f t="shared" si="1008"/>
        <v>105.0131419</v>
      </c>
      <c r="AL386" s="66"/>
      <c r="AM386" s="14">
        <f t="shared" si="1009"/>
        <v>0.2501563477</v>
      </c>
      <c r="AN386" s="67">
        <f t="shared" si="1010"/>
        <v>0.512853388</v>
      </c>
      <c r="AO386" s="68">
        <f t="shared" si="1011"/>
        <v>2.050131419</v>
      </c>
      <c r="AP386" s="69">
        <f t="shared" si="1012"/>
        <v>13.89156</v>
      </c>
      <c r="AQ386" s="70">
        <f t="shared" si="1013"/>
        <v>8.7</v>
      </c>
      <c r="AR386" s="71">
        <f t="shared" ref="AR386:AS386" si="1289">AI386/94</f>
        <v>180.7446809</v>
      </c>
      <c r="AS386" s="71">
        <f t="shared" si="1289"/>
        <v>170.106383</v>
      </c>
      <c r="AT386" s="72">
        <f t="shared" ref="AT386:AU386" si="1290">AI386/24</f>
        <v>707.9166667</v>
      </c>
      <c r="AU386" s="72">
        <f t="shared" si="1290"/>
        <v>666.25</v>
      </c>
      <c r="AV386" s="73">
        <f t="shared" ref="AV386:AW386" si="1291">AI386/125</f>
        <v>135.92</v>
      </c>
      <c r="AW386" s="73">
        <f t="shared" si="1291"/>
        <v>127.92</v>
      </c>
    </row>
    <row r="387" ht="15.75" customHeight="1">
      <c r="A387" s="2"/>
      <c r="B387" s="2" t="s">
        <v>768</v>
      </c>
      <c r="C387" s="2" t="s">
        <v>769</v>
      </c>
      <c r="D387" s="188">
        <f>3600*2.5</f>
        <v>9000</v>
      </c>
      <c r="E387" s="2">
        <v>190.0</v>
      </c>
      <c r="F387" s="1">
        <v>100.0</v>
      </c>
      <c r="G387" s="10">
        <v>8.3061E7</v>
      </c>
      <c r="H387" s="59">
        <v>0.05</v>
      </c>
      <c r="I387" s="2">
        <f t="shared" si="1292"/>
        <v>9.5</v>
      </c>
      <c r="K387" s="94">
        <v>300.0</v>
      </c>
      <c r="L387" s="119">
        <f t="shared" si="987"/>
        <v>9599.5</v>
      </c>
      <c r="M387" s="2">
        <f t="shared" si="1055"/>
        <v>90</v>
      </c>
      <c r="N387" s="12">
        <f t="shared" si="989"/>
        <v>767.96</v>
      </c>
      <c r="O387" s="12">
        <f t="shared" si="990"/>
        <v>959.95</v>
      </c>
      <c r="P387" s="12">
        <f t="shared" si="991"/>
        <v>479.975</v>
      </c>
      <c r="Q387" s="12">
        <f t="shared" si="992"/>
        <v>191.99</v>
      </c>
      <c r="R387" s="12">
        <f t="shared" si="993"/>
        <v>94.5</v>
      </c>
      <c r="S387" s="12">
        <f t="shared" si="994"/>
        <v>95.995</v>
      </c>
      <c r="T387" s="60">
        <f t="shared" si="995"/>
        <v>2585.87</v>
      </c>
      <c r="U387" s="2">
        <f t="shared" si="996"/>
        <v>189</v>
      </c>
      <c r="V387" s="42">
        <f t="shared" si="15"/>
        <v>945</v>
      </c>
      <c r="W387" s="2">
        <f t="shared" si="997"/>
        <v>189</v>
      </c>
      <c r="X387" s="2">
        <f t="shared" si="998"/>
        <v>1512</v>
      </c>
      <c r="Y387" s="2">
        <f t="shared" si="999"/>
        <v>2835</v>
      </c>
      <c r="Z387" s="60">
        <f t="shared" si="1000"/>
        <v>15020.37</v>
      </c>
      <c r="AA387" s="11">
        <f t="shared" si="1001"/>
        <v>3004.074</v>
      </c>
      <c r="AB387" s="12">
        <f t="shared" si="1002"/>
        <v>18024.444</v>
      </c>
      <c r="AC387" s="2">
        <f t="shared" si="1049"/>
        <v>18900</v>
      </c>
      <c r="AD387" s="12">
        <f t="shared" si="1050"/>
        <v>-875.556</v>
      </c>
      <c r="AE387" s="12">
        <f t="shared" si="1051"/>
        <v>-4.857603375</v>
      </c>
      <c r="AF387" s="61">
        <v>18950.0</v>
      </c>
      <c r="AG387" s="62">
        <f t="shared" si="1006"/>
        <v>97.4061149</v>
      </c>
      <c r="AH387" s="63">
        <f t="shared" si="1007"/>
        <v>40</v>
      </c>
      <c r="AI387" s="64">
        <v>20990.0</v>
      </c>
      <c r="AJ387" s="64">
        <v>18990.0</v>
      </c>
      <c r="AK387" s="66">
        <f t="shared" si="1008"/>
        <v>97.82280327</v>
      </c>
      <c r="AL387" s="66"/>
      <c r="AM387" s="14">
        <f t="shared" si="1009"/>
        <v>0.2106371775</v>
      </c>
      <c r="AN387" s="67">
        <f t="shared" si="1010"/>
        <v>0.4166883692</v>
      </c>
      <c r="AO387" s="68">
        <f t="shared" si="1011"/>
        <v>1.978228033</v>
      </c>
      <c r="AP387" s="69">
        <f t="shared" si="1012"/>
        <v>9.65556</v>
      </c>
      <c r="AQ387" s="70">
        <f t="shared" si="1013"/>
        <v>0.9</v>
      </c>
      <c r="AR387" s="71">
        <f t="shared" ref="AR387:AS387" si="1293">AI387/94</f>
        <v>223.2978723</v>
      </c>
      <c r="AS387" s="71">
        <f t="shared" si="1293"/>
        <v>202.0212766</v>
      </c>
      <c r="AT387" s="72">
        <f t="shared" ref="AT387:AU387" si="1294">AI387/24</f>
        <v>874.5833333</v>
      </c>
      <c r="AU387" s="72">
        <f t="shared" si="1294"/>
        <v>791.25</v>
      </c>
      <c r="AV387" s="73">
        <f t="shared" ref="AV387:AW387" si="1295">AI387/125</f>
        <v>167.92</v>
      </c>
      <c r="AW387" s="73">
        <f t="shared" si="1295"/>
        <v>151.92</v>
      </c>
    </row>
    <row r="388" ht="15.75" customHeight="1">
      <c r="A388" s="2"/>
      <c r="B388" s="2" t="s">
        <v>770</v>
      </c>
      <c r="C388" s="2" t="s">
        <v>771</v>
      </c>
      <c r="D388" s="188">
        <f>3600*3.5</f>
        <v>12600</v>
      </c>
      <c r="E388" s="2">
        <v>190.0</v>
      </c>
      <c r="F388" s="1">
        <v>100.0</v>
      </c>
      <c r="G388" s="10">
        <v>8.3061E7</v>
      </c>
      <c r="H388" s="59">
        <v>0.05</v>
      </c>
      <c r="I388" s="2">
        <f t="shared" si="1292"/>
        <v>9.5</v>
      </c>
      <c r="K388" s="94">
        <v>300.0</v>
      </c>
      <c r="L388" s="119">
        <f t="shared" si="987"/>
        <v>13199.5</v>
      </c>
      <c r="M388" s="2">
        <f t="shared" si="1055"/>
        <v>126</v>
      </c>
      <c r="N388" s="12">
        <f t="shared" si="989"/>
        <v>1055.96</v>
      </c>
      <c r="O388" s="12">
        <f t="shared" si="990"/>
        <v>1319.95</v>
      </c>
      <c r="P388" s="12">
        <f t="shared" si="991"/>
        <v>659.975</v>
      </c>
      <c r="Q388" s="12">
        <f t="shared" si="992"/>
        <v>263.99</v>
      </c>
      <c r="R388" s="12">
        <f t="shared" si="993"/>
        <v>132.3</v>
      </c>
      <c r="S388" s="12">
        <f t="shared" si="994"/>
        <v>131.995</v>
      </c>
      <c r="T388" s="60">
        <f t="shared" si="995"/>
        <v>3557.87</v>
      </c>
      <c r="U388" s="2">
        <f t="shared" si="996"/>
        <v>264.6</v>
      </c>
      <c r="V388" s="42">
        <f t="shared" si="15"/>
        <v>1323</v>
      </c>
      <c r="W388" s="2">
        <f t="shared" si="997"/>
        <v>264.6</v>
      </c>
      <c r="X388" s="2">
        <f t="shared" si="998"/>
        <v>2116.8</v>
      </c>
      <c r="Y388" s="2">
        <f t="shared" si="999"/>
        <v>3969</v>
      </c>
      <c r="Z388" s="60">
        <f t="shared" si="1000"/>
        <v>20726.37</v>
      </c>
      <c r="AA388" s="11">
        <f t="shared" si="1001"/>
        <v>4145.274</v>
      </c>
      <c r="AB388" s="12">
        <f t="shared" si="1002"/>
        <v>24871.644</v>
      </c>
      <c r="AC388" s="2">
        <f t="shared" si="1049"/>
        <v>26460</v>
      </c>
      <c r="AD388" s="12">
        <f t="shared" si="1050"/>
        <v>-1588.356</v>
      </c>
      <c r="AE388" s="12">
        <f t="shared" si="1051"/>
        <v>-6.386212347</v>
      </c>
      <c r="AF388" s="61">
        <v>23250.0</v>
      </c>
      <c r="AG388" s="62">
        <f t="shared" si="1006"/>
        <v>76.14303572</v>
      </c>
      <c r="AH388" s="63">
        <f t="shared" si="1007"/>
        <v>1740</v>
      </c>
      <c r="AI388" s="64">
        <f t="shared" ref="AI388:AI390" si="1299">AB388</f>
        <v>24871.644</v>
      </c>
      <c r="AJ388" s="64">
        <v>24990.0</v>
      </c>
      <c r="AK388" s="66">
        <f t="shared" si="1008"/>
        <v>89.32535323</v>
      </c>
      <c r="AL388" s="66"/>
      <c r="AM388" s="14">
        <f t="shared" si="1009"/>
        <v>6.962785114</v>
      </c>
      <c r="AN388" s="67">
        <f t="shared" si="1010"/>
        <v>13.18231751</v>
      </c>
      <c r="AO388" s="68">
        <f t="shared" si="1011"/>
        <v>1.893253532</v>
      </c>
      <c r="AP388" s="69">
        <f t="shared" si="1012"/>
        <v>1.18356</v>
      </c>
      <c r="AQ388" s="70">
        <f t="shared" si="1013"/>
        <v>-14.7</v>
      </c>
      <c r="AR388" s="71">
        <f t="shared" ref="AR388:AS388" si="1296">AI388/94</f>
        <v>264.5919574</v>
      </c>
      <c r="AS388" s="71">
        <f t="shared" si="1296"/>
        <v>265.8510638</v>
      </c>
      <c r="AT388" s="72">
        <f t="shared" ref="AT388:AU388" si="1297">AI388/24</f>
        <v>1036.3185</v>
      </c>
      <c r="AU388" s="72">
        <f t="shared" si="1297"/>
        <v>1041.25</v>
      </c>
      <c r="AV388" s="73">
        <f t="shared" ref="AV388:AW388" si="1298">AI388/125</f>
        <v>198.973152</v>
      </c>
      <c r="AW388" s="73">
        <f t="shared" si="1298"/>
        <v>199.92</v>
      </c>
    </row>
    <row r="389" ht="15.75" customHeight="1">
      <c r="A389" s="2"/>
      <c r="B389" s="2" t="s">
        <v>772</v>
      </c>
      <c r="C389" s="2" t="s">
        <v>773</v>
      </c>
      <c r="D389" s="188">
        <f>3600*4.2</f>
        <v>15120</v>
      </c>
      <c r="E389" s="2">
        <v>190.0</v>
      </c>
      <c r="F389" s="1">
        <v>100.0</v>
      </c>
      <c r="G389" s="10">
        <v>8.3061E7</v>
      </c>
      <c r="H389" s="59">
        <v>0.05</v>
      </c>
      <c r="I389" s="2">
        <f t="shared" si="1292"/>
        <v>9.5</v>
      </c>
      <c r="K389" s="94">
        <v>300.0</v>
      </c>
      <c r="L389" s="119">
        <f t="shared" si="987"/>
        <v>15719.5</v>
      </c>
      <c r="M389" s="2">
        <f t="shared" si="1055"/>
        <v>151.2</v>
      </c>
      <c r="N389" s="12">
        <f t="shared" si="989"/>
        <v>1257.56</v>
      </c>
      <c r="O389" s="12">
        <f t="shared" si="990"/>
        <v>1571.95</v>
      </c>
      <c r="P389" s="12">
        <f t="shared" si="991"/>
        <v>785.975</v>
      </c>
      <c r="Q389" s="12">
        <f t="shared" si="992"/>
        <v>314.39</v>
      </c>
      <c r="R389" s="12">
        <f t="shared" si="993"/>
        <v>158.76</v>
      </c>
      <c r="S389" s="12">
        <f t="shared" si="994"/>
        <v>157.195</v>
      </c>
      <c r="T389" s="60">
        <f t="shared" si="995"/>
        <v>4238.27</v>
      </c>
      <c r="U389" s="2">
        <f t="shared" si="996"/>
        <v>317.52</v>
      </c>
      <c r="V389" s="42">
        <f t="shared" si="15"/>
        <v>1587.6</v>
      </c>
      <c r="W389" s="2">
        <f t="shared" si="997"/>
        <v>317.52</v>
      </c>
      <c r="X389" s="2">
        <f t="shared" si="998"/>
        <v>2540.16</v>
      </c>
      <c r="Y389" s="2">
        <f t="shared" si="999"/>
        <v>4762.8</v>
      </c>
      <c r="Z389" s="60">
        <f t="shared" si="1000"/>
        <v>24720.57</v>
      </c>
      <c r="AA389" s="11">
        <f t="shared" si="1001"/>
        <v>4944.114</v>
      </c>
      <c r="AB389" s="12">
        <f t="shared" si="1002"/>
        <v>29664.684</v>
      </c>
      <c r="AC389" s="2">
        <f t="shared" si="1049"/>
        <v>31752</v>
      </c>
      <c r="AD389" s="12">
        <f t="shared" si="1050"/>
        <v>-2087.316</v>
      </c>
      <c r="AE389" s="12">
        <f t="shared" si="1051"/>
        <v>-7.03636688</v>
      </c>
      <c r="AF389" s="61">
        <v>27690.0</v>
      </c>
      <c r="AG389" s="62">
        <f t="shared" si="1006"/>
        <v>76.15064092</v>
      </c>
      <c r="AH389" s="63">
        <f t="shared" si="1007"/>
        <v>2300</v>
      </c>
      <c r="AI389" s="64">
        <f t="shared" si="1299"/>
        <v>29664.684</v>
      </c>
      <c r="AJ389" s="64">
        <v>29990.0</v>
      </c>
      <c r="AK389" s="66">
        <f t="shared" si="1008"/>
        <v>90.78214956</v>
      </c>
      <c r="AL389" s="66"/>
      <c r="AM389" s="14">
        <f t="shared" si="1009"/>
        <v>7.669223074</v>
      </c>
      <c r="AN389" s="67">
        <f t="shared" si="1010"/>
        <v>14.63150864</v>
      </c>
      <c r="AO389" s="68">
        <f t="shared" si="1011"/>
        <v>1.907821496</v>
      </c>
      <c r="AP389" s="69">
        <f t="shared" si="1012"/>
        <v>3.25316</v>
      </c>
      <c r="AQ389" s="70">
        <f t="shared" si="1013"/>
        <v>-17.62</v>
      </c>
      <c r="AR389" s="71">
        <f t="shared" ref="AR389:AS389" si="1300">AI389/94</f>
        <v>315.5817447</v>
      </c>
      <c r="AS389" s="71">
        <f t="shared" si="1300"/>
        <v>319.0425532</v>
      </c>
      <c r="AT389" s="72">
        <f t="shared" ref="AT389:AU389" si="1301">AI389/24</f>
        <v>1236.0285</v>
      </c>
      <c r="AU389" s="72">
        <f t="shared" si="1301"/>
        <v>1249.583333</v>
      </c>
      <c r="AV389" s="73">
        <f t="shared" ref="AV389:AW389" si="1302">AI389/125</f>
        <v>237.317472</v>
      </c>
      <c r="AW389" s="73">
        <f t="shared" si="1302"/>
        <v>239.92</v>
      </c>
    </row>
    <row r="390" ht="15.75" customHeight="1">
      <c r="A390" s="2"/>
      <c r="B390" s="2" t="s">
        <v>774</v>
      </c>
      <c r="C390" s="2" t="s">
        <v>775</v>
      </c>
      <c r="D390" s="188">
        <f>3600*5.5</f>
        <v>19800</v>
      </c>
      <c r="E390" s="2">
        <v>190.0</v>
      </c>
      <c r="F390" s="1">
        <v>100.0</v>
      </c>
      <c r="G390" s="10">
        <v>8.3061E7</v>
      </c>
      <c r="H390" s="59">
        <v>0.05</v>
      </c>
      <c r="I390" s="2">
        <f t="shared" si="1292"/>
        <v>9.5</v>
      </c>
      <c r="K390" s="94">
        <v>300.0</v>
      </c>
      <c r="L390" s="119">
        <f t="shared" si="987"/>
        <v>20399.5</v>
      </c>
      <c r="M390" s="2">
        <f t="shared" si="1055"/>
        <v>198</v>
      </c>
      <c r="N390" s="12">
        <f t="shared" si="989"/>
        <v>1631.96</v>
      </c>
      <c r="O390" s="12">
        <f t="shared" si="990"/>
        <v>2039.95</v>
      </c>
      <c r="P390" s="12">
        <f t="shared" si="991"/>
        <v>1019.975</v>
      </c>
      <c r="Q390" s="12">
        <f t="shared" si="992"/>
        <v>407.99</v>
      </c>
      <c r="R390" s="12">
        <f t="shared" si="993"/>
        <v>207.9</v>
      </c>
      <c r="S390" s="12">
        <f t="shared" si="994"/>
        <v>203.995</v>
      </c>
      <c r="T390" s="60">
        <f t="shared" si="995"/>
        <v>5501.87</v>
      </c>
      <c r="U390" s="2">
        <f t="shared" si="996"/>
        <v>415.8</v>
      </c>
      <c r="V390" s="42">
        <f t="shared" si="15"/>
        <v>2079</v>
      </c>
      <c r="W390" s="2">
        <f t="shared" si="997"/>
        <v>415.8</v>
      </c>
      <c r="X390" s="2">
        <f t="shared" si="998"/>
        <v>3326.4</v>
      </c>
      <c r="Y390" s="2">
        <f t="shared" si="999"/>
        <v>6237</v>
      </c>
      <c r="Z390" s="60">
        <f t="shared" si="1000"/>
        <v>32138.37</v>
      </c>
      <c r="AA390" s="11">
        <f t="shared" si="1001"/>
        <v>6427.674</v>
      </c>
      <c r="AB390" s="12">
        <f t="shared" si="1002"/>
        <v>38566.044</v>
      </c>
      <c r="AC390" s="2">
        <f t="shared" si="1049"/>
        <v>41580</v>
      </c>
      <c r="AD390" s="12">
        <f t="shared" si="1050"/>
        <v>-3013.956</v>
      </c>
      <c r="AE390" s="12">
        <f t="shared" si="1051"/>
        <v>-7.815050981</v>
      </c>
      <c r="AF390" s="61">
        <v>32950.0</v>
      </c>
      <c r="AG390" s="62">
        <f t="shared" si="1006"/>
        <v>61.52356675</v>
      </c>
      <c r="AH390" s="63">
        <f t="shared" si="1007"/>
        <v>7040</v>
      </c>
      <c r="AI390" s="64">
        <f t="shared" si="1299"/>
        <v>38566.044</v>
      </c>
      <c r="AJ390" s="64">
        <v>39990.0</v>
      </c>
      <c r="AK390" s="66">
        <f t="shared" si="1008"/>
        <v>96.03421652</v>
      </c>
      <c r="AL390" s="66"/>
      <c r="AM390" s="14">
        <f t="shared" si="1009"/>
        <v>17.6044011</v>
      </c>
      <c r="AN390" s="67">
        <f t="shared" si="1010"/>
        <v>34.51064977</v>
      </c>
      <c r="AO390" s="68">
        <f t="shared" si="1011"/>
        <v>1.960342165</v>
      </c>
      <c r="AP390" s="69">
        <f t="shared" si="1012"/>
        <v>14.23956</v>
      </c>
      <c r="AQ390" s="70">
        <f t="shared" si="1013"/>
        <v>-15.9</v>
      </c>
      <c r="AR390" s="71">
        <f t="shared" ref="AR390:AS390" si="1303">AI390/94</f>
        <v>410.2770638</v>
      </c>
      <c r="AS390" s="71">
        <f t="shared" si="1303"/>
        <v>425.4255319</v>
      </c>
      <c r="AT390" s="72">
        <f t="shared" ref="AT390:AU390" si="1304">AI390/24</f>
        <v>1606.9185</v>
      </c>
      <c r="AU390" s="72">
        <f t="shared" si="1304"/>
        <v>1666.25</v>
      </c>
      <c r="AV390" s="73">
        <f t="shared" ref="AV390:AW390" si="1305">AI390/125</f>
        <v>308.528352</v>
      </c>
      <c r="AW390" s="73">
        <f t="shared" si="1305"/>
        <v>319.92</v>
      </c>
    </row>
    <row r="391" ht="15.75" customHeight="1">
      <c r="A391" s="2"/>
      <c r="B391" s="2" t="s">
        <v>776</v>
      </c>
      <c r="C391" s="2" t="s">
        <v>777</v>
      </c>
      <c r="D391" s="188">
        <f>3600*7</f>
        <v>25200</v>
      </c>
      <c r="E391" s="2">
        <v>350.0</v>
      </c>
      <c r="F391" s="1">
        <v>100.0</v>
      </c>
      <c r="G391" s="10">
        <v>8.3061E7</v>
      </c>
      <c r="H391" s="59">
        <v>0.05</v>
      </c>
      <c r="I391" s="2">
        <f t="shared" si="1292"/>
        <v>17.5</v>
      </c>
      <c r="K391" s="94">
        <v>300.0</v>
      </c>
      <c r="L391" s="119">
        <f t="shared" si="987"/>
        <v>25967.5</v>
      </c>
      <c r="M391" s="2">
        <f t="shared" si="1055"/>
        <v>252</v>
      </c>
      <c r="N391" s="12">
        <f t="shared" si="989"/>
        <v>2077.4</v>
      </c>
      <c r="O391" s="12">
        <f t="shared" si="990"/>
        <v>2596.75</v>
      </c>
      <c r="P391" s="12">
        <f t="shared" si="991"/>
        <v>1298.375</v>
      </c>
      <c r="Q391" s="12">
        <f t="shared" si="992"/>
        <v>519.35</v>
      </c>
      <c r="R391" s="12">
        <f t="shared" si="993"/>
        <v>264.6</v>
      </c>
      <c r="S391" s="12">
        <f t="shared" si="994"/>
        <v>259.675</v>
      </c>
      <c r="T391" s="60">
        <f t="shared" si="995"/>
        <v>7003.55</v>
      </c>
      <c r="U391" s="2">
        <f t="shared" si="996"/>
        <v>529.2</v>
      </c>
      <c r="V391" s="42">
        <f t="shared" si="15"/>
        <v>2646</v>
      </c>
      <c r="W391" s="2">
        <f t="shared" si="997"/>
        <v>529.2</v>
      </c>
      <c r="X391" s="2">
        <f t="shared" si="998"/>
        <v>4233.6</v>
      </c>
      <c r="Y391" s="2">
        <f t="shared" si="999"/>
        <v>7938</v>
      </c>
      <c r="Z391" s="60">
        <f t="shared" si="1000"/>
        <v>40909.05</v>
      </c>
      <c r="AA391" s="11">
        <f t="shared" si="1001"/>
        <v>8181.81</v>
      </c>
      <c r="AB391" s="12">
        <f t="shared" si="1002"/>
        <v>49090.86</v>
      </c>
      <c r="AC391" s="2">
        <f t="shared" si="1049"/>
        <v>52920</v>
      </c>
      <c r="AD391" s="12">
        <f t="shared" si="1050"/>
        <v>-3829.14</v>
      </c>
      <c r="AE391" s="12">
        <f t="shared" si="1051"/>
        <v>-7.8001078</v>
      </c>
      <c r="AF391" s="61">
        <v>37950.0</v>
      </c>
      <c r="AG391" s="62">
        <f t="shared" si="1006"/>
        <v>46.14421873</v>
      </c>
      <c r="AH391" s="63">
        <f t="shared" si="1007"/>
        <v>1040</v>
      </c>
      <c r="AI391" s="64">
        <v>41990.0</v>
      </c>
      <c r="AJ391" s="64">
        <v>38990.0</v>
      </c>
      <c r="AK391" s="66">
        <f t="shared" si="1008"/>
        <v>50.14922499</v>
      </c>
      <c r="AL391" s="66"/>
      <c r="AM391" s="14">
        <f t="shared" si="1009"/>
        <v>2.667350603</v>
      </c>
      <c r="AN391" s="67">
        <f t="shared" si="1010"/>
        <v>4.005006258</v>
      </c>
      <c r="AO391" s="68">
        <f t="shared" si="1011"/>
        <v>1.50149225</v>
      </c>
      <c r="AP391" s="69">
        <f t="shared" si="1012"/>
        <v>-101.0086</v>
      </c>
      <c r="AQ391" s="70">
        <f t="shared" si="1013"/>
        <v>-139.3</v>
      </c>
      <c r="AR391" s="71">
        <f t="shared" ref="AR391:AS391" si="1306">AI391/94</f>
        <v>446.7021277</v>
      </c>
      <c r="AS391" s="71">
        <f t="shared" si="1306"/>
        <v>414.787234</v>
      </c>
      <c r="AT391" s="72">
        <f t="shared" ref="AT391:AU391" si="1307">AI391/24</f>
        <v>1749.583333</v>
      </c>
      <c r="AU391" s="72">
        <f t="shared" si="1307"/>
        <v>1624.583333</v>
      </c>
      <c r="AV391" s="73">
        <f t="shared" ref="AV391:AW391" si="1308">AI391/125</f>
        <v>335.92</v>
      </c>
      <c r="AW391" s="73">
        <f t="shared" si="1308"/>
        <v>311.92</v>
      </c>
    </row>
    <row r="392" ht="15.75" customHeight="1">
      <c r="A392" s="189"/>
      <c r="B392" s="189" t="s">
        <v>778</v>
      </c>
      <c r="C392" s="189" t="s">
        <v>779</v>
      </c>
      <c r="D392" s="190">
        <f>4300*8.5</f>
        <v>36550</v>
      </c>
      <c r="E392" s="189">
        <v>350.0</v>
      </c>
      <c r="F392" s="191">
        <v>100.0</v>
      </c>
      <c r="G392" s="192">
        <v>8.3061E7</v>
      </c>
      <c r="H392" s="193">
        <v>0.05</v>
      </c>
      <c r="I392" s="189">
        <f t="shared" si="1292"/>
        <v>17.5</v>
      </c>
      <c r="J392" s="194"/>
      <c r="K392" s="195">
        <v>300.0</v>
      </c>
      <c r="L392" s="196">
        <f t="shared" si="987"/>
        <v>37317.5</v>
      </c>
      <c r="M392" s="189">
        <f t="shared" si="1055"/>
        <v>365.5</v>
      </c>
      <c r="N392" s="197">
        <f t="shared" si="989"/>
        <v>2985.4</v>
      </c>
      <c r="O392" s="197">
        <f t="shared" si="990"/>
        <v>3731.75</v>
      </c>
      <c r="P392" s="197">
        <f t="shared" si="991"/>
        <v>1865.875</v>
      </c>
      <c r="Q392" s="197">
        <f t="shared" si="992"/>
        <v>746.35</v>
      </c>
      <c r="R392" s="197">
        <f t="shared" si="993"/>
        <v>383.775</v>
      </c>
      <c r="S392" s="197">
        <f t="shared" si="994"/>
        <v>373.175</v>
      </c>
      <c r="T392" s="198">
        <f t="shared" si="995"/>
        <v>10068.05</v>
      </c>
      <c r="U392" s="189">
        <f t="shared" si="996"/>
        <v>767.55</v>
      </c>
      <c r="V392" s="42">
        <f t="shared" si="15"/>
        <v>3837.75</v>
      </c>
      <c r="W392" s="189">
        <f t="shared" si="997"/>
        <v>767.55</v>
      </c>
      <c r="X392" s="189">
        <f t="shared" si="998"/>
        <v>6140.4</v>
      </c>
      <c r="Y392" s="189">
        <f t="shared" si="999"/>
        <v>11513.25</v>
      </c>
      <c r="Z392" s="198">
        <f t="shared" si="1000"/>
        <v>58898.8</v>
      </c>
      <c r="AA392" s="199">
        <f t="shared" si="1001"/>
        <v>11779.76</v>
      </c>
      <c r="AB392" s="197">
        <f t="shared" si="1002"/>
        <v>70678.56</v>
      </c>
      <c r="AC392" s="189">
        <f t="shared" si="1049"/>
        <v>76755</v>
      </c>
      <c r="AD392" s="197">
        <f t="shared" si="1050"/>
        <v>-6076.44</v>
      </c>
      <c r="AE392" s="197">
        <f t="shared" si="1051"/>
        <v>-8.597288909</v>
      </c>
      <c r="AF392" s="194">
        <v>42950.0</v>
      </c>
      <c r="AG392" s="200">
        <f t="shared" si="1006"/>
        <v>15.09345481</v>
      </c>
      <c r="AH392" s="201">
        <f t="shared" si="1007"/>
        <v>3040</v>
      </c>
      <c r="AI392" s="201">
        <v>49990.0</v>
      </c>
      <c r="AJ392" s="201">
        <v>45990.0</v>
      </c>
      <c r="AK392" s="202">
        <f t="shared" si="1008"/>
        <v>23.23976687</v>
      </c>
      <c r="AL392" s="202"/>
      <c r="AM392" s="202">
        <f t="shared" si="1009"/>
        <v>6.610132638</v>
      </c>
      <c r="AN392" s="202">
        <f t="shared" si="1010"/>
        <v>8.146312052</v>
      </c>
      <c r="AO392" s="203">
        <f t="shared" si="1011"/>
        <v>1.232397669</v>
      </c>
      <c r="AP392" s="202">
        <f t="shared" si="1012"/>
        <v>-246.8856</v>
      </c>
      <c r="AQ392" s="202">
        <f t="shared" si="1013"/>
        <v>-307.65</v>
      </c>
      <c r="AR392" s="204">
        <f t="shared" ref="AR392:AS392" si="1309">AI392/94</f>
        <v>531.8085106</v>
      </c>
      <c r="AS392" s="204">
        <f t="shared" si="1309"/>
        <v>489.2553191</v>
      </c>
      <c r="AT392" s="205">
        <f t="shared" ref="AT392:AU392" si="1310">AI392/24</f>
        <v>2082.916667</v>
      </c>
      <c r="AU392" s="205">
        <f t="shared" si="1310"/>
        <v>1916.25</v>
      </c>
      <c r="AV392" s="205">
        <f t="shared" ref="AV392:AW392" si="1311">AI392/125</f>
        <v>399.92</v>
      </c>
      <c r="AW392" s="205">
        <f t="shared" si="1311"/>
        <v>367.92</v>
      </c>
      <c r="AX392" s="194"/>
      <c r="AY392" s="194"/>
    </row>
    <row r="393" ht="15.75" customHeight="1">
      <c r="A393" s="2"/>
      <c r="B393" s="2" t="s">
        <v>780</v>
      </c>
      <c r="C393" s="1" t="s">
        <v>781</v>
      </c>
      <c r="D393" s="206">
        <v>5400.0</v>
      </c>
      <c r="E393" s="2">
        <v>190.0</v>
      </c>
      <c r="F393" s="1">
        <v>100.0</v>
      </c>
      <c r="G393" s="10">
        <v>8.3061E7</v>
      </c>
      <c r="H393" s="59">
        <v>0.05</v>
      </c>
      <c r="I393" s="2">
        <f t="shared" si="1292"/>
        <v>9.5</v>
      </c>
      <c r="K393" s="94">
        <v>300.0</v>
      </c>
      <c r="L393" s="119">
        <f t="shared" si="987"/>
        <v>5999.5</v>
      </c>
      <c r="M393" s="2">
        <f t="shared" si="1055"/>
        <v>54</v>
      </c>
      <c r="N393" s="12">
        <f t="shared" si="989"/>
        <v>479.96</v>
      </c>
      <c r="O393" s="12">
        <f t="shared" si="990"/>
        <v>599.95</v>
      </c>
      <c r="P393" s="12">
        <f t="shared" si="991"/>
        <v>299.975</v>
      </c>
      <c r="Q393" s="12">
        <f t="shared" si="992"/>
        <v>119.99</v>
      </c>
      <c r="R393" s="12">
        <f t="shared" si="993"/>
        <v>56.7</v>
      </c>
      <c r="S393" s="12">
        <f t="shared" si="994"/>
        <v>59.995</v>
      </c>
      <c r="T393" s="60">
        <f t="shared" si="995"/>
        <v>1613.87</v>
      </c>
      <c r="U393" s="2">
        <f t="shared" si="996"/>
        <v>113.4</v>
      </c>
      <c r="V393" s="42">
        <f t="shared" si="15"/>
        <v>567</v>
      </c>
      <c r="W393" s="2">
        <f t="shared" si="997"/>
        <v>113.4</v>
      </c>
      <c r="X393" s="2">
        <f t="shared" si="998"/>
        <v>907.2</v>
      </c>
      <c r="Y393" s="2">
        <f t="shared" si="999"/>
        <v>1701</v>
      </c>
      <c r="Z393" s="60">
        <f t="shared" si="1000"/>
        <v>9314.37</v>
      </c>
      <c r="AA393" s="11">
        <f t="shared" si="1001"/>
        <v>1862.874</v>
      </c>
      <c r="AB393" s="12">
        <f t="shared" si="1002"/>
        <v>11177.244</v>
      </c>
      <c r="AC393" s="2">
        <f t="shared" si="1049"/>
        <v>11340</v>
      </c>
      <c r="AD393" s="12">
        <f t="shared" si="1050"/>
        <v>-162.756</v>
      </c>
      <c r="AE393" s="12">
        <f t="shared" si="1051"/>
        <v>-1.45613713</v>
      </c>
      <c r="AF393" s="61">
        <v>12450.0</v>
      </c>
      <c r="AG393" s="62">
        <f t="shared" si="1006"/>
        <v>107.5172931</v>
      </c>
      <c r="AH393" s="63">
        <f t="shared" si="1007"/>
        <v>540</v>
      </c>
      <c r="AI393" s="64">
        <v>13990.0</v>
      </c>
      <c r="AJ393" s="65">
        <v>12990.0</v>
      </c>
      <c r="AK393" s="66">
        <f t="shared" si="1008"/>
        <v>116.5180432</v>
      </c>
      <c r="AL393" s="66"/>
      <c r="AM393" s="14">
        <f t="shared" si="1009"/>
        <v>4.15704388</v>
      </c>
      <c r="AN393" s="67">
        <f t="shared" si="1010"/>
        <v>9.000750063</v>
      </c>
      <c r="AO393" s="68">
        <f t="shared" si="1011"/>
        <v>2.165180432</v>
      </c>
      <c r="AP393" s="69">
        <f t="shared" si="1012"/>
        <v>18.12756</v>
      </c>
      <c r="AQ393" s="70">
        <f t="shared" si="1013"/>
        <v>16.5</v>
      </c>
      <c r="AR393" s="71">
        <f t="shared" ref="AR393:AS393" si="1312">AI393/94</f>
        <v>148.8297872</v>
      </c>
      <c r="AS393" s="71">
        <f t="shared" si="1312"/>
        <v>138.1914894</v>
      </c>
      <c r="AT393" s="72">
        <f t="shared" ref="AT393:AU393" si="1313">AI393/24</f>
        <v>582.9166667</v>
      </c>
      <c r="AU393" s="72">
        <f t="shared" si="1313"/>
        <v>541.25</v>
      </c>
      <c r="AV393" s="73">
        <f t="shared" ref="AV393:AW393" si="1314">AI393/125</f>
        <v>111.92</v>
      </c>
      <c r="AW393" s="73">
        <f t="shared" si="1314"/>
        <v>103.92</v>
      </c>
    </row>
    <row r="394" ht="15.75" customHeight="1">
      <c r="A394" s="2"/>
      <c r="B394" s="2" t="s">
        <v>782</v>
      </c>
      <c r="C394" s="1" t="s">
        <v>783</v>
      </c>
      <c r="D394" s="206">
        <v>7200.0</v>
      </c>
      <c r="E394" s="2">
        <v>190.0</v>
      </c>
      <c r="F394" s="1">
        <v>100.0</v>
      </c>
      <c r="G394" s="10">
        <v>8.3061E7</v>
      </c>
      <c r="H394" s="59">
        <v>0.05</v>
      </c>
      <c r="I394" s="2">
        <f t="shared" si="1292"/>
        <v>9.5</v>
      </c>
      <c r="K394" s="94">
        <v>300.0</v>
      </c>
      <c r="L394" s="119">
        <f t="shared" si="987"/>
        <v>7799.5</v>
      </c>
      <c r="M394" s="2">
        <f t="shared" si="1055"/>
        <v>72</v>
      </c>
      <c r="N394" s="12">
        <f t="shared" si="989"/>
        <v>623.96</v>
      </c>
      <c r="O394" s="12">
        <f t="shared" si="990"/>
        <v>779.95</v>
      </c>
      <c r="P394" s="12">
        <f t="shared" si="991"/>
        <v>389.975</v>
      </c>
      <c r="Q394" s="12">
        <f t="shared" si="992"/>
        <v>155.99</v>
      </c>
      <c r="R394" s="12">
        <f t="shared" si="993"/>
        <v>75.6</v>
      </c>
      <c r="S394" s="12">
        <f t="shared" si="994"/>
        <v>77.995</v>
      </c>
      <c r="T394" s="60">
        <f t="shared" si="995"/>
        <v>2099.87</v>
      </c>
      <c r="U394" s="2">
        <f t="shared" si="996"/>
        <v>151.2</v>
      </c>
      <c r="V394" s="42">
        <f t="shared" si="15"/>
        <v>756</v>
      </c>
      <c r="W394" s="2">
        <f t="shared" si="997"/>
        <v>151.2</v>
      </c>
      <c r="X394" s="2">
        <f t="shared" si="998"/>
        <v>1209.6</v>
      </c>
      <c r="Y394" s="2">
        <f t="shared" si="999"/>
        <v>2268</v>
      </c>
      <c r="Z394" s="60">
        <f t="shared" si="1000"/>
        <v>12167.37</v>
      </c>
      <c r="AA394" s="11">
        <f t="shared" si="1001"/>
        <v>2433.474</v>
      </c>
      <c r="AB394" s="12">
        <f t="shared" si="1002"/>
        <v>14600.844</v>
      </c>
      <c r="AC394" s="2">
        <f t="shared" si="1049"/>
        <v>15120</v>
      </c>
      <c r="AD394" s="12">
        <f t="shared" si="1050"/>
        <v>-519.156</v>
      </c>
      <c r="AE394" s="12">
        <f t="shared" si="1051"/>
        <v>-3.555657467</v>
      </c>
      <c r="AF394" s="61">
        <v>15950.0</v>
      </c>
      <c r="AG394" s="62">
        <f t="shared" si="1006"/>
        <v>104.5002885</v>
      </c>
      <c r="AH394" s="63">
        <f t="shared" si="1007"/>
        <v>1040</v>
      </c>
      <c r="AI394" s="64">
        <v>17990.0</v>
      </c>
      <c r="AJ394" s="65">
        <v>16990.0</v>
      </c>
      <c r="AK394" s="66">
        <f t="shared" si="1008"/>
        <v>117.8344766</v>
      </c>
      <c r="AL394" s="66"/>
      <c r="AM394" s="14">
        <f t="shared" si="1009"/>
        <v>6.121247793</v>
      </c>
      <c r="AN394" s="67">
        <f t="shared" si="1010"/>
        <v>13.33418809</v>
      </c>
      <c r="AO394" s="68">
        <f t="shared" si="1011"/>
        <v>2.178344766</v>
      </c>
      <c r="AP394" s="69">
        <f t="shared" si="1012"/>
        <v>23.89156</v>
      </c>
      <c r="AQ394" s="70">
        <f t="shared" si="1013"/>
        <v>18.7</v>
      </c>
      <c r="AR394" s="71">
        <f t="shared" ref="AR394:AS394" si="1315">AI394/94</f>
        <v>191.3829787</v>
      </c>
      <c r="AS394" s="71">
        <f t="shared" si="1315"/>
        <v>180.7446809</v>
      </c>
      <c r="AT394" s="72">
        <f t="shared" ref="AT394:AU394" si="1316">AI394/24</f>
        <v>749.5833333</v>
      </c>
      <c r="AU394" s="72">
        <f t="shared" si="1316"/>
        <v>707.9166667</v>
      </c>
      <c r="AV394" s="73">
        <f t="shared" ref="AV394:AW394" si="1317">AI394/125</f>
        <v>143.92</v>
      </c>
      <c r="AW394" s="73">
        <f t="shared" si="1317"/>
        <v>135.92</v>
      </c>
    </row>
    <row r="395" ht="15.75" customHeight="1">
      <c r="A395" s="2"/>
      <c r="B395" s="2" t="s">
        <v>784</v>
      </c>
      <c r="C395" s="1" t="s">
        <v>785</v>
      </c>
      <c r="D395" s="206">
        <v>9000.0</v>
      </c>
      <c r="E395" s="2">
        <v>190.0</v>
      </c>
      <c r="F395" s="1">
        <v>100.0</v>
      </c>
      <c r="G395" s="10">
        <v>8.3061E7</v>
      </c>
      <c r="H395" s="59">
        <v>0.05</v>
      </c>
      <c r="I395" s="2">
        <f t="shared" si="1292"/>
        <v>9.5</v>
      </c>
      <c r="K395" s="94">
        <v>300.0</v>
      </c>
      <c r="L395" s="119">
        <f t="shared" si="987"/>
        <v>9599.5</v>
      </c>
      <c r="M395" s="2">
        <f t="shared" si="1055"/>
        <v>90</v>
      </c>
      <c r="N395" s="12">
        <f t="shared" si="989"/>
        <v>767.96</v>
      </c>
      <c r="O395" s="12">
        <f t="shared" si="990"/>
        <v>959.95</v>
      </c>
      <c r="P395" s="12">
        <f t="shared" si="991"/>
        <v>479.975</v>
      </c>
      <c r="Q395" s="12">
        <f t="shared" si="992"/>
        <v>191.99</v>
      </c>
      <c r="R395" s="12">
        <f t="shared" si="993"/>
        <v>94.5</v>
      </c>
      <c r="S395" s="12">
        <f t="shared" si="994"/>
        <v>95.995</v>
      </c>
      <c r="T395" s="60">
        <f t="shared" si="995"/>
        <v>2585.87</v>
      </c>
      <c r="U395" s="2">
        <f t="shared" si="996"/>
        <v>189</v>
      </c>
      <c r="V395" s="42">
        <f t="shared" si="15"/>
        <v>945</v>
      </c>
      <c r="W395" s="2">
        <f t="shared" si="997"/>
        <v>189</v>
      </c>
      <c r="X395" s="2">
        <f t="shared" si="998"/>
        <v>1512</v>
      </c>
      <c r="Y395" s="2">
        <f t="shared" si="999"/>
        <v>2835</v>
      </c>
      <c r="Z395" s="60">
        <f t="shared" si="1000"/>
        <v>15020.37</v>
      </c>
      <c r="AA395" s="11">
        <f t="shared" si="1001"/>
        <v>3004.074</v>
      </c>
      <c r="AB395" s="12">
        <f t="shared" si="1002"/>
        <v>18024.444</v>
      </c>
      <c r="AC395" s="2">
        <f t="shared" si="1049"/>
        <v>18900</v>
      </c>
      <c r="AD395" s="12">
        <f t="shared" si="1050"/>
        <v>-875.556</v>
      </c>
      <c r="AE395" s="12">
        <f t="shared" si="1051"/>
        <v>-4.857603375</v>
      </c>
      <c r="AF395" s="61">
        <v>18950.0</v>
      </c>
      <c r="AG395" s="62">
        <f t="shared" si="1006"/>
        <v>97.4061149</v>
      </c>
      <c r="AH395" s="63">
        <f t="shared" si="1007"/>
        <v>1040</v>
      </c>
      <c r="AI395" s="65">
        <v>19990.0</v>
      </c>
      <c r="AJ395" s="65">
        <v>19990.0</v>
      </c>
      <c r="AK395" s="66">
        <f t="shared" si="1008"/>
        <v>108.2400125</v>
      </c>
      <c r="AL395" s="66"/>
      <c r="AM395" s="14">
        <f t="shared" si="1009"/>
        <v>5.202601301</v>
      </c>
      <c r="AN395" s="67">
        <f t="shared" si="1010"/>
        <v>10.8338976</v>
      </c>
      <c r="AO395" s="68">
        <f t="shared" si="1011"/>
        <v>2.082400125</v>
      </c>
      <c r="AP395" s="69">
        <f t="shared" si="1012"/>
        <v>19.65556</v>
      </c>
      <c r="AQ395" s="70">
        <f t="shared" si="1013"/>
        <v>10.9</v>
      </c>
      <c r="AR395" s="71">
        <f t="shared" ref="AR395:AS395" si="1318">AI395/94</f>
        <v>212.6595745</v>
      </c>
      <c r="AS395" s="71">
        <f t="shared" si="1318"/>
        <v>212.6595745</v>
      </c>
      <c r="AT395" s="72">
        <f t="shared" ref="AT395:AU395" si="1319">AI395/24</f>
        <v>832.9166667</v>
      </c>
      <c r="AU395" s="72">
        <f t="shared" si="1319"/>
        <v>832.9166667</v>
      </c>
      <c r="AV395" s="73">
        <f t="shared" ref="AV395:AW395" si="1320">AI395/125</f>
        <v>159.92</v>
      </c>
      <c r="AW395" s="73">
        <f t="shared" si="1320"/>
        <v>159.92</v>
      </c>
    </row>
    <row r="396" ht="15.75" customHeight="1">
      <c r="A396" s="2"/>
      <c r="B396" s="2" t="s">
        <v>786</v>
      </c>
      <c r="C396" s="1" t="s">
        <v>787</v>
      </c>
      <c r="D396" s="206">
        <v>12600.0</v>
      </c>
      <c r="E396" s="2">
        <v>190.0</v>
      </c>
      <c r="F396" s="1">
        <v>100.0</v>
      </c>
      <c r="G396" s="10">
        <v>8.3061E7</v>
      </c>
      <c r="H396" s="59">
        <v>0.05</v>
      </c>
      <c r="I396" s="2">
        <f t="shared" si="1292"/>
        <v>9.5</v>
      </c>
      <c r="K396" s="94">
        <v>300.0</v>
      </c>
      <c r="L396" s="119">
        <f t="shared" si="987"/>
        <v>13199.5</v>
      </c>
      <c r="M396" s="2">
        <f t="shared" si="1055"/>
        <v>126</v>
      </c>
      <c r="N396" s="12">
        <f t="shared" si="989"/>
        <v>1055.96</v>
      </c>
      <c r="O396" s="12">
        <f t="shared" si="990"/>
        <v>1319.95</v>
      </c>
      <c r="P396" s="12">
        <f t="shared" si="991"/>
        <v>659.975</v>
      </c>
      <c r="Q396" s="12">
        <f t="shared" si="992"/>
        <v>263.99</v>
      </c>
      <c r="R396" s="12">
        <f t="shared" si="993"/>
        <v>132.3</v>
      </c>
      <c r="S396" s="12">
        <f t="shared" si="994"/>
        <v>131.995</v>
      </c>
      <c r="T396" s="60">
        <f t="shared" si="995"/>
        <v>3557.87</v>
      </c>
      <c r="U396" s="2">
        <f t="shared" si="996"/>
        <v>264.6</v>
      </c>
      <c r="V396" s="42">
        <f t="shared" si="15"/>
        <v>1323</v>
      </c>
      <c r="W396" s="2">
        <f t="shared" si="997"/>
        <v>264.6</v>
      </c>
      <c r="X396" s="2">
        <f t="shared" si="998"/>
        <v>2116.8</v>
      </c>
      <c r="Y396" s="2">
        <f t="shared" si="999"/>
        <v>3969</v>
      </c>
      <c r="Z396" s="60">
        <f t="shared" si="1000"/>
        <v>20726.37</v>
      </c>
      <c r="AA396" s="11">
        <f t="shared" si="1001"/>
        <v>4145.274</v>
      </c>
      <c r="AB396" s="12">
        <f t="shared" si="1002"/>
        <v>24871.644</v>
      </c>
      <c r="AC396" s="2">
        <f t="shared" si="1049"/>
        <v>26460</v>
      </c>
      <c r="AD396" s="12">
        <f t="shared" si="1050"/>
        <v>-1588.356</v>
      </c>
      <c r="AE396" s="12">
        <f t="shared" si="1051"/>
        <v>-6.386212347</v>
      </c>
      <c r="AF396" s="61">
        <v>23250.0</v>
      </c>
      <c r="AG396" s="62">
        <f t="shared" si="1006"/>
        <v>76.14303572</v>
      </c>
      <c r="AH396" s="63">
        <f t="shared" si="1007"/>
        <v>740</v>
      </c>
      <c r="AI396" s="65">
        <v>26990.0</v>
      </c>
      <c r="AJ396" s="65">
        <v>23990.0</v>
      </c>
      <c r="AK396" s="66">
        <f t="shared" si="1008"/>
        <v>81.74930869</v>
      </c>
      <c r="AL396" s="66"/>
      <c r="AM396" s="14">
        <f t="shared" si="1009"/>
        <v>3.084618591</v>
      </c>
      <c r="AN396" s="67">
        <f t="shared" si="1010"/>
        <v>5.606272965</v>
      </c>
      <c r="AO396" s="68">
        <f t="shared" si="1011"/>
        <v>1.817493087</v>
      </c>
      <c r="AP396" s="69">
        <f t="shared" si="1012"/>
        <v>-8.81644</v>
      </c>
      <c r="AQ396" s="70">
        <f t="shared" si="1013"/>
        <v>-24.7</v>
      </c>
      <c r="AR396" s="71">
        <f t="shared" ref="AR396:AS396" si="1321">AI396/94</f>
        <v>287.1276596</v>
      </c>
      <c r="AS396" s="71">
        <f t="shared" si="1321"/>
        <v>255.212766</v>
      </c>
      <c r="AT396" s="72">
        <f t="shared" ref="AT396:AU396" si="1322">AI396/24</f>
        <v>1124.583333</v>
      </c>
      <c r="AU396" s="72">
        <f t="shared" si="1322"/>
        <v>999.5833333</v>
      </c>
      <c r="AV396" s="73">
        <f t="shared" ref="AV396:AW396" si="1323">AI396/125</f>
        <v>215.92</v>
      </c>
      <c r="AW396" s="73">
        <f t="shared" si="1323"/>
        <v>191.92</v>
      </c>
    </row>
    <row r="397" ht="15.75" customHeight="1">
      <c r="A397" s="2"/>
      <c r="B397" s="2" t="s">
        <v>788</v>
      </c>
      <c r="C397" s="1" t="s">
        <v>789</v>
      </c>
      <c r="D397" s="206">
        <v>15120.0</v>
      </c>
      <c r="E397" s="2">
        <v>190.0</v>
      </c>
      <c r="F397" s="1">
        <v>100.0</v>
      </c>
      <c r="G397" s="10">
        <v>8.3061E7</v>
      </c>
      <c r="H397" s="59">
        <v>0.05</v>
      </c>
      <c r="I397" s="2">
        <f t="shared" si="1292"/>
        <v>9.5</v>
      </c>
      <c r="K397" s="94">
        <v>300.0</v>
      </c>
      <c r="L397" s="119">
        <f t="shared" si="987"/>
        <v>15719.5</v>
      </c>
      <c r="M397" s="2">
        <f t="shared" si="1055"/>
        <v>151.2</v>
      </c>
      <c r="N397" s="12">
        <f t="shared" si="989"/>
        <v>1257.56</v>
      </c>
      <c r="O397" s="12">
        <f t="shared" si="990"/>
        <v>1571.95</v>
      </c>
      <c r="P397" s="12">
        <f t="shared" si="991"/>
        <v>785.975</v>
      </c>
      <c r="Q397" s="12">
        <f t="shared" si="992"/>
        <v>314.39</v>
      </c>
      <c r="R397" s="12">
        <f t="shared" si="993"/>
        <v>158.76</v>
      </c>
      <c r="S397" s="12">
        <f t="shared" si="994"/>
        <v>157.195</v>
      </c>
      <c r="T397" s="60">
        <f t="shared" si="995"/>
        <v>4238.27</v>
      </c>
      <c r="U397" s="2">
        <f t="shared" si="996"/>
        <v>317.52</v>
      </c>
      <c r="V397" s="42">
        <f t="shared" si="15"/>
        <v>1587.6</v>
      </c>
      <c r="W397" s="2">
        <f t="shared" si="997"/>
        <v>317.52</v>
      </c>
      <c r="X397" s="2">
        <f t="shared" si="998"/>
        <v>2540.16</v>
      </c>
      <c r="Y397" s="2">
        <f t="shared" si="999"/>
        <v>4762.8</v>
      </c>
      <c r="Z397" s="60">
        <f t="shared" si="1000"/>
        <v>24720.57</v>
      </c>
      <c r="AA397" s="11">
        <f t="shared" si="1001"/>
        <v>4944.114</v>
      </c>
      <c r="AB397" s="12">
        <f t="shared" si="1002"/>
        <v>29664.684</v>
      </c>
      <c r="AC397" s="2">
        <f t="shared" si="1049"/>
        <v>31752</v>
      </c>
      <c r="AD397" s="12">
        <f t="shared" si="1050"/>
        <v>-2087.316</v>
      </c>
      <c r="AE397" s="12">
        <f t="shared" si="1051"/>
        <v>-7.03636688</v>
      </c>
      <c r="AF397" s="61">
        <v>27690.0</v>
      </c>
      <c r="AG397" s="62">
        <f t="shared" si="1006"/>
        <v>76.15064092</v>
      </c>
      <c r="AH397" s="63">
        <f t="shared" si="1007"/>
        <v>1300</v>
      </c>
      <c r="AI397" s="65">
        <v>31990.0</v>
      </c>
      <c r="AJ397" s="65">
        <v>28990.0</v>
      </c>
      <c r="AK397" s="66">
        <f t="shared" si="1008"/>
        <v>84.42062407</v>
      </c>
      <c r="AL397" s="66"/>
      <c r="AM397" s="14">
        <f t="shared" si="1009"/>
        <v>4.484304933</v>
      </c>
      <c r="AN397" s="67">
        <f t="shared" si="1010"/>
        <v>8.269983142</v>
      </c>
      <c r="AO397" s="68">
        <f t="shared" si="1011"/>
        <v>1.844206241</v>
      </c>
      <c r="AP397" s="69">
        <f t="shared" si="1012"/>
        <v>-6.74684</v>
      </c>
      <c r="AQ397" s="70">
        <f t="shared" si="1013"/>
        <v>-27.62</v>
      </c>
      <c r="AR397" s="71">
        <f t="shared" ref="AR397:AS397" si="1324">AI397/94</f>
        <v>340.3191489</v>
      </c>
      <c r="AS397" s="71">
        <f t="shared" si="1324"/>
        <v>308.4042553</v>
      </c>
      <c r="AT397" s="72">
        <f t="shared" ref="AT397:AU397" si="1325">AI397/24</f>
        <v>1332.916667</v>
      </c>
      <c r="AU397" s="72">
        <f t="shared" si="1325"/>
        <v>1207.916667</v>
      </c>
      <c r="AV397" s="73">
        <f t="shared" ref="AV397:AW397" si="1326">AI397/125</f>
        <v>255.92</v>
      </c>
      <c r="AW397" s="73">
        <f t="shared" si="1326"/>
        <v>231.92</v>
      </c>
    </row>
    <row r="398" ht="15.75" customHeight="1">
      <c r="A398" s="2"/>
      <c r="B398" s="2" t="s">
        <v>790</v>
      </c>
      <c r="C398" s="1" t="s">
        <v>791</v>
      </c>
      <c r="D398" s="206">
        <v>19800.0</v>
      </c>
      <c r="E398" s="2">
        <v>190.0</v>
      </c>
      <c r="F398" s="1">
        <v>100.0</v>
      </c>
      <c r="G398" s="10">
        <v>8.3061E7</v>
      </c>
      <c r="H398" s="59">
        <v>0.05</v>
      </c>
      <c r="I398" s="2">
        <f t="shared" si="1292"/>
        <v>9.5</v>
      </c>
      <c r="K398" s="94">
        <v>300.0</v>
      </c>
      <c r="L398" s="119">
        <f t="shared" si="987"/>
        <v>20399.5</v>
      </c>
      <c r="M398" s="2">
        <f t="shared" si="1055"/>
        <v>198</v>
      </c>
      <c r="N398" s="12">
        <f t="shared" si="989"/>
        <v>1631.96</v>
      </c>
      <c r="O398" s="12">
        <f t="shared" si="990"/>
        <v>2039.95</v>
      </c>
      <c r="P398" s="12">
        <f t="shared" si="991"/>
        <v>1019.975</v>
      </c>
      <c r="Q398" s="12">
        <f t="shared" si="992"/>
        <v>407.99</v>
      </c>
      <c r="R398" s="12">
        <f t="shared" si="993"/>
        <v>207.9</v>
      </c>
      <c r="S398" s="12">
        <f t="shared" si="994"/>
        <v>203.995</v>
      </c>
      <c r="T398" s="60">
        <f t="shared" si="995"/>
        <v>5501.87</v>
      </c>
      <c r="U398" s="2">
        <f t="shared" si="996"/>
        <v>415.8</v>
      </c>
      <c r="V398" s="42">
        <f t="shared" si="15"/>
        <v>2079</v>
      </c>
      <c r="W398" s="2">
        <f t="shared" si="997"/>
        <v>415.8</v>
      </c>
      <c r="X398" s="2">
        <f t="shared" si="998"/>
        <v>3326.4</v>
      </c>
      <c r="Y398" s="2">
        <f t="shared" si="999"/>
        <v>6237</v>
      </c>
      <c r="Z398" s="60">
        <f t="shared" si="1000"/>
        <v>32138.37</v>
      </c>
      <c r="AA398" s="11">
        <f t="shared" si="1001"/>
        <v>6427.674</v>
      </c>
      <c r="AB398" s="12">
        <f t="shared" si="1002"/>
        <v>38566.044</v>
      </c>
      <c r="AC398" s="2">
        <f t="shared" si="1049"/>
        <v>41580</v>
      </c>
      <c r="AD398" s="12">
        <f t="shared" si="1050"/>
        <v>-3013.956</v>
      </c>
      <c r="AE398" s="12">
        <f t="shared" si="1051"/>
        <v>-7.815050981</v>
      </c>
      <c r="AF398" s="61">
        <v>32950.0</v>
      </c>
      <c r="AG398" s="62">
        <f t="shared" si="1006"/>
        <v>61.52356675</v>
      </c>
      <c r="AH398" s="63">
        <f t="shared" si="1007"/>
        <v>1040</v>
      </c>
      <c r="AI398" s="65">
        <v>35990.0</v>
      </c>
      <c r="AJ398" s="65">
        <v>33990.0</v>
      </c>
      <c r="AK398" s="66">
        <f t="shared" si="1008"/>
        <v>66.62173092</v>
      </c>
      <c r="AL398" s="66"/>
      <c r="AM398" s="14">
        <f t="shared" si="1009"/>
        <v>3.059723448</v>
      </c>
      <c r="AN398" s="67">
        <f t="shared" si="1010"/>
        <v>5.098164171</v>
      </c>
      <c r="AO398" s="68">
        <f t="shared" si="1011"/>
        <v>1.666217309</v>
      </c>
      <c r="AP398" s="69">
        <f t="shared" si="1012"/>
        <v>-45.76044</v>
      </c>
      <c r="AQ398" s="70">
        <f t="shared" si="1013"/>
        <v>-75.9</v>
      </c>
      <c r="AR398" s="71">
        <f t="shared" ref="AR398:AS398" si="1327">AI398/94</f>
        <v>382.8723404</v>
      </c>
      <c r="AS398" s="71">
        <f t="shared" si="1327"/>
        <v>361.5957447</v>
      </c>
      <c r="AT398" s="72">
        <f t="shared" ref="AT398:AU398" si="1328">AI398/24</f>
        <v>1499.583333</v>
      </c>
      <c r="AU398" s="72">
        <f t="shared" si="1328"/>
        <v>1416.25</v>
      </c>
      <c r="AV398" s="73">
        <f t="shared" ref="AV398:AW398" si="1329">AI398/125</f>
        <v>287.92</v>
      </c>
      <c r="AW398" s="73">
        <f t="shared" si="1329"/>
        <v>271.92</v>
      </c>
    </row>
    <row r="399" ht="15.75" customHeight="1">
      <c r="A399" s="2"/>
      <c r="B399" s="2" t="s">
        <v>792</v>
      </c>
      <c r="C399" s="2" t="s">
        <v>793</v>
      </c>
      <c r="D399" s="206">
        <v>5400.0</v>
      </c>
      <c r="E399" s="2">
        <v>190.0</v>
      </c>
      <c r="F399" s="1">
        <v>100.0</v>
      </c>
      <c r="G399" s="10">
        <v>8.3061E7</v>
      </c>
      <c r="H399" s="59">
        <v>0.05</v>
      </c>
      <c r="I399" s="2">
        <f t="shared" si="1292"/>
        <v>9.5</v>
      </c>
      <c r="K399" s="94">
        <v>300.0</v>
      </c>
      <c r="L399" s="119">
        <f t="shared" si="987"/>
        <v>5999.5</v>
      </c>
      <c r="M399" s="2">
        <f t="shared" si="1055"/>
        <v>54</v>
      </c>
      <c r="N399" s="12">
        <f t="shared" si="989"/>
        <v>479.96</v>
      </c>
      <c r="O399" s="12">
        <f t="shared" si="990"/>
        <v>599.95</v>
      </c>
      <c r="P399" s="12">
        <f t="shared" si="991"/>
        <v>299.975</v>
      </c>
      <c r="Q399" s="12">
        <f t="shared" si="992"/>
        <v>119.99</v>
      </c>
      <c r="R399" s="12">
        <f t="shared" si="993"/>
        <v>56.7</v>
      </c>
      <c r="S399" s="12">
        <f t="shared" si="994"/>
        <v>59.995</v>
      </c>
      <c r="T399" s="60">
        <f t="shared" si="995"/>
        <v>1613.87</v>
      </c>
      <c r="U399" s="2">
        <f t="shared" si="996"/>
        <v>113.4</v>
      </c>
      <c r="V399" s="42">
        <f t="shared" si="15"/>
        <v>567</v>
      </c>
      <c r="W399" s="2">
        <f t="shared" si="997"/>
        <v>113.4</v>
      </c>
      <c r="X399" s="2">
        <f t="shared" si="998"/>
        <v>907.2</v>
      </c>
      <c r="Y399" s="2">
        <f t="shared" si="999"/>
        <v>1701</v>
      </c>
      <c r="Z399" s="60">
        <f t="shared" si="1000"/>
        <v>9314.37</v>
      </c>
      <c r="AA399" s="11">
        <f t="shared" si="1001"/>
        <v>1862.874</v>
      </c>
      <c r="AB399" s="12">
        <f t="shared" si="1002"/>
        <v>11177.244</v>
      </c>
      <c r="AC399" s="2">
        <f t="shared" si="1049"/>
        <v>11340</v>
      </c>
      <c r="AD399" s="12">
        <f t="shared" si="1050"/>
        <v>-162.756</v>
      </c>
      <c r="AE399" s="12">
        <f t="shared" si="1051"/>
        <v>-1.45613713</v>
      </c>
      <c r="AF399" s="61">
        <v>12450.0</v>
      </c>
      <c r="AG399" s="62">
        <f t="shared" si="1006"/>
        <v>107.5172931</v>
      </c>
      <c r="AH399" s="63">
        <f t="shared" si="1007"/>
        <v>540</v>
      </c>
      <c r="AI399" s="64">
        <v>13990.0</v>
      </c>
      <c r="AJ399" s="65">
        <v>12990.0</v>
      </c>
      <c r="AK399" s="66">
        <f t="shared" si="1008"/>
        <v>116.5180432</v>
      </c>
      <c r="AL399" s="66"/>
      <c r="AM399" s="14">
        <f t="shared" si="1009"/>
        <v>4.15704388</v>
      </c>
      <c r="AN399" s="67">
        <f t="shared" si="1010"/>
        <v>9.000750063</v>
      </c>
      <c r="AO399" s="68">
        <f t="shared" si="1011"/>
        <v>2.165180432</v>
      </c>
      <c r="AP399" s="69">
        <f t="shared" si="1012"/>
        <v>18.12756</v>
      </c>
      <c r="AQ399" s="70">
        <f t="shared" si="1013"/>
        <v>16.5</v>
      </c>
      <c r="AR399" s="71">
        <f t="shared" ref="AR399:AS399" si="1330">AI399/94</f>
        <v>148.8297872</v>
      </c>
      <c r="AS399" s="71">
        <f t="shared" si="1330"/>
        <v>138.1914894</v>
      </c>
      <c r="AT399" s="72">
        <f t="shared" ref="AT399:AU399" si="1331">AI399/24</f>
        <v>582.9166667</v>
      </c>
      <c r="AU399" s="72">
        <f t="shared" si="1331"/>
        <v>541.25</v>
      </c>
      <c r="AV399" s="73">
        <f t="shared" ref="AV399:AW399" si="1332">AI399/125</f>
        <v>111.92</v>
      </c>
      <c r="AW399" s="73">
        <f t="shared" si="1332"/>
        <v>103.92</v>
      </c>
    </row>
    <row r="400" ht="15.75" customHeight="1">
      <c r="A400" s="2"/>
      <c r="B400" s="2" t="s">
        <v>794</v>
      </c>
      <c r="C400" s="2" t="s">
        <v>795</v>
      </c>
      <c r="D400" s="206">
        <v>7200.0</v>
      </c>
      <c r="E400" s="2">
        <v>190.0</v>
      </c>
      <c r="F400" s="1">
        <v>100.0</v>
      </c>
      <c r="G400" s="10">
        <v>8.3061E7</v>
      </c>
      <c r="H400" s="59">
        <v>0.05</v>
      </c>
      <c r="I400" s="2">
        <f t="shared" si="1292"/>
        <v>9.5</v>
      </c>
      <c r="K400" s="94">
        <v>300.0</v>
      </c>
      <c r="L400" s="119">
        <f t="shared" si="987"/>
        <v>7799.5</v>
      </c>
      <c r="M400" s="2">
        <f t="shared" si="1055"/>
        <v>72</v>
      </c>
      <c r="N400" s="12">
        <f t="shared" si="989"/>
        <v>623.96</v>
      </c>
      <c r="O400" s="12">
        <f t="shared" si="990"/>
        <v>779.95</v>
      </c>
      <c r="P400" s="12">
        <f t="shared" si="991"/>
        <v>389.975</v>
      </c>
      <c r="Q400" s="12">
        <f t="shared" si="992"/>
        <v>155.99</v>
      </c>
      <c r="R400" s="12">
        <f t="shared" si="993"/>
        <v>75.6</v>
      </c>
      <c r="S400" s="12">
        <f t="shared" si="994"/>
        <v>77.995</v>
      </c>
      <c r="T400" s="60">
        <f t="shared" si="995"/>
        <v>2099.87</v>
      </c>
      <c r="U400" s="2">
        <f t="shared" si="996"/>
        <v>151.2</v>
      </c>
      <c r="V400" s="42">
        <f t="shared" si="15"/>
        <v>756</v>
      </c>
      <c r="W400" s="2">
        <f t="shared" si="997"/>
        <v>151.2</v>
      </c>
      <c r="X400" s="2">
        <f t="shared" si="998"/>
        <v>1209.6</v>
      </c>
      <c r="Y400" s="2">
        <f t="shared" si="999"/>
        <v>2268</v>
      </c>
      <c r="Z400" s="60">
        <f t="shared" si="1000"/>
        <v>12167.37</v>
      </c>
      <c r="AA400" s="11">
        <f t="shared" si="1001"/>
        <v>2433.474</v>
      </c>
      <c r="AB400" s="12">
        <f t="shared" si="1002"/>
        <v>14600.844</v>
      </c>
      <c r="AC400" s="2">
        <f t="shared" si="1049"/>
        <v>15120</v>
      </c>
      <c r="AD400" s="12">
        <f t="shared" si="1050"/>
        <v>-519.156</v>
      </c>
      <c r="AE400" s="12">
        <f t="shared" si="1051"/>
        <v>-3.555657467</v>
      </c>
      <c r="AF400" s="61">
        <v>15950.0</v>
      </c>
      <c r="AG400" s="62">
        <f t="shared" si="1006"/>
        <v>104.5002885</v>
      </c>
      <c r="AH400" s="63">
        <f t="shared" si="1007"/>
        <v>1040</v>
      </c>
      <c r="AI400" s="64">
        <v>17990.0</v>
      </c>
      <c r="AJ400" s="65">
        <v>16990.0</v>
      </c>
      <c r="AK400" s="66">
        <f t="shared" si="1008"/>
        <v>117.8344766</v>
      </c>
      <c r="AL400" s="66"/>
      <c r="AM400" s="14">
        <f t="shared" si="1009"/>
        <v>6.121247793</v>
      </c>
      <c r="AN400" s="67">
        <f t="shared" si="1010"/>
        <v>13.33418809</v>
      </c>
      <c r="AO400" s="68">
        <f t="shared" si="1011"/>
        <v>2.178344766</v>
      </c>
      <c r="AP400" s="69">
        <f t="shared" si="1012"/>
        <v>23.89156</v>
      </c>
      <c r="AQ400" s="70">
        <f t="shared" si="1013"/>
        <v>18.7</v>
      </c>
      <c r="AR400" s="71">
        <f t="shared" ref="AR400:AS400" si="1333">AI400/94</f>
        <v>191.3829787</v>
      </c>
      <c r="AS400" s="71">
        <f t="shared" si="1333"/>
        <v>180.7446809</v>
      </c>
      <c r="AT400" s="72">
        <f t="shared" ref="AT400:AU400" si="1334">AI400/24</f>
        <v>749.5833333</v>
      </c>
      <c r="AU400" s="72">
        <f t="shared" si="1334"/>
        <v>707.9166667</v>
      </c>
      <c r="AV400" s="73">
        <f t="shared" ref="AV400:AW400" si="1335">AI400/125</f>
        <v>143.92</v>
      </c>
      <c r="AW400" s="73">
        <f t="shared" si="1335"/>
        <v>135.92</v>
      </c>
    </row>
    <row r="401" ht="15.75" customHeight="1">
      <c r="A401" s="2"/>
      <c r="B401" s="2" t="s">
        <v>796</v>
      </c>
      <c r="C401" s="2" t="s">
        <v>797</v>
      </c>
      <c r="D401" s="206">
        <v>9000.0</v>
      </c>
      <c r="E401" s="2">
        <v>190.0</v>
      </c>
      <c r="F401" s="1">
        <v>100.0</v>
      </c>
      <c r="G401" s="10">
        <v>8.3061E7</v>
      </c>
      <c r="H401" s="59">
        <v>0.05</v>
      </c>
      <c r="I401" s="2">
        <f t="shared" si="1292"/>
        <v>9.5</v>
      </c>
      <c r="K401" s="94">
        <v>300.0</v>
      </c>
      <c r="L401" s="119">
        <f t="shared" si="987"/>
        <v>9599.5</v>
      </c>
      <c r="M401" s="2">
        <f t="shared" si="1055"/>
        <v>90</v>
      </c>
      <c r="N401" s="12">
        <f t="shared" si="989"/>
        <v>767.96</v>
      </c>
      <c r="O401" s="12">
        <f t="shared" si="990"/>
        <v>959.95</v>
      </c>
      <c r="P401" s="12">
        <f t="shared" si="991"/>
        <v>479.975</v>
      </c>
      <c r="Q401" s="12">
        <f t="shared" si="992"/>
        <v>191.99</v>
      </c>
      <c r="R401" s="12">
        <f t="shared" si="993"/>
        <v>94.5</v>
      </c>
      <c r="S401" s="12">
        <f t="shared" si="994"/>
        <v>95.995</v>
      </c>
      <c r="T401" s="60">
        <f t="shared" si="995"/>
        <v>2585.87</v>
      </c>
      <c r="U401" s="2">
        <f t="shared" si="996"/>
        <v>189</v>
      </c>
      <c r="V401" s="42">
        <f t="shared" si="15"/>
        <v>945</v>
      </c>
      <c r="W401" s="2">
        <f t="shared" si="997"/>
        <v>189</v>
      </c>
      <c r="X401" s="2">
        <f t="shared" si="998"/>
        <v>1512</v>
      </c>
      <c r="Y401" s="2">
        <f t="shared" si="999"/>
        <v>2835</v>
      </c>
      <c r="Z401" s="60">
        <f t="shared" si="1000"/>
        <v>15020.37</v>
      </c>
      <c r="AA401" s="11">
        <f t="shared" si="1001"/>
        <v>3004.074</v>
      </c>
      <c r="AB401" s="12">
        <f t="shared" si="1002"/>
        <v>18024.444</v>
      </c>
      <c r="AC401" s="2">
        <f t="shared" si="1049"/>
        <v>18900</v>
      </c>
      <c r="AD401" s="12">
        <f t="shared" si="1050"/>
        <v>-875.556</v>
      </c>
      <c r="AE401" s="12">
        <f t="shared" si="1051"/>
        <v>-4.857603375</v>
      </c>
      <c r="AF401" s="61">
        <v>18950.0</v>
      </c>
      <c r="AG401" s="62">
        <f t="shared" si="1006"/>
        <v>97.4061149</v>
      </c>
      <c r="AH401" s="63">
        <f t="shared" si="1007"/>
        <v>950</v>
      </c>
      <c r="AI401" s="64">
        <v>21990.0</v>
      </c>
      <c r="AJ401" s="64">
        <v>19900.0</v>
      </c>
      <c r="AK401" s="66">
        <f t="shared" si="1008"/>
        <v>107.3024637</v>
      </c>
      <c r="AL401" s="66"/>
      <c r="AM401" s="14">
        <f t="shared" si="1009"/>
        <v>4.773869347</v>
      </c>
      <c r="AN401" s="67">
        <f t="shared" si="1010"/>
        <v>9.896348768</v>
      </c>
      <c r="AO401" s="68">
        <f t="shared" si="1011"/>
        <v>2.073024637</v>
      </c>
      <c r="AP401" s="69">
        <f t="shared" si="1012"/>
        <v>18.75556</v>
      </c>
      <c r="AQ401" s="70">
        <f t="shared" si="1013"/>
        <v>10</v>
      </c>
      <c r="AR401" s="71">
        <f t="shared" ref="AR401:AS401" si="1336">AI401/94</f>
        <v>233.9361702</v>
      </c>
      <c r="AS401" s="71">
        <f t="shared" si="1336"/>
        <v>211.7021277</v>
      </c>
      <c r="AT401" s="72">
        <f t="shared" ref="AT401:AU401" si="1337">AI401/24</f>
        <v>916.25</v>
      </c>
      <c r="AU401" s="72">
        <f t="shared" si="1337"/>
        <v>829.1666667</v>
      </c>
      <c r="AV401" s="73">
        <f t="shared" ref="AV401:AW401" si="1338">AI401/125</f>
        <v>175.92</v>
      </c>
      <c r="AW401" s="73">
        <f t="shared" si="1338"/>
        <v>159.2</v>
      </c>
    </row>
    <row r="402" ht="15.75" customHeight="1">
      <c r="A402" s="2"/>
      <c r="B402" s="2" t="s">
        <v>798</v>
      </c>
      <c r="C402" s="2" t="s">
        <v>799</v>
      </c>
      <c r="D402" s="206">
        <v>12600.0</v>
      </c>
      <c r="E402" s="2">
        <v>190.0</v>
      </c>
      <c r="F402" s="1">
        <v>100.0</v>
      </c>
      <c r="G402" s="10">
        <v>8.3061E7</v>
      </c>
      <c r="H402" s="59">
        <v>0.05</v>
      </c>
      <c r="I402" s="2">
        <f t="shared" si="1292"/>
        <v>9.5</v>
      </c>
      <c r="K402" s="94">
        <v>300.0</v>
      </c>
      <c r="L402" s="119">
        <f t="shared" si="987"/>
        <v>13199.5</v>
      </c>
      <c r="M402" s="2">
        <f t="shared" si="1055"/>
        <v>126</v>
      </c>
      <c r="N402" s="12">
        <f t="shared" si="989"/>
        <v>1055.96</v>
      </c>
      <c r="O402" s="12">
        <f t="shared" si="990"/>
        <v>1319.95</v>
      </c>
      <c r="P402" s="12">
        <f t="shared" si="991"/>
        <v>659.975</v>
      </c>
      <c r="Q402" s="12">
        <f t="shared" si="992"/>
        <v>263.99</v>
      </c>
      <c r="R402" s="12">
        <f t="shared" si="993"/>
        <v>132.3</v>
      </c>
      <c r="S402" s="12">
        <f t="shared" si="994"/>
        <v>131.995</v>
      </c>
      <c r="T402" s="60">
        <f t="shared" si="995"/>
        <v>3557.87</v>
      </c>
      <c r="U402" s="2">
        <f t="shared" si="996"/>
        <v>264.6</v>
      </c>
      <c r="V402" s="42">
        <f t="shared" si="15"/>
        <v>1323</v>
      </c>
      <c r="W402" s="2">
        <f t="shared" si="997"/>
        <v>264.6</v>
      </c>
      <c r="X402" s="2">
        <f t="shared" si="998"/>
        <v>2116.8</v>
      </c>
      <c r="Y402" s="2">
        <f t="shared" si="999"/>
        <v>3969</v>
      </c>
      <c r="Z402" s="60">
        <f t="shared" si="1000"/>
        <v>20726.37</v>
      </c>
      <c r="AA402" s="11">
        <f t="shared" si="1001"/>
        <v>4145.274</v>
      </c>
      <c r="AB402" s="12">
        <f t="shared" si="1002"/>
        <v>24871.644</v>
      </c>
      <c r="AC402" s="2">
        <f t="shared" si="1049"/>
        <v>26460</v>
      </c>
      <c r="AD402" s="12">
        <f t="shared" si="1050"/>
        <v>-1588.356</v>
      </c>
      <c r="AE402" s="12">
        <f t="shared" si="1051"/>
        <v>-6.386212347</v>
      </c>
      <c r="AF402" s="61">
        <v>23250.0</v>
      </c>
      <c r="AG402" s="62">
        <f t="shared" si="1006"/>
        <v>76.14303572</v>
      </c>
      <c r="AH402" s="63">
        <f t="shared" si="1007"/>
        <v>740</v>
      </c>
      <c r="AI402" s="64">
        <v>27990.0</v>
      </c>
      <c r="AJ402" s="65">
        <v>23990.0</v>
      </c>
      <c r="AK402" s="66">
        <f t="shared" si="1008"/>
        <v>81.74930869</v>
      </c>
      <c r="AL402" s="66"/>
      <c r="AM402" s="14">
        <f t="shared" si="1009"/>
        <v>3.084618591</v>
      </c>
      <c r="AN402" s="67">
        <f t="shared" si="1010"/>
        <v>5.606272965</v>
      </c>
      <c r="AO402" s="68">
        <f t="shared" si="1011"/>
        <v>1.817493087</v>
      </c>
      <c r="AP402" s="69">
        <f t="shared" si="1012"/>
        <v>-8.81644</v>
      </c>
      <c r="AQ402" s="70">
        <f t="shared" si="1013"/>
        <v>-24.7</v>
      </c>
      <c r="AR402" s="71">
        <f t="shared" ref="AR402:AS402" si="1339">AI402/94</f>
        <v>297.7659574</v>
      </c>
      <c r="AS402" s="71">
        <f t="shared" si="1339"/>
        <v>255.212766</v>
      </c>
      <c r="AT402" s="72">
        <f t="shared" ref="AT402:AU402" si="1340">AI402/24</f>
        <v>1166.25</v>
      </c>
      <c r="AU402" s="72">
        <f t="shared" si="1340"/>
        <v>999.5833333</v>
      </c>
      <c r="AV402" s="73">
        <f t="shared" ref="AV402:AW402" si="1341">AI402/125</f>
        <v>223.92</v>
      </c>
      <c r="AW402" s="73">
        <f t="shared" si="1341"/>
        <v>191.92</v>
      </c>
    </row>
    <row r="403" ht="15.75" customHeight="1">
      <c r="A403" s="2"/>
      <c r="B403" s="2" t="s">
        <v>800</v>
      </c>
      <c r="C403" s="2" t="s">
        <v>801</v>
      </c>
      <c r="D403" s="206">
        <v>15120.0</v>
      </c>
      <c r="E403" s="2">
        <v>190.0</v>
      </c>
      <c r="F403" s="1">
        <v>100.0</v>
      </c>
      <c r="G403" s="10">
        <v>8.3061E7</v>
      </c>
      <c r="H403" s="59">
        <v>0.05</v>
      </c>
      <c r="I403" s="2">
        <f t="shared" si="1292"/>
        <v>9.5</v>
      </c>
      <c r="K403" s="94">
        <v>300.0</v>
      </c>
      <c r="L403" s="119">
        <f t="shared" si="987"/>
        <v>15719.5</v>
      </c>
      <c r="M403" s="2">
        <f t="shared" si="1055"/>
        <v>151.2</v>
      </c>
      <c r="N403" s="12">
        <f t="shared" si="989"/>
        <v>1257.56</v>
      </c>
      <c r="O403" s="12">
        <f t="shared" si="990"/>
        <v>1571.95</v>
      </c>
      <c r="P403" s="12">
        <f t="shared" si="991"/>
        <v>785.975</v>
      </c>
      <c r="Q403" s="12">
        <f t="shared" si="992"/>
        <v>314.39</v>
      </c>
      <c r="R403" s="12">
        <f t="shared" si="993"/>
        <v>158.76</v>
      </c>
      <c r="S403" s="12">
        <f t="shared" si="994"/>
        <v>157.195</v>
      </c>
      <c r="T403" s="60">
        <f t="shared" si="995"/>
        <v>4238.27</v>
      </c>
      <c r="U403" s="2">
        <f t="shared" si="996"/>
        <v>317.52</v>
      </c>
      <c r="V403" s="42">
        <f t="shared" si="15"/>
        <v>1587.6</v>
      </c>
      <c r="W403" s="2">
        <f t="shared" si="997"/>
        <v>317.52</v>
      </c>
      <c r="X403" s="2">
        <f t="shared" si="998"/>
        <v>2540.16</v>
      </c>
      <c r="Y403" s="2">
        <f t="shared" si="999"/>
        <v>4762.8</v>
      </c>
      <c r="Z403" s="60">
        <f t="shared" si="1000"/>
        <v>24720.57</v>
      </c>
      <c r="AA403" s="11">
        <f t="shared" si="1001"/>
        <v>4944.114</v>
      </c>
      <c r="AB403" s="12">
        <f t="shared" si="1002"/>
        <v>29664.684</v>
      </c>
      <c r="AC403" s="2">
        <f t="shared" si="1049"/>
        <v>31752</v>
      </c>
      <c r="AD403" s="12">
        <f t="shared" si="1050"/>
        <v>-2087.316</v>
      </c>
      <c r="AE403" s="12">
        <f t="shared" si="1051"/>
        <v>-7.03636688</v>
      </c>
      <c r="AF403" s="61">
        <v>27690.0</v>
      </c>
      <c r="AG403" s="62">
        <f t="shared" si="1006"/>
        <v>76.15064092</v>
      </c>
      <c r="AH403" s="63">
        <f t="shared" si="1007"/>
        <v>1300</v>
      </c>
      <c r="AI403" s="65">
        <v>29990.0</v>
      </c>
      <c r="AJ403" s="65">
        <v>28990.0</v>
      </c>
      <c r="AK403" s="66">
        <f t="shared" si="1008"/>
        <v>84.42062407</v>
      </c>
      <c r="AL403" s="66"/>
      <c r="AM403" s="14">
        <f t="shared" si="1009"/>
        <v>4.484304933</v>
      </c>
      <c r="AN403" s="67">
        <f t="shared" si="1010"/>
        <v>8.269983142</v>
      </c>
      <c r="AO403" s="68">
        <f t="shared" si="1011"/>
        <v>1.844206241</v>
      </c>
      <c r="AP403" s="69">
        <f t="shared" si="1012"/>
        <v>-6.74684</v>
      </c>
      <c r="AQ403" s="70">
        <f t="shared" si="1013"/>
        <v>-27.62</v>
      </c>
      <c r="AR403" s="71">
        <f t="shared" ref="AR403:AS403" si="1342">AI403/94</f>
        <v>319.0425532</v>
      </c>
      <c r="AS403" s="71">
        <f t="shared" si="1342"/>
        <v>308.4042553</v>
      </c>
      <c r="AT403" s="72">
        <f t="shared" ref="AT403:AU403" si="1343">AI403/24</f>
        <v>1249.583333</v>
      </c>
      <c r="AU403" s="72">
        <f t="shared" si="1343"/>
        <v>1207.916667</v>
      </c>
      <c r="AV403" s="73">
        <f t="shared" ref="AV403:AW403" si="1344">AI403/125</f>
        <v>239.92</v>
      </c>
      <c r="AW403" s="73">
        <f t="shared" si="1344"/>
        <v>231.92</v>
      </c>
    </row>
    <row r="404" ht="15.75" customHeight="1">
      <c r="A404" s="2"/>
      <c r="B404" s="2" t="s">
        <v>802</v>
      </c>
      <c r="C404" s="2" t="s">
        <v>803</v>
      </c>
      <c r="D404" s="206">
        <v>19800.0</v>
      </c>
      <c r="E404" s="2">
        <v>190.0</v>
      </c>
      <c r="F404" s="1">
        <v>100.0</v>
      </c>
      <c r="G404" s="10">
        <v>8.3061E7</v>
      </c>
      <c r="H404" s="59">
        <v>0.05</v>
      </c>
      <c r="I404" s="2">
        <f t="shared" si="1292"/>
        <v>9.5</v>
      </c>
      <c r="K404" s="94">
        <v>300.0</v>
      </c>
      <c r="L404" s="119">
        <f t="shared" si="987"/>
        <v>20399.5</v>
      </c>
      <c r="M404" s="2">
        <f t="shared" si="1055"/>
        <v>198</v>
      </c>
      <c r="N404" s="12">
        <f t="shared" si="989"/>
        <v>1631.96</v>
      </c>
      <c r="O404" s="12">
        <f t="shared" si="990"/>
        <v>2039.95</v>
      </c>
      <c r="P404" s="12">
        <f t="shared" si="991"/>
        <v>1019.975</v>
      </c>
      <c r="Q404" s="12">
        <f t="shared" si="992"/>
        <v>407.99</v>
      </c>
      <c r="R404" s="12">
        <f t="shared" si="993"/>
        <v>207.9</v>
      </c>
      <c r="S404" s="12">
        <f t="shared" si="994"/>
        <v>203.995</v>
      </c>
      <c r="T404" s="60">
        <f t="shared" si="995"/>
        <v>5501.87</v>
      </c>
      <c r="U404" s="2">
        <f t="shared" si="996"/>
        <v>415.8</v>
      </c>
      <c r="V404" s="42">
        <f t="shared" si="15"/>
        <v>2079</v>
      </c>
      <c r="W404" s="2">
        <f t="shared" si="997"/>
        <v>415.8</v>
      </c>
      <c r="X404" s="2">
        <f t="shared" si="998"/>
        <v>3326.4</v>
      </c>
      <c r="Y404" s="2">
        <f t="shared" si="999"/>
        <v>6237</v>
      </c>
      <c r="Z404" s="60">
        <f t="shared" si="1000"/>
        <v>32138.37</v>
      </c>
      <c r="AA404" s="11">
        <f t="shared" si="1001"/>
        <v>6427.674</v>
      </c>
      <c r="AB404" s="12">
        <f t="shared" si="1002"/>
        <v>38566.044</v>
      </c>
      <c r="AC404" s="2">
        <f t="shared" si="1049"/>
        <v>41580</v>
      </c>
      <c r="AD404" s="12">
        <f t="shared" si="1050"/>
        <v>-3013.956</v>
      </c>
      <c r="AE404" s="12">
        <f t="shared" si="1051"/>
        <v>-7.815050981</v>
      </c>
      <c r="AF404" s="61">
        <v>32950.0</v>
      </c>
      <c r="AG404" s="62">
        <f t="shared" si="1006"/>
        <v>61.52356675</v>
      </c>
      <c r="AH404" s="63">
        <f t="shared" si="1007"/>
        <v>2040</v>
      </c>
      <c r="AI404" s="65">
        <v>36990.0</v>
      </c>
      <c r="AJ404" s="65">
        <v>34990.0</v>
      </c>
      <c r="AK404" s="66">
        <f t="shared" si="1008"/>
        <v>71.52381186</v>
      </c>
      <c r="AL404" s="66"/>
      <c r="AM404" s="14">
        <f t="shared" si="1009"/>
        <v>5.830237211</v>
      </c>
      <c r="AN404" s="67">
        <f t="shared" si="1010"/>
        <v>10.0002451</v>
      </c>
      <c r="AO404" s="68">
        <f t="shared" si="1011"/>
        <v>1.715238119</v>
      </c>
      <c r="AP404" s="69">
        <f t="shared" si="1012"/>
        <v>-35.76044</v>
      </c>
      <c r="AQ404" s="70">
        <f t="shared" si="1013"/>
        <v>-65.9</v>
      </c>
      <c r="AR404" s="71">
        <f t="shared" ref="AR404:AS404" si="1345">AI404/94</f>
        <v>393.5106383</v>
      </c>
      <c r="AS404" s="71">
        <f t="shared" si="1345"/>
        <v>372.2340426</v>
      </c>
      <c r="AT404" s="72">
        <f t="shared" ref="AT404:AU404" si="1346">AI404/24</f>
        <v>1541.25</v>
      </c>
      <c r="AU404" s="72">
        <f t="shared" si="1346"/>
        <v>1457.916667</v>
      </c>
      <c r="AV404" s="73">
        <f t="shared" ref="AV404:AW404" si="1347">AI404/125</f>
        <v>295.92</v>
      </c>
      <c r="AW404" s="73">
        <f t="shared" si="1347"/>
        <v>279.92</v>
      </c>
    </row>
    <row r="405" ht="15.75" customHeight="1">
      <c r="A405" s="2"/>
      <c r="B405" s="2" t="s">
        <v>804</v>
      </c>
      <c r="C405" s="2" t="s">
        <v>805</v>
      </c>
      <c r="D405" s="206">
        <v>25200.0</v>
      </c>
      <c r="E405" s="2">
        <v>350.0</v>
      </c>
      <c r="F405" s="1">
        <v>100.0</v>
      </c>
      <c r="G405" s="10">
        <v>8.3061E7</v>
      </c>
      <c r="H405" s="59">
        <v>0.05</v>
      </c>
      <c r="I405" s="2">
        <f t="shared" si="1292"/>
        <v>17.5</v>
      </c>
      <c r="K405" s="94">
        <v>300.0</v>
      </c>
      <c r="L405" s="119">
        <f t="shared" si="987"/>
        <v>25967.5</v>
      </c>
      <c r="M405" s="2">
        <f t="shared" si="1055"/>
        <v>252</v>
      </c>
      <c r="N405" s="12">
        <f t="shared" si="989"/>
        <v>2077.4</v>
      </c>
      <c r="O405" s="12">
        <f t="shared" si="990"/>
        <v>2596.75</v>
      </c>
      <c r="P405" s="12">
        <f t="shared" si="991"/>
        <v>1298.375</v>
      </c>
      <c r="Q405" s="12">
        <f t="shared" si="992"/>
        <v>519.35</v>
      </c>
      <c r="R405" s="12">
        <f t="shared" si="993"/>
        <v>264.6</v>
      </c>
      <c r="S405" s="12">
        <f t="shared" si="994"/>
        <v>259.675</v>
      </c>
      <c r="T405" s="60">
        <f t="shared" si="995"/>
        <v>7003.55</v>
      </c>
      <c r="U405" s="2">
        <f t="shared" si="996"/>
        <v>529.2</v>
      </c>
      <c r="V405" s="42">
        <f t="shared" si="15"/>
        <v>2646</v>
      </c>
      <c r="W405" s="2">
        <f t="shared" si="997"/>
        <v>529.2</v>
      </c>
      <c r="X405" s="2">
        <f t="shared" si="998"/>
        <v>4233.6</v>
      </c>
      <c r="Y405" s="2">
        <f t="shared" si="999"/>
        <v>7938</v>
      </c>
      <c r="Z405" s="60">
        <f t="shared" si="1000"/>
        <v>40909.05</v>
      </c>
      <c r="AA405" s="11">
        <f t="shared" si="1001"/>
        <v>8181.81</v>
      </c>
      <c r="AB405" s="12">
        <f t="shared" si="1002"/>
        <v>49090.86</v>
      </c>
      <c r="AC405" s="2">
        <f t="shared" si="1049"/>
        <v>52920</v>
      </c>
      <c r="AD405" s="12">
        <f t="shared" si="1050"/>
        <v>-3829.14</v>
      </c>
      <c r="AE405" s="12">
        <f t="shared" si="1051"/>
        <v>-7.8001078</v>
      </c>
      <c r="AF405" s="61">
        <v>37950.0</v>
      </c>
      <c r="AG405" s="62">
        <f t="shared" si="1006"/>
        <v>46.14421873</v>
      </c>
      <c r="AH405" s="63">
        <f t="shared" si="1007"/>
        <v>1040</v>
      </c>
      <c r="AI405" s="64">
        <v>42990.0</v>
      </c>
      <c r="AJ405" s="65">
        <v>38990.0</v>
      </c>
      <c r="AK405" s="66">
        <f t="shared" si="1008"/>
        <v>50.14922499</v>
      </c>
      <c r="AL405" s="66"/>
      <c r="AM405" s="14">
        <f t="shared" si="1009"/>
        <v>2.667350603</v>
      </c>
      <c r="AN405" s="67">
        <f t="shared" si="1010"/>
        <v>4.005006258</v>
      </c>
      <c r="AO405" s="68">
        <f t="shared" si="1011"/>
        <v>1.50149225</v>
      </c>
      <c r="AP405" s="69">
        <f t="shared" si="1012"/>
        <v>-101.0086</v>
      </c>
      <c r="AQ405" s="70">
        <f t="shared" si="1013"/>
        <v>-139.3</v>
      </c>
      <c r="AR405" s="71">
        <f t="shared" ref="AR405:AS405" si="1348">AI405/94</f>
        <v>457.3404255</v>
      </c>
      <c r="AS405" s="71">
        <f t="shared" si="1348"/>
        <v>414.787234</v>
      </c>
      <c r="AT405" s="72">
        <f t="shared" ref="AT405:AU405" si="1349">AI405/24</f>
        <v>1791.25</v>
      </c>
      <c r="AU405" s="72">
        <f t="shared" si="1349"/>
        <v>1624.583333</v>
      </c>
      <c r="AV405" s="73">
        <f t="shared" ref="AV405:AW405" si="1350">AI405/125</f>
        <v>343.92</v>
      </c>
      <c r="AW405" s="73">
        <f t="shared" si="1350"/>
        <v>311.92</v>
      </c>
    </row>
    <row r="406" ht="15.75" customHeight="1">
      <c r="A406" s="77"/>
      <c r="B406" s="77" t="s">
        <v>806</v>
      </c>
      <c r="C406" s="77" t="s">
        <v>807</v>
      </c>
      <c r="D406" s="207">
        <v>36550.0</v>
      </c>
      <c r="E406" s="77">
        <v>350.0</v>
      </c>
      <c r="F406" s="80">
        <v>100.0</v>
      </c>
      <c r="G406" s="78">
        <v>8.3061E7</v>
      </c>
      <c r="H406" s="81">
        <v>0.05</v>
      </c>
      <c r="I406" s="77">
        <f t="shared" si="1292"/>
        <v>17.5</v>
      </c>
      <c r="J406" s="79"/>
      <c r="K406" s="144">
        <v>300.0</v>
      </c>
      <c r="L406" s="147">
        <f t="shared" si="987"/>
        <v>37317.5</v>
      </c>
      <c r="M406" s="77">
        <f t="shared" si="1055"/>
        <v>365.5</v>
      </c>
      <c r="N406" s="83">
        <f t="shared" si="989"/>
        <v>2985.4</v>
      </c>
      <c r="O406" s="83">
        <f t="shared" si="990"/>
        <v>3731.75</v>
      </c>
      <c r="P406" s="83">
        <f t="shared" si="991"/>
        <v>1865.875</v>
      </c>
      <c r="Q406" s="83">
        <f t="shared" si="992"/>
        <v>746.35</v>
      </c>
      <c r="R406" s="83">
        <f t="shared" si="993"/>
        <v>383.775</v>
      </c>
      <c r="S406" s="83">
        <f t="shared" si="994"/>
        <v>373.175</v>
      </c>
      <c r="T406" s="84">
        <f t="shared" si="995"/>
        <v>10068.05</v>
      </c>
      <c r="U406" s="77">
        <f t="shared" si="996"/>
        <v>767.55</v>
      </c>
      <c r="V406" s="42">
        <f t="shared" si="15"/>
        <v>3837.75</v>
      </c>
      <c r="W406" s="77">
        <f t="shared" si="997"/>
        <v>767.55</v>
      </c>
      <c r="X406" s="77">
        <f t="shared" si="998"/>
        <v>6140.4</v>
      </c>
      <c r="Y406" s="77">
        <f t="shared" si="999"/>
        <v>11513.25</v>
      </c>
      <c r="Z406" s="84">
        <f t="shared" si="1000"/>
        <v>58898.8</v>
      </c>
      <c r="AA406" s="85">
        <f t="shared" si="1001"/>
        <v>11779.76</v>
      </c>
      <c r="AB406" s="83">
        <f t="shared" si="1002"/>
        <v>70678.56</v>
      </c>
      <c r="AC406" s="77">
        <f t="shared" si="1049"/>
        <v>76755</v>
      </c>
      <c r="AD406" s="83">
        <f t="shared" si="1050"/>
        <v>-6076.44</v>
      </c>
      <c r="AE406" s="83">
        <f t="shared" si="1051"/>
        <v>-8.597288909</v>
      </c>
      <c r="AF406" s="79">
        <v>42950.0</v>
      </c>
      <c r="AG406" s="86">
        <f t="shared" si="1006"/>
        <v>15.09345481</v>
      </c>
      <c r="AH406" s="63">
        <f t="shared" si="1007"/>
        <v>1540</v>
      </c>
      <c r="AI406" s="63">
        <v>49990.0</v>
      </c>
      <c r="AJ406" s="90">
        <v>44490.0</v>
      </c>
      <c r="AK406" s="14">
        <f t="shared" si="1008"/>
        <v>19.220205</v>
      </c>
      <c r="AL406" s="14"/>
      <c r="AM406" s="14">
        <f t="shared" si="1009"/>
        <v>3.461452012</v>
      </c>
      <c r="AN406" s="14">
        <f t="shared" si="1010"/>
        <v>4.126750184</v>
      </c>
      <c r="AO406" s="87">
        <f t="shared" si="1011"/>
        <v>1.19220205</v>
      </c>
      <c r="AP406" s="14">
        <f t="shared" si="1012"/>
        <v>-261.8856</v>
      </c>
      <c r="AQ406" s="14">
        <f t="shared" si="1013"/>
        <v>-322.65</v>
      </c>
      <c r="AR406" s="88">
        <f t="shared" ref="AR406:AS406" si="1351">AI406/94</f>
        <v>531.8085106</v>
      </c>
      <c r="AS406" s="88">
        <f t="shared" si="1351"/>
        <v>473.2978723</v>
      </c>
      <c r="AT406" s="89">
        <f t="shared" ref="AT406:AU406" si="1352">AI406/24</f>
        <v>2082.916667</v>
      </c>
      <c r="AU406" s="89">
        <f t="shared" si="1352"/>
        <v>1853.75</v>
      </c>
      <c r="AV406" s="89">
        <f t="shared" ref="AV406:AW406" si="1353">AI406/125</f>
        <v>399.92</v>
      </c>
      <c r="AW406" s="89">
        <f t="shared" si="1353"/>
        <v>355.92</v>
      </c>
      <c r="AX406" s="79"/>
      <c r="AY406" s="79"/>
    </row>
    <row r="407" ht="15.0" customHeight="1">
      <c r="A407" s="2"/>
      <c r="B407" s="2" t="s">
        <v>808</v>
      </c>
      <c r="C407" s="2" t="s">
        <v>809</v>
      </c>
      <c r="D407" s="188">
        <f>3600*1.5</f>
        <v>5400</v>
      </c>
      <c r="E407" s="2">
        <v>190.0</v>
      </c>
      <c r="F407" s="1">
        <v>100.0</v>
      </c>
      <c r="G407" s="10">
        <v>8.3061E7</v>
      </c>
      <c r="H407" s="59">
        <v>0.05</v>
      </c>
      <c r="I407" s="2">
        <f t="shared" si="1292"/>
        <v>9.5</v>
      </c>
      <c r="K407" s="94">
        <v>300.0</v>
      </c>
      <c r="L407" s="119">
        <f t="shared" si="987"/>
        <v>5999.5</v>
      </c>
      <c r="M407" s="2">
        <f t="shared" si="1055"/>
        <v>54</v>
      </c>
      <c r="N407" s="12">
        <f t="shared" si="989"/>
        <v>479.96</v>
      </c>
      <c r="O407" s="12">
        <f t="shared" si="990"/>
        <v>599.95</v>
      </c>
      <c r="P407" s="12">
        <f t="shared" si="991"/>
        <v>299.975</v>
      </c>
      <c r="Q407" s="12">
        <f t="shared" si="992"/>
        <v>119.99</v>
      </c>
      <c r="R407" s="12">
        <f t="shared" si="993"/>
        <v>56.7</v>
      </c>
      <c r="S407" s="12">
        <f t="shared" si="994"/>
        <v>59.995</v>
      </c>
      <c r="T407" s="60">
        <f t="shared" si="995"/>
        <v>1613.87</v>
      </c>
      <c r="U407" s="2">
        <f t="shared" si="996"/>
        <v>113.4</v>
      </c>
      <c r="V407" s="42">
        <f t="shared" si="15"/>
        <v>567</v>
      </c>
      <c r="W407" s="2">
        <f t="shared" si="997"/>
        <v>113.4</v>
      </c>
      <c r="X407" s="2">
        <f t="shared" si="998"/>
        <v>907.2</v>
      </c>
      <c r="Y407" s="2">
        <f t="shared" si="999"/>
        <v>1701</v>
      </c>
      <c r="Z407" s="60">
        <f t="shared" si="1000"/>
        <v>9314.37</v>
      </c>
      <c r="AA407" s="11">
        <f t="shared" si="1001"/>
        <v>1862.874</v>
      </c>
      <c r="AB407" s="12">
        <f t="shared" si="1002"/>
        <v>11177.244</v>
      </c>
      <c r="AC407" s="2">
        <f t="shared" si="1049"/>
        <v>11340</v>
      </c>
      <c r="AD407" s="12">
        <f t="shared" si="1050"/>
        <v>-162.756</v>
      </c>
      <c r="AE407" s="12">
        <f t="shared" si="1051"/>
        <v>-1.45613713</v>
      </c>
      <c r="AF407" s="61">
        <v>12450.0</v>
      </c>
      <c r="AG407" s="62">
        <f t="shared" si="1006"/>
        <v>107.5172931</v>
      </c>
      <c r="AH407" s="63">
        <f t="shared" si="1007"/>
        <v>540</v>
      </c>
      <c r="AI407" s="64">
        <v>13990.0</v>
      </c>
      <c r="AJ407" s="65">
        <v>12990.0</v>
      </c>
      <c r="AK407" s="66">
        <f t="shared" si="1008"/>
        <v>116.5180432</v>
      </c>
      <c r="AL407" s="66"/>
      <c r="AM407" s="14">
        <f t="shared" si="1009"/>
        <v>4.15704388</v>
      </c>
      <c r="AN407" s="67">
        <f t="shared" si="1010"/>
        <v>9.000750063</v>
      </c>
      <c r="AO407" s="68">
        <f t="shared" si="1011"/>
        <v>2.165180432</v>
      </c>
      <c r="AP407" s="69">
        <f t="shared" si="1012"/>
        <v>18.12756</v>
      </c>
      <c r="AQ407" s="70">
        <f t="shared" si="1013"/>
        <v>16.5</v>
      </c>
      <c r="AR407" s="71">
        <f t="shared" ref="AR407:AS407" si="1354">AI407/94</f>
        <v>148.8297872</v>
      </c>
      <c r="AS407" s="71">
        <f t="shared" si="1354"/>
        <v>138.1914894</v>
      </c>
      <c r="AT407" s="72">
        <f t="shared" ref="AT407:AU407" si="1355">AI407/24</f>
        <v>582.9166667</v>
      </c>
      <c r="AU407" s="72">
        <f t="shared" si="1355"/>
        <v>541.25</v>
      </c>
      <c r="AV407" s="73">
        <f t="shared" ref="AV407:AW407" si="1356">AI407/125</f>
        <v>111.92</v>
      </c>
      <c r="AW407" s="73">
        <f t="shared" si="1356"/>
        <v>103.92</v>
      </c>
    </row>
    <row r="408" ht="15.75" customHeight="1">
      <c r="A408" s="2"/>
      <c r="B408" s="2" t="s">
        <v>810</v>
      </c>
      <c r="C408" s="2" t="s">
        <v>811</v>
      </c>
      <c r="D408" s="206">
        <v>7200.0</v>
      </c>
      <c r="E408" s="2">
        <v>350.0</v>
      </c>
      <c r="F408" s="1">
        <v>100.0</v>
      </c>
      <c r="G408" s="10">
        <v>8.3061E7</v>
      </c>
      <c r="H408" s="59">
        <v>0.05</v>
      </c>
      <c r="I408" s="2">
        <f t="shared" si="1292"/>
        <v>17.5</v>
      </c>
      <c r="K408" s="94">
        <v>300.0</v>
      </c>
      <c r="L408" s="119">
        <f t="shared" si="987"/>
        <v>7967.5</v>
      </c>
      <c r="M408" s="2">
        <f t="shared" si="1055"/>
        <v>72</v>
      </c>
      <c r="N408" s="12">
        <f t="shared" si="989"/>
        <v>637.4</v>
      </c>
      <c r="O408" s="12">
        <f t="shared" si="990"/>
        <v>796.75</v>
      </c>
      <c r="P408" s="12">
        <f t="shared" si="991"/>
        <v>398.375</v>
      </c>
      <c r="Q408" s="12">
        <f t="shared" si="992"/>
        <v>159.35</v>
      </c>
      <c r="R408" s="12">
        <f t="shared" si="993"/>
        <v>75.6</v>
      </c>
      <c r="S408" s="12">
        <f t="shared" si="994"/>
        <v>79.675</v>
      </c>
      <c r="T408" s="60">
        <f t="shared" si="995"/>
        <v>2143.55</v>
      </c>
      <c r="U408" s="2">
        <f t="shared" si="996"/>
        <v>151.2</v>
      </c>
      <c r="V408" s="42">
        <f t="shared" si="15"/>
        <v>756</v>
      </c>
      <c r="W408" s="2">
        <f t="shared" si="997"/>
        <v>151.2</v>
      </c>
      <c r="X408" s="2">
        <f t="shared" si="998"/>
        <v>1209.6</v>
      </c>
      <c r="Y408" s="2">
        <f t="shared" si="999"/>
        <v>2268</v>
      </c>
      <c r="Z408" s="60">
        <f t="shared" si="1000"/>
        <v>12379.05</v>
      </c>
      <c r="AA408" s="11">
        <f t="shared" si="1001"/>
        <v>2475.81</v>
      </c>
      <c r="AB408" s="12">
        <f t="shared" si="1002"/>
        <v>14854.86</v>
      </c>
      <c r="AC408" s="2">
        <f t="shared" si="1049"/>
        <v>15120</v>
      </c>
      <c r="AD408" s="12">
        <f t="shared" si="1050"/>
        <v>-265.14</v>
      </c>
      <c r="AE408" s="12">
        <f t="shared" si="1051"/>
        <v>-1.784870406</v>
      </c>
      <c r="AF408" s="61">
        <v>15950.0</v>
      </c>
      <c r="AG408" s="62">
        <f t="shared" si="1006"/>
        <v>100.1882648</v>
      </c>
      <c r="AH408" s="63">
        <f t="shared" si="1007"/>
        <v>1040</v>
      </c>
      <c r="AI408" s="64">
        <v>17990.0</v>
      </c>
      <c r="AJ408" s="65">
        <v>16990.0</v>
      </c>
      <c r="AK408" s="66">
        <f t="shared" si="1008"/>
        <v>113.2412928</v>
      </c>
      <c r="AL408" s="66"/>
      <c r="AM408" s="14">
        <f t="shared" si="1009"/>
        <v>6.121247793</v>
      </c>
      <c r="AN408" s="67">
        <f t="shared" si="1010"/>
        <v>13.05302793</v>
      </c>
      <c r="AO408" s="68">
        <f t="shared" si="1011"/>
        <v>2.132412928</v>
      </c>
      <c r="AP408" s="69">
        <f t="shared" si="1012"/>
        <v>21.3514</v>
      </c>
      <c r="AQ408" s="70">
        <f t="shared" si="1013"/>
        <v>18.7</v>
      </c>
      <c r="AR408" s="71">
        <f t="shared" ref="AR408:AS408" si="1357">AI408/94</f>
        <v>191.3829787</v>
      </c>
      <c r="AS408" s="71">
        <f t="shared" si="1357"/>
        <v>180.7446809</v>
      </c>
      <c r="AT408" s="72">
        <f t="shared" ref="AT408:AU408" si="1358">AI408/24</f>
        <v>749.5833333</v>
      </c>
      <c r="AU408" s="72">
        <f t="shared" si="1358"/>
        <v>707.9166667</v>
      </c>
      <c r="AV408" s="73">
        <f t="shared" ref="AV408:AW408" si="1359">AI408/125</f>
        <v>143.92</v>
      </c>
      <c r="AW408" s="73">
        <f t="shared" si="1359"/>
        <v>135.92</v>
      </c>
    </row>
    <row r="409" ht="15.75" customHeight="1">
      <c r="A409" s="2"/>
      <c r="B409" s="2" t="s">
        <v>812</v>
      </c>
      <c r="C409" s="2" t="s">
        <v>813</v>
      </c>
      <c r="D409" s="206">
        <v>9000.0</v>
      </c>
      <c r="E409" s="2">
        <v>190.0</v>
      </c>
      <c r="F409" s="1">
        <v>100.0</v>
      </c>
      <c r="G409" s="10">
        <v>8.3061E7</v>
      </c>
      <c r="H409" s="59">
        <v>0.05</v>
      </c>
      <c r="I409" s="2">
        <f t="shared" si="1292"/>
        <v>9.5</v>
      </c>
      <c r="K409" s="94">
        <v>300.0</v>
      </c>
      <c r="L409" s="119">
        <f t="shared" si="987"/>
        <v>9599.5</v>
      </c>
      <c r="M409" s="2">
        <f t="shared" si="1055"/>
        <v>90</v>
      </c>
      <c r="N409" s="12">
        <f t="shared" si="989"/>
        <v>767.96</v>
      </c>
      <c r="O409" s="12">
        <f t="shared" si="990"/>
        <v>959.95</v>
      </c>
      <c r="P409" s="12">
        <f t="shared" si="991"/>
        <v>479.975</v>
      </c>
      <c r="Q409" s="12">
        <f t="shared" si="992"/>
        <v>191.99</v>
      </c>
      <c r="R409" s="12">
        <f t="shared" si="993"/>
        <v>94.5</v>
      </c>
      <c r="S409" s="12">
        <f t="shared" si="994"/>
        <v>95.995</v>
      </c>
      <c r="T409" s="60">
        <f t="shared" si="995"/>
        <v>2585.87</v>
      </c>
      <c r="U409" s="2">
        <f t="shared" si="996"/>
        <v>189</v>
      </c>
      <c r="V409" s="42">
        <f t="shared" si="15"/>
        <v>945</v>
      </c>
      <c r="W409" s="2">
        <f t="shared" si="997"/>
        <v>189</v>
      </c>
      <c r="X409" s="2">
        <f t="shared" si="998"/>
        <v>1512</v>
      </c>
      <c r="Y409" s="2">
        <f t="shared" si="999"/>
        <v>2835</v>
      </c>
      <c r="Z409" s="60">
        <f t="shared" si="1000"/>
        <v>15020.37</v>
      </c>
      <c r="AA409" s="11">
        <f t="shared" si="1001"/>
        <v>3004.074</v>
      </c>
      <c r="AB409" s="12">
        <f t="shared" si="1002"/>
        <v>18024.444</v>
      </c>
      <c r="AC409" s="2">
        <f t="shared" si="1049"/>
        <v>18900</v>
      </c>
      <c r="AD409" s="12">
        <f t="shared" si="1050"/>
        <v>-875.556</v>
      </c>
      <c r="AE409" s="12">
        <f t="shared" si="1051"/>
        <v>-4.857603375</v>
      </c>
      <c r="AF409" s="61">
        <v>18950.0</v>
      </c>
      <c r="AG409" s="62">
        <f t="shared" si="1006"/>
        <v>97.4061149</v>
      </c>
      <c r="AH409" s="63">
        <f t="shared" si="1007"/>
        <v>1040</v>
      </c>
      <c r="AI409" s="64">
        <v>20990.0</v>
      </c>
      <c r="AJ409" s="65">
        <v>19990.0</v>
      </c>
      <c r="AK409" s="66">
        <f t="shared" si="1008"/>
        <v>108.2400125</v>
      </c>
      <c r="AL409" s="66"/>
      <c r="AM409" s="14">
        <f t="shared" si="1009"/>
        <v>5.202601301</v>
      </c>
      <c r="AN409" s="67">
        <f t="shared" si="1010"/>
        <v>10.8338976</v>
      </c>
      <c r="AO409" s="68">
        <f t="shared" si="1011"/>
        <v>2.082400125</v>
      </c>
      <c r="AP409" s="69">
        <f t="shared" si="1012"/>
        <v>19.65556</v>
      </c>
      <c r="AQ409" s="70">
        <f t="shared" si="1013"/>
        <v>10.9</v>
      </c>
      <c r="AR409" s="71">
        <f t="shared" ref="AR409:AS409" si="1360">AI409/94</f>
        <v>223.2978723</v>
      </c>
      <c r="AS409" s="71">
        <f t="shared" si="1360"/>
        <v>212.6595745</v>
      </c>
      <c r="AT409" s="72">
        <f t="shared" ref="AT409:AU409" si="1361">AI409/24</f>
        <v>874.5833333</v>
      </c>
      <c r="AU409" s="72">
        <f t="shared" si="1361"/>
        <v>832.9166667</v>
      </c>
      <c r="AV409" s="73">
        <f t="shared" ref="AV409:AW409" si="1362">AI409/125</f>
        <v>167.92</v>
      </c>
      <c r="AW409" s="73">
        <f t="shared" si="1362"/>
        <v>159.92</v>
      </c>
    </row>
    <row r="410" ht="15.75" customHeight="1">
      <c r="A410" s="2"/>
      <c r="B410" s="2" t="s">
        <v>814</v>
      </c>
      <c r="C410" s="2" t="s">
        <v>815</v>
      </c>
      <c r="D410" s="206">
        <v>12600.0</v>
      </c>
      <c r="E410" s="2">
        <v>190.0</v>
      </c>
      <c r="F410" s="1">
        <v>100.0</v>
      </c>
      <c r="G410" s="10">
        <v>8.3061E7</v>
      </c>
      <c r="H410" s="59">
        <v>0.05</v>
      </c>
      <c r="I410" s="2">
        <f t="shared" si="1292"/>
        <v>9.5</v>
      </c>
      <c r="K410" s="94">
        <v>300.0</v>
      </c>
      <c r="L410" s="119">
        <f t="shared" si="987"/>
        <v>13199.5</v>
      </c>
      <c r="M410" s="2">
        <f t="shared" si="1055"/>
        <v>126</v>
      </c>
      <c r="N410" s="12">
        <f t="shared" si="989"/>
        <v>1055.96</v>
      </c>
      <c r="O410" s="12">
        <f t="shared" si="990"/>
        <v>1319.95</v>
      </c>
      <c r="P410" s="12">
        <f t="shared" si="991"/>
        <v>659.975</v>
      </c>
      <c r="Q410" s="12">
        <f t="shared" si="992"/>
        <v>263.99</v>
      </c>
      <c r="R410" s="12">
        <f t="shared" si="993"/>
        <v>132.3</v>
      </c>
      <c r="S410" s="12">
        <f t="shared" si="994"/>
        <v>131.995</v>
      </c>
      <c r="T410" s="60">
        <f t="shared" si="995"/>
        <v>3557.87</v>
      </c>
      <c r="U410" s="2">
        <f t="shared" si="996"/>
        <v>264.6</v>
      </c>
      <c r="V410" s="42">
        <f t="shared" si="15"/>
        <v>1323</v>
      </c>
      <c r="W410" s="2">
        <f t="shared" si="997"/>
        <v>264.6</v>
      </c>
      <c r="X410" s="2">
        <f t="shared" si="998"/>
        <v>2116.8</v>
      </c>
      <c r="Y410" s="2">
        <f t="shared" si="999"/>
        <v>3969</v>
      </c>
      <c r="Z410" s="60">
        <f t="shared" si="1000"/>
        <v>20726.37</v>
      </c>
      <c r="AA410" s="11">
        <f t="shared" si="1001"/>
        <v>4145.274</v>
      </c>
      <c r="AB410" s="12">
        <f t="shared" si="1002"/>
        <v>24871.644</v>
      </c>
      <c r="AC410" s="2">
        <f t="shared" si="1049"/>
        <v>26460</v>
      </c>
      <c r="AD410" s="12">
        <f t="shared" si="1050"/>
        <v>-1588.356</v>
      </c>
      <c r="AE410" s="12">
        <f t="shared" si="1051"/>
        <v>-6.386212347</v>
      </c>
      <c r="AF410" s="61">
        <v>23250.0</v>
      </c>
      <c r="AG410" s="62">
        <f t="shared" si="1006"/>
        <v>76.14303572</v>
      </c>
      <c r="AH410" s="63">
        <f t="shared" si="1007"/>
        <v>740</v>
      </c>
      <c r="AI410" s="65">
        <v>26990.0</v>
      </c>
      <c r="AJ410" s="65">
        <v>23990.0</v>
      </c>
      <c r="AK410" s="66">
        <f t="shared" si="1008"/>
        <v>81.74930869</v>
      </c>
      <c r="AL410" s="66"/>
      <c r="AM410" s="14">
        <f t="shared" si="1009"/>
        <v>3.084618591</v>
      </c>
      <c r="AN410" s="67">
        <f t="shared" si="1010"/>
        <v>5.606272965</v>
      </c>
      <c r="AO410" s="68">
        <f t="shared" si="1011"/>
        <v>1.817493087</v>
      </c>
      <c r="AP410" s="69">
        <f t="shared" si="1012"/>
        <v>-8.81644</v>
      </c>
      <c r="AQ410" s="70">
        <f t="shared" si="1013"/>
        <v>-24.7</v>
      </c>
      <c r="AR410" s="71">
        <f t="shared" ref="AR410:AS410" si="1363">AI410/94</f>
        <v>287.1276596</v>
      </c>
      <c r="AS410" s="71">
        <f t="shared" si="1363"/>
        <v>255.212766</v>
      </c>
      <c r="AT410" s="72">
        <f t="shared" ref="AT410:AU410" si="1364">AI410/24</f>
        <v>1124.583333</v>
      </c>
      <c r="AU410" s="72">
        <f t="shared" si="1364"/>
        <v>999.5833333</v>
      </c>
      <c r="AV410" s="73">
        <f t="shared" ref="AV410:AW410" si="1365">AI410/125</f>
        <v>215.92</v>
      </c>
      <c r="AW410" s="73">
        <f t="shared" si="1365"/>
        <v>191.92</v>
      </c>
    </row>
    <row r="411" ht="15.75" customHeight="1">
      <c r="A411" s="2"/>
      <c r="B411" s="2" t="s">
        <v>816</v>
      </c>
      <c r="C411" s="2" t="s">
        <v>817</v>
      </c>
      <c r="D411" s="206">
        <v>15120.0</v>
      </c>
      <c r="E411" s="2">
        <v>190.0</v>
      </c>
      <c r="F411" s="1">
        <v>100.0</v>
      </c>
      <c r="G411" s="10">
        <v>8.3061E7</v>
      </c>
      <c r="H411" s="59">
        <v>0.05</v>
      </c>
      <c r="I411" s="2">
        <f t="shared" si="1292"/>
        <v>9.5</v>
      </c>
      <c r="K411" s="94">
        <v>300.0</v>
      </c>
      <c r="L411" s="119">
        <f t="shared" si="987"/>
        <v>15719.5</v>
      </c>
      <c r="M411" s="2">
        <f t="shared" si="1055"/>
        <v>151.2</v>
      </c>
      <c r="N411" s="12">
        <f t="shared" si="989"/>
        <v>1257.56</v>
      </c>
      <c r="O411" s="12">
        <f t="shared" si="990"/>
        <v>1571.95</v>
      </c>
      <c r="P411" s="12">
        <f t="shared" si="991"/>
        <v>785.975</v>
      </c>
      <c r="Q411" s="12">
        <f t="shared" si="992"/>
        <v>314.39</v>
      </c>
      <c r="R411" s="12">
        <f t="shared" si="993"/>
        <v>158.76</v>
      </c>
      <c r="S411" s="12">
        <f t="shared" si="994"/>
        <v>157.195</v>
      </c>
      <c r="T411" s="60">
        <f t="shared" si="995"/>
        <v>4238.27</v>
      </c>
      <c r="U411" s="2">
        <f t="shared" si="996"/>
        <v>317.52</v>
      </c>
      <c r="V411" s="42">
        <f t="shared" si="15"/>
        <v>1587.6</v>
      </c>
      <c r="W411" s="2">
        <f t="shared" si="997"/>
        <v>317.52</v>
      </c>
      <c r="X411" s="2">
        <f t="shared" si="998"/>
        <v>2540.16</v>
      </c>
      <c r="Y411" s="2">
        <f t="shared" si="999"/>
        <v>4762.8</v>
      </c>
      <c r="Z411" s="60">
        <f t="shared" si="1000"/>
        <v>24720.57</v>
      </c>
      <c r="AA411" s="11">
        <f t="shared" si="1001"/>
        <v>4944.114</v>
      </c>
      <c r="AB411" s="12">
        <f t="shared" si="1002"/>
        <v>29664.684</v>
      </c>
      <c r="AC411" s="2">
        <f t="shared" si="1049"/>
        <v>31752</v>
      </c>
      <c r="AD411" s="12">
        <f t="shared" si="1050"/>
        <v>-2087.316</v>
      </c>
      <c r="AE411" s="12">
        <f t="shared" si="1051"/>
        <v>-7.03636688</v>
      </c>
      <c r="AF411" s="61">
        <v>27690.0</v>
      </c>
      <c r="AG411" s="62">
        <f t="shared" si="1006"/>
        <v>76.15064092</v>
      </c>
      <c r="AH411" s="63">
        <f t="shared" si="1007"/>
        <v>1300</v>
      </c>
      <c r="AI411" s="65">
        <v>29990.0</v>
      </c>
      <c r="AJ411" s="65">
        <v>28990.0</v>
      </c>
      <c r="AK411" s="66">
        <f t="shared" si="1008"/>
        <v>84.42062407</v>
      </c>
      <c r="AL411" s="66"/>
      <c r="AM411" s="14">
        <f t="shared" si="1009"/>
        <v>4.484304933</v>
      </c>
      <c r="AN411" s="67">
        <f t="shared" si="1010"/>
        <v>8.269983142</v>
      </c>
      <c r="AO411" s="68">
        <f t="shared" si="1011"/>
        <v>1.844206241</v>
      </c>
      <c r="AP411" s="69">
        <f t="shared" si="1012"/>
        <v>-6.74684</v>
      </c>
      <c r="AQ411" s="70">
        <f t="shared" si="1013"/>
        <v>-27.62</v>
      </c>
      <c r="AR411" s="71">
        <f t="shared" ref="AR411:AS411" si="1366">AI411/94</f>
        <v>319.0425532</v>
      </c>
      <c r="AS411" s="71">
        <f t="shared" si="1366"/>
        <v>308.4042553</v>
      </c>
      <c r="AT411" s="72">
        <f t="shared" ref="AT411:AU411" si="1367">AI411/24</f>
        <v>1249.583333</v>
      </c>
      <c r="AU411" s="72">
        <f t="shared" si="1367"/>
        <v>1207.916667</v>
      </c>
      <c r="AV411" s="73">
        <f t="shared" ref="AV411:AW411" si="1368">AI411/125</f>
        <v>239.92</v>
      </c>
      <c r="AW411" s="73">
        <f t="shared" si="1368"/>
        <v>231.92</v>
      </c>
    </row>
    <row r="412" ht="15.75" customHeight="1">
      <c r="A412" s="2"/>
      <c r="B412" s="2" t="s">
        <v>818</v>
      </c>
      <c r="C412" s="2" t="s">
        <v>819</v>
      </c>
      <c r="D412" s="206">
        <v>19800.0</v>
      </c>
      <c r="E412" s="2">
        <v>190.0</v>
      </c>
      <c r="F412" s="1">
        <v>100.0</v>
      </c>
      <c r="G412" s="10">
        <v>8.3061E7</v>
      </c>
      <c r="H412" s="59">
        <v>0.05</v>
      </c>
      <c r="I412" s="2">
        <f t="shared" si="1292"/>
        <v>9.5</v>
      </c>
      <c r="K412" s="94">
        <v>300.0</v>
      </c>
      <c r="L412" s="119">
        <f t="shared" si="987"/>
        <v>20399.5</v>
      </c>
      <c r="M412" s="2">
        <f t="shared" si="1055"/>
        <v>198</v>
      </c>
      <c r="N412" s="12">
        <f t="shared" si="989"/>
        <v>1631.96</v>
      </c>
      <c r="O412" s="12">
        <f t="shared" si="990"/>
        <v>2039.95</v>
      </c>
      <c r="P412" s="12">
        <f t="shared" si="991"/>
        <v>1019.975</v>
      </c>
      <c r="Q412" s="12">
        <f t="shared" si="992"/>
        <v>407.99</v>
      </c>
      <c r="R412" s="12">
        <f t="shared" si="993"/>
        <v>207.9</v>
      </c>
      <c r="S412" s="12">
        <f t="shared" si="994"/>
        <v>203.995</v>
      </c>
      <c r="T412" s="60">
        <f t="shared" si="995"/>
        <v>5501.87</v>
      </c>
      <c r="U412" s="2">
        <f t="shared" si="996"/>
        <v>415.8</v>
      </c>
      <c r="V412" s="42">
        <f t="shared" si="15"/>
        <v>2079</v>
      </c>
      <c r="W412" s="2">
        <f t="shared" si="997"/>
        <v>415.8</v>
      </c>
      <c r="X412" s="2">
        <f t="shared" si="998"/>
        <v>3326.4</v>
      </c>
      <c r="Y412" s="2">
        <f t="shared" si="999"/>
        <v>6237</v>
      </c>
      <c r="Z412" s="60">
        <f t="shared" si="1000"/>
        <v>32138.37</v>
      </c>
      <c r="AA412" s="11">
        <f t="shared" si="1001"/>
        <v>6427.674</v>
      </c>
      <c r="AB412" s="12">
        <f t="shared" si="1002"/>
        <v>38566.044</v>
      </c>
      <c r="AC412" s="2">
        <f t="shared" si="1049"/>
        <v>41580</v>
      </c>
      <c r="AD412" s="12">
        <f t="shared" si="1050"/>
        <v>-3013.956</v>
      </c>
      <c r="AE412" s="12">
        <f t="shared" si="1051"/>
        <v>-7.815050981</v>
      </c>
      <c r="AF412" s="61">
        <v>32950.0</v>
      </c>
      <c r="AG412" s="62">
        <f t="shared" si="1006"/>
        <v>61.52356675</v>
      </c>
      <c r="AH412" s="63">
        <f t="shared" si="1007"/>
        <v>1040</v>
      </c>
      <c r="AI412" s="65">
        <v>35990.0</v>
      </c>
      <c r="AJ412" s="65">
        <v>33990.0</v>
      </c>
      <c r="AK412" s="66">
        <f t="shared" si="1008"/>
        <v>66.62173092</v>
      </c>
      <c r="AL412" s="66"/>
      <c r="AM412" s="14">
        <f t="shared" si="1009"/>
        <v>3.059723448</v>
      </c>
      <c r="AN412" s="67">
        <f t="shared" si="1010"/>
        <v>5.098164171</v>
      </c>
      <c r="AO412" s="68">
        <f t="shared" si="1011"/>
        <v>1.666217309</v>
      </c>
      <c r="AP412" s="69">
        <f t="shared" si="1012"/>
        <v>-45.76044</v>
      </c>
      <c r="AQ412" s="70">
        <f t="shared" si="1013"/>
        <v>-75.9</v>
      </c>
      <c r="AR412" s="71">
        <f t="shared" ref="AR412:AS412" si="1369">AI412/94</f>
        <v>382.8723404</v>
      </c>
      <c r="AS412" s="71">
        <f t="shared" si="1369"/>
        <v>361.5957447</v>
      </c>
      <c r="AT412" s="72">
        <f t="shared" ref="AT412:AU412" si="1370">AI412/24</f>
        <v>1499.583333</v>
      </c>
      <c r="AU412" s="72">
        <f t="shared" si="1370"/>
        <v>1416.25</v>
      </c>
      <c r="AV412" s="73">
        <f t="shared" ref="AV412:AW412" si="1371">AI412/125</f>
        <v>287.92</v>
      </c>
      <c r="AW412" s="73">
        <f t="shared" si="1371"/>
        <v>271.92</v>
      </c>
    </row>
    <row r="413" ht="15.75" customHeight="1">
      <c r="A413" s="2"/>
      <c r="B413" s="2" t="s">
        <v>820</v>
      </c>
      <c r="C413" s="2" t="s">
        <v>821</v>
      </c>
      <c r="D413" s="206">
        <v>25200.0</v>
      </c>
      <c r="E413" s="2">
        <v>350.0</v>
      </c>
      <c r="F413" s="1">
        <v>100.0</v>
      </c>
      <c r="G413" s="10">
        <v>8.3061E7</v>
      </c>
      <c r="H413" s="59">
        <v>0.05</v>
      </c>
      <c r="I413" s="2">
        <f t="shared" si="1292"/>
        <v>17.5</v>
      </c>
      <c r="K413" s="94">
        <v>300.0</v>
      </c>
      <c r="L413" s="119">
        <f t="shared" si="987"/>
        <v>25967.5</v>
      </c>
      <c r="M413" s="2">
        <f t="shared" si="1055"/>
        <v>252</v>
      </c>
      <c r="N413" s="12">
        <f t="shared" si="989"/>
        <v>2077.4</v>
      </c>
      <c r="O413" s="12">
        <f t="shared" si="990"/>
        <v>2596.75</v>
      </c>
      <c r="P413" s="12">
        <f t="shared" si="991"/>
        <v>1298.375</v>
      </c>
      <c r="Q413" s="12">
        <f t="shared" si="992"/>
        <v>519.35</v>
      </c>
      <c r="R413" s="12">
        <f t="shared" si="993"/>
        <v>264.6</v>
      </c>
      <c r="S413" s="12">
        <f t="shared" si="994"/>
        <v>259.675</v>
      </c>
      <c r="T413" s="60">
        <f t="shared" si="995"/>
        <v>7003.55</v>
      </c>
      <c r="U413" s="2">
        <f t="shared" si="996"/>
        <v>529.2</v>
      </c>
      <c r="V413" s="42">
        <f t="shared" si="15"/>
        <v>2646</v>
      </c>
      <c r="W413" s="2">
        <f t="shared" si="997"/>
        <v>529.2</v>
      </c>
      <c r="X413" s="2">
        <f t="shared" si="998"/>
        <v>4233.6</v>
      </c>
      <c r="Y413" s="2">
        <f t="shared" si="999"/>
        <v>7938</v>
      </c>
      <c r="Z413" s="60">
        <f t="shared" si="1000"/>
        <v>40909.05</v>
      </c>
      <c r="AA413" s="11">
        <f t="shared" si="1001"/>
        <v>8181.81</v>
      </c>
      <c r="AB413" s="12">
        <f t="shared" si="1002"/>
        <v>49090.86</v>
      </c>
      <c r="AC413" s="2">
        <f t="shared" si="1049"/>
        <v>52920</v>
      </c>
      <c r="AD413" s="12">
        <f t="shared" si="1050"/>
        <v>-3829.14</v>
      </c>
      <c r="AE413" s="12">
        <f t="shared" si="1051"/>
        <v>-7.8001078</v>
      </c>
      <c r="AF413" s="61">
        <v>37950.0</v>
      </c>
      <c r="AG413" s="62">
        <f t="shared" si="1006"/>
        <v>46.14421873</v>
      </c>
      <c r="AH413" s="63">
        <f t="shared" si="1007"/>
        <v>1540</v>
      </c>
      <c r="AI413" s="65">
        <v>41990.0</v>
      </c>
      <c r="AJ413" s="65">
        <v>39490.0</v>
      </c>
      <c r="AK413" s="66">
        <f t="shared" si="1008"/>
        <v>52.07470877</v>
      </c>
      <c r="AL413" s="66"/>
      <c r="AM413" s="14">
        <f t="shared" si="1009"/>
        <v>3.899721448</v>
      </c>
      <c r="AN413" s="67">
        <f t="shared" si="1010"/>
        <v>5.930490036</v>
      </c>
      <c r="AO413" s="68">
        <f t="shared" si="1011"/>
        <v>1.520747088</v>
      </c>
      <c r="AP413" s="69">
        <f t="shared" si="1012"/>
        <v>-96.0086</v>
      </c>
      <c r="AQ413" s="70">
        <f t="shared" si="1013"/>
        <v>-134.3</v>
      </c>
      <c r="AR413" s="71">
        <f t="shared" ref="AR413:AS413" si="1372">AI413/94</f>
        <v>446.7021277</v>
      </c>
      <c r="AS413" s="71">
        <f t="shared" si="1372"/>
        <v>420.106383</v>
      </c>
      <c r="AT413" s="72">
        <f t="shared" ref="AT413:AU413" si="1373">AI413/24</f>
        <v>1749.583333</v>
      </c>
      <c r="AU413" s="72">
        <f t="shared" si="1373"/>
        <v>1645.416667</v>
      </c>
      <c r="AV413" s="73">
        <f t="shared" ref="AV413:AW413" si="1374">AI413/125</f>
        <v>335.92</v>
      </c>
      <c r="AW413" s="73">
        <f t="shared" si="1374"/>
        <v>315.92</v>
      </c>
    </row>
    <row r="414" ht="15.75" customHeight="1">
      <c r="A414" s="77"/>
      <c r="B414" s="77" t="s">
        <v>822</v>
      </c>
      <c r="C414" s="77" t="s">
        <v>823</v>
      </c>
      <c r="D414" s="207">
        <v>36550.0</v>
      </c>
      <c r="E414" s="77">
        <v>350.0</v>
      </c>
      <c r="F414" s="80">
        <v>100.0</v>
      </c>
      <c r="G414" s="78">
        <v>8.3061E7</v>
      </c>
      <c r="H414" s="81">
        <v>0.05</v>
      </c>
      <c r="I414" s="77">
        <f t="shared" si="1292"/>
        <v>17.5</v>
      </c>
      <c r="J414" s="79"/>
      <c r="K414" s="144">
        <v>300.0</v>
      </c>
      <c r="L414" s="147">
        <f t="shared" si="987"/>
        <v>37317.5</v>
      </c>
      <c r="M414" s="77">
        <f t="shared" si="1055"/>
        <v>365.5</v>
      </c>
      <c r="N414" s="83">
        <f t="shared" si="989"/>
        <v>2985.4</v>
      </c>
      <c r="O414" s="83">
        <f t="shared" si="990"/>
        <v>3731.75</v>
      </c>
      <c r="P414" s="83">
        <f t="shared" si="991"/>
        <v>1865.875</v>
      </c>
      <c r="Q414" s="83">
        <f t="shared" si="992"/>
        <v>746.35</v>
      </c>
      <c r="R414" s="83">
        <f t="shared" si="993"/>
        <v>383.775</v>
      </c>
      <c r="S414" s="83">
        <f t="shared" si="994"/>
        <v>373.175</v>
      </c>
      <c r="T414" s="84">
        <f t="shared" si="995"/>
        <v>10068.05</v>
      </c>
      <c r="U414" s="77">
        <f t="shared" si="996"/>
        <v>767.55</v>
      </c>
      <c r="V414" s="42">
        <f t="shared" si="15"/>
        <v>3837.75</v>
      </c>
      <c r="W414" s="77">
        <f t="shared" si="997"/>
        <v>767.55</v>
      </c>
      <c r="X414" s="77">
        <f t="shared" si="998"/>
        <v>6140.4</v>
      </c>
      <c r="Y414" s="77">
        <f t="shared" si="999"/>
        <v>11513.25</v>
      </c>
      <c r="Z414" s="84">
        <f t="shared" si="1000"/>
        <v>58898.8</v>
      </c>
      <c r="AA414" s="85">
        <f t="shared" si="1001"/>
        <v>11779.76</v>
      </c>
      <c r="AB414" s="83">
        <f t="shared" si="1002"/>
        <v>70678.56</v>
      </c>
      <c r="AC414" s="77">
        <f t="shared" si="1049"/>
        <v>76755</v>
      </c>
      <c r="AD414" s="83">
        <f t="shared" si="1050"/>
        <v>-6076.44</v>
      </c>
      <c r="AE414" s="83">
        <f t="shared" si="1051"/>
        <v>-8.597288909</v>
      </c>
      <c r="AF414" s="79">
        <v>42950.0</v>
      </c>
      <c r="AG414" s="86">
        <f t="shared" si="1006"/>
        <v>15.09345481</v>
      </c>
      <c r="AH414" s="63">
        <f t="shared" si="1007"/>
        <v>1040</v>
      </c>
      <c r="AI414" s="90">
        <v>46990.0</v>
      </c>
      <c r="AJ414" s="90">
        <v>43990.0</v>
      </c>
      <c r="AK414" s="14">
        <f t="shared" si="1008"/>
        <v>17.88035104</v>
      </c>
      <c r="AL414" s="14"/>
      <c r="AM414" s="14">
        <f t="shared" si="1009"/>
        <v>2.364173676</v>
      </c>
      <c r="AN414" s="14">
        <f t="shared" si="1010"/>
        <v>2.786896228</v>
      </c>
      <c r="AO414" s="87">
        <f t="shared" si="1011"/>
        <v>1.17880351</v>
      </c>
      <c r="AP414" s="14">
        <f t="shared" si="1012"/>
        <v>-266.8856</v>
      </c>
      <c r="AQ414" s="14">
        <f t="shared" si="1013"/>
        <v>-327.65</v>
      </c>
      <c r="AR414" s="88">
        <f t="shared" ref="AR414:AS414" si="1375">AI414/94</f>
        <v>499.893617</v>
      </c>
      <c r="AS414" s="88">
        <f t="shared" si="1375"/>
        <v>467.9787234</v>
      </c>
      <c r="AT414" s="89">
        <f t="shared" ref="AT414:AU414" si="1376">AI414/24</f>
        <v>1957.916667</v>
      </c>
      <c r="AU414" s="89">
        <f t="shared" si="1376"/>
        <v>1832.916667</v>
      </c>
      <c r="AV414" s="89">
        <f t="shared" ref="AV414:AW414" si="1377">AI414/125</f>
        <v>375.92</v>
      </c>
      <c r="AW414" s="89">
        <f t="shared" si="1377"/>
        <v>351.92</v>
      </c>
      <c r="AX414" s="79"/>
      <c r="AY414" s="79"/>
    </row>
    <row r="415" ht="15.75" customHeight="1">
      <c r="A415" s="2"/>
      <c r="B415" s="2" t="s">
        <v>824</v>
      </c>
      <c r="C415" s="2" t="s">
        <v>825</v>
      </c>
      <c r="D415" s="206">
        <v>5400.0</v>
      </c>
      <c r="E415" s="2">
        <v>190.0</v>
      </c>
      <c r="F415" s="1">
        <v>100.0</v>
      </c>
      <c r="G415" s="10">
        <v>8.3061E7</v>
      </c>
      <c r="H415" s="59">
        <v>0.05</v>
      </c>
      <c r="I415" s="2">
        <f t="shared" si="1292"/>
        <v>9.5</v>
      </c>
      <c r="K415" s="94">
        <v>300.0</v>
      </c>
      <c r="L415" s="119">
        <f t="shared" si="987"/>
        <v>5999.5</v>
      </c>
      <c r="M415" s="2">
        <f t="shared" si="1055"/>
        <v>54</v>
      </c>
      <c r="N415" s="12">
        <f t="shared" si="989"/>
        <v>479.96</v>
      </c>
      <c r="O415" s="12">
        <f t="shared" si="990"/>
        <v>599.95</v>
      </c>
      <c r="P415" s="12">
        <f t="shared" si="991"/>
        <v>299.975</v>
      </c>
      <c r="Q415" s="12">
        <f t="shared" si="992"/>
        <v>119.99</v>
      </c>
      <c r="R415" s="12">
        <f t="shared" si="993"/>
        <v>56.7</v>
      </c>
      <c r="S415" s="12">
        <f t="shared" si="994"/>
        <v>59.995</v>
      </c>
      <c r="T415" s="60">
        <f t="shared" si="995"/>
        <v>1613.87</v>
      </c>
      <c r="U415" s="2">
        <f t="shared" si="996"/>
        <v>113.4</v>
      </c>
      <c r="V415" s="42">
        <f t="shared" si="15"/>
        <v>567</v>
      </c>
      <c r="W415" s="2">
        <f t="shared" si="997"/>
        <v>113.4</v>
      </c>
      <c r="X415" s="2">
        <f t="shared" si="998"/>
        <v>907.2</v>
      </c>
      <c r="Y415" s="2">
        <f t="shared" si="999"/>
        <v>1701</v>
      </c>
      <c r="Z415" s="60">
        <f t="shared" si="1000"/>
        <v>9314.37</v>
      </c>
      <c r="AA415" s="11">
        <f t="shared" si="1001"/>
        <v>1862.874</v>
      </c>
      <c r="AB415" s="12">
        <f t="shared" si="1002"/>
        <v>11177.244</v>
      </c>
      <c r="AC415" s="2">
        <f t="shared" si="1049"/>
        <v>11340</v>
      </c>
      <c r="AD415" s="12">
        <f t="shared" si="1050"/>
        <v>-162.756</v>
      </c>
      <c r="AE415" s="12">
        <f t="shared" si="1051"/>
        <v>-1.45613713</v>
      </c>
      <c r="AF415" s="61">
        <v>12450.0</v>
      </c>
      <c r="AG415" s="62">
        <f t="shared" si="1006"/>
        <v>107.5172931</v>
      </c>
      <c r="AH415" s="63">
        <f t="shared" si="1007"/>
        <v>540</v>
      </c>
      <c r="AI415" s="64">
        <v>13990.0</v>
      </c>
      <c r="AJ415" s="65">
        <v>12990.0</v>
      </c>
      <c r="AK415" s="66">
        <f t="shared" si="1008"/>
        <v>116.5180432</v>
      </c>
      <c r="AL415" s="66"/>
      <c r="AM415" s="14">
        <f t="shared" si="1009"/>
        <v>4.15704388</v>
      </c>
      <c r="AN415" s="67">
        <f t="shared" si="1010"/>
        <v>9.000750063</v>
      </c>
      <c r="AO415" s="68">
        <f t="shared" si="1011"/>
        <v>2.165180432</v>
      </c>
      <c r="AP415" s="69">
        <f t="shared" si="1012"/>
        <v>18.12756</v>
      </c>
      <c r="AQ415" s="70">
        <f t="shared" si="1013"/>
        <v>16.5</v>
      </c>
      <c r="AR415" s="71">
        <f t="shared" ref="AR415:AS415" si="1378">AI415/94</f>
        <v>148.8297872</v>
      </c>
      <c r="AS415" s="71">
        <f t="shared" si="1378"/>
        <v>138.1914894</v>
      </c>
      <c r="AT415" s="72">
        <f t="shared" ref="AT415:AU415" si="1379">AI415/24</f>
        <v>582.9166667</v>
      </c>
      <c r="AU415" s="72">
        <f t="shared" si="1379"/>
        <v>541.25</v>
      </c>
      <c r="AV415" s="73">
        <f t="shared" ref="AV415:AW415" si="1380">AI415/125</f>
        <v>111.92</v>
      </c>
      <c r="AW415" s="73">
        <f t="shared" si="1380"/>
        <v>103.92</v>
      </c>
    </row>
    <row r="416" ht="15.75" customHeight="1">
      <c r="A416" s="2"/>
      <c r="B416" s="2" t="s">
        <v>826</v>
      </c>
      <c r="C416" s="2" t="s">
        <v>827</v>
      </c>
      <c r="D416" s="206">
        <v>7200.0</v>
      </c>
      <c r="E416" s="2">
        <v>190.0</v>
      </c>
      <c r="F416" s="1">
        <v>100.0</v>
      </c>
      <c r="G416" s="10">
        <v>8.3061E7</v>
      </c>
      <c r="H416" s="59">
        <v>0.05</v>
      </c>
      <c r="I416" s="2">
        <f t="shared" si="1292"/>
        <v>9.5</v>
      </c>
      <c r="K416" s="94">
        <v>300.0</v>
      </c>
      <c r="L416" s="119">
        <f t="shared" si="987"/>
        <v>7799.5</v>
      </c>
      <c r="M416" s="2">
        <f t="shared" si="1055"/>
        <v>72</v>
      </c>
      <c r="N416" s="12">
        <f t="shared" si="989"/>
        <v>623.96</v>
      </c>
      <c r="O416" s="12">
        <f t="shared" si="990"/>
        <v>779.95</v>
      </c>
      <c r="P416" s="12">
        <f t="shared" si="991"/>
        <v>389.975</v>
      </c>
      <c r="Q416" s="12">
        <f t="shared" si="992"/>
        <v>155.99</v>
      </c>
      <c r="R416" s="12">
        <f t="shared" si="993"/>
        <v>75.6</v>
      </c>
      <c r="S416" s="12">
        <f t="shared" si="994"/>
        <v>77.995</v>
      </c>
      <c r="T416" s="60">
        <f t="shared" si="995"/>
        <v>2099.87</v>
      </c>
      <c r="U416" s="2">
        <f t="shared" si="996"/>
        <v>151.2</v>
      </c>
      <c r="V416" s="42">
        <f t="shared" si="15"/>
        <v>756</v>
      </c>
      <c r="W416" s="2">
        <f t="shared" si="997"/>
        <v>151.2</v>
      </c>
      <c r="X416" s="2">
        <f t="shared" si="998"/>
        <v>1209.6</v>
      </c>
      <c r="Y416" s="2">
        <f t="shared" si="999"/>
        <v>2268</v>
      </c>
      <c r="Z416" s="60">
        <f t="shared" si="1000"/>
        <v>12167.37</v>
      </c>
      <c r="AA416" s="11">
        <f t="shared" si="1001"/>
        <v>2433.474</v>
      </c>
      <c r="AB416" s="12">
        <f t="shared" si="1002"/>
        <v>14600.844</v>
      </c>
      <c r="AC416" s="2">
        <f t="shared" si="1049"/>
        <v>15120</v>
      </c>
      <c r="AD416" s="12">
        <f t="shared" si="1050"/>
        <v>-519.156</v>
      </c>
      <c r="AE416" s="12">
        <f t="shared" si="1051"/>
        <v>-3.555657467</v>
      </c>
      <c r="AF416" s="61">
        <v>15950.0</v>
      </c>
      <c r="AG416" s="62">
        <f t="shared" si="1006"/>
        <v>104.5002885</v>
      </c>
      <c r="AH416" s="63">
        <f t="shared" si="1007"/>
        <v>540</v>
      </c>
      <c r="AI416" s="64">
        <v>17990.0</v>
      </c>
      <c r="AJ416" s="65">
        <v>16490.0</v>
      </c>
      <c r="AK416" s="66">
        <f t="shared" si="1008"/>
        <v>111.4238092</v>
      </c>
      <c r="AL416" s="66"/>
      <c r="AM416" s="14">
        <f t="shared" si="1009"/>
        <v>3.274711947</v>
      </c>
      <c r="AN416" s="67">
        <f t="shared" si="1010"/>
        <v>6.923520739</v>
      </c>
      <c r="AO416" s="68">
        <f t="shared" si="1011"/>
        <v>2.114238092</v>
      </c>
      <c r="AP416" s="69">
        <f t="shared" si="1012"/>
        <v>18.89156</v>
      </c>
      <c r="AQ416" s="70">
        <f t="shared" si="1013"/>
        <v>13.7</v>
      </c>
      <c r="AR416" s="71">
        <f t="shared" ref="AR416:AS416" si="1381">AI416/94</f>
        <v>191.3829787</v>
      </c>
      <c r="AS416" s="71">
        <f t="shared" si="1381"/>
        <v>175.4255319</v>
      </c>
      <c r="AT416" s="72">
        <f t="shared" ref="AT416:AU416" si="1382">AI416/24</f>
        <v>749.5833333</v>
      </c>
      <c r="AU416" s="72">
        <f t="shared" si="1382"/>
        <v>687.0833333</v>
      </c>
      <c r="AV416" s="73">
        <f t="shared" ref="AV416:AW416" si="1383">AI416/125</f>
        <v>143.92</v>
      </c>
      <c r="AW416" s="73">
        <f t="shared" si="1383"/>
        <v>131.92</v>
      </c>
    </row>
    <row r="417" ht="15.75" customHeight="1">
      <c r="A417" s="2"/>
      <c r="B417" s="2" t="s">
        <v>828</v>
      </c>
      <c r="C417" s="2" t="s">
        <v>829</v>
      </c>
      <c r="D417" s="206">
        <v>9000.0</v>
      </c>
      <c r="E417" s="2">
        <v>190.0</v>
      </c>
      <c r="F417" s="1">
        <v>100.0</v>
      </c>
      <c r="G417" s="10">
        <v>8.3061E7</v>
      </c>
      <c r="H417" s="59">
        <v>0.05</v>
      </c>
      <c r="I417" s="2">
        <f t="shared" si="1292"/>
        <v>9.5</v>
      </c>
      <c r="K417" s="94">
        <v>300.0</v>
      </c>
      <c r="L417" s="119">
        <f t="shared" si="987"/>
        <v>9599.5</v>
      </c>
      <c r="M417" s="2">
        <f t="shared" si="1055"/>
        <v>90</v>
      </c>
      <c r="N417" s="12">
        <f t="shared" si="989"/>
        <v>767.96</v>
      </c>
      <c r="O417" s="12">
        <f t="shared" si="990"/>
        <v>959.95</v>
      </c>
      <c r="P417" s="12">
        <f t="shared" si="991"/>
        <v>479.975</v>
      </c>
      <c r="Q417" s="12">
        <f t="shared" si="992"/>
        <v>191.99</v>
      </c>
      <c r="R417" s="12">
        <f t="shared" si="993"/>
        <v>94.5</v>
      </c>
      <c r="S417" s="12">
        <f t="shared" si="994"/>
        <v>95.995</v>
      </c>
      <c r="T417" s="60">
        <f t="shared" si="995"/>
        <v>2585.87</v>
      </c>
      <c r="U417" s="2">
        <f t="shared" si="996"/>
        <v>189</v>
      </c>
      <c r="V417" s="42">
        <f t="shared" si="15"/>
        <v>945</v>
      </c>
      <c r="W417" s="2">
        <f t="shared" si="997"/>
        <v>189</v>
      </c>
      <c r="X417" s="2">
        <f t="shared" si="998"/>
        <v>1512</v>
      </c>
      <c r="Y417" s="2">
        <f t="shared" si="999"/>
        <v>2835</v>
      </c>
      <c r="Z417" s="60">
        <f t="shared" si="1000"/>
        <v>15020.37</v>
      </c>
      <c r="AA417" s="11">
        <f t="shared" si="1001"/>
        <v>3004.074</v>
      </c>
      <c r="AB417" s="12">
        <f t="shared" si="1002"/>
        <v>18024.444</v>
      </c>
      <c r="AC417" s="2">
        <f t="shared" si="1049"/>
        <v>18900</v>
      </c>
      <c r="AD417" s="12">
        <f t="shared" si="1050"/>
        <v>-875.556</v>
      </c>
      <c r="AE417" s="12">
        <f t="shared" si="1051"/>
        <v>-4.857603375</v>
      </c>
      <c r="AF417" s="61">
        <v>18950.0</v>
      </c>
      <c r="AG417" s="62">
        <f t="shared" si="1006"/>
        <v>97.4061149</v>
      </c>
      <c r="AH417" s="63">
        <f t="shared" si="1007"/>
        <v>1040</v>
      </c>
      <c r="AI417" s="65">
        <v>21990.0</v>
      </c>
      <c r="AJ417" s="65">
        <v>19990.0</v>
      </c>
      <c r="AK417" s="66">
        <f t="shared" si="1008"/>
        <v>108.2400125</v>
      </c>
      <c r="AL417" s="66"/>
      <c r="AM417" s="14">
        <f t="shared" si="1009"/>
        <v>5.202601301</v>
      </c>
      <c r="AN417" s="67">
        <f t="shared" si="1010"/>
        <v>10.8338976</v>
      </c>
      <c r="AO417" s="68">
        <f t="shared" si="1011"/>
        <v>2.082400125</v>
      </c>
      <c r="AP417" s="69">
        <f t="shared" si="1012"/>
        <v>19.65556</v>
      </c>
      <c r="AQ417" s="70">
        <f t="shared" si="1013"/>
        <v>10.9</v>
      </c>
      <c r="AR417" s="71">
        <f t="shared" ref="AR417:AS417" si="1384">AI417/94</f>
        <v>233.9361702</v>
      </c>
      <c r="AS417" s="71">
        <f t="shared" si="1384"/>
        <v>212.6595745</v>
      </c>
      <c r="AT417" s="72">
        <f t="shared" ref="AT417:AU417" si="1385">AI417/24</f>
        <v>916.25</v>
      </c>
      <c r="AU417" s="72">
        <f t="shared" si="1385"/>
        <v>832.9166667</v>
      </c>
      <c r="AV417" s="73">
        <f t="shared" ref="AV417:AW417" si="1386">AI417/125</f>
        <v>175.92</v>
      </c>
      <c r="AW417" s="73">
        <f t="shared" si="1386"/>
        <v>159.92</v>
      </c>
    </row>
    <row r="418" ht="15.75" customHeight="1">
      <c r="A418" s="2"/>
      <c r="B418" s="2" t="s">
        <v>830</v>
      </c>
      <c r="C418" s="2" t="s">
        <v>831</v>
      </c>
      <c r="D418" s="206">
        <v>12600.0</v>
      </c>
      <c r="E418" s="2">
        <v>190.0</v>
      </c>
      <c r="F418" s="1">
        <v>100.0</v>
      </c>
      <c r="G418" s="10">
        <v>8.3061E7</v>
      </c>
      <c r="H418" s="59">
        <v>0.05</v>
      </c>
      <c r="I418" s="2">
        <f t="shared" si="1292"/>
        <v>9.5</v>
      </c>
      <c r="K418" s="94">
        <v>300.0</v>
      </c>
      <c r="L418" s="119">
        <f t="shared" si="987"/>
        <v>13199.5</v>
      </c>
      <c r="M418" s="2">
        <f t="shared" si="1055"/>
        <v>126</v>
      </c>
      <c r="N418" s="12">
        <f t="shared" si="989"/>
        <v>1055.96</v>
      </c>
      <c r="O418" s="12">
        <f t="shared" si="990"/>
        <v>1319.95</v>
      </c>
      <c r="P418" s="12">
        <f t="shared" si="991"/>
        <v>659.975</v>
      </c>
      <c r="Q418" s="12">
        <f t="shared" si="992"/>
        <v>263.99</v>
      </c>
      <c r="R418" s="12">
        <f t="shared" si="993"/>
        <v>132.3</v>
      </c>
      <c r="S418" s="12">
        <f t="shared" si="994"/>
        <v>131.995</v>
      </c>
      <c r="T418" s="60">
        <f t="shared" si="995"/>
        <v>3557.87</v>
      </c>
      <c r="U418" s="2">
        <f t="shared" si="996"/>
        <v>264.6</v>
      </c>
      <c r="V418" s="42">
        <f t="shared" si="15"/>
        <v>1323</v>
      </c>
      <c r="W418" s="2">
        <f t="shared" si="997"/>
        <v>264.6</v>
      </c>
      <c r="X418" s="2">
        <f t="shared" si="998"/>
        <v>2116.8</v>
      </c>
      <c r="Y418" s="2">
        <f t="shared" si="999"/>
        <v>3969</v>
      </c>
      <c r="Z418" s="60">
        <f t="shared" si="1000"/>
        <v>20726.37</v>
      </c>
      <c r="AA418" s="11">
        <f t="shared" si="1001"/>
        <v>4145.274</v>
      </c>
      <c r="AB418" s="12">
        <f t="shared" si="1002"/>
        <v>24871.644</v>
      </c>
      <c r="AC418" s="2">
        <f t="shared" si="1049"/>
        <v>26460</v>
      </c>
      <c r="AD418" s="12">
        <f t="shared" si="1050"/>
        <v>-1588.356</v>
      </c>
      <c r="AE418" s="12">
        <f t="shared" si="1051"/>
        <v>-6.386212347</v>
      </c>
      <c r="AF418" s="61">
        <v>23250.0</v>
      </c>
      <c r="AG418" s="62">
        <f t="shared" si="1006"/>
        <v>76.14303572</v>
      </c>
      <c r="AH418" s="63">
        <f t="shared" si="1007"/>
        <v>1240</v>
      </c>
      <c r="AI418" s="65">
        <v>25990.0</v>
      </c>
      <c r="AJ418" s="65">
        <v>24490.0</v>
      </c>
      <c r="AK418" s="66">
        <f t="shared" si="1008"/>
        <v>85.53733096</v>
      </c>
      <c r="AL418" s="66"/>
      <c r="AM418" s="14">
        <f t="shared" si="1009"/>
        <v>5.063291139</v>
      </c>
      <c r="AN418" s="67">
        <f t="shared" si="1010"/>
        <v>9.394295238</v>
      </c>
      <c r="AO418" s="68">
        <f t="shared" si="1011"/>
        <v>1.85537331</v>
      </c>
      <c r="AP418" s="69">
        <f t="shared" si="1012"/>
        <v>-3.81644</v>
      </c>
      <c r="AQ418" s="70">
        <f t="shared" si="1013"/>
        <v>-19.7</v>
      </c>
      <c r="AR418" s="71">
        <f t="shared" ref="AR418:AS418" si="1387">AI418/94</f>
        <v>276.4893617</v>
      </c>
      <c r="AS418" s="71">
        <f t="shared" si="1387"/>
        <v>260.5319149</v>
      </c>
      <c r="AT418" s="72">
        <f t="shared" ref="AT418:AU418" si="1388">AI418/24</f>
        <v>1082.916667</v>
      </c>
      <c r="AU418" s="72">
        <f t="shared" si="1388"/>
        <v>1020.416667</v>
      </c>
      <c r="AV418" s="73">
        <f t="shared" ref="AV418:AW418" si="1389">AI418/125</f>
        <v>207.92</v>
      </c>
      <c r="AW418" s="73">
        <f t="shared" si="1389"/>
        <v>195.92</v>
      </c>
    </row>
    <row r="419" ht="15.75" customHeight="1">
      <c r="A419" s="2"/>
      <c r="B419" s="2" t="s">
        <v>832</v>
      </c>
      <c r="C419" s="2" t="s">
        <v>833</v>
      </c>
      <c r="D419" s="206">
        <v>15120.0</v>
      </c>
      <c r="E419" s="2">
        <v>350.0</v>
      </c>
      <c r="F419" s="1">
        <v>100.0</v>
      </c>
      <c r="G419" s="10">
        <v>8.3061E7</v>
      </c>
      <c r="H419" s="59">
        <v>0.05</v>
      </c>
      <c r="I419" s="2">
        <f t="shared" si="1292"/>
        <v>17.5</v>
      </c>
      <c r="K419" s="94">
        <v>300.0</v>
      </c>
      <c r="L419" s="119">
        <f t="shared" si="987"/>
        <v>15887.5</v>
      </c>
      <c r="M419" s="2">
        <f t="shared" si="1055"/>
        <v>151.2</v>
      </c>
      <c r="N419" s="12">
        <f t="shared" si="989"/>
        <v>1271</v>
      </c>
      <c r="O419" s="12">
        <f t="shared" si="990"/>
        <v>1588.75</v>
      </c>
      <c r="P419" s="12">
        <f t="shared" si="991"/>
        <v>794.375</v>
      </c>
      <c r="Q419" s="12">
        <f t="shared" si="992"/>
        <v>317.75</v>
      </c>
      <c r="R419" s="12">
        <f t="shared" si="993"/>
        <v>158.76</v>
      </c>
      <c r="S419" s="12">
        <f t="shared" si="994"/>
        <v>158.875</v>
      </c>
      <c r="T419" s="60">
        <f t="shared" si="995"/>
        <v>4281.95</v>
      </c>
      <c r="U419" s="2">
        <f t="shared" si="996"/>
        <v>317.52</v>
      </c>
      <c r="V419" s="42">
        <f t="shared" si="15"/>
        <v>1587.6</v>
      </c>
      <c r="W419" s="2">
        <f t="shared" si="997"/>
        <v>317.52</v>
      </c>
      <c r="X419" s="2">
        <f t="shared" si="998"/>
        <v>2540.16</v>
      </c>
      <c r="Y419" s="2">
        <f t="shared" si="999"/>
        <v>4762.8</v>
      </c>
      <c r="Z419" s="60">
        <f t="shared" si="1000"/>
        <v>24932.25</v>
      </c>
      <c r="AA419" s="11">
        <f t="shared" si="1001"/>
        <v>4986.45</v>
      </c>
      <c r="AB419" s="12">
        <f t="shared" si="1002"/>
        <v>29918.7</v>
      </c>
      <c r="AC419" s="2">
        <f t="shared" si="1049"/>
        <v>31752</v>
      </c>
      <c r="AD419" s="12">
        <f t="shared" si="1050"/>
        <v>-1833.3</v>
      </c>
      <c r="AE419" s="12">
        <f t="shared" si="1051"/>
        <v>-6.127605812</v>
      </c>
      <c r="AF419" s="61">
        <v>27690.0</v>
      </c>
      <c r="AG419" s="62">
        <f t="shared" si="1006"/>
        <v>74.28796223</v>
      </c>
      <c r="AH419" s="63">
        <f t="shared" si="1007"/>
        <v>1300</v>
      </c>
      <c r="AI419" s="65">
        <v>31990.0</v>
      </c>
      <c r="AJ419" s="65">
        <v>28990.0</v>
      </c>
      <c r="AK419" s="66">
        <f t="shared" si="1008"/>
        <v>82.47049567</v>
      </c>
      <c r="AL419" s="66"/>
      <c r="AM419" s="14">
        <f t="shared" si="1009"/>
        <v>4.484304933</v>
      </c>
      <c r="AN419" s="67">
        <f t="shared" si="1010"/>
        <v>8.182533438</v>
      </c>
      <c r="AO419" s="68">
        <f t="shared" si="1011"/>
        <v>1.824704957</v>
      </c>
      <c r="AP419" s="69">
        <f t="shared" si="1012"/>
        <v>-9.287</v>
      </c>
      <c r="AQ419" s="70">
        <f t="shared" si="1013"/>
        <v>-27.62</v>
      </c>
      <c r="AR419" s="71">
        <f t="shared" ref="AR419:AS419" si="1390">AI419/94</f>
        <v>340.3191489</v>
      </c>
      <c r="AS419" s="71">
        <f t="shared" si="1390"/>
        <v>308.4042553</v>
      </c>
      <c r="AT419" s="72">
        <f t="shared" ref="AT419:AU419" si="1391">AI419/24</f>
        <v>1332.916667</v>
      </c>
      <c r="AU419" s="72">
        <f t="shared" si="1391"/>
        <v>1207.916667</v>
      </c>
      <c r="AV419" s="73">
        <f t="shared" ref="AV419:AW419" si="1392">AI419/125</f>
        <v>255.92</v>
      </c>
      <c r="AW419" s="73">
        <f t="shared" si="1392"/>
        <v>231.92</v>
      </c>
    </row>
    <row r="420" ht="15.75" customHeight="1">
      <c r="A420" s="2"/>
      <c r="B420" s="2" t="s">
        <v>834</v>
      </c>
      <c r="C420" s="2" t="s">
        <v>835</v>
      </c>
      <c r="D420" s="206">
        <v>19800.0</v>
      </c>
      <c r="E420" s="2">
        <v>350.0</v>
      </c>
      <c r="F420" s="1">
        <v>100.0</v>
      </c>
      <c r="G420" s="10">
        <v>8.3061E7</v>
      </c>
      <c r="H420" s="59">
        <v>0.05</v>
      </c>
      <c r="I420" s="2">
        <f t="shared" si="1292"/>
        <v>17.5</v>
      </c>
      <c r="K420" s="94">
        <v>300.0</v>
      </c>
      <c r="L420" s="119">
        <f t="shared" si="987"/>
        <v>20567.5</v>
      </c>
      <c r="M420" s="2">
        <f t="shared" si="1055"/>
        <v>198</v>
      </c>
      <c r="N420" s="12">
        <f t="shared" si="989"/>
        <v>1645.4</v>
      </c>
      <c r="O420" s="12">
        <f t="shared" si="990"/>
        <v>2056.75</v>
      </c>
      <c r="P420" s="12">
        <f t="shared" si="991"/>
        <v>1028.375</v>
      </c>
      <c r="Q420" s="12">
        <f t="shared" si="992"/>
        <v>411.35</v>
      </c>
      <c r="R420" s="12">
        <f t="shared" si="993"/>
        <v>207.9</v>
      </c>
      <c r="S420" s="12">
        <f t="shared" si="994"/>
        <v>205.675</v>
      </c>
      <c r="T420" s="60">
        <f t="shared" si="995"/>
        <v>5545.55</v>
      </c>
      <c r="U420" s="2">
        <f t="shared" si="996"/>
        <v>415.8</v>
      </c>
      <c r="V420" s="42">
        <f t="shared" si="15"/>
        <v>2079</v>
      </c>
      <c r="W420" s="2">
        <f t="shared" si="997"/>
        <v>415.8</v>
      </c>
      <c r="X420" s="2">
        <f t="shared" si="998"/>
        <v>3326.4</v>
      </c>
      <c r="Y420" s="2">
        <f t="shared" si="999"/>
        <v>6237</v>
      </c>
      <c r="Z420" s="60">
        <f t="shared" si="1000"/>
        <v>32350.05</v>
      </c>
      <c r="AA420" s="11">
        <f t="shared" si="1001"/>
        <v>6470.01</v>
      </c>
      <c r="AB420" s="12">
        <f t="shared" si="1002"/>
        <v>38820.06</v>
      </c>
      <c r="AC420" s="2">
        <f t="shared" si="1049"/>
        <v>41580</v>
      </c>
      <c r="AD420" s="12">
        <f t="shared" si="1050"/>
        <v>-2759.94</v>
      </c>
      <c r="AE420" s="12">
        <f t="shared" si="1051"/>
        <v>-7.109571701</v>
      </c>
      <c r="AF420" s="61">
        <v>32950.0</v>
      </c>
      <c r="AG420" s="62">
        <f t="shared" si="1006"/>
        <v>60.20420566</v>
      </c>
      <c r="AH420" s="63">
        <f t="shared" si="1007"/>
        <v>1040</v>
      </c>
      <c r="AI420" s="65">
        <v>37990.0</v>
      </c>
      <c r="AJ420" s="65">
        <v>33990.0</v>
      </c>
      <c r="AK420" s="66">
        <f t="shared" si="1008"/>
        <v>65.26072687</v>
      </c>
      <c r="AL420" s="66"/>
      <c r="AM420" s="14">
        <f t="shared" si="1009"/>
        <v>3.059723448</v>
      </c>
      <c r="AN420" s="67">
        <f t="shared" si="1010"/>
        <v>5.056521211</v>
      </c>
      <c r="AO420" s="68">
        <f t="shared" si="1011"/>
        <v>1.652607269</v>
      </c>
      <c r="AP420" s="69">
        <f t="shared" si="1012"/>
        <v>-48.3006</v>
      </c>
      <c r="AQ420" s="70">
        <f t="shared" si="1013"/>
        <v>-75.9</v>
      </c>
      <c r="AR420" s="71">
        <f t="shared" ref="AR420:AS420" si="1393">AI420/94</f>
        <v>404.1489362</v>
      </c>
      <c r="AS420" s="71">
        <f t="shared" si="1393"/>
        <v>361.5957447</v>
      </c>
      <c r="AT420" s="72">
        <f t="shared" ref="AT420:AU420" si="1394">AI420/24</f>
        <v>1582.916667</v>
      </c>
      <c r="AU420" s="72">
        <f t="shared" si="1394"/>
        <v>1416.25</v>
      </c>
      <c r="AV420" s="73">
        <f t="shared" ref="AV420:AW420" si="1395">AI420/125</f>
        <v>303.92</v>
      </c>
      <c r="AW420" s="73">
        <f t="shared" si="1395"/>
        <v>271.92</v>
      </c>
    </row>
    <row r="421" ht="15.75" customHeight="1">
      <c r="A421" s="2"/>
      <c r="B421" s="2" t="s">
        <v>836</v>
      </c>
      <c r="C421" s="2" t="s">
        <v>837</v>
      </c>
      <c r="D421" s="206">
        <v>25200.0</v>
      </c>
      <c r="E421" s="2">
        <v>350.0</v>
      </c>
      <c r="F421" s="1">
        <v>100.0</v>
      </c>
      <c r="G421" s="10">
        <v>8.3061E7</v>
      </c>
      <c r="H421" s="59">
        <v>0.05</v>
      </c>
      <c r="I421" s="2">
        <f t="shared" si="1292"/>
        <v>17.5</v>
      </c>
      <c r="K421" s="94">
        <v>300.0</v>
      </c>
      <c r="L421" s="119">
        <f t="shared" si="987"/>
        <v>25967.5</v>
      </c>
      <c r="M421" s="2">
        <f t="shared" si="1055"/>
        <v>252</v>
      </c>
      <c r="N421" s="12">
        <f t="shared" si="989"/>
        <v>2077.4</v>
      </c>
      <c r="O421" s="12">
        <f t="shared" si="990"/>
        <v>2596.75</v>
      </c>
      <c r="P421" s="12">
        <f t="shared" si="991"/>
        <v>1298.375</v>
      </c>
      <c r="Q421" s="12">
        <f t="shared" si="992"/>
        <v>519.35</v>
      </c>
      <c r="R421" s="12">
        <f t="shared" si="993"/>
        <v>264.6</v>
      </c>
      <c r="S421" s="12">
        <f t="shared" si="994"/>
        <v>259.675</v>
      </c>
      <c r="T421" s="60">
        <f t="shared" si="995"/>
        <v>7003.55</v>
      </c>
      <c r="U421" s="2">
        <f t="shared" si="996"/>
        <v>529.2</v>
      </c>
      <c r="V421" s="42">
        <f t="shared" si="15"/>
        <v>2646</v>
      </c>
      <c r="W421" s="2">
        <f t="shared" si="997"/>
        <v>529.2</v>
      </c>
      <c r="X421" s="2">
        <f t="shared" si="998"/>
        <v>4233.6</v>
      </c>
      <c r="Y421" s="2">
        <f t="shared" si="999"/>
        <v>7938</v>
      </c>
      <c r="Z421" s="60">
        <f t="shared" si="1000"/>
        <v>40909.05</v>
      </c>
      <c r="AA421" s="11">
        <f t="shared" si="1001"/>
        <v>8181.81</v>
      </c>
      <c r="AB421" s="12">
        <f t="shared" si="1002"/>
        <v>49090.86</v>
      </c>
      <c r="AC421" s="2">
        <f t="shared" si="1049"/>
        <v>52920</v>
      </c>
      <c r="AD421" s="12">
        <f t="shared" si="1050"/>
        <v>-3829.14</v>
      </c>
      <c r="AE421" s="12">
        <f t="shared" si="1051"/>
        <v>-7.8001078</v>
      </c>
      <c r="AF421" s="61">
        <v>37950.0</v>
      </c>
      <c r="AG421" s="62">
        <f t="shared" si="1006"/>
        <v>46.14421873</v>
      </c>
      <c r="AH421" s="63">
        <f t="shared" si="1007"/>
        <v>1040</v>
      </c>
      <c r="AI421" s="65">
        <v>40990.0</v>
      </c>
      <c r="AJ421" s="65">
        <v>38990.0</v>
      </c>
      <c r="AK421" s="66">
        <f t="shared" si="1008"/>
        <v>50.14922499</v>
      </c>
      <c r="AL421" s="66"/>
      <c r="AM421" s="14">
        <f t="shared" si="1009"/>
        <v>2.667350603</v>
      </c>
      <c r="AN421" s="67">
        <f t="shared" si="1010"/>
        <v>4.005006258</v>
      </c>
      <c r="AO421" s="68">
        <f t="shared" si="1011"/>
        <v>1.50149225</v>
      </c>
      <c r="AP421" s="69">
        <f t="shared" si="1012"/>
        <v>-101.0086</v>
      </c>
      <c r="AQ421" s="70">
        <f t="shared" si="1013"/>
        <v>-139.3</v>
      </c>
      <c r="AR421" s="71">
        <f t="shared" ref="AR421:AS421" si="1396">AI421/94</f>
        <v>436.0638298</v>
      </c>
      <c r="AS421" s="71">
        <f t="shared" si="1396"/>
        <v>414.787234</v>
      </c>
      <c r="AT421" s="72">
        <f t="shared" ref="AT421:AU421" si="1397">AI421/24</f>
        <v>1707.916667</v>
      </c>
      <c r="AU421" s="72">
        <f t="shared" si="1397"/>
        <v>1624.583333</v>
      </c>
      <c r="AV421" s="73">
        <f t="shared" ref="AV421:AW421" si="1398">AI421/125</f>
        <v>327.92</v>
      </c>
      <c r="AW421" s="73">
        <f t="shared" si="1398"/>
        <v>311.92</v>
      </c>
    </row>
    <row r="422" ht="15.75" customHeight="1">
      <c r="A422" s="77"/>
      <c r="B422" s="77" t="s">
        <v>838</v>
      </c>
      <c r="C422" s="77" t="s">
        <v>839</v>
      </c>
      <c r="D422" s="207">
        <v>36550.0</v>
      </c>
      <c r="E422" s="77">
        <v>350.0</v>
      </c>
      <c r="F422" s="80">
        <v>100.0</v>
      </c>
      <c r="G422" s="78">
        <v>8.3061E7</v>
      </c>
      <c r="H422" s="81">
        <v>0.05</v>
      </c>
      <c r="I422" s="77">
        <f t="shared" si="1292"/>
        <v>17.5</v>
      </c>
      <c r="J422" s="79"/>
      <c r="K422" s="144">
        <v>300.0</v>
      </c>
      <c r="L422" s="147">
        <f t="shared" si="987"/>
        <v>37317.5</v>
      </c>
      <c r="M422" s="77">
        <f t="shared" si="1055"/>
        <v>365.5</v>
      </c>
      <c r="N422" s="83">
        <f t="shared" si="989"/>
        <v>2985.4</v>
      </c>
      <c r="O422" s="83">
        <f t="shared" si="990"/>
        <v>3731.75</v>
      </c>
      <c r="P422" s="83">
        <f t="shared" si="991"/>
        <v>1865.875</v>
      </c>
      <c r="Q422" s="83">
        <f t="shared" si="992"/>
        <v>746.35</v>
      </c>
      <c r="R422" s="83">
        <f t="shared" si="993"/>
        <v>383.775</v>
      </c>
      <c r="S422" s="83">
        <f t="shared" si="994"/>
        <v>373.175</v>
      </c>
      <c r="T422" s="84">
        <f t="shared" si="995"/>
        <v>10068.05</v>
      </c>
      <c r="U422" s="77">
        <f t="shared" si="996"/>
        <v>767.55</v>
      </c>
      <c r="V422" s="42">
        <f t="shared" si="15"/>
        <v>3837.75</v>
      </c>
      <c r="W422" s="77">
        <f t="shared" si="997"/>
        <v>767.55</v>
      </c>
      <c r="X422" s="77">
        <f t="shared" si="998"/>
        <v>6140.4</v>
      </c>
      <c r="Y422" s="77">
        <f t="shared" si="999"/>
        <v>11513.25</v>
      </c>
      <c r="Z422" s="84">
        <f t="shared" si="1000"/>
        <v>58898.8</v>
      </c>
      <c r="AA422" s="85">
        <f t="shared" si="1001"/>
        <v>11779.76</v>
      </c>
      <c r="AB422" s="83">
        <f t="shared" si="1002"/>
        <v>70678.56</v>
      </c>
      <c r="AC422" s="77">
        <f t="shared" si="1049"/>
        <v>76755</v>
      </c>
      <c r="AD422" s="83">
        <f t="shared" si="1050"/>
        <v>-6076.44</v>
      </c>
      <c r="AE422" s="83">
        <f t="shared" si="1051"/>
        <v>-8.597288909</v>
      </c>
      <c r="AF422" s="79">
        <v>42950.0</v>
      </c>
      <c r="AG422" s="86">
        <f t="shared" si="1006"/>
        <v>15.09345481</v>
      </c>
      <c r="AH422" s="63">
        <f t="shared" si="1007"/>
        <v>1540</v>
      </c>
      <c r="AI422" s="90">
        <v>49990.0</v>
      </c>
      <c r="AJ422" s="90">
        <v>44490.0</v>
      </c>
      <c r="AK422" s="14">
        <f t="shared" si="1008"/>
        <v>19.220205</v>
      </c>
      <c r="AL422" s="14"/>
      <c r="AM422" s="14">
        <f t="shared" si="1009"/>
        <v>3.461452012</v>
      </c>
      <c r="AN422" s="14">
        <f t="shared" si="1010"/>
        <v>4.126750184</v>
      </c>
      <c r="AO422" s="87">
        <f t="shared" si="1011"/>
        <v>1.19220205</v>
      </c>
      <c r="AP422" s="14">
        <f t="shared" si="1012"/>
        <v>-261.8856</v>
      </c>
      <c r="AQ422" s="14">
        <f t="shared" si="1013"/>
        <v>-322.65</v>
      </c>
      <c r="AR422" s="88">
        <f t="shared" ref="AR422:AS422" si="1399">AI422/94</f>
        <v>531.8085106</v>
      </c>
      <c r="AS422" s="88">
        <f t="shared" si="1399"/>
        <v>473.2978723</v>
      </c>
      <c r="AT422" s="89">
        <f t="shared" ref="AT422:AU422" si="1400">AI422/24</f>
        <v>2082.916667</v>
      </c>
      <c r="AU422" s="89">
        <f t="shared" si="1400"/>
        <v>1853.75</v>
      </c>
      <c r="AV422" s="89">
        <f t="shared" ref="AV422:AW422" si="1401">AI422/125</f>
        <v>399.92</v>
      </c>
      <c r="AW422" s="89">
        <f t="shared" si="1401"/>
        <v>355.92</v>
      </c>
      <c r="AX422" s="79"/>
      <c r="AY422" s="79"/>
    </row>
    <row r="423" ht="15.75" customHeight="1">
      <c r="A423" s="2"/>
      <c r="B423" s="2" t="s">
        <v>840</v>
      </c>
      <c r="C423" s="2" t="s">
        <v>841</v>
      </c>
      <c r="D423" s="206">
        <v>5400.0</v>
      </c>
      <c r="E423" s="2">
        <v>190.0</v>
      </c>
      <c r="F423" s="1">
        <v>100.0</v>
      </c>
      <c r="G423" s="10">
        <v>8.3061E7</v>
      </c>
      <c r="H423" s="59">
        <v>0.05</v>
      </c>
      <c r="I423" s="2">
        <f t="shared" si="1292"/>
        <v>9.5</v>
      </c>
      <c r="K423" s="94">
        <v>300.0</v>
      </c>
      <c r="L423" s="119">
        <f t="shared" si="987"/>
        <v>5999.5</v>
      </c>
      <c r="M423" s="2">
        <f t="shared" si="1055"/>
        <v>54</v>
      </c>
      <c r="N423" s="12">
        <f t="shared" si="989"/>
        <v>479.96</v>
      </c>
      <c r="O423" s="12">
        <f t="shared" si="990"/>
        <v>599.95</v>
      </c>
      <c r="P423" s="12">
        <f t="shared" si="991"/>
        <v>299.975</v>
      </c>
      <c r="Q423" s="12">
        <f t="shared" si="992"/>
        <v>119.99</v>
      </c>
      <c r="R423" s="12">
        <f t="shared" si="993"/>
        <v>56.7</v>
      </c>
      <c r="S423" s="12">
        <f t="shared" si="994"/>
        <v>59.995</v>
      </c>
      <c r="T423" s="60">
        <f t="shared" si="995"/>
        <v>1613.87</v>
      </c>
      <c r="U423" s="2">
        <f t="shared" si="996"/>
        <v>113.4</v>
      </c>
      <c r="V423" s="42">
        <f t="shared" si="15"/>
        <v>567</v>
      </c>
      <c r="W423" s="2">
        <f t="shared" si="997"/>
        <v>113.4</v>
      </c>
      <c r="X423" s="2">
        <f t="shared" si="998"/>
        <v>907.2</v>
      </c>
      <c r="Y423" s="2">
        <f t="shared" si="999"/>
        <v>1701</v>
      </c>
      <c r="Z423" s="60">
        <f t="shared" si="1000"/>
        <v>9314.37</v>
      </c>
      <c r="AA423" s="11">
        <f t="shared" si="1001"/>
        <v>1862.874</v>
      </c>
      <c r="AB423" s="12">
        <f t="shared" si="1002"/>
        <v>11177.244</v>
      </c>
      <c r="AC423" s="2">
        <f t="shared" si="1049"/>
        <v>11340</v>
      </c>
      <c r="AD423" s="12">
        <f t="shared" si="1050"/>
        <v>-162.756</v>
      </c>
      <c r="AE423" s="12">
        <f t="shared" si="1051"/>
        <v>-1.45613713</v>
      </c>
      <c r="AF423" s="61">
        <v>12450.0</v>
      </c>
      <c r="AG423" s="62">
        <f t="shared" si="1006"/>
        <v>107.5172931</v>
      </c>
      <c r="AH423" s="63">
        <f t="shared" si="1007"/>
        <v>540</v>
      </c>
      <c r="AI423" s="64">
        <v>13990.0</v>
      </c>
      <c r="AJ423" s="65">
        <v>12990.0</v>
      </c>
      <c r="AK423" s="66">
        <f t="shared" si="1008"/>
        <v>116.5180432</v>
      </c>
      <c r="AL423" s="66"/>
      <c r="AM423" s="14">
        <f t="shared" si="1009"/>
        <v>4.15704388</v>
      </c>
      <c r="AN423" s="67">
        <f t="shared" si="1010"/>
        <v>9.000750063</v>
      </c>
      <c r="AO423" s="68">
        <f t="shared" si="1011"/>
        <v>2.165180432</v>
      </c>
      <c r="AP423" s="69">
        <f t="shared" si="1012"/>
        <v>18.12756</v>
      </c>
      <c r="AQ423" s="70">
        <f t="shared" si="1013"/>
        <v>16.5</v>
      </c>
      <c r="AR423" s="71">
        <f t="shared" ref="AR423:AS423" si="1402">AI423/94</f>
        <v>148.8297872</v>
      </c>
      <c r="AS423" s="71">
        <f t="shared" si="1402"/>
        <v>138.1914894</v>
      </c>
      <c r="AT423" s="72">
        <f t="shared" ref="AT423:AU423" si="1403">AI423/24</f>
        <v>582.9166667</v>
      </c>
      <c r="AU423" s="72">
        <f t="shared" si="1403"/>
        <v>541.25</v>
      </c>
      <c r="AV423" s="73">
        <f t="shared" ref="AV423:AW423" si="1404">AI423/125</f>
        <v>111.92</v>
      </c>
      <c r="AW423" s="73">
        <f t="shared" si="1404"/>
        <v>103.92</v>
      </c>
    </row>
    <row r="424" ht="15.75" customHeight="1">
      <c r="A424" s="2"/>
      <c r="B424" s="2" t="s">
        <v>842</v>
      </c>
      <c r="C424" s="2" t="s">
        <v>843</v>
      </c>
      <c r="D424" s="206">
        <v>7200.0</v>
      </c>
      <c r="E424" s="2">
        <v>190.0</v>
      </c>
      <c r="F424" s="1">
        <v>100.0</v>
      </c>
      <c r="G424" s="10">
        <v>8.3061E7</v>
      </c>
      <c r="H424" s="59">
        <v>0.05</v>
      </c>
      <c r="I424" s="2">
        <f t="shared" si="1292"/>
        <v>9.5</v>
      </c>
      <c r="K424" s="94">
        <v>300.0</v>
      </c>
      <c r="L424" s="119">
        <f t="shared" si="987"/>
        <v>7799.5</v>
      </c>
      <c r="M424" s="2">
        <f t="shared" si="1055"/>
        <v>72</v>
      </c>
      <c r="N424" s="12">
        <f t="shared" si="989"/>
        <v>623.96</v>
      </c>
      <c r="O424" s="12">
        <f t="shared" si="990"/>
        <v>779.95</v>
      </c>
      <c r="P424" s="12">
        <f t="shared" si="991"/>
        <v>389.975</v>
      </c>
      <c r="Q424" s="12">
        <f t="shared" si="992"/>
        <v>155.99</v>
      </c>
      <c r="R424" s="12">
        <f t="shared" si="993"/>
        <v>75.6</v>
      </c>
      <c r="S424" s="12">
        <f t="shared" si="994"/>
        <v>77.995</v>
      </c>
      <c r="T424" s="60">
        <f t="shared" si="995"/>
        <v>2099.87</v>
      </c>
      <c r="U424" s="2">
        <f t="shared" si="996"/>
        <v>151.2</v>
      </c>
      <c r="V424" s="42">
        <f t="shared" si="15"/>
        <v>756</v>
      </c>
      <c r="W424" s="2">
        <f t="shared" si="997"/>
        <v>151.2</v>
      </c>
      <c r="X424" s="2">
        <f t="shared" si="998"/>
        <v>1209.6</v>
      </c>
      <c r="Y424" s="2">
        <f t="shared" si="999"/>
        <v>2268</v>
      </c>
      <c r="Z424" s="60">
        <f t="shared" si="1000"/>
        <v>12167.37</v>
      </c>
      <c r="AA424" s="11">
        <f t="shared" si="1001"/>
        <v>2433.474</v>
      </c>
      <c r="AB424" s="12">
        <f t="shared" si="1002"/>
        <v>14600.844</v>
      </c>
      <c r="AC424" s="2">
        <f t="shared" si="1049"/>
        <v>15120</v>
      </c>
      <c r="AD424" s="12">
        <f t="shared" si="1050"/>
        <v>-519.156</v>
      </c>
      <c r="AE424" s="12">
        <f t="shared" si="1051"/>
        <v>-3.555657467</v>
      </c>
      <c r="AF424" s="61">
        <v>15950.0</v>
      </c>
      <c r="AG424" s="62">
        <f t="shared" si="1006"/>
        <v>104.5002885</v>
      </c>
      <c r="AH424" s="63">
        <f t="shared" si="1007"/>
        <v>540</v>
      </c>
      <c r="AI424" s="64">
        <v>17990.0</v>
      </c>
      <c r="AJ424" s="65">
        <v>16490.0</v>
      </c>
      <c r="AK424" s="66">
        <f t="shared" si="1008"/>
        <v>111.4238092</v>
      </c>
      <c r="AL424" s="66"/>
      <c r="AM424" s="14">
        <f t="shared" si="1009"/>
        <v>3.274711947</v>
      </c>
      <c r="AN424" s="67">
        <f t="shared" si="1010"/>
        <v>6.923520739</v>
      </c>
      <c r="AO424" s="68">
        <f t="shared" si="1011"/>
        <v>2.114238092</v>
      </c>
      <c r="AP424" s="69">
        <f t="shared" si="1012"/>
        <v>18.89156</v>
      </c>
      <c r="AQ424" s="70">
        <f t="shared" si="1013"/>
        <v>13.7</v>
      </c>
      <c r="AR424" s="71">
        <f t="shared" ref="AR424:AS424" si="1405">AI424/94</f>
        <v>191.3829787</v>
      </c>
      <c r="AS424" s="71">
        <f t="shared" si="1405"/>
        <v>175.4255319</v>
      </c>
      <c r="AT424" s="72">
        <f t="shared" ref="AT424:AU424" si="1406">AI424/24</f>
        <v>749.5833333</v>
      </c>
      <c r="AU424" s="72">
        <f t="shared" si="1406"/>
        <v>687.0833333</v>
      </c>
      <c r="AV424" s="73">
        <f t="shared" ref="AV424:AW424" si="1407">AI424/125</f>
        <v>143.92</v>
      </c>
      <c r="AW424" s="73">
        <f t="shared" si="1407"/>
        <v>131.92</v>
      </c>
    </row>
    <row r="425" ht="15.75" customHeight="1">
      <c r="A425" s="2"/>
      <c r="B425" s="2" t="s">
        <v>844</v>
      </c>
      <c r="C425" s="2" t="s">
        <v>845</v>
      </c>
      <c r="D425" s="206">
        <v>9000.0</v>
      </c>
      <c r="E425" s="2">
        <v>190.0</v>
      </c>
      <c r="F425" s="1">
        <v>100.0</v>
      </c>
      <c r="G425" s="10">
        <v>8.3061E7</v>
      </c>
      <c r="H425" s="59">
        <v>0.05</v>
      </c>
      <c r="I425" s="2">
        <f t="shared" si="1292"/>
        <v>9.5</v>
      </c>
      <c r="K425" s="94">
        <v>300.0</v>
      </c>
      <c r="L425" s="119">
        <f t="shared" si="987"/>
        <v>9599.5</v>
      </c>
      <c r="M425" s="2">
        <f t="shared" si="1055"/>
        <v>90</v>
      </c>
      <c r="N425" s="12">
        <f t="shared" si="989"/>
        <v>767.96</v>
      </c>
      <c r="O425" s="12">
        <f t="shared" si="990"/>
        <v>959.95</v>
      </c>
      <c r="P425" s="12">
        <f t="shared" si="991"/>
        <v>479.975</v>
      </c>
      <c r="Q425" s="12">
        <f t="shared" si="992"/>
        <v>191.99</v>
      </c>
      <c r="R425" s="12">
        <f t="shared" si="993"/>
        <v>94.5</v>
      </c>
      <c r="S425" s="12">
        <f t="shared" si="994"/>
        <v>95.995</v>
      </c>
      <c r="T425" s="60">
        <f t="shared" si="995"/>
        <v>2585.87</v>
      </c>
      <c r="U425" s="2">
        <f t="shared" si="996"/>
        <v>189</v>
      </c>
      <c r="V425" s="42">
        <f t="shared" si="15"/>
        <v>945</v>
      </c>
      <c r="W425" s="2">
        <f t="shared" si="997"/>
        <v>189</v>
      </c>
      <c r="X425" s="2">
        <f t="shared" si="998"/>
        <v>1512</v>
      </c>
      <c r="Y425" s="2">
        <f t="shared" si="999"/>
        <v>2835</v>
      </c>
      <c r="Z425" s="60">
        <f t="shared" si="1000"/>
        <v>15020.37</v>
      </c>
      <c r="AA425" s="11">
        <f t="shared" si="1001"/>
        <v>3004.074</v>
      </c>
      <c r="AB425" s="12">
        <f t="shared" si="1002"/>
        <v>18024.444</v>
      </c>
      <c r="AC425" s="2">
        <f t="shared" si="1049"/>
        <v>18900</v>
      </c>
      <c r="AD425" s="12">
        <f t="shared" si="1050"/>
        <v>-875.556</v>
      </c>
      <c r="AE425" s="12">
        <f t="shared" si="1051"/>
        <v>-4.857603375</v>
      </c>
      <c r="AF425" s="61">
        <v>18950.0</v>
      </c>
      <c r="AG425" s="62">
        <f t="shared" si="1006"/>
        <v>97.4061149</v>
      </c>
      <c r="AH425" s="63">
        <f t="shared" si="1007"/>
        <v>1040</v>
      </c>
      <c r="AI425" s="65">
        <v>21990.0</v>
      </c>
      <c r="AJ425" s="65">
        <v>19990.0</v>
      </c>
      <c r="AK425" s="66">
        <f t="shared" si="1008"/>
        <v>108.2400125</v>
      </c>
      <c r="AL425" s="66"/>
      <c r="AM425" s="14">
        <f t="shared" si="1009"/>
        <v>5.202601301</v>
      </c>
      <c r="AN425" s="67">
        <f t="shared" si="1010"/>
        <v>10.8338976</v>
      </c>
      <c r="AO425" s="68">
        <f t="shared" si="1011"/>
        <v>2.082400125</v>
      </c>
      <c r="AP425" s="69">
        <f t="shared" si="1012"/>
        <v>19.65556</v>
      </c>
      <c r="AQ425" s="70">
        <f t="shared" si="1013"/>
        <v>10.9</v>
      </c>
      <c r="AR425" s="71">
        <f t="shared" ref="AR425:AS425" si="1408">AI425/94</f>
        <v>233.9361702</v>
      </c>
      <c r="AS425" s="71">
        <f t="shared" si="1408"/>
        <v>212.6595745</v>
      </c>
      <c r="AT425" s="72">
        <f t="shared" ref="AT425:AU425" si="1409">AI425/24</f>
        <v>916.25</v>
      </c>
      <c r="AU425" s="72">
        <f t="shared" si="1409"/>
        <v>832.9166667</v>
      </c>
      <c r="AV425" s="73">
        <f t="shared" ref="AV425:AW425" si="1410">AI425/125</f>
        <v>175.92</v>
      </c>
      <c r="AW425" s="73">
        <f t="shared" si="1410"/>
        <v>159.92</v>
      </c>
    </row>
    <row r="426" ht="15.75" customHeight="1">
      <c r="A426" s="2"/>
      <c r="B426" s="2" t="s">
        <v>846</v>
      </c>
      <c r="C426" s="2" t="s">
        <v>847</v>
      </c>
      <c r="D426" s="206">
        <v>12600.0</v>
      </c>
      <c r="E426" s="2">
        <v>190.0</v>
      </c>
      <c r="F426" s="1">
        <v>100.0</v>
      </c>
      <c r="G426" s="10">
        <v>8.3061E7</v>
      </c>
      <c r="H426" s="59">
        <v>0.05</v>
      </c>
      <c r="I426" s="2">
        <f t="shared" si="1292"/>
        <v>9.5</v>
      </c>
      <c r="K426" s="94">
        <v>300.0</v>
      </c>
      <c r="L426" s="119">
        <f t="shared" si="987"/>
        <v>13199.5</v>
      </c>
      <c r="M426" s="2">
        <f t="shared" si="1055"/>
        <v>126</v>
      </c>
      <c r="N426" s="12">
        <f t="shared" si="989"/>
        <v>1055.96</v>
      </c>
      <c r="O426" s="12">
        <f t="shared" si="990"/>
        <v>1319.95</v>
      </c>
      <c r="P426" s="12">
        <f t="shared" si="991"/>
        <v>659.975</v>
      </c>
      <c r="Q426" s="12">
        <f t="shared" si="992"/>
        <v>263.99</v>
      </c>
      <c r="R426" s="12">
        <f t="shared" si="993"/>
        <v>132.3</v>
      </c>
      <c r="S426" s="12">
        <f t="shared" si="994"/>
        <v>131.995</v>
      </c>
      <c r="T426" s="60">
        <f t="shared" si="995"/>
        <v>3557.87</v>
      </c>
      <c r="U426" s="2">
        <f t="shared" si="996"/>
        <v>264.6</v>
      </c>
      <c r="V426" s="42">
        <f t="shared" si="15"/>
        <v>1323</v>
      </c>
      <c r="W426" s="2">
        <f t="shared" si="997"/>
        <v>264.6</v>
      </c>
      <c r="X426" s="2">
        <f t="shared" si="998"/>
        <v>2116.8</v>
      </c>
      <c r="Y426" s="2">
        <f t="shared" si="999"/>
        <v>3969</v>
      </c>
      <c r="Z426" s="60">
        <f t="shared" si="1000"/>
        <v>20726.37</v>
      </c>
      <c r="AA426" s="11">
        <f t="shared" si="1001"/>
        <v>4145.274</v>
      </c>
      <c r="AB426" s="12">
        <f t="shared" si="1002"/>
        <v>24871.644</v>
      </c>
      <c r="AC426" s="2">
        <f t="shared" si="1049"/>
        <v>26460</v>
      </c>
      <c r="AD426" s="12">
        <f t="shared" si="1050"/>
        <v>-1588.356</v>
      </c>
      <c r="AE426" s="12">
        <f t="shared" si="1051"/>
        <v>-6.386212347</v>
      </c>
      <c r="AF426" s="61">
        <v>23250.0</v>
      </c>
      <c r="AG426" s="62">
        <f t="shared" si="1006"/>
        <v>76.14303572</v>
      </c>
      <c r="AH426" s="63">
        <f t="shared" si="1007"/>
        <v>1240</v>
      </c>
      <c r="AI426" s="65">
        <v>25990.0</v>
      </c>
      <c r="AJ426" s="65">
        <v>24490.0</v>
      </c>
      <c r="AK426" s="66">
        <f t="shared" si="1008"/>
        <v>85.53733096</v>
      </c>
      <c r="AL426" s="66"/>
      <c r="AM426" s="14">
        <f t="shared" si="1009"/>
        <v>5.063291139</v>
      </c>
      <c r="AN426" s="67">
        <f t="shared" si="1010"/>
        <v>9.394295238</v>
      </c>
      <c r="AO426" s="68">
        <f t="shared" si="1011"/>
        <v>1.85537331</v>
      </c>
      <c r="AP426" s="69">
        <f t="shared" si="1012"/>
        <v>-3.81644</v>
      </c>
      <c r="AQ426" s="70">
        <f t="shared" si="1013"/>
        <v>-19.7</v>
      </c>
      <c r="AR426" s="71">
        <f t="shared" ref="AR426:AS426" si="1411">AI426/94</f>
        <v>276.4893617</v>
      </c>
      <c r="AS426" s="71">
        <f t="shared" si="1411"/>
        <v>260.5319149</v>
      </c>
      <c r="AT426" s="72">
        <f t="shared" ref="AT426:AU426" si="1412">AI426/24</f>
        <v>1082.916667</v>
      </c>
      <c r="AU426" s="72">
        <f t="shared" si="1412"/>
        <v>1020.416667</v>
      </c>
      <c r="AV426" s="73">
        <f t="shared" ref="AV426:AW426" si="1413">AI426/125</f>
        <v>207.92</v>
      </c>
      <c r="AW426" s="73">
        <f t="shared" si="1413"/>
        <v>195.92</v>
      </c>
    </row>
    <row r="427" ht="15.75" customHeight="1">
      <c r="A427" s="2"/>
      <c r="B427" s="2" t="s">
        <v>848</v>
      </c>
      <c r="C427" s="2" t="s">
        <v>849</v>
      </c>
      <c r="D427" s="206">
        <v>15120.0</v>
      </c>
      <c r="E427" s="2">
        <v>350.0</v>
      </c>
      <c r="F427" s="1">
        <v>100.0</v>
      </c>
      <c r="G427" s="10">
        <v>8.3061E7</v>
      </c>
      <c r="H427" s="59">
        <v>0.05</v>
      </c>
      <c r="I427" s="2">
        <f t="shared" si="1292"/>
        <v>17.5</v>
      </c>
      <c r="K427" s="94">
        <v>300.0</v>
      </c>
      <c r="L427" s="119">
        <f t="shared" si="987"/>
        <v>15887.5</v>
      </c>
      <c r="M427" s="2">
        <f t="shared" si="1055"/>
        <v>151.2</v>
      </c>
      <c r="N427" s="12">
        <f t="shared" si="989"/>
        <v>1271</v>
      </c>
      <c r="O427" s="12">
        <f t="shared" si="990"/>
        <v>1588.75</v>
      </c>
      <c r="P427" s="12">
        <f t="shared" si="991"/>
        <v>794.375</v>
      </c>
      <c r="Q427" s="12">
        <f t="shared" si="992"/>
        <v>317.75</v>
      </c>
      <c r="R427" s="12">
        <f t="shared" si="993"/>
        <v>158.76</v>
      </c>
      <c r="S427" s="12">
        <f t="shared" si="994"/>
        <v>158.875</v>
      </c>
      <c r="T427" s="60">
        <f t="shared" si="995"/>
        <v>4281.95</v>
      </c>
      <c r="U427" s="2">
        <f t="shared" si="996"/>
        <v>317.52</v>
      </c>
      <c r="V427" s="42">
        <f t="shared" si="15"/>
        <v>1587.6</v>
      </c>
      <c r="W427" s="2">
        <f t="shared" si="997"/>
        <v>317.52</v>
      </c>
      <c r="X427" s="2">
        <f t="shared" si="998"/>
        <v>2540.16</v>
      </c>
      <c r="Y427" s="2">
        <f t="shared" si="999"/>
        <v>4762.8</v>
      </c>
      <c r="Z427" s="60">
        <f t="shared" si="1000"/>
        <v>24932.25</v>
      </c>
      <c r="AA427" s="11">
        <f t="shared" si="1001"/>
        <v>4986.45</v>
      </c>
      <c r="AB427" s="12">
        <f t="shared" si="1002"/>
        <v>29918.7</v>
      </c>
      <c r="AC427" s="2">
        <f t="shared" si="1049"/>
        <v>31752</v>
      </c>
      <c r="AD427" s="12">
        <f t="shared" si="1050"/>
        <v>-1833.3</v>
      </c>
      <c r="AE427" s="12">
        <f t="shared" si="1051"/>
        <v>-6.127605812</v>
      </c>
      <c r="AF427" s="61">
        <v>27690.0</v>
      </c>
      <c r="AG427" s="62">
        <f t="shared" si="1006"/>
        <v>74.28796223</v>
      </c>
      <c r="AH427" s="63">
        <f t="shared" si="1007"/>
        <v>1300</v>
      </c>
      <c r="AI427" s="65">
        <v>31990.0</v>
      </c>
      <c r="AJ427" s="65">
        <v>28990.0</v>
      </c>
      <c r="AK427" s="66">
        <f t="shared" si="1008"/>
        <v>82.47049567</v>
      </c>
      <c r="AL427" s="66"/>
      <c r="AM427" s="14">
        <f t="shared" si="1009"/>
        <v>4.484304933</v>
      </c>
      <c r="AN427" s="67">
        <f t="shared" si="1010"/>
        <v>8.182533438</v>
      </c>
      <c r="AO427" s="68">
        <f t="shared" si="1011"/>
        <v>1.824704957</v>
      </c>
      <c r="AP427" s="69">
        <f t="shared" si="1012"/>
        <v>-9.287</v>
      </c>
      <c r="AQ427" s="70">
        <f t="shared" si="1013"/>
        <v>-27.62</v>
      </c>
      <c r="AR427" s="71">
        <f t="shared" ref="AR427:AS427" si="1414">AI427/94</f>
        <v>340.3191489</v>
      </c>
      <c r="AS427" s="71">
        <f t="shared" si="1414"/>
        <v>308.4042553</v>
      </c>
      <c r="AT427" s="72">
        <f t="shared" ref="AT427:AU427" si="1415">AI427/24</f>
        <v>1332.916667</v>
      </c>
      <c r="AU427" s="72">
        <f t="shared" si="1415"/>
        <v>1207.916667</v>
      </c>
      <c r="AV427" s="73">
        <f t="shared" ref="AV427:AW427" si="1416">AI427/125</f>
        <v>255.92</v>
      </c>
      <c r="AW427" s="73">
        <f t="shared" si="1416"/>
        <v>231.92</v>
      </c>
    </row>
    <row r="428" ht="15.75" customHeight="1">
      <c r="A428" s="2"/>
      <c r="B428" s="2" t="s">
        <v>850</v>
      </c>
      <c r="C428" s="2" t="s">
        <v>851</v>
      </c>
      <c r="D428" s="206">
        <v>19800.0</v>
      </c>
      <c r="E428" s="2">
        <v>350.0</v>
      </c>
      <c r="F428" s="1">
        <v>100.0</v>
      </c>
      <c r="G428" s="10">
        <v>8.3061E7</v>
      </c>
      <c r="H428" s="59">
        <v>0.05</v>
      </c>
      <c r="I428" s="2">
        <f t="shared" si="1292"/>
        <v>17.5</v>
      </c>
      <c r="K428" s="94">
        <v>300.0</v>
      </c>
      <c r="L428" s="119">
        <f t="shared" si="987"/>
        <v>20567.5</v>
      </c>
      <c r="M428" s="2">
        <f t="shared" si="1055"/>
        <v>198</v>
      </c>
      <c r="N428" s="12">
        <f t="shared" si="989"/>
        <v>1645.4</v>
      </c>
      <c r="O428" s="12">
        <f t="shared" si="990"/>
        <v>2056.75</v>
      </c>
      <c r="P428" s="12">
        <f t="shared" si="991"/>
        <v>1028.375</v>
      </c>
      <c r="Q428" s="12">
        <f t="shared" si="992"/>
        <v>411.35</v>
      </c>
      <c r="R428" s="12">
        <f t="shared" si="993"/>
        <v>207.9</v>
      </c>
      <c r="S428" s="12">
        <f t="shared" si="994"/>
        <v>205.675</v>
      </c>
      <c r="T428" s="60">
        <f t="shared" si="995"/>
        <v>5545.55</v>
      </c>
      <c r="U428" s="2">
        <f t="shared" si="996"/>
        <v>415.8</v>
      </c>
      <c r="V428" s="42">
        <f t="shared" si="15"/>
        <v>2079</v>
      </c>
      <c r="W428" s="2">
        <f t="shared" si="997"/>
        <v>415.8</v>
      </c>
      <c r="X428" s="2">
        <f t="shared" si="998"/>
        <v>3326.4</v>
      </c>
      <c r="Y428" s="2">
        <f t="shared" si="999"/>
        <v>6237</v>
      </c>
      <c r="Z428" s="60">
        <f t="shared" si="1000"/>
        <v>32350.05</v>
      </c>
      <c r="AA428" s="11">
        <f t="shared" si="1001"/>
        <v>6470.01</v>
      </c>
      <c r="AB428" s="12">
        <f t="shared" si="1002"/>
        <v>38820.06</v>
      </c>
      <c r="AC428" s="2">
        <f t="shared" si="1049"/>
        <v>41580</v>
      </c>
      <c r="AD428" s="12">
        <f t="shared" si="1050"/>
        <v>-2759.94</v>
      </c>
      <c r="AE428" s="12">
        <f t="shared" si="1051"/>
        <v>-7.109571701</v>
      </c>
      <c r="AF428" s="61">
        <v>32950.0</v>
      </c>
      <c r="AG428" s="62">
        <f t="shared" si="1006"/>
        <v>60.20420566</v>
      </c>
      <c r="AH428" s="63">
        <f t="shared" si="1007"/>
        <v>1040</v>
      </c>
      <c r="AI428" s="65">
        <v>37990.0</v>
      </c>
      <c r="AJ428" s="65">
        <v>33990.0</v>
      </c>
      <c r="AK428" s="66">
        <f t="shared" si="1008"/>
        <v>65.26072687</v>
      </c>
      <c r="AL428" s="66"/>
      <c r="AM428" s="14">
        <f t="shared" si="1009"/>
        <v>3.059723448</v>
      </c>
      <c r="AN428" s="67">
        <f t="shared" si="1010"/>
        <v>5.056521211</v>
      </c>
      <c r="AO428" s="68">
        <f t="shared" si="1011"/>
        <v>1.652607269</v>
      </c>
      <c r="AP428" s="69">
        <f t="shared" si="1012"/>
        <v>-48.3006</v>
      </c>
      <c r="AQ428" s="70">
        <f t="shared" si="1013"/>
        <v>-75.9</v>
      </c>
      <c r="AR428" s="71">
        <f t="shared" ref="AR428:AS428" si="1417">AI428/94</f>
        <v>404.1489362</v>
      </c>
      <c r="AS428" s="71">
        <f t="shared" si="1417"/>
        <v>361.5957447</v>
      </c>
      <c r="AT428" s="72">
        <f t="shared" ref="AT428:AU428" si="1418">AI428/24</f>
        <v>1582.916667</v>
      </c>
      <c r="AU428" s="72">
        <f t="shared" si="1418"/>
        <v>1416.25</v>
      </c>
      <c r="AV428" s="73">
        <f t="shared" ref="AV428:AW428" si="1419">AI428/125</f>
        <v>303.92</v>
      </c>
      <c r="AW428" s="73">
        <f t="shared" si="1419"/>
        <v>271.92</v>
      </c>
    </row>
    <row r="429" ht="15.75" customHeight="1">
      <c r="A429" s="2"/>
      <c r="B429" s="2" t="s">
        <v>852</v>
      </c>
      <c r="C429" s="2" t="s">
        <v>853</v>
      </c>
      <c r="D429" s="206">
        <v>25200.0</v>
      </c>
      <c r="E429" s="2">
        <v>350.0</v>
      </c>
      <c r="F429" s="1">
        <v>100.0</v>
      </c>
      <c r="G429" s="10">
        <v>8.3061E7</v>
      </c>
      <c r="H429" s="59">
        <v>0.05</v>
      </c>
      <c r="I429" s="2">
        <f t="shared" si="1292"/>
        <v>17.5</v>
      </c>
      <c r="K429" s="94">
        <v>300.0</v>
      </c>
      <c r="L429" s="119">
        <f t="shared" si="987"/>
        <v>25967.5</v>
      </c>
      <c r="M429" s="2">
        <f t="shared" si="1055"/>
        <v>252</v>
      </c>
      <c r="N429" s="12">
        <f t="shared" si="989"/>
        <v>2077.4</v>
      </c>
      <c r="O429" s="12">
        <f t="shared" si="990"/>
        <v>2596.75</v>
      </c>
      <c r="P429" s="12">
        <f t="shared" si="991"/>
        <v>1298.375</v>
      </c>
      <c r="Q429" s="12">
        <f t="shared" si="992"/>
        <v>519.35</v>
      </c>
      <c r="R429" s="12">
        <f t="shared" si="993"/>
        <v>264.6</v>
      </c>
      <c r="S429" s="12">
        <f t="shared" si="994"/>
        <v>259.675</v>
      </c>
      <c r="T429" s="60">
        <f t="shared" si="995"/>
        <v>7003.55</v>
      </c>
      <c r="U429" s="2">
        <f t="shared" si="996"/>
        <v>529.2</v>
      </c>
      <c r="V429" s="42">
        <f t="shared" si="15"/>
        <v>2646</v>
      </c>
      <c r="W429" s="2">
        <f t="shared" si="997"/>
        <v>529.2</v>
      </c>
      <c r="X429" s="2">
        <f t="shared" si="998"/>
        <v>4233.6</v>
      </c>
      <c r="Y429" s="2">
        <f t="shared" si="999"/>
        <v>7938</v>
      </c>
      <c r="Z429" s="60">
        <f t="shared" si="1000"/>
        <v>40909.05</v>
      </c>
      <c r="AA429" s="11">
        <f t="shared" si="1001"/>
        <v>8181.81</v>
      </c>
      <c r="AB429" s="12">
        <f t="shared" si="1002"/>
        <v>49090.86</v>
      </c>
      <c r="AC429" s="2">
        <f t="shared" si="1049"/>
        <v>52920</v>
      </c>
      <c r="AD429" s="12">
        <f t="shared" si="1050"/>
        <v>-3829.14</v>
      </c>
      <c r="AE429" s="12">
        <f t="shared" si="1051"/>
        <v>-7.8001078</v>
      </c>
      <c r="AF429" s="61">
        <v>37950.0</v>
      </c>
      <c r="AG429" s="62">
        <f t="shared" si="1006"/>
        <v>46.14421873</v>
      </c>
      <c r="AH429" s="63">
        <f t="shared" si="1007"/>
        <v>1040</v>
      </c>
      <c r="AI429" s="65">
        <v>40990.0</v>
      </c>
      <c r="AJ429" s="65">
        <v>38990.0</v>
      </c>
      <c r="AK429" s="66">
        <f t="shared" si="1008"/>
        <v>50.14922499</v>
      </c>
      <c r="AL429" s="66"/>
      <c r="AM429" s="14">
        <f t="shared" si="1009"/>
        <v>2.667350603</v>
      </c>
      <c r="AN429" s="67">
        <f t="shared" si="1010"/>
        <v>4.005006258</v>
      </c>
      <c r="AO429" s="68">
        <f t="shared" si="1011"/>
        <v>1.50149225</v>
      </c>
      <c r="AP429" s="69">
        <f t="shared" si="1012"/>
        <v>-101.0086</v>
      </c>
      <c r="AQ429" s="70">
        <f t="shared" si="1013"/>
        <v>-139.3</v>
      </c>
      <c r="AR429" s="71">
        <f t="shared" ref="AR429:AS429" si="1420">AI429/94</f>
        <v>436.0638298</v>
      </c>
      <c r="AS429" s="71">
        <f t="shared" si="1420"/>
        <v>414.787234</v>
      </c>
      <c r="AT429" s="72">
        <f t="shared" ref="AT429:AU429" si="1421">AI429/24</f>
        <v>1707.916667</v>
      </c>
      <c r="AU429" s="72">
        <f t="shared" si="1421"/>
        <v>1624.583333</v>
      </c>
      <c r="AV429" s="73">
        <f t="shared" ref="AV429:AW429" si="1422">AI429/125</f>
        <v>327.92</v>
      </c>
      <c r="AW429" s="73">
        <f t="shared" si="1422"/>
        <v>311.92</v>
      </c>
    </row>
    <row r="430" ht="15.75" customHeight="1">
      <c r="A430" s="77"/>
      <c r="B430" s="77" t="s">
        <v>854</v>
      </c>
      <c r="C430" s="77" t="s">
        <v>855</v>
      </c>
      <c r="D430" s="207">
        <v>36550.0</v>
      </c>
      <c r="E430" s="77">
        <v>350.0</v>
      </c>
      <c r="F430" s="80">
        <v>100.0</v>
      </c>
      <c r="G430" s="78">
        <v>8.3061E7</v>
      </c>
      <c r="H430" s="81">
        <v>0.05</v>
      </c>
      <c r="I430" s="77">
        <f t="shared" si="1292"/>
        <v>17.5</v>
      </c>
      <c r="J430" s="79"/>
      <c r="K430" s="144">
        <v>300.0</v>
      </c>
      <c r="L430" s="147">
        <f t="shared" si="987"/>
        <v>37317.5</v>
      </c>
      <c r="M430" s="77">
        <f t="shared" si="1055"/>
        <v>365.5</v>
      </c>
      <c r="N430" s="83">
        <f t="shared" si="989"/>
        <v>2985.4</v>
      </c>
      <c r="O430" s="83">
        <f t="shared" si="990"/>
        <v>3731.75</v>
      </c>
      <c r="P430" s="83">
        <f t="shared" si="991"/>
        <v>1865.875</v>
      </c>
      <c r="Q430" s="83">
        <f t="shared" si="992"/>
        <v>746.35</v>
      </c>
      <c r="R430" s="83">
        <f t="shared" si="993"/>
        <v>383.775</v>
      </c>
      <c r="S430" s="83">
        <f t="shared" si="994"/>
        <v>373.175</v>
      </c>
      <c r="T430" s="84">
        <f t="shared" si="995"/>
        <v>10068.05</v>
      </c>
      <c r="U430" s="77">
        <f t="shared" si="996"/>
        <v>767.55</v>
      </c>
      <c r="V430" s="42">
        <f t="shared" si="15"/>
        <v>3837.75</v>
      </c>
      <c r="W430" s="77">
        <f t="shared" si="997"/>
        <v>767.55</v>
      </c>
      <c r="X430" s="77">
        <f t="shared" si="998"/>
        <v>6140.4</v>
      </c>
      <c r="Y430" s="77">
        <f t="shared" si="999"/>
        <v>11513.25</v>
      </c>
      <c r="Z430" s="84">
        <f t="shared" si="1000"/>
        <v>58898.8</v>
      </c>
      <c r="AA430" s="85">
        <f t="shared" si="1001"/>
        <v>11779.76</v>
      </c>
      <c r="AB430" s="83">
        <f t="shared" si="1002"/>
        <v>70678.56</v>
      </c>
      <c r="AC430" s="77">
        <f t="shared" si="1049"/>
        <v>76755</v>
      </c>
      <c r="AD430" s="83">
        <f t="shared" si="1050"/>
        <v>-6076.44</v>
      </c>
      <c r="AE430" s="83">
        <f t="shared" si="1051"/>
        <v>-8.597288909</v>
      </c>
      <c r="AF430" s="79">
        <v>42950.0</v>
      </c>
      <c r="AG430" s="86">
        <f t="shared" si="1006"/>
        <v>15.09345481</v>
      </c>
      <c r="AH430" s="63">
        <f t="shared" si="1007"/>
        <v>1540</v>
      </c>
      <c r="AI430" s="90">
        <v>49990.0</v>
      </c>
      <c r="AJ430" s="90">
        <v>44490.0</v>
      </c>
      <c r="AK430" s="14">
        <f t="shared" si="1008"/>
        <v>19.220205</v>
      </c>
      <c r="AL430" s="14"/>
      <c r="AM430" s="14">
        <f t="shared" si="1009"/>
        <v>3.461452012</v>
      </c>
      <c r="AN430" s="14">
        <f t="shared" si="1010"/>
        <v>4.126750184</v>
      </c>
      <c r="AO430" s="87">
        <f t="shared" si="1011"/>
        <v>1.19220205</v>
      </c>
      <c r="AP430" s="14">
        <f t="shared" si="1012"/>
        <v>-261.8856</v>
      </c>
      <c r="AQ430" s="14">
        <f t="shared" si="1013"/>
        <v>-322.65</v>
      </c>
      <c r="AR430" s="88">
        <f t="shared" ref="AR430:AS430" si="1423">AI430/94</f>
        <v>531.8085106</v>
      </c>
      <c r="AS430" s="88">
        <f t="shared" si="1423"/>
        <v>473.2978723</v>
      </c>
      <c r="AT430" s="89">
        <f t="shared" ref="AT430:AU430" si="1424">AI430/24</f>
        <v>2082.916667</v>
      </c>
      <c r="AU430" s="89">
        <f t="shared" si="1424"/>
        <v>1853.75</v>
      </c>
      <c r="AV430" s="89">
        <f t="shared" ref="AV430:AW430" si="1425">AI430/125</f>
        <v>399.92</v>
      </c>
      <c r="AW430" s="89">
        <f t="shared" si="1425"/>
        <v>355.92</v>
      </c>
      <c r="AX430" s="79"/>
      <c r="AY430" s="79"/>
    </row>
    <row r="431" ht="15.75" customHeight="1">
      <c r="A431" s="2"/>
      <c r="B431" s="2" t="s">
        <v>856</v>
      </c>
      <c r="C431" s="2" t="s">
        <v>857</v>
      </c>
      <c r="D431" s="206">
        <v>5400.0</v>
      </c>
      <c r="E431" s="2">
        <v>190.0</v>
      </c>
      <c r="F431" s="1">
        <v>100.0</v>
      </c>
      <c r="G431" s="10">
        <v>8.3061E7</v>
      </c>
      <c r="H431" s="59">
        <v>0.05</v>
      </c>
      <c r="I431" s="2">
        <f t="shared" si="1292"/>
        <v>9.5</v>
      </c>
      <c r="K431" s="94">
        <v>300.0</v>
      </c>
      <c r="L431" s="119">
        <f t="shared" si="987"/>
        <v>5999.5</v>
      </c>
      <c r="M431" s="2">
        <f t="shared" si="1055"/>
        <v>54</v>
      </c>
      <c r="N431" s="12">
        <f t="shared" si="989"/>
        <v>479.96</v>
      </c>
      <c r="O431" s="12">
        <f t="shared" si="990"/>
        <v>599.95</v>
      </c>
      <c r="P431" s="12">
        <f t="shared" si="991"/>
        <v>299.975</v>
      </c>
      <c r="Q431" s="12">
        <f t="shared" si="992"/>
        <v>119.99</v>
      </c>
      <c r="R431" s="12">
        <f t="shared" si="993"/>
        <v>56.7</v>
      </c>
      <c r="S431" s="12">
        <f t="shared" si="994"/>
        <v>59.995</v>
      </c>
      <c r="T431" s="60">
        <f t="shared" si="995"/>
        <v>1613.87</v>
      </c>
      <c r="U431" s="2">
        <f t="shared" si="996"/>
        <v>113.4</v>
      </c>
      <c r="V431" s="42">
        <f t="shared" si="15"/>
        <v>567</v>
      </c>
      <c r="W431" s="2">
        <f t="shared" si="997"/>
        <v>113.4</v>
      </c>
      <c r="X431" s="2">
        <f t="shared" si="998"/>
        <v>907.2</v>
      </c>
      <c r="Y431" s="2">
        <f t="shared" si="999"/>
        <v>1701</v>
      </c>
      <c r="Z431" s="60">
        <f t="shared" si="1000"/>
        <v>9314.37</v>
      </c>
      <c r="AA431" s="11">
        <f t="shared" si="1001"/>
        <v>1862.874</v>
      </c>
      <c r="AB431" s="12">
        <f t="shared" si="1002"/>
        <v>11177.244</v>
      </c>
      <c r="AC431" s="2">
        <f t="shared" si="1049"/>
        <v>11340</v>
      </c>
      <c r="AD431" s="12">
        <f t="shared" si="1050"/>
        <v>-162.756</v>
      </c>
      <c r="AE431" s="12">
        <f t="shared" si="1051"/>
        <v>-1.45613713</v>
      </c>
      <c r="AF431" s="61">
        <v>12450.0</v>
      </c>
      <c r="AG431" s="62">
        <f t="shared" si="1006"/>
        <v>107.5172931</v>
      </c>
      <c r="AH431" s="63">
        <f t="shared" si="1007"/>
        <v>540</v>
      </c>
      <c r="AI431" s="64">
        <v>13990.0</v>
      </c>
      <c r="AJ431" s="65">
        <v>12990.0</v>
      </c>
      <c r="AK431" s="66">
        <f t="shared" si="1008"/>
        <v>116.5180432</v>
      </c>
      <c r="AL431" s="66"/>
      <c r="AM431" s="14">
        <f t="shared" si="1009"/>
        <v>4.15704388</v>
      </c>
      <c r="AN431" s="67">
        <f t="shared" si="1010"/>
        <v>9.000750063</v>
      </c>
      <c r="AO431" s="68">
        <f t="shared" si="1011"/>
        <v>2.165180432</v>
      </c>
      <c r="AP431" s="69">
        <f t="shared" si="1012"/>
        <v>18.12756</v>
      </c>
      <c r="AQ431" s="70">
        <f t="shared" si="1013"/>
        <v>16.5</v>
      </c>
      <c r="AR431" s="71">
        <f t="shared" ref="AR431:AS431" si="1426">AI431/94</f>
        <v>148.8297872</v>
      </c>
      <c r="AS431" s="71">
        <f t="shared" si="1426"/>
        <v>138.1914894</v>
      </c>
      <c r="AT431" s="72">
        <f t="shared" ref="AT431:AU431" si="1427">AI431/24</f>
        <v>582.9166667</v>
      </c>
      <c r="AU431" s="72">
        <f t="shared" si="1427"/>
        <v>541.25</v>
      </c>
      <c r="AV431" s="73">
        <f t="shared" ref="AV431:AW431" si="1428">AI431/125</f>
        <v>111.92</v>
      </c>
      <c r="AW431" s="73">
        <f t="shared" si="1428"/>
        <v>103.92</v>
      </c>
    </row>
    <row r="432" ht="15.75" customHeight="1">
      <c r="A432" s="2"/>
      <c r="B432" s="2" t="s">
        <v>858</v>
      </c>
      <c r="C432" s="2" t="s">
        <v>859</v>
      </c>
      <c r="D432" s="206">
        <v>7200.0</v>
      </c>
      <c r="E432" s="2">
        <v>190.0</v>
      </c>
      <c r="F432" s="1">
        <v>100.0</v>
      </c>
      <c r="G432" s="10">
        <v>8.3061E7</v>
      </c>
      <c r="H432" s="59">
        <v>0.05</v>
      </c>
      <c r="I432" s="2">
        <f t="shared" si="1292"/>
        <v>9.5</v>
      </c>
      <c r="K432" s="94">
        <v>300.0</v>
      </c>
      <c r="L432" s="119">
        <f t="shared" si="987"/>
        <v>7799.5</v>
      </c>
      <c r="M432" s="2">
        <f t="shared" si="1055"/>
        <v>72</v>
      </c>
      <c r="N432" s="12">
        <f t="shared" si="989"/>
        <v>623.96</v>
      </c>
      <c r="O432" s="12">
        <f t="shared" si="990"/>
        <v>779.95</v>
      </c>
      <c r="P432" s="12">
        <f t="shared" si="991"/>
        <v>389.975</v>
      </c>
      <c r="Q432" s="12">
        <f t="shared" si="992"/>
        <v>155.99</v>
      </c>
      <c r="R432" s="12">
        <f t="shared" si="993"/>
        <v>75.6</v>
      </c>
      <c r="S432" s="12">
        <f t="shared" si="994"/>
        <v>77.995</v>
      </c>
      <c r="T432" s="60">
        <f t="shared" si="995"/>
        <v>2099.87</v>
      </c>
      <c r="U432" s="2">
        <f t="shared" si="996"/>
        <v>151.2</v>
      </c>
      <c r="V432" s="42">
        <f t="shared" si="15"/>
        <v>756</v>
      </c>
      <c r="W432" s="2">
        <f t="shared" si="997"/>
        <v>151.2</v>
      </c>
      <c r="X432" s="2">
        <f t="shared" si="998"/>
        <v>1209.6</v>
      </c>
      <c r="Y432" s="2">
        <f t="shared" si="999"/>
        <v>2268</v>
      </c>
      <c r="Z432" s="60">
        <f t="shared" si="1000"/>
        <v>12167.37</v>
      </c>
      <c r="AA432" s="11">
        <f t="shared" si="1001"/>
        <v>2433.474</v>
      </c>
      <c r="AB432" s="12">
        <f t="shared" si="1002"/>
        <v>14600.844</v>
      </c>
      <c r="AC432" s="2">
        <f t="shared" si="1049"/>
        <v>15120</v>
      </c>
      <c r="AD432" s="12">
        <f t="shared" si="1050"/>
        <v>-519.156</v>
      </c>
      <c r="AE432" s="12">
        <f t="shared" si="1051"/>
        <v>-3.555657467</v>
      </c>
      <c r="AF432" s="61">
        <v>15950.0</v>
      </c>
      <c r="AG432" s="62">
        <f t="shared" si="1006"/>
        <v>104.5002885</v>
      </c>
      <c r="AH432" s="63">
        <f t="shared" si="1007"/>
        <v>540</v>
      </c>
      <c r="AI432" s="64">
        <v>17990.0</v>
      </c>
      <c r="AJ432" s="65">
        <v>16490.0</v>
      </c>
      <c r="AK432" s="66">
        <f t="shared" si="1008"/>
        <v>111.4238092</v>
      </c>
      <c r="AL432" s="66"/>
      <c r="AM432" s="14">
        <f t="shared" si="1009"/>
        <v>3.274711947</v>
      </c>
      <c r="AN432" s="67">
        <f t="shared" si="1010"/>
        <v>6.923520739</v>
      </c>
      <c r="AO432" s="68">
        <f t="shared" si="1011"/>
        <v>2.114238092</v>
      </c>
      <c r="AP432" s="69">
        <f t="shared" si="1012"/>
        <v>18.89156</v>
      </c>
      <c r="AQ432" s="70">
        <f t="shared" si="1013"/>
        <v>13.7</v>
      </c>
      <c r="AR432" s="71">
        <f t="shared" ref="AR432:AS432" si="1429">AI432/94</f>
        <v>191.3829787</v>
      </c>
      <c r="AS432" s="71">
        <f t="shared" si="1429"/>
        <v>175.4255319</v>
      </c>
      <c r="AT432" s="72">
        <f t="shared" ref="AT432:AU432" si="1430">AI432/24</f>
        <v>749.5833333</v>
      </c>
      <c r="AU432" s="72">
        <f t="shared" si="1430"/>
        <v>687.0833333</v>
      </c>
      <c r="AV432" s="73">
        <f t="shared" ref="AV432:AW432" si="1431">AI432/125</f>
        <v>143.92</v>
      </c>
      <c r="AW432" s="73">
        <f t="shared" si="1431"/>
        <v>131.92</v>
      </c>
    </row>
    <row r="433" ht="15.75" customHeight="1">
      <c r="A433" s="2"/>
      <c r="B433" s="2" t="s">
        <v>860</v>
      </c>
      <c r="C433" s="2" t="s">
        <v>861</v>
      </c>
      <c r="D433" s="206">
        <v>9000.0</v>
      </c>
      <c r="E433" s="2">
        <v>190.0</v>
      </c>
      <c r="F433" s="1">
        <v>100.0</v>
      </c>
      <c r="G433" s="10">
        <v>8.3061E7</v>
      </c>
      <c r="H433" s="59">
        <v>0.05</v>
      </c>
      <c r="I433" s="2">
        <f t="shared" si="1292"/>
        <v>9.5</v>
      </c>
      <c r="K433" s="94">
        <v>300.0</v>
      </c>
      <c r="L433" s="119">
        <f t="shared" si="987"/>
        <v>9599.5</v>
      </c>
      <c r="M433" s="2">
        <f t="shared" si="1055"/>
        <v>90</v>
      </c>
      <c r="N433" s="12">
        <f t="shared" si="989"/>
        <v>767.96</v>
      </c>
      <c r="O433" s="12">
        <f t="shared" si="990"/>
        <v>959.95</v>
      </c>
      <c r="P433" s="12">
        <f t="shared" si="991"/>
        <v>479.975</v>
      </c>
      <c r="Q433" s="12">
        <f t="shared" si="992"/>
        <v>191.99</v>
      </c>
      <c r="R433" s="12">
        <f t="shared" si="993"/>
        <v>94.5</v>
      </c>
      <c r="S433" s="12">
        <f t="shared" si="994"/>
        <v>95.995</v>
      </c>
      <c r="T433" s="60">
        <f t="shared" si="995"/>
        <v>2585.87</v>
      </c>
      <c r="U433" s="2">
        <f t="shared" si="996"/>
        <v>189</v>
      </c>
      <c r="V433" s="42">
        <f t="shared" si="15"/>
        <v>945</v>
      </c>
      <c r="W433" s="2">
        <f t="shared" si="997"/>
        <v>189</v>
      </c>
      <c r="X433" s="2">
        <f t="shared" si="998"/>
        <v>1512</v>
      </c>
      <c r="Y433" s="2">
        <f t="shared" si="999"/>
        <v>2835</v>
      </c>
      <c r="Z433" s="60">
        <f t="shared" si="1000"/>
        <v>15020.37</v>
      </c>
      <c r="AA433" s="11">
        <f t="shared" si="1001"/>
        <v>3004.074</v>
      </c>
      <c r="AB433" s="12">
        <f t="shared" si="1002"/>
        <v>18024.444</v>
      </c>
      <c r="AC433" s="2">
        <f t="shared" si="1049"/>
        <v>18900</v>
      </c>
      <c r="AD433" s="12">
        <f t="shared" si="1050"/>
        <v>-875.556</v>
      </c>
      <c r="AE433" s="12">
        <f t="shared" si="1051"/>
        <v>-4.857603375</v>
      </c>
      <c r="AF433" s="61">
        <v>18950.0</v>
      </c>
      <c r="AG433" s="62">
        <f t="shared" si="1006"/>
        <v>97.4061149</v>
      </c>
      <c r="AH433" s="63">
        <f t="shared" si="1007"/>
        <v>1040</v>
      </c>
      <c r="AI433" s="65">
        <v>21990.0</v>
      </c>
      <c r="AJ433" s="65">
        <v>19990.0</v>
      </c>
      <c r="AK433" s="66">
        <f t="shared" si="1008"/>
        <v>108.2400125</v>
      </c>
      <c r="AL433" s="66"/>
      <c r="AM433" s="14">
        <f t="shared" si="1009"/>
        <v>5.202601301</v>
      </c>
      <c r="AN433" s="67">
        <f t="shared" si="1010"/>
        <v>10.8338976</v>
      </c>
      <c r="AO433" s="68">
        <f t="shared" si="1011"/>
        <v>2.082400125</v>
      </c>
      <c r="AP433" s="69">
        <f t="shared" si="1012"/>
        <v>19.65556</v>
      </c>
      <c r="AQ433" s="70">
        <f t="shared" si="1013"/>
        <v>10.9</v>
      </c>
      <c r="AR433" s="71">
        <f t="shared" ref="AR433:AS433" si="1432">AI433/94</f>
        <v>233.9361702</v>
      </c>
      <c r="AS433" s="71">
        <f t="shared" si="1432"/>
        <v>212.6595745</v>
      </c>
      <c r="AT433" s="72">
        <f t="shared" ref="AT433:AU433" si="1433">AI433/24</f>
        <v>916.25</v>
      </c>
      <c r="AU433" s="72">
        <f t="shared" si="1433"/>
        <v>832.9166667</v>
      </c>
      <c r="AV433" s="73">
        <f t="shared" ref="AV433:AW433" si="1434">AI433/125</f>
        <v>175.92</v>
      </c>
      <c r="AW433" s="73">
        <f t="shared" si="1434"/>
        <v>159.92</v>
      </c>
    </row>
    <row r="434" ht="15.75" customHeight="1">
      <c r="A434" s="2"/>
      <c r="B434" s="2" t="s">
        <v>862</v>
      </c>
      <c r="C434" s="2" t="s">
        <v>863</v>
      </c>
      <c r="D434" s="206">
        <v>12600.0</v>
      </c>
      <c r="E434" s="2">
        <v>190.0</v>
      </c>
      <c r="F434" s="1">
        <v>100.0</v>
      </c>
      <c r="G434" s="10">
        <v>8.3061E7</v>
      </c>
      <c r="H434" s="59">
        <v>0.05</v>
      </c>
      <c r="I434" s="2">
        <f t="shared" si="1292"/>
        <v>9.5</v>
      </c>
      <c r="K434" s="94">
        <v>300.0</v>
      </c>
      <c r="L434" s="119">
        <f t="shared" si="987"/>
        <v>13199.5</v>
      </c>
      <c r="M434" s="2">
        <f t="shared" si="1055"/>
        <v>126</v>
      </c>
      <c r="N434" s="12">
        <f t="shared" si="989"/>
        <v>1055.96</v>
      </c>
      <c r="O434" s="12">
        <f t="shared" si="990"/>
        <v>1319.95</v>
      </c>
      <c r="P434" s="12">
        <f t="shared" si="991"/>
        <v>659.975</v>
      </c>
      <c r="Q434" s="12">
        <f t="shared" si="992"/>
        <v>263.99</v>
      </c>
      <c r="R434" s="12">
        <f t="shared" si="993"/>
        <v>132.3</v>
      </c>
      <c r="S434" s="12">
        <f t="shared" si="994"/>
        <v>131.995</v>
      </c>
      <c r="T434" s="60">
        <f t="shared" si="995"/>
        <v>3557.87</v>
      </c>
      <c r="U434" s="2">
        <f t="shared" si="996"/>
        <v>264.6</v>
      </c>
      <c r="V434" s="42">
        <f t="shared" si="15"/>
        <v>1323</v>
      </c>
      <c r="W434" s="2">
        <f t="shared" si="997"/>
        <v>264.6</v>
      </c>
      <c r="X434" s="2">
        <f t="shared" si="998"/>
        <v>2116.8</v>
      </c>
      <c r="Y434" s="2">
        <f t="shared" si="999"/>
        <v>3969</v>
      </c>
      <c r="Z434" s="60">
        <f t="shared" si="1000"/>
        <v>20726.37</v>
      </c>
      <c r="AA434" s="11">
        <f t="shared" si="1001"/>
        <v>4145.274</v>
      </c>
      <c r="AB434" s="12">
        <f t="shared" si="1002"/>
        <v>24871.644</v>
      </c>
      <c r="AC434" s="2">
        <f t="shared" si="1049"/>
        <v>26460</v>
      </c>
      <c r="AD434" s="12">
        <f t="shared" si="1050"/>
        <v>-1588.356</v>
      </c>
      <c r="AE434" s="12">
        <f t="shared" si="1051"/>
        <v>-6.386212347</v>
      </c>
      <c r="AF434" s="61">
        <v>23250.0</v>
      </c>
      <c r="AG434" s="62">
        <f t="shared" si="1006"/>
        <v>76.14303572</v>
      </c>
      <c r="AH434" s="63">
        <f t="shared" si="1007"/>
        <v>1240</v>
      </c>
      <c r="AI434" s="65">
        <v>25990.0</v>
      </c>
      <c r="AJ434" s="65">
        <v>24490.0</v>
      </c>
      <c r="AK434" s="66">
        <f t="shared" si="1008"/>
        <v>85.53733096</v>
      </c>
      <c r="AL434" s="66"/>
      <c r="AM434" s="14">
        <f t="shared" si="1009"/>
        <v>5.063291139</v>
      </c>
      <c r="AN434" s="67">
        <f t="shared" si="1010"/>
        <v>9.394295238</v>
      </c>
      <c r="AO434" s="68">
        <f t="shared" si="1011"/>
        <v>1.85537331</v>
      </c>
      <c r="AP434" s="69">
        <f t="shared" si="1012"/>
        <v>-3.81644</v>
      </c>
      <c r="AQ434" s="70">
        <f t="shared" si="1013"/>
        <v>-19.7</v>
      </c>
      <c r="AR434" s="71">
        <f t="shared" ref="AR434:AS434" si="1435">AI434/94</f>
        <v>276.4893617</v>
      </c>
      <c r="AS434" s="71">
        <f t="shared" si="1435"/>
        <v>260.5319149</v>
      </c>
      <c r="AT434" s="72">
        <f t="shared" ref="AT434:AU434" si="1436">AI434/24</f>
        <v>1082.916667</v>
      </c>
      <c r="AU434" s="72">
        <f t="shared" si="1436"/>
        <v>1020.416667</v>
      </c>
      <c r="AV434" s="73">
        <f t="shared" ref="AV434:AW434" si="1437">AI434/125</f>
        <v>207.92</v>
      </c>
      <c r="AW434" s="73">
        <f t="shared" si="1437"/>
        <v>195.92</v>
      </c>
    </row>
    <row r="435" ht="15.75" customHeight="1">
      <c r="A435" s="2"/>
      <c r="B435" s="2" t="s">
        <v>864</v>
      </c>
      <c r="C435" s="2" t="s">
        <v>865</v>
      </c>
      <c r="D435" s="206">
        <v>15120.0</v>
      </c>
      <c r="E435" s="2">
        <v>350.0</v>
      </c>
      <c r="F435" s="1">
        <v>100.0</v>
      </c>
      <c r="G435" s="10">
        <v>8.3061E7</v>
      </c>
      <c r="H435" s="59">
        <v>0.05</v>
      </c>
      <c r="I435" s="2">
        <f t="shared" si="1292"/>
        <v>17.5</v>
      </c>
      <c r="K435" s="94">
        <v>300.0</v>
      </c>
      <c r="L435" s="119">
        <f t="shared" si="987"/>
        <v>15887.5</v>
      </c>
      <c r="M435" s="2">
        <f t="shared" si="1055"/>
        <v>151.2</v>
      </c>
      <c r="N435" s="12">
        <f t="shared" si="989"/>
        <v>1271</v>
      </c>
      <c r="O435" s="12">
        <f t="shared" si="990"/>
        <v>1588.75</v>
      </c>
      <c r="P435" s="12">
        <f t="shared" si="991"/>
        <v>794.375</v>
      </c>
      <c r="Q435" s="12">
        <f t="shared" si="992"/>
        <v>317.75</v>
      </c>
      <c r="R435" s="12">
        <f t="shared" si="993"/>
        <v>158.76</v>
      </c>
      <c r="S435" s="12">
        <f t="shared" si="994"/>
        <v>158.875</v>
      </c>
      <c r="T435" s="60">
        <f t="shared" si="995"/>
        <v>4281.95</v>
      </c>
      <c r="U435" s="2">
        <f t="shared" si="996"/>
        <v>317.52</v>
      </c>
      <c r="V435" s="42">
        <f t="shared" si="15"/>
        <v>1587.6</v>
      </c>
      <c r="W435" s="2">
        <f t="shared" si="997"/>
        <v>317.52</v>
      </c>
      <c r="X435" s="2">
        <f t="shared" si="998"/>
        <v>2540.16</v>
      </c>
      <c r="Y435" s="2">
        <f t="shared" si="999"/>
        <v>4762.8</v>
      </c>
      <c r="Z435" s="60">
        <f t="shared" si="1000"/>
        <v>24932.25</v>
      </c>
      <c r="AA435" s="11">
        <f t="shared" si="1001"/>
        <v>4986.45</v>
      </c>
      <c r="AB435" s="12">
        <f t="shared" si="1002"/>
        <v>29918.7</v>
      </c>
      <c r="AC435" s="2">
        <f t="shared" si="1049"/>
        <v>31752</v>
      </c>
      <c r="AD435" s="12">
        <f t="shared" si="1050"/>
        <v>-1833.3</v>
      </c>
      <c r="AE435" s="12">
        <f t="shared" si="1051"/>
        <v>-6.127605812</v>
      </c>
      <c r="AF435" s="61">
        <v>27690.0</v>
      </c>
      <c r="AG435" s="62">
        <f t="shared" si="1006"/>
        <v>74.28796223</v>
      </c>
      <c r="AH435" s="63">
        <f t="shared" si="1007"/>
        <v>1300</v>
      </c>
      <c r="AI435" s="65">
        <v>31990.0</v>
      </c>
      <c r="AJ435" s="65">
        <v>28990.0</v>
      </c>
      <c r="AK435" s="66">
        <f t="shared" si="1008"/>
        <v>82.47049567</v>
      </c>
      <c r="AL435" s="66"/>
      <c r="AM435" s="14">
        <f t="shared" si="1009"/>
        <v>4.484304933</v>
      </c>
      <c r="AN435" s="67">
        <f t="shared" si="1010"/>
        <v>8.182533438</v>
      </c>
      <c r="AO435" s="68">
        <f t="shared" si="1011"/>
        <v>1.824704957</v>
      </c>
      <c r="AP435" s="69">
        <f t="shared" si="1012"/>
        <v>-9.287</v>
      </c>
      <c r="AQ435" s="70">
        <f t="shared" si="1013"/>
        <v>-27.62</v>
      </c>
      <c r="AR435" s="71">
        <f t="shared" ref="AR435:AS435" si="1438">AI435/94</f>
        <v>340.3191489</v>
      </c>
      <c r="AS435" s="71">
        <f t="shared" si="1438"/>
        <v>308.4042553</v>
      </c>
      <c r="AT435" s="72">
        <f t="shared" ref="AT435:AU435" si="1439">AI435/24</f>
        <v>1332.916667</v>
      </c>
      <c r="AU435" s="72">
        <f t="shared" si="1439"/>
        <v>1207.916667</v>
      </c>
      <c r="AV435" s="73">
        <f t="shared" ref="AV435:AW435" si="1440">AI435/125</f>
        <v>255.92</v>
      </c>
      <c r="AW435" s="73">
        <f t="shared" si="1440"/>
        <v>231.92</v>
      </c>
    </row>
    <row r="436" ht="15.75" customHeight="1">
      <c r="A436" s="2"/>
      <c r="B436" s="2" t="s">
        <v>866</v>
      </c>
      <c r="C436" s="2" t="s">
        <v>867</v>
      </c>
      <c r="D436" s="206">
        <v>19800.0</v>
      </c>
      <c r="E436" s="2">
        <v>350.0</v>
      </c>
      <c r="F436" s="1">
        <v>100.0</v>
      </c>
      <c r="G436" s="10">
        <v>8.3061E7</v>
      </c>
      <c r="H436" s="59">
        <v>0.05</v>
      </c>
      <c r="I436" s="2">
        <f t="shared" si="1292"/>
        <v>17.5</v>
      </c>
      <c r="K436" s="94">
        <v>300.0</v>
      </c>
      <c r="L436" s="119">
        <f t="shared" si="987"/>
        <v>20567.5</v>
      </c>
      <c r="M436" s="2">
        <f t="shared" si="1055"/>
        <v>198</v>
      </c>
      <c r="N436" s="12">
        <f t="shared" si="989"/>
        <v>1645.4</v>
      </c>
      <c r="O436" s="12">
        <f t="shared" si="990"/>
        <v>2056.75</v>
      </c>
      <c r="P436" s="12">
        <f t="shared" si="991"/>
        <v>1028.375</v>
      </c>
      <c r="Q436" s="12">
        <f t="shared" si="992"/>
        <v>411.35</v>
      </c>
      <c r="R436" s="12">
        <f t="shared" si="993"/>
        <v>207.9</v>
      </c>
      <c r="S436" s="12">
        <f t="shared" si="994"/>
        <v>205.675</v>
      </c>
      <c r="T436" s="60">
        <f t="shared" si="995"/>
        <v>5545.55</v>
      </c>
      <c r="U436" s="2">
        <f t="shared" si="996"/>
        <v>415.8</v>
      </c>
      <c r="V436" s="42">
        <f t="shared" si="15"/>
        <v>2079</v>
      </c>
      <c r="W436" s="2">
        <f t="shared" si="997"/>
        <v>415.8</v>
      </c>
      <c r="X436" s="2">
        <f t="shared" si="998"/>
        <v>3326.4</v>
      </c>
      <c r="Y436" s="2">
        <f t="shared" si="999"/>
        <v>6237</v>
      </c>
      <c r="Z436" s="60">
        <f t="shared" si="1000"/>
        <v>32350.05</v>
      </c>
      <c r="AA436" s="11">
        <f t="shared" si="1001"/>
        <v>6470.01</v>
      </c>
      <c r="AB436" s="12">
        <f t="shared" si="1002"/>
        <v>38820.06</v>
      </c>
      <c r="AC436" s="2">
        <f t="shared" si="1049"/>
        <v>41580</v>
      </c>
      <c r="AD436" s="12">
        <f t="shared" si="1050"/>
        <v>-2759.94</v>
      </c>
      <c r="AE436" s="12">
        <f t="shared" si="1051"/>
        <v>-7.109571701</v>
      </c>
      <c r="AF436" s="61">
        <v>32950.0</v>
      </c>
      <c r="AG436" s="62">
        <f t="shared" si="1006"/>
        <v>60.20420566</v>
      </c>
      <c r="AH436" s="63">
        <f t="shared" si="1007"/>
        <v>1040</v>
      </c>
      <c r="AI436" s="65">
        <v>37990.0</v>
      </c>
      <c r="AJ436" s="65">
        <v>33990.0</v>
      </c>
      <c r="AK436" s="66">
        <f t="shared" si="1008"/>
        <v>65.26072687</v>
      </c>
      <c r="AL436" s="66"/>
      <c r="AM436" s="14">
        <f t="shared" si="1009"/>
        <v>3.059723448</v>
      </c>
      <c r="AN436" s="67">
        <f t="shared" si="1010"/>
        <v>5.056521211</v>
      </c>
      <c r="AO436" s="68">
        <f t="shared" si="1011"/>
        <v>1.652607269</v>
      </c>
      <c r="AP436" s="69">
        <f t="shared" si="1012"/>
        <v>-48.3006</v>
      </c>
      <c r="AQ436" s="70">
        <f t="shared" si="1013"/>
        <v>-75.9</v>
      </c>
      <c r="AR436" s="71">
        <f t="shared" ref="AR436:AS436" si="1441">AI436/94</f>
        <v>404.1489362</v>
      </c>
      <c r="AS436" s="71">
        <f t="shared" si="1441"/>
        <v>361.5957447</v>
      </c>
      <c r="AT436" s="72">
        <f t="shared" ref="AT436:AU436" si="1442">AI436/24</f>
        <v>1582.916667</v>
      </c>
      <c r="AU436" s="72">
        <f t="shared" si="1442"/>
        <v>1416.25</v>
      </c>
      <c r="AV436" s="73">
        <f t="shared" ref="AV436:AW436" si="1443">AI436/125</f>
        <v>303.92</v>
      </c>
      <c r="AW436" s="73">
        <f t="shared" si="1443"/>
        <v>271.92</v>
      </c>
    </row>
    <row r="437" ht="15.75" customHeight="1">
      <c r="A437" s="2"/>
      <c r="B437" s="2" t="s">
        <v>868</v>
      </c>
      <c r="C437" s="2" t="s">
        <v>869</v>
      </c>
      <c r="D437" s="206">
        <v>25200.0</v>
      </c>
      <c r="E437" s="2">
        <v>350.0</v>
      </c>
      <c r="F437" s="1">
        <v>100.0</v>
      </c>
      <c r="G437" s="10">
        <v>8.3061E7</v>
      </c>
      <c r="H437" s="59">
        <v>0.05</v>
      </c>
      <c r="I437" s="2">
        <f t="shared" si="1292"/>
        <v>17.5</v>
      </c>
      <c r="K437" s="94">
        <v>300.0</v>
      </c>
      <c r="L437" s="119">
        <f t="shared" si="987"/>
        <v>25967.5</v>
      </c>
      <c r="M437" s="2">
        <f t="shared" si="1055"/>
        <v>252</v>
      </c>
      <c r="N437" s="12">
        <f t="shared" si="989"/>
        <v>2077.4</v>
      </c>
      <c r="O437" s="12">
        <f t="shared" si="990"/>
        <v>2596.75</v>
      </c>
      <c r="P437" s="12">
        <f t="shared" si="991"/>
        <v>1298.375</v>
      </c>
      <c r="Q437" s="12">
        <f t="shared" si="992"/>
        <v>519.35</v>
      </c>
      <c r="R437" s="12">
        <f t="shared" si="993"/>
        <v>264.6</v>
      </c>
      <c r="S437" s="12">
        <f t="shared" si="994"/>
        <v>259.675</v>
      </c>
      <c r="T437" s="60">
        <f t="shared" si="995"/>
        <v>7003.55</v>
      </c>
      <c r="U437" s="2">
        <f t="shared" si="996"/>
        <v>529.2</v>
      </c>
      <c r="V437" s="42">
        <f t="shared" si="15"/>
        <v>2646</v>
      </c>
      <c r="W437" s="2">
        <f t="shared" si="997"/>
        <v>529.2</v>
      </c>
      <c r="X437" s="2">
        <f t="shared" si="998"/>
        <v>4233.6</v>
      </c>
      <c r="Y437" s="2">
        <f t="shared" si="999"/>
        <v>7938</v>
      </c>
      <c r="Z437" s="60">
        <f t="shared" si="1000"/>
        <v>40909.05</v>
      </c>
      <c r="AA437" s="11">
        <f t="shared" si="1001"/>
        <v>8181.81</v>
      </c>
      <c r="AB437" s="12">
        <f t="shared" si="1002"/>
        <v>49090.86</v>
      </c>
      <c r="AC437" s="2">
        <f t="shared" si="1049"/>
        <v>52920</v>
      </c>
      <c r="AD437" s="12">
        <f t="shared" si="1050"/>
        <v>-3829.14</v>
      </c>
      <c r="AE437" s="12">
        <f t="shared" si="1051"/>
        <v>-7.8001078</v>
      </c>
      <c r="AF437" s="61">
        <v>37950.0</v>
      </c>
      <c r="AG437" s="62">
        <f t="shared" si="1006"/>
        <v>46.14421873</v>
      </c>
      <c r="AH437" s="63">
        <f t="shared" si="1007"/>
        <v>1040</v>
      </c>
      <c r="AI437" s="65">
        <v>40990.0</v>
      </c>
      <c r="AJ437" s="65">
        <v>38990.0</v>
      </c>
      <c r="AK437" s="66">
        <f t="shared" si="1008"/>
        <v>50.14922499</v>
      </c>
      <c r="AL437" s="66"/>
      <c r="AM437" s="14">
        <f t="shared" si="1009"/>
        <v>2.667350603</v>
      </c>
      <c r="AN437" s="67">
        <f t="shared" si="1010"/>
        <v>4.005006258</v>
      </c>
      <c r="AO437" s="68">
        <f t="shared" si="1011"/>
        <v>1.50149225</v>
      </c>
      <c r="AP437" s="69">
        <f t="shared" si="1012"/>
        <v>-101.0086</v>
      </c>
      <c r="AQ437" s="70">
        <f t="shared" si="1013"/>
        <v>-139.3</v>
      </c>
      <c r="AR437" s="71">
        <f t="shared" ref="AR437:AS437" si="1444">AI437/94</f>
        <v>436.0638298</v>
      </c>
      <c r="AS437" s="71">
        <f t="shared" si="1444"/>
        <v>414.787234</v>
      </c>
      <c r="AT437" s="72">
        <f t="shared" ref="AT437:AU437" si="1445">AI437/24</f>
        <v>1707.916667</v>
      </c>
      <c r="AU437" s="72">
        <f t="shared" si="1445"/>
        <v>1624.583333</v>
      </c>
      <c r="AV437" s="73">
        <f t="shared" ref="AV437:AW437" si="1446">AI437/125</f>
        <v>327.92</v>
      </c>
      <c r="AW437" s="73">
        <f t="shared" si="1446"/>
        <v>311.92</v>
      </c>
    </row>
    <row r="438" ht="15.75" customHeight="1">
      <c r="A438" s="189"/>
      <c r="B438" s="189" t="s">
        <v>870</v>
      </c>
      <c r="C438" s="189" t="s">
        <v>871</v>
      </c>
      <c r="D438" s="208">
        <v>36550.0</v>
      </c>
      <c r="E438" s="189">
        <v>350.0</v>
      </c>
      <c r="F438" s="191">
        <v>100.0</v>
      </c>
      <c r="G438" s="192">
        <v>8.3061E7</v>
      </c>
      <c r="H438" s="193">
        <v>0.05</v>
      </c>
      <c r="I438" s="189">
        <f t="shared" si="1292"/>
        <v>17.5</v>
      </c>
      <c r="J438" s="194"/>
      <c r="K438" s="195">
        <v>300.0</v>
      </c>
      <c r="L438" s="196">
        <f t="shared" si="987"/>
        <v>37317.5</v>
      </c>
      <c r="M438" s="189">
        <f t="shared" si="1055"/>
        <v>365.5</v>
      </c>
      <c r="N438" s="197">
        <f t="shared" si="989"/>
        <v>2985.4</v>
      </c>
      <c r="O438" s="197">
        <f t="shared" si="990"/>
        <v>3731.75</v>
      </c>
      <c r="P438" s="197">
        <f t="shared" si="991"/>
        <v>1865.875</v>
      </c>
      <c r="Q438" s="197">
        <f t="shared" si="992"/>
        <v>746.35</v>
      </c>
      <c r="R438" s="197">
        <f t="shared" si="993"/>
        <v>383.775</v>
      </c>
      <c r="S438" s="197">
        <f t="shared" si="994"/>
        <v>373.175</v>
      </c>
      <c r="T438" s="198">
        <f t="shared" si="995"/>
        <v>10068.05</v>
      </c>
      <c r="U438" s="189">
        <f t="shared" si="996"/>
        <v>767.55</v>
      </c>
      <c r="V438" s="42">
        <f t="shared" si="15"/>
        <v>3837.75</v>
      </c>
      <c r="W438" s="189">
        <f t="shared" si="997"/>
        <v>767.55</v>
      </c>
      <c r="X438" s="189">
        <f t="shared" si="998"/>
        <v>6140.4</v>
      </c>
      <c r="Y438" s="189">
        <f t="shared" si="999"/>
        <v>11513.25</v>
      </c>
      <c r="Z438" s="198">
        <f t="shared" si="1000"/>
        <v>58898.8</v>
      </c>
      <c r="AA438" s="199">
        <f t="shared" si="1001"/>
        <v>11779.76</v>
      </c>
      <c r="AB438" s="197">
        <f t="shared" si="1002"/>
        <v>70678.56</v>
      </c>
      <c r="AC438" s="189">
        <f t="shared" si="1049"/>
        <v>76755</v>
      </c>
      <c r="AD438" s="197">
        <f t="shared" si="1050"/>
        <v>-6076.44</v>
      </c>
      <c r="AE438" s="197">
        <f t="shared" si="1051"/>
        <v>-8.597288909</v>
      </c>
      <c r="AF438" s="194">
        <v>42950.0</v>
      </c>
      <c r="AG438" s="200">
        <f t="shared" si="1006"/>
        <v>15.09345481</v>
      </c>
      <c r="AH438" s="201">
        <f t="shared" si="1007"/>
        <v>1540</v>
      </c>
      <c r="AI438" s="209">
        <v>49990.0</v>
      </c>
      <c r="AJ438" s="209">
        <v>44490.0</v>
      </c>
      <c r="AK438" s="202">
        <f t="shared" si="1008"/>
        <v>19.220205</v>
      </c>
      <c r="AL438" s="202"/>
      <c r="AM438" s="202">
        <f t="shared" si="1009"/>
        <v>3.461452012</v>
      </c>
      <c r="AN438" s="202">
        <f t="shared" si="1010"/>
        <v>4.126750184</v>
      </c>
      <c r="AO438" s="203">
        <f t="shared" si="1011"/>
        <v>1.19220205</v>
      </c>
      <c r="AP438" s="202">
        <f t="shared" si="1012"/>
        <v>-261.8856</v>
      </c>
      <c r="AQ438" s="202">
        <f t="shared" si="1013"/>
        <v>-322.65</v>
      </c>
      <c r="AR438" s="204">
        <f t="shared" ref="AR438:AS438" si="1447">AI438/94</f>
        <v>531.8085106</v>
      </c>
      <c r="AS438" s="204">
        <f t="shared" si="1447"/>
        <v>473.2978723</v>
      </c>
      <c r="AT438" s="205">
        <f t="shared" ref="AT438:AU438" si="1448">AI438/24</f>
        <v>2082.916667</v>
      </c>
      <c r="AU438" s="205">
        <f t="shared" si="1448"/>
        <v>1853.75</v>
      </c>
      <c r="AV438" s="205">
        <f t="shared" ref="AV438:AW438" si="1449">AI438/125</f>
        <v>399.92</v>
      </c>
      <c r="AW438" s="205">
        <f t="shared" si="1449"/>
        <v>355.92</v>
      </c>
      <c r="AX438" s="194"/>
      <c r="AY438" s="194"/>
    </row>
    <row r="439" ht="15.75" customHeight="1">
      <c r="A439" s="2"/>
      <c r="B439" s="2" t="s">
        <v>872</v>
      </c>
      <c r="C439" s="75" t="s">
        <v>873</v>
      </c>
      <c r="D439" s="206">
        <v>5400.0</v>
      </c>
      <c r="E439" s="2">
        <v>190.0</v>
      </c>
      <c r="F439" s="1">
        <v>100.0</v>
      </c>
      <c r="G439" s="10">
        <v>8.3061E7</v>
      </c>
      <c r="H439" s="59">
        <v>0.05</v>
      </c>
      <c r="I439" s="2">
        <f t="shared" si="1292"/>
        <v>9.5</v>
      </c>
      <c r="K439" s="94">
        <v>300.0</v>
      </c>
      <c r="L439" s="119">
        <f t="shared" si="987"/>
        <v>5999.5</v>
      </c>
      <c r="M439" s="2">
        <f t="shared" si="1055"/>
        <v>54</v>
      </c>
      <c r="N439" s="12">
        <f t="shared" si="989"/>
        <v>479.96</v>
      </c>
      <c r="O439" s="12">
        <f t="shared" si="990"/>
        <v>599.95</v>
      </c>
      <c r="P439" s="12">
        <f t="shared" si="991"/>
        <v>299.975</v>
      </c>
      <c r="Q439" s="12">
        <f t="shared" si="992"/>
        <v>119.99</v>
      </c>
      <c r="R439" s="12">
        <f t="shared" si="993"/>
        <v>56.7</v>
      </c>
      <c r="S439" s="12">
        <f t="shared" si="994"/>
        <v>59.995</v>
      </c>
      <c r="T439" s="60">
        <f t="shared" si="995"/>
        <v>1613.87</v>
      </c>
      <c r="U439" s="2">
        <f t="shared" si="996"/>
        <v>113.4</v>
      </c>
      <c r="V439" s="42">
        <f t="shared" si="15"/>
        <v>567</v>
      </c>
      <c r="W439" s="2">
        <f t="shared" si="997"/>
        <v>113.4</v>
      </c>
      <c r="X439" s="2">
        <f t="shared" si="998"/>
        <v>907.2</v>
      </c>
      <c r="Y439" s="2">
        <f t="shared" si="999"/>
        <v>1701</v>
      </c>
      <c r="Z439" s="60">
        <f t="shared" si="1000"/>
        <v>9314.37</v>
      </c>
      <c r="AA439" s="11">
        <f t="shared" si="1001"/>
        <v>1862.874</v>
      </c>
      <c r="AB439" s="12">
        <f t="shared" si="1002"/>
        <v>11177.244</v>
      </c>
      <c r="AC439" s="2">
        <f t="shared" si="1049"/>
        <v>11340</v>
      </c>
      <c r="AD439" s="12">
        <f t="shared" si="1050"/>
        <v>-162.756</v>
      </c>
      <c r="AE439" s="12">
        <f t="shared" si="1051"/>
        <v>-1.45613713</v>
      </c>
      <c r="AG439" s="62">
        <f t="shared" si="1006"/>
        <v>-100</v>
      </c>
      <c r="AH439" s="63">
        <f t="shared" si="1007"/>
        <v>12990</v>
      </c>
      <c r="AI439" s="64">
        <v>13990.0</v>
      </c>
      <c r="AJ439" s="65">
        <v>12990.0</v>
      </c>
      <c r="AK439" s="66">
        <f t="shared" si="1008"/>
        <v>116.5180432</v>
      </c>
      <c r="AL439" s="66"/>
      <c r="AM439" s="14">
        <f t="shared" si="1009"/>
        <v>100</v>
      </c>
      <c r="AN439" s="67">
        <f t="shared" si="1010"/>
        <v>216.5180432</v>
      </c>
      <c r="AO439" s="68">
        <f t="shared" si="1011"/>
        <v>2.165180432</v>
      </c>
      <c r="AP439" s="69">
        <f t="shared" si="1012"/>
        <v>18.12756</v>
      </c>
      <c r="AQ439" s="70">
        <f t="shared" si="1013"/>
        <v>16.5</v>
      </c>
      <c r="AR439" s="71">
        <f t="shared" ref="AR439:AS439" si="1450">AI439/94</f>
        <v>148.8297872</v>
      </c>
      <c r="AS439" s="71">
        <f t="shared" si="1450"/>
        <v>138.1914894</v>
      </c>
      <c r="AT439" s="72">
        <f t="shared" ref="AT439:AU439" si="1451">AI439/24</f>
        <v>582.9166667</v>
      </c>
      <c r="AU439" s="72">
        <f t="shared" si="1451"/>
        <v>541.25</v>
      </c>
      <c r="AV439" s="73">
        <f t="shared" ref="AV439:AW439" si="1452">AI439/125</f>
        <v>111.92</v>
      </c>
      <c r="AW439" s="73">
        <f t="shared" si="1452"/>
        <v>103.92</v>
      </c>
    </row>
    <row r="440" ht="15.75" customHeight="1">
      <c r="A440" s="2"/>
      <c r="B440" s="2" t="s">
        <v>874</v>
      </c>
      <c r="C440" s="75" t="s">
        <v>875</v>
      </c>
      <c r="D440" s="206">
        <v>7200.0</v>
      </c>
      <c r="E440" s="2">
        <v>190.0</v>
      </c>
      <c r="F440" s="1">
        <v>100.0</v>
      </c>
      <c r="G440" s="10">
        <v>8.3061E7</v>
      </c>
      <c r="H440" s="59">
        <v>0.05</v>
      </c>
      <c r="I440" s="2">
        <f t="shared" si="1292"/>
        <v>9.5</v>
      </c>
      <c r="K440" s="94">
        <v>300.0</v>
      </c>
      <c r="L440" s="119">
        <f t="shared" si="987"/>
        <v>7799.5</v>
      </c>
      <c r="M440" s="2">
        <f t="shared" si="1055"/>
        <v>72</v>
      </c>
      <c r="N440" s="12">
        <f t="shared" si="989"/>
        <v>623.96</v>
      </c>
      <c r="O440" s="12">
        <f t="shared" si="990"/>
        <v>779.95</v>
      </c>
      <c r="P440" s="12">
        <f t="shared" si="991"/>
        <v>389.975</v>
      </c>
      <c r="Q440" s="12">
        <f t="shared" si="992"/>
        <v>155.99</v>
      </c>
      <c r="R440" s="12">
        <f t="shared" si="993"/>
        <v>75.6</v>
      </c>
      <c r="S440" s="12">
        <f t="shared" si="994"/>
        <v>77.995</v>
      </c>
      <c r="T440" s="60">
        <f t="shared" si="995"/>
        <v>2099.87</v>
      </c>
      <c r="U440" s="2">
        <f t="shared" si="996"/>
        <v>151.2</v>
      </c>
      <c r="V440" s="42">
        <f t="shared" si="15"/>
        <v>756</v>
      </c>
      <c r="W440" s="2">
        <f t="shared" si="997"/>
        <v>151.2</v>
      </c>
      <c r="X440" s="2">
        <f t="shared" si="998"/>
        <v>1209.6</v>
      </c>
      <c r="Y440" s="2">
        <f t="shared" si="999"/>
        <v>2268</v>
      </c>
      <c r="Z440" s="60">
        <f t="shared" si="1000"/>
        <v>12167.37</v>
      </c>
      <c r="AA440" s="11">
        <f t="shared" si="1001"/>
        <v>2433.474</v>
      </c>
      <c r="AB440" s="12">
        <f t="shared" si="1002"/>
        <v>14600.844</v>
      </c>
      <c r="AC440" s="2">
        <f t="shared" si="1049"/>
        <v>15120</v>
      </c>
      <c r="AD440" s="12">
        <f t="shared" si="1050"/>
        <v>-519.156</v>
      </c>
      <c r="AE440" s="12">
        <f t="shared" si="1051"/>
        <v>-3.555657467</v>
      </c>
      <c r="AG440" s="62">
        <f t="shared" si="1006"/>
        <v>-100</v>
      </c>
      <c r="AH440" s="63">
        <f t="shared" si="1007"/>
        <v>16490</v>
      </c>
      <c r="AI440" s="64">
        <v>17990.0</v>
      </c>
      <c r="AJ440" s="65">
        <v>16490.0</v>
      </c>
      <c r="AK440" s="66">
        <f t="shared" si="1008"/>
        <v>111.4238092</v>
      </c>
      <c r="AL440" s="66"/>
      <c r="AM440" s="14">
        <f t="shared" si="1009"/>
        <v>100</v>
      </c>
      <c r="AN440" s="67">
        <f t="shared" si="1010"/>
        <v>211.4238092</v>
      </c>
      <c r="AO440" s="68">
        <f t="shared" si="1011"/>
        <v>2.114238092</v>
      </c>
      <c r="AP440" s="69">
        <f t="shared" si="1012"/>
        <v>18.89156</v>
      </c>
      <c r="AQ440" s="70">
        <f t="shared" si="1013"/>
        <v>13.7</v>
      </c>
      <c r="AR440" s="71">
        <f t="shared" ref="AR440:AS440" si="1453">AI440/94</f>
        <v>191.3829787</v>
      </c>
      <c r="AS440" s="71">
        <f t="shared" si="1453"/>
        <v>175.4255319</v>
      </c>
      <c r="AT440" s="72">
        <f t="shared" ref="AT440:AU440" si="1454">AI440/24</f>
        <v>749.5833333</v>
      </c>
      <c r="AU440" s="72">
        <f t="shared" si="1454"/>
        <v>687.0833333</v>
      </c>
      <c r="AV440" s="73">
        <f t="shared" ref="AV440:AW440" si="1455">AI440/125</f>
        <v>143.92</v>
      </c>
      <c r="AW440" s="73">
        <f t="shared" si="1455"/>
        <v>131.92</v>
      </c>
    </row>
    <row r="441" ht="15.75" customHeight="1">
      <c r="A441" s="2"/>
      <c r="B441" s="2" t="s">
        <v>876</v>
      </c>
      <c r="C441" s="75" t="s">
        <v>877</v>
      </c>
      <c r="D441" s="206">
        <v>9000.0</v>
      </c>
      <c r="E441" s="2">
        <v>190.0</v>
      </c>
      <c r="F441" s="1">
        <v>100.0</v>
      </c>
      <c r="G441" s="10">
        <v>8.3061E7</v>
      </c>
      <c r="H441" s="59">
        <v>0.05</v>
      </c>
      <c r="I441" s="2">
        <f t="shared" si="1292"/>
        <v>9.5</v>
      </c>
      <c r="K441" s="94">
        <v>300.0</v>
      </c>
      <c r="L441" s="119">
        <f t="shared" si="987"/>
        <v>9599.5</v>
      </c>
      <c r="M441" s="2">
        <f t="shared" si="1055"/>
        <v>90</v>
      </c>
      <c r="N441" s="12">
        <f t="shared" si="989"/>
        <v>767.96</v>
      </c>
      <c r="O441" s="12">
        <f t="shared" si="990"/>
        <v>959.95</v>
      </c>
      <c r="P441" s="12">
        <f t="shared" si="991"/>
        <v>479.975</v>
      </c>
      <c r="Q441" s="12">
        <f t="shared" si="992"/>
        <v>191.99</v>
      </c>
      <c r="R441" s="12">
        <f t="shared" si="993"/>
        <v>94.5</v>
      </c>
      <c r="S441" s="12">
        <f t="shared" si="994"/>
        <v>95.995</v>
      </c>
      <c r="T441" s="60">
        <f t="shared" si="995"/>
        <v>2585.87</v>
      </c>
      <c r="U441" s="2">
        <f t="shared" si="996"/>
        <v>189</v>
      </c>
      <c r="V441" s="42">
        <f t="shared" si="15"/>
        <v>945</v>
      </c>
      <c r="W441" s="2">
        <f t="shared" si="997"/>
        <v>189</v>
      </c>
      <c r="X441" s="2">
        <f t="shared" si="998"/>
        <v>1512</v>
      </c>
      <c r="Y441" s="2">
        <f t="shared" si="999"/>
        <v>2835</v>
      </c>
      <c r="Z441" s="60">
        <f t="shared" si="1000"/>
        <v>15020.37</v>
      </c>
      <c r="AA441" s="11">
        <f t="shared" si="1001"/>
        <v>3004.074</v>
      </c>
      <c r="AB441" s="12">
        <f t="shared" si="1002"/>
        <v>18024.444</v>
      </c>
      <c r="AC441" s="2">
        <f t="shared" si="1049"/>
        <v>18900</v>
      </c>
      <c r="AD441" s="12">
        <f t="shared" si="1050"/>
        <v>-875.556</v>
      </c>
      <c r="AE441" s="12">
        <f t="shared" si="1051"/>
        <v>-4.857603375</v>
      </c>
      <c r="AG441" s="62">
        <f t="shared" si="1006"/>
        <v>-100</v>
      </c>
      <c r="AH441" s="63">
        <f t="shared" si="1007"/>
        <v>19990</v>
      </c>
      <c r="AI441" s="65">
        <v>21990.0</v>
      </c>
      <c r="AJ441" s="65">
        <v>19990.0</v>
      </c>
      <c r="AK441" s="66">
        <f t="shared" si="1008"/>
        <v>108.2400125</v>
      </c>
      <c r="AL441" s="66"/>
      <c r="AM441" s="14">
        <f t="shared" si="1009"/>
        <v>100</v>
      </c>
      <c r="AN441" s="67">
        <f t="shared" si="1010"/>
        <v>208.2400125</v>
      </c>
      <c r="AO441" s="68">
        <f t="shared" si="1011"/>
        <v>2.082400125</v>
      </c>
      <c r="AP441" s="69">
        <f t="shared" si="1012"/>
        <v>19.65556</v>
      </c>
      <c r="AQ441" s="70">
        <f t="shared" si="1013"/>
        <v>10.9</v>
      </c>
      <c r="AR441" s="71">
        <f t="shared" ref="AR441:AS441" si="1456">AI441/94</f>
        <v>233.9361702</v>
      </c>
      <c r="AS441" s="71">
        <f t="shared" si="1456"/>
        <v>212.6595745</v>
      </c>
      <c r="AT441" s="72">
        <f t="shared" ref="AT441:AU441" si="1457">AI441/24</f>
        <v>916.25</v>
      </c>
      <c r="AU441" s="72">
        <f t="shared" si="1457"/>
        <v>832.9166667</v>
      </c>
      <c r="AV441" s="73">
        <f t="shared" ref="AV441:AW441" si="1458">AI441/125</f>
        <v>175.92</v>
      </c>
      <c r="AW441" s="73">
        <f t="shared" si="1458"/>
        <v>159.92</v>
      </c>
    </row>
    <row r="442" ht="15.75" customHeight="1">
      <c r="A442" s="2"/>
      <c r="B442" s="2" t="s">
        <v>878</v>
      </c>
      <c r="C442" s="75" t="s">
        <v>879</v>
      </c>
      <c r="D442" s="206">
        <v>12600.0</v>
      </c>
      <c r="E442" s="2">
        <v>190.0</v>
      </c>
      <c r="F442" s="1">
        <v>100.0</v>
      </c>
      <c r="G442" s="10">
        <v>8.3061E7</v>
      </c>
      <c r="H442" s="59">
        <v>0.05</v>
      </c>
      <c r="I442" s="2">
        <f t="shared" si="1292"/>
        <v>9.5</v>
      </c>
      <c r="K442" s="94">
        <v>300.0</v>
      </c>
      <c r="L442" s="119">
        <f t="shared" si="987"/>
        <v>13199.5</v>
      </c>
      <c r="M442" s="2">
        <f t="shared" si="1055"/>
        <v>126</v>
      </c>
      <c r="N442" s="12">
        <f t="shared" si="989"/>
        <v>1055.96</v>
      </c>
      <c r="O442" s="12">
        <f t="shared" si="990"/>
        <v>1319.95</v>
      </c>
      <c r="P442" s="12">
        <f t="shared" si="991"/>
        <v>659.975</v>
      </c>
      <c r="Q442" s="12">
        <f t="shared" si="992"/>
        <v>263.99</v>
      </c>
      <c r="R442" s="12">
        <f t="shared" si="993"/>
        <v>132.3</v>
      </c>
      <c r="S442" s="12">
        <f t="shared" si="994"/>
        <v>131.995</v>
      </c>
      <c r="T442" s="60">
        <f t="shared" si="995"/>
        <v>3557.87</v>
      </c>
      <c r="U442" s="2">
        <f t="shared" si="996"/>
        <v>264.6</v>
      </c>
      <c r="V442" s="42">
        <f t="shared" si="15"/>
        <v>1323</v>
      </c>
      <c r="W442" s="2">
        <f t="shared" si="997"/>
        <v>264.6</v>
      </c>
      <c r="X442" s="2">
        <f t="shared" si="998"/>
        <v>2116.8</v>
      </c>
      <c r="Y442" s="2">
        <f t="shared" si="999"/>
        <v>3969</v>
      </c>
      <c r="Z442" s="60">
        <f t="shared" si="1000"/>
        <v>20726.37</v>
      </c>
      <c r="AA442" s="11">
        <f t="shared" si="1001"/>
        <v>4145.274</v>
      </c>
      <c r="AB442" s="12">
        <f t="shared" si="1002"/>
        <v>24871.644</v>
      </c>
      <c r="AC442" s="2">
        <f t="shared" si="1049"/>
        <v>26460</v>
      </c>
      <c r="AD442" s="12">
        <f t="shared" si="1050"/>
        <v>-1588.356</v>
      </c>
      <c r="AE442" s="12">
        <f t="shared" si="1051"/>
        <v>-6.386212347</v>
      </c>
      <c r="AG442" s="62">
        <f t="shared" si="1006"/>
        <v>-100</v>
      </c>
      <c r="AH442" s="63">
        <f t="shared" si="1007"/>
        <v>24490</v>
      </c>
      <c r="AI442" s="65">
        <v>25990.0</v>
      </c>
      <c r="AJ442" s="65">
        <v>24490.0</v>
      </c>
      <c r="AK442" s="66">
        <f t="shared" si="1008"/>
        <v>85.53733096</v>
      </c>
      <c r="AL442" s="66"/>
      <c r="AM442" s="14">
        <f t="shared" si="1009"/>
        <v>100</v>
      </c>
      <c r="AN442" s="67">
        <f t="shared" si="1010"/>
        <v>185.537331</v>
      </c>
      <c r="AO442" s="68">
        <f t="shared" si="1011"/>
        <v>1.85537331</v>
      </c>
      <c r="AP442" s="69">
        <f t="shared" si="1012"/>
        <v>-3.81644</v>
      </c>
      <c r="AQ442" s="70">
        <f t="shared" si="1013"/>
        <v>-19.7</v>
      </c>
      <c r="AR442" s="71">
        <f t="shared" ref="AR442:AS442" si="1459">AI442/94</f>
        <v>276.4893617</v>
      </c>
      <c r="AS442" s="71">
        <f t="shared" si="1459"/>
        <v>260.5319149</v>
      </c>
      <c r="AT442" s="72">
        <f t="shared" ref="AT442:AU442" si="1460">AI442/24</f>
        <v>1082.916667</v>
      </c>
      <c r="AU442" s="72">
        <f t="shared" si="1460"/>
        <v>1020.416667</v>
      </c>
      <c r="AV442" s="73">
        <f t="shared" ref="AV442:AW442" si="1461">AI442/125</f>
        <v>207.92</v>
      </c>
      <c r="AW442" s="73">
        <f t="shared" si="1461"/>
        <v>195.92</v>
      </c>
    </row>
    <row r="443" ht="15.75" customHeight="1">
      <c r="A443" s="2"/>
      <c r="B443" s="2" t="s">
        <v>880</v>
      </c>
      <c r="C443" s="75" t="s">
        <v>881</v>
      </c>
      <c r="D443" s="206">
        <v>15120.0</v>
      </c>
      <c r="E443" s="2">
        <v>350.0</v>
      </c>
      <c r="F443" s="1">
        <v>100.0</v>
      </c>
      <c r="G443" s="10">
        <v>8.3061E7</v>
      </c>
      <c r="H443" s="59">
        <v>0.05</v>
      </c>
      <c r="I443" s="2">
        <f t="shared" si="1292"/>
        <v>17.5</v>
      </c>
      <c r="K443" s="94">
        <v>300.0</v>
      </c>
      <c r="L443" s="119">
        <f t="shared" si="987"/>
        <v>15887.5</v>
      </c>
      <c r="M443" s="2">
        <f t="shared" si="1055"/>
        <v>151.2</v>
      </c>
      <c r="N443" s="12">
        <f t="shared" si="989"/>
        <v>1271</v>
      </c>
      <c r="O443" s="12">
        <f t="shared" si="990"/>
        <v>1588.75</v>
      </c>
      <c r="P443" s="12">
        <f t="shared" si="991"/>
        <v>794.375</v>
      </c>
      <c r="Q443" s="12">
        <f t="shared" si="992"/>
        <v>317.75</v>
      </c>
      <c r="R443" s="12">
        <f t="shared" si="993"/>
        <v>158.76</v>
      </c>
      <c r="S443" s="12">
        <f t="shared" si="994"/>
        <v>158.875</v>
      </c>
      <c r="T443" s="60">
        <f t="shared" si="995"/>
        <v>4281.95</v>
      </c>
      <c r="U443" s="2">
        <f t="shared" si="996"/>
        <v>317.52</v>
      </c>
      <c r="V443" s="42">
        <f t="shared" si="15"/>
        <v>1587.6</v>
      </c>
      <c r="W443" s="2">
        <f t="shared" si="997"/>
        <v>317.52</v>
      </c>
      <c r="X443" s="2">
        <f t="shared" si="998"/>
        <v>2540.16</v>
      </c>
      <c r="Y443" s="2">
        <f t="shared" si="999"/>
        <v>4762.8</v>
      </c>
      <c r="Z443" s="60">
        <f t="shared" si="1000"/>
        <v>24932.25</v>
      </c>
      <c r="AA443" s="11">
        <f t="shared" si="1001"/>
        <v>4986.45</v>
      </c>
      <c r="AB443" s="12">
        <f t="shared" si="1002"/>
        <v>29918.7</v>
      </c>
      <c r="AC443" s="2">
        <f t="shared" si="1049"/>
        <v>31752</v>
      </c>
      <c r="AD443" s="12">
        <f t="shared" si="1050"/>
        <v>-1833.3</v>
      </c>
      <c r="AE443" s="12">
        <f t="shared" si="1051"/>
        <v>-6.127605812</v>
      </c>
      <c r="AG443" s="62">
        <f t="shared" si="1006"/>
        <v>-100</v>
      </c>
      <c r="AH443" s="63">
        <f t="shared" si="1007"/>
        <v>28990</v>
      </c>
      <c r="AI443" s="65">
        <v>31990.0</v>
      </c>
      <c r="AJ443" s="65">
        <v>28990.0</v>
      </c>
      <c r="AK443" s="66">
        <f t="shared" si="1008"/>
        <v>82.47049567</v>
      </c>
      <c r="AL443" s="66"/>
      <c r="AM443" s="14">
        <f t="shared" si="1009"/>
        <v>100</v>
      </c>
      <c r="AN443" s="67">
        <f t="shared" si="1010"/>
        <v>182.4704957</v>
      </c>
      <c r="AO443" s="68">
        <f t="shared" si="1011"/>
        <v>1.824704957</v>
      </c>
      <c r="AP443" s="69">
        <f t="shared" si="1012"/>
        <v>-9.287</v>
      </c>
      <c r="AQ443" s="70">
        <f t="shared" si="1013"/>
        <v>-27.62</v>
      </c>
      <c r="AR443" s="71">
        <f t="shared" ref="AR443:AS443" si="1462">AI443/94</f>
        <v>340.3191489</v>
      </c>
      <c r="AS443" s="71">
        <f t="shared" si="1462"/>
        <v>308.4042553</v>
      </c>
      <c r="AT443" s="72">
        <f t="shared" ref="AT443:AU443" si="1463">AI443/24</f>
        <v>1332.916667</v>
      </c>
      <c r="AU443" s="72">
        <f t="shared" si="1463"/>
        <v>1207.916667</v>
      </c>
      <c r="AV443" s="73">
        <f t="shared" ref="AV443:AW443" si="1464">AI443/125</f>
        <v>255.92</v>
      </c>
      <c r="AW443" s="73">
        <f t="shared" si="1464"/>
        <v>231.92</v>
      </c>
    </row>
    <row r="444" ht="15.75" customHeight="1">
      <c r="A444" s="2"/>
      <c r="B444" s="2" t="s">
        <v>882</v>
      </c>
      <c r="C444" s="75" t="s">
        <v>883</v>
      </c>
      <c r="D444" s="206">
        <v>19800.0</v>
      </c>
      <c r="E444" s="2">
        <v>350.0</v>
      </c>
      <c r="F444" s="1">
        <v>100.0</v>
      </c>
      <c r="G444" s="10">
        <v>8.3061E7</v>
      </c>
      <c r="H444" s="59">
        <v>0.05</v>
      </c>
      <c r="I444" s="2">
        <f t="shared" si="1292"/>
        <v>17.5</v>
      </c>
      <c r="K444" s="94">
        <v>300.0</v>
      </c>
      <c r="L444" s="119">
        <f t="shared" si="987"/>
        <v>20567.5</v>
      </c>
      <c r="M444" s="2">
        <f t="shared" si="1055"/>
        <v>198</v>
      </c>
      <c r="N444" s="12">
        <f t="shared" si="989"/>
        <v>1645.4</v>
      </c>
      <c r="O444" s="12">
        <f t="shared" si="990"/>
        <v>2056.75</v>
      </c>
      <c r="P444" s="12">
        <f t="shared" si="991"/>
        <v>1028.375</v>
      </c>
      <c r="Q444" s="12">
        <f t="shared" si="992"/>
        <v>411.35</v>
      </c>
      <c r="R444" s="12">
        <f t="shared" si="993"/>
        <v>207.9</v>
      </c>
      <c r="S444" s="12">
        <f t="shared" si="994"/>
        <v>205.675</v>
      </c>
      <c r="T444" s="60">
        <f t="shared" si="995"/>
        <v>5545.55</v>
      </c>
      <c r="U444" s="2">
        <f t="shared" si="996"/>
        <v>415.8</v>
      </c>
      <c r="V444" s="42">
        <f t="shared" si="15"/>
        <v>2079</v>
      </c>
      <c r="W444" s="2">
        <f t="shared" si="997"/>
        <v>415.8</v>
      </c>
      <c r="X444" s="2">
        <f t="shared" si="998"/>
        <v>3326.4</v>
      </c>
      <c r="Y444" s="2">
        <f t="shared" si="999"/>
        <v>6237</v>
      </c>
      <c r="Z444" s="60">
        <f t="shared" si="1000"/>
        <v>32350.05</v>
      </c>
      <c r="AA444" s="11">
        <f t="shared" si="1001"/>
        <v>6470.01</v>
      </c>
      <c r="AB444" s="12">
        <f t="shared" si="1002"/>
        <v>38820.06</v>
      </c>
      <c r="AC444" s="2">
        <f t="shared" si="1049"/>
        <v>41580</v>
      </c>
      <c r="AD444" s="12">
        <f t="shared" si="1050"/>
        <v>-2759.94</v>
      </c>
      <c r="AE444" s="12">
        <f t="shared" si="1051"/>
        <v>-7.109571701</v>
      </c>
      <c r="AG444" s="62">
        <f t="shared" si="1006"/>
        <v>-100</v>
      </c>
      <c r="AH444" s="63">
        <f t="shared" si="1007"/>
        <v>33990</v>
      </c>
      <c r="AI444" s="65">
        <v>37990.0</v>
      </c>
      <c r="AJ444" s="65">
        <v>33990.0</v>
      </c>
      <c r="AK444" s="66">
        <f t="shared" si="1008"/>
        <v>65.26072687</v>
      </c>
      <c r="AL444" s="66"/>
      <c r="AM444" s="14">
        <f t="shared" si="1009"/>
        <v>100</v>
      </c>
      <c r="AN444" s="67">
        <f t="shared" si="1010"/>
        <v>165.2607269</v>
      </c>
      <c r="AO444" s="68">
        <f t="shared" si="1011"/>
        <v>1.652607269</v>
      </c>
      <c r="AP444" s="69">
        <f t="shared" si="1012"/>
        <v>-48.3006</v>
      </c>
      <c r="AQ444" s="70">
        <f t="shared" si="1013"/>
        <v>-75.9</v>
      </c>
      <c r="AR444" s="71">
        <f t="shared" ref="AR444:AS444" si="1465">AI444/94</f>
        <v>404.1489362</v>
      </c>
      <c r="AS444" s="71">
        <f t="shared" si="1465"/>
        <v>361.5957447</v>
      </c>
      <c r="AT444" s="72">
        <f t="shared" ref="AT444:AU444" si="1466">AI444/24</f>
        <v>1582.916667</v>
      </c>
      <c r="AU444" s="72">
        <f t="shared" si="1466"/>
        <v>1416.25</v>
      </c>
      <c r="AV444" s="73">
        <f t="shared" ref="AV444:AW444" si="1467">AI444/125</f>
        <v>303.92</v>
      </c>
      <c r="AW444" s="73">
        <f t="shared" si="1467"/>
        <v>271.92</v>
      </c>
    </row>
    <row r="445" ht="15.75" customHeight="1">
      <c r="A445" s="2"/>
      <c r="B445" s="2" t="s">
        <v>884</v>
      </c>
      <c r="C445" s="75" t="s">
        <v>885</v>
      </c>
      <c r="D445" s="206">
        <v>25200.0</v>
      </c>
      <c r="E445" s="2">
        <v>350.0</v>
      </c>
      <c r="F445" s="1">
        <v>100.0</v>
      </c>
      <c r="G445" s="10">
        <v>8.3061E7</v>
      </c>
      <c r="H445" s="59">
        <v>0.05</v>
      </c>
      <c r="I445" s="2">
        <f t="shared" si="1292"/>
        <v>17.5</v>
      </c>
      <c r="K445" s="94">
        <v>300.0</v>
      </c>
      <c r="L445" s="119">
        <f t="shared" si="987"/>
        <v>25967.5</v>
      </c>
      <c r="M445" s="2">
        <f t="shared" si="1055"/>
        <v>252</v>
      </c>
      <c r="N445" s="12">
        <f t="shared" si="989"/>
        <v>2077.4</v>
      </c>
      <c r="O445" s="12">
        <f t="shared" si="990"/>
        <v>2596.75</v>
      </c>
      <c r="P445" s="12">
        <f t="shared" si="991"/>
        <v>1298.375</v>
      </c>
      <c r="Q445" s="12">
        <f t="shared" si="992"/>
        <v>519.35</v>
      </c>
      <c r="R445" s="12">
        <f t="shared" si="993"/>
        <v>264.6</v>
      </c>
      <c r="S445" s="12">
        <f t="shared" si="994"/>
        <v>259.675</v>
      </c>
      <c r="T445" s="60">
        <f t="shared" si="995"/>
        <v>7003.55</v>
      </c>
      <c r="U445" s="2">
        <f t="shared" si="996"/>
        <v>529.2</v>
      </c>
      <c r="V445" s="42">
        <f t="shared" si="15"/>
        <v>2646</v>
      </c>
      <c r="W445" s="2">
        <f t="shared" si="997"/>
        <v>529.2</v>
      </c>
      <c r="X445" s="2">
        <f t="shared" si="998"/>
        <v>4233.6</v>
      </c>
      <c r="Y445" s="2">
        <f t="shared" si="999"/>
        <v>7938</v>
      </c>
      <c r="Z445" s="60">
        <f t="shared" si="1000"/>
        <v>40909.05</v>
      </c>
      <c r="AA445" s="11">
        <f t="shared" si="1001"/>
        <v>8181.81</v>
      </c>
      <c r="AB445" s="12">
        <f t="shared" si="1002"/>
        <v>49090.86</v>
      </c>
      <c r="AC445" s="2">
        <f t="shared" si="1049"/>
        <v>52920</v>
      </c>
      <c r="AD445" s="12">
        <f t="shared" si="1050"/>
        <v>-3829.14</v>
      </c>
      <c r="AE445" s="12">
        <f t="shared" si="1051"/>
        <v>-7.8001078</v>
      </c>
      <c r="AG445" s="62">
        <f t="shared" si="1006"/>
        <v>-100</v>
      </c>
      <c r="AH445" s="63">
        <f t="shared" si="1007"/>
        <v>38990</v>
      </c>
      <c r="AI445" s="65">
        <v>40990.0</v>
      </c>
      <c r="AJ445" s="65">
        <v>38990.0</v>
      </c>
      <c r="AK445" s="66">
        <f t="shared" si="1008"/>
        <v>50.14922499</v>
      </c>
      <c r="AL445" s="66"/>
      <c r="AM445" s="14">
        <f t="shared" si="1009"/>
        <v>100</v>
      </c>
      <c r="AN445" s="67">
        <f t="shared" si="1010"/>
        <v>150.149225</v>
      </c>
      <c r="AO445" s="68">
        <f t="shared" si="1011"/>
        <v>1.50149225</v>
      </c>
      <c r="AP445" s="69">
        <f t="shared" si="1012"/>
        <v>-101.0086</v>
      </c>
      <c r="AQ445" s="70">
        <f t="shared" si="1013"/>
        <v>-139.3</v>
      </c>
      <c r="AR445" s="71">
        <f t="shared" ref="AR445:AS445" si="1468">AI445/94</f>
        <v>436.0638298</v>
      </c>
      <c r="AS445" s="71">
        <f t="shared" si="1468"/>
        <v>414.787234</v>
      </c>
      <c r="AT445" s="72">
        <f t="shared" ref="AT445:AU445" si="1469">AI445/24</f>
        <v>1707.916667</v>
      </c>
      <c r="AU445" s="72">
        <f t="shared" si="1469"/>
        <v>1624.583333</v>
      </c>
      <c r="AV445" s="73">
        <f t="shared" ref="AV445:AW445" si="1470">AI445/125</f>
        <v>327.92</v>
      </c>
      <c r="AW445" s="73">
        <f t="shared" si="1470"/>
        <v>311.92</v>
      </c>
    </row>
    <row r="446" ht="15.75" customHeight="1">
      <c r="A446" s="189"/>
      <c r="B446" s="189" t="s">
        <v>886</v>
      </c>
      <c r="C446" s="210" t="s">
        <v>887</v>
      </c>
      <c r="D446" s="208">
        <v>36550.0</v>
      </c>
      <c r="E446" s="189">
        <v>350.0</v>
      </c>
      <c r="F446" s="191">
        <v>100.0</v>
      </c>
      <c r="G446" s="192">
        <v>8.3061E7</v>
      </c>
      <c r="H446" s="193">
        <v>0.05</v>
      </c>
      <c r="I446" s="189">
        <f t="shared" si="1292"/>
        <v>17.5</v>
      </c>
      <c r="J446" s="194"/>
      <c r="K446" s="195">
        <v>300.0</v>
      </c>
      <c r="L446" s="196">
        <f t="shared" si="987"/>
        <v>37317.5</v>
      </c>
      <c r="M446" s="189">
        <f t="shared" si="1055"/>
        <v>365.5</v>
      </c>
      <c r="N446" s="197">
        <f t="shared" si="989"/>
        <v>2985.4</v>
      </c>
      <c r="O446" s="197">
        <f t="shared" si="990"/>
        <v>3731.75</v>
      </c>
      <c r="P446" s="197">
        <f t="shared" si="991"/>
        <v>1865.875</v>
      </c>
      <c r="Q446" s="197">
        <f t="shared" si="992"/>
        <v>746.35</v>
      </c>
      <c r="R446" s="197">
        <f t="shared" si="993"/>
        <v>383.775</v>
      </c>
      <c r="S446" s="197">
        <f t="shared" si="994"/>
        <v>373.175</v>
      </c>
      <c r="T446" s="198">
        <f t="shared" si="995"/>
        <v>10068.05</v>
      </c>
      <c r="U446" s="189">
        <f t="shared" si="996"/>
        <v>767.55</v>
      </c>
      <c r="V446" s="42">
        <f t="shared" si="15"/>
        <v>3837.75</v>
      </c>
      <c r="W446" s="189">
        <f t="shared" si="997"/>
        <v>767.55</v>
      </c>
      <c r="X446" s="189">
        <f t="shared" si="998"/>
        <v>6140.4</v>
      </c>
      <c r="Y446" s="189">
        <f t="shared" si="999"/>
        <v>11513.25</v>
      </c>
      <c r="Z446" s="198">
        <f t="shared" si="1000"/>
        <v>58898.8</v>
      </c>
      <c r="AA446" s="199">
        <f t="shared" si="1001"/>
        <v>11779.76</v>
      </c>
      <c r="AB446" s="197">
        <f t="shared" si="1002"/>
        <v>70678.56</v>
      </c>
      <c r="AC446" s="189">
        <f t="shared" si="1049"/>
        <v>76755</v>
      </c>
      <c r="AD446" s="197">
        <f t="shared" si="1050"/>
        <v>-6076.44</v>
      </c>
      <c r="AE446" s="197">
        <f t="shared" si="1051"/>
        <v>-8.597288909</v>
      </c>
      <c r="AF446" s="194"/>
      <c r="AG446" s="200">
        <f t="shared" si="1006"/>
        <v>-100</v>
      </c>
      <c r="AH446" s="201">
        <f t="shared" si="1007"/>
        <v>44490</v>
      </c>
      <c r="AI446" s="209">
        <v>49990.0</v>
      </c>
      <c r="AJ446" s="209">
        <v>44490.0</v>
      </c>
      <c r="AK446" s="202">
        <f t="shared" si="1008"/>
        <v>19.220205</v>
      </c>
      <c r="AL446" s="202"/>
      <c r="AM446" s="202">
        <f t="shared" si="1009"/>
        <v>100</v>
      </c>
      <c r="AN446" s="202">
        <f t="shared" si="1010"/>
        <v>119.220205</v>
      </c>
      <c r="AO446" s="203">
        <f t="shared" si="1011"/>
        <v>1.19220205</v>
      </c>
      <c r="AP446" s="202">
        <f t="shared" si="1012"/>
        <v>-261.8856</v>
      </c>
      <c r="AQ446" s="202">
        <f t="shared" si="1013"/>
        <v>-322.65</v>
      </c>
      <c r="AR446" s="204">
        <f t="shared" ref="AR446:AS446" si="1471">AI446/94</f>
        <v>531.8085106</v>
      </c>
      <c r="AS446" s="204">
        <f t="shared" si="1471"/>
        <v>473.2978723</v>
      </c>
      <c r="AT446" s="205">
        <f t="shared" ref="AT446:AU446" si="1472">AI446/24</f>
        <v>2082.916667</v>
      </c>
      <c r="AU446" s="205">
        <f t="shared" si="1472"/>
        <v>1853.75</v>
      </c>
      <c r="AV446" s="205">
        <f t="shared" ref="AV446:AW446" si="1473">AI446/125</f>
        <v>399.92</v>
      </c>
      <c r="AW446" s="205">
        <f t="shared" si="1473"/>
        <v>355.92</v>
      </c>
      <c r="AX446" s="194"/>
      <c r="AY446" s="194"/>
    </row>
    <row r="447" ht="15.75" customHeight="1">
      <c r="A447" s="2" t="s">
        <v>888</v>
      </c>
      <c r="B447" s="2" t="s">
        <v>889</v>
      </c>
      <c r="C447" s="2" t="s">
        <v>890</v>
      </c>
      <c r="D447" s="10" t="s">
        <v>469</v>
      </c>
      <c r="E447" s="2">
        <v>190.0</v>
      </c>
      <c r="F447" s="2">
        <v>10.0</v>
      </c>
      <c r="G447" s="10">
        <v>8.3061E7</v>
      </c>
      <c r="H447" s="59">
        <v>0.05</v>
      </c>
      <c r="I447" s="2" t="str">
        <f t="shared" ref="I447:I519" si="1477">D447*H447</f>
        <v>#VALUE!</v>
      </c>
      <c r="K447" s="2" t="str">
        <f t="shared" ref="K447:K456" si="1478">D447*4%</f>
        <v>#VALUE!</v>
      </c>
      <c r="L447" s="4" t="str">
        <f t="shared" si="987"/>
        <v>#VALUE!</v>
      </c>
      <c r="M447" s="2" t="str">
        <f t="shared" si="1055"/>
        <v>#VALUE!</v>
      </c>
      <c r="N447" s="12" t="str">
        <f t="shared" si="989"/>
        <v>#VALUE!</v>
      </c>
      <c r="O447" s="12" t="str">
        <f t="shared" si="990"/>
        <v>#VALUE!</v>
      </c>
      <c r="P447" s="12" t="str">
        <f t="shared" si="991"/>
        <v>#VALUE!</v>
      </c>
      <c r="Q447" s="12" t="str">
        <f t="shared" si="992"/>
        <v>#VALUE!</v>
      </c>
      <c r="R447" s="12" t="str">
        <f t="shared" si="993"/>
        <v>#VALUE!</v>
      </c>
      <c r="S447" s="12" t="str">
        <f t="shared" si="994"/>
        <v>#VALUE!</v>
      </c>
      <c r="T447" s="4" t="str">
        <f t="shared" si="995"/>
        <v>#VALUE!</v>
      </c>
      <c r="U447" s="2" t="str">
        <f t="shared" si="996"/>
        <v>#VALUE!</v>
      </c>
      <c r="V447" s="42" t="str">
        <f t="shared" si="15"/>
        <v>#VALUE!</v>
      </c>
      <c r="W447" s="2" t="str">
        <f t="shared" si="997"/>
        <v>#VALUE!</v>
      </c>
      <c r="X447" s="2" t="str">
        <f t="shared" si="998"/>
        <v>#VALUE!</v>
      </c>
      <c r="Y447" s="2" t="str">
        <f t="shared" si="999"/>
        <v>#VALUE!</v>
      </c>
      <c r="Z447" s="60" t="str">
        <f t="shared" si="1000"/>
        <v>#VALUE!</v>
      </c>
      <c r="AA447" s="11" t="str">
        <f t="shared" si="1001"/>
        <v>#VALUE!</v>
      </c>
      <c r="AB447" s="2" t="str">
        <f t="shared" si="1002"/>
        <v>#VALUE!</v>
      </c>
      <c r="AC447" s="2" t="str">
        <f t="shared" si="1049"/>
        <v>#VALUE!</v>
      </c>
      <c r="AD447" s="12" t="str">
        <f t="shared" si="1050"/>
        <v>#VALUE!</v>
      </c>
      <c r="AE447" s="12" t="str">
        <f t="shared" si="1051"/>
        <v>#VALUE!</v>
      </c>
      <c r="AF447" s="61">
        <v>68500.0</v>
      </c>
      <c r="AG447" s="62" t="str">
        <f t="shared" si="1006"/>
        <v>#VALUE!</v>
      </c>
      <c r="AH447" s="63" t="str">
        <f t="shared" si="1007"/>
        <v>#VALUE!</v>
      </c>
      <c r="AI447" s="64" t="str">
        <f>AB447</f>
        <v>#VALUE!</v>
      </c>
      <c r="AJ447" s="64" t="str">
        <f>AI447-(AI447*7%)</f>
        <v>#VALUE!</v>
      </c>
      <c r="AK447" s="66" t="str">
        <f t="shared" si="1008"/>
        <v>#VALUE!</v>
      </c>
      <c r="AL447" s="66"/>
      <c r="AM447" s="14" t="str">
        <f t="shared" si="1009"/>
        <v>#VALUE!</v>
      </c>
      <c r="AN447" s="67" t="str">
        <f t="shared" si="1010"/>
        <v>#VALUE!</v>
      </c>
      <c r="AO447" s="68" t="str">
        <f t="shared" si="1011"/>
        <v>#VALUE!</v>
      </c>
      <c r="AP447" s="69" t="str">
        <f t="shared" si="1012"/>
        <v>#VALUE!</v>
      </c>
      <c r="AQ447" s="70" t="str">
        <f t="shared" si="1013"/>
        <v>#VALUE!</v>
      </c>
      <c r="AR447" s="71" t="str">
        <f t="shared" ref="AR447:AS447" si="1474">AI447/94</f>
        <v>#VALUE!</v>
      </c>
      <c r="AS447" s="71" t="str">
        <f t="shared" si="1474"/>
        <v>#VALUE!</v>
      </c>
      <c r="AT447" s="72" t="str">
        <f t="shared" ref="AT447:AU447" si="1475">AI447/24</f>
        <v>#VALUE!</v>
      </c>
      <c r="AU447" s="72" t="str">
        <f t="shared" si="1475"/>
        <v>#VALUE!</v>
      </c>
      <c r="AV447" s="73" t="str">
        <f t="shared" ref="AV447:AW447" si="1476">AI447/125</f>
        <v>#VALUE!</v>
      </c>
      <c r="AW447" s="73" t="str">
        <f t="shared" si="1476"/>
        <v>#VALUE!</v>
      </c>
    </row>
    <row r="448" ht="15.75" customHeight="1">
      <c r="A448" s="2"/>
      <c r="B448" s="2" t="s">
        <v>891</v>
      </c>
      <c r="C448" s="2" t="s">
        <v>892</v>
      </c>
      <c r="D448" s="188">
        <f>11*5500</f>
        <v>60500</v>
      </c>
      <c r="E448" s="2">
        <v>1000.0</v>
      </c>
      <c r="F448" s="2">
        <v>10.0</v>
      </c>
      <c r="G448" s="10">
        <v>8.3061E7</v>
      </c>
      <c r="H448" s="59">
        <v>0.05</v>
      </c>
      <c r="I448" s="2">
        <f t="shared" si="1477"/>
        <v>3025</v>
      </c>
      <c r="K448" s="2">
        <f t="shared" si="1478"/>
        <v>2420</v>
      </c>
      <c r="L448" s="119">
        <f t="shared" si="987"/>
        <v>66955</v>
      </c>
      <c r="M448" s="2">
        <f t="shared" si="1055"/>
        <v>605</v>
      </c>
      <c r="N448" s="12">
        <f t="shared" si="989"/>
        <v>5356.4</v>
      </c>
      <c r="O448" s="12">
        <f t="shared" si="990"/>
        <v>6695.5</v>
      </c>
      <c r="P448" s="12">
        <f t="shared" si="991"/>
        <v>3347.75</v>
      </c>
      <c r="Q448" s="12">
        <f t="shared" si="992"/>
        <v>1339.1</v>
      </c>
      <c r="R448" s="12">
        <f t="shared" si="993"/>
        <v>635.25</v>
      </c>
      <c r="S448" s="12">
        <f t="shared" si="994"/>
        <v>669.55</v>
      </c>
      <c r="T448" s="60">
        <f t="shared" si="995"/>
        <v>18013.3</v>
      </c>
      <c r="U448" s="2">
        <f t="shared" si="996"/>
        <v>1270.5</v>
      </c>
      <c r="V448" s="42">
        <f t="shared" si="15"/>
        <v>6352.5</v>
      </c>
      <c r="W448" s="2">
        <f t="shared" si="997"/>
        <v>1270.5</v>
      </c>
      <c r="X448" s="2">
        <f t="shared" si="998"/>
        <v>10164</v>
      </c>
      <c r="Y448" s="2">
        <f t="shared" si="999"/>
        <v>19057.5</v>
      </c>
      <c r="Z448" s="60">
        <f t="shared" si="1000"/>
        <v>104025.8</v>
      </c>
      <c r="AA448" s="11">
        <f t="shared" si="1001"/>
        <v>20805.16</v>
      </c>
      <c r="AB448" s="12">
        <f t="shared" si="1002"/>
        <v>124830.96</v>
      </c>
      <c r="AC448" s="2">
        <f t="shared" si="1049"/>
        <v>127050</v>
      </c>
      <c r="AD448" s="12">
        <f t="shared" si="1050"/>
        <v>-2219.04</v>
      </c>
      <c r="AE448" s="12">
        <f t="shared" si="1051"/>
        <v>-1.777635933</v>
      </c>
      <c r="AF448" s="61">
        <v>79500.0</v>
      </c>
      <c r="AG448" s="62">
        <f t="shared" si="1006"/>
        <v>18.73646479</v>
      </c>
      <c r="AH448" s="63">
        <f t="shared" si="1007"/>
        <v>490</v>
      </c>
      <c r="AI448" s="64">
        <v>84990.0</v>
      </c>
      <c r="AJ448" s="64">
        <v>79990.0</v>
      </c>
      <c r="AK448" s="66">
        <f t="shared" si="1008"/>
        <v>19.4682996</v>
      </c>
      <c r="AL448" s="66"/>
      <c r="AM448" s="14">
        <f t="shared" si="1009"/>
        <v>0.6125765721</v>
      </c>
      <c r="AN448" s="67">
        <f t="shared" si="1010"/>
        <v>0.7318348144</v>
      </c>
      <c r="AO448" s="68">
        <f t="shared" si="1011"/>
        <v>1.194682996</v>
      </c>
      <c r="AP448" s="69">
        <f t="shared" si="1012"/>
        <v>-448.4096</v>
      </c>
      <c r="AQ448" s="70">
        <f t="shared" si="1013"/>
        <v>-470.6</v>
      </c>
      <c r="AR448" s="71">
        <f t="shared" ref="AR448:AS448" si="1479">AI448/94</f>
        <v>904.1489362</v>
      </c>
      <c r="AS448" s="71">
        <f t="shared" si="1479"/>
        <v>850.9574468</v>
      </c>
      <c r="AT448" s="72">
        <f t="shared" ref="AT448:AU448" si="1480">AI448/24</f>
        <v>3541.25</v>
      </c>
      <c r="AU448" s="72">
        <f t="shared" si="1480"/>
        <v>3332.916667</v>
      </c>
      <c r="AV448" s="73">
        <f t="shared" ref="AV448:AW448" si="1481">AI448/125</f>
        <v>679.92</v>
      </c>
      <c r="AW448" s="73">
        <f t="shared" si="1481"/>
        <v>639.92</v>
      </c>
    </row>
    <row r="449" ht="15.75" customHeight="1">
      <c r="A449" s="2"/>
      <c r="B449" s="2" t="s">
        <v>893</v>
      </c>
      <c r="C449" s="2" t="s">
        <v>894</v>
      </c>
      <c r="D449" s="188">
        <f>13*5800</f>
        <v>75400</v>
      </c>
      <c r="E449" s="2">
        <v>1500.0</v>
      </c>
      <c r="F449" s="2">
        <v>10.0</v>
      </c>
      <c r="G449" s="10">
        <v>8.3061E7</v>
      </c>
      <c r="H449" s="59">
        <v>0.05</v>
      </c>
      <c r="I449" s="2">
        <f t="shared" si="1477"/>
        <v>3770</v>
      </c>
      <c r="K449" s="2">
        <f t="shared" si="1478"/>
        <v>3016</v>
      </c>
      <c r="L449" s="119">
        <f t="shared" si="987"/>
        <v>83696</v>
      </c>
      <c r="M449" s="2">
        <f t="shared" si="1055"/>
        <v>754</v>
      </c>
      <c r="N449" s="12">
        <f t="shared" si="989"/>
        <v>6695.68</v>
      </c>
      <c r="O449" s="12">
        <f t="shared" si="990"/>
        <v>8369.6</v>
      </c>
      <c r="P449" s="12">
        <f t="shared" si="991"/>
        <v>4184.8</v>
      </c>
      <c r="Q449" s="12">
        <f t="shared" si="992"/>
        <v>1673.92</v>
      </c>
      <c r="R449" s="12">
        <f t="shared" si="993"/>
        <v>791.7</v>
      </c>
      <c r="S449" s="12">
        <f t="shared" si="994"/>
        <v>836.96</v>
      </c>
      <c r="T449" s="60">
        <f t="shared" si="995"/>
        <v>22514.96</v>
      </c>
      <c r="U449" s="2">
        <f t="shared" si="996"/>
        <v>1583.4</v>
      </c>
      <c r="V449" s="42">
        <f t="shared" si="15"/>
        <v>7917</v>
      </c>
      <c r="W449" s="2">
        <f t="shared" si="997"/>
        <v>1583.4</v>
      </c>
      <c r="X449" s="2">
        <f t="shared" si="998"/>
        <v>12667.2</v>
      </c>
      <c r="Y449" s="2">
        <f t="shared" si="999"/>
        <v>23751</v>
      </c>
      <c r="Z449" s="60">
        <f t="shared" si="1000"/>
        <v>129961.96</v>
      </c>
      <c r="AA449" s="11">
        <f t="shared" si="1001"/>
        <v>25992.392</v>
      </c>
      <c r="AB449" s="12">
        <f t="shared" si="1002"/>
        <v>155954.352</v>
      </c>
      <c r="AC449" s="2">
        <f t="shared" si="1049"/>
        <v>158340</v>
      </c>
      <c r="AD449" s="12">
        <f t="shared" si="1050"/>
        <v>-2385.648</v>
      </c>
      <c r="AE449" s="12">
        <f t="shared" si="1051"/>
        <v>-1.529709155</v>
      </c>
      <c r="AF449" s="61">
        <v>97500.0</v>
      </c>
      <c r="AG449" s="62">
        <f t="shared" si="1006"/>
        <v>16.49302237</v>
      </c>
      <c r="AH449" s="63">
        <f t="shared" si="1007"/>
        <v>400</v>
      </c>
      <c r="AI449" s="64">
        <v>99990.0</v>
      </c>
      <c r="AJ449" s="64">
        <v>97900.0</v>
      </c>
      <c r="AK449" s="66">
        <f t="shared" si="1008"/>
        <v>16.97094246</v>
      </c>
      <c r="AL449" s="66"/>
      <c r="AM449" s="14">
        <f t="shared" si="1009"/>
        <v>0.4085801839</v>
      </c>
      <c r="AN449" s="67">
        <f t="shared" si="1010"/>
        <v>0.4779200918</v>
      </c>
      <c r="AO449" s="68">
        <f t="shared" si="1011"/>
        <v>1.169709425</v>
      </c>
      <c r="AP449" s="69">
        <f t="shared" si="1012"/>
        <v>-580.54352</v>
      </c>
      <c r="AQ449" s="70">
        <f t="shared" si="1013"/>
        <v>-604.4</v>
      </c>
      <c r="AR449" s="71">
        <f t="shared" ref="AR449:AS449" si="1482">AI449/94</f>
        <v>1063.723404</v>
      </c>
      <c r="AS449" s="71">
        <f t="shared" si="1482"/>
        <v>1041.489362</v>
      </c>
      <c r="AT449" s="72">
        <f t="shared" ref="AT449:AU449" si="1483">AI449/24</f>
        <v>4166.25</v>
      </c>
      <c r="AU449" s="72">
        <f t="shared" si="1483"/>
        <v>4079.166667</v>
      </c>
      <c r="AV449" s="73">
        <f t="shared" ref="AV449:AW449" si="1484">AI449/125</f>
        <v>799.92</v>
      </c>
      <c r="AW449" s="73">
        <f t="shared" si="1484"/>
        <v>783.2</v>
      </c>
    </row>
    <row r="450" ht="15.75" customHeight="1">
      <c r="A450" s="2"/>
      <c r="B450" s="2" t="s">
        <v>895</v>
      </c>
      <c r="C450" s="2" t="s">
        <v>896</v>
      </c>
      <c r="D450" s="10" t="s">
        <v>469</v>
      </c>
      <c r="E450" s="2">
        <v>350.0</v>
      </c>
      <c r="F450" s="2">
        <v>10.0</v>
      </c>
      <c r="G450" s="10">
        <v>8.3061E7</v>
      </c>
      <c r="H450" s="59">
        <v>0.05</v>
      </c>
      <c r="I450" s="2" t="str">
        <f t="shared" si="1477"/>
        <v>#VALUE!</v>
      </c>
      <c r="K450" s="2" t="str">
        <f t="shared" si="1478"/>
        <v>#VALUE!</v>
      </c>
      <c r="L450" s="4" t="str">
        <f t="shared" si="987"/>
        <v>#VALUE!</v>
      </c>
      <c r="M450" s="2" t="str">
        <f t="shared" si="1055"/>
        <v>#VALUE!</v>
      </c>
      <c r="N450" s="12" t="str">
        <f t="shared" si="989"/>
        <v>#VALUE!</v>
      </c>
      <c r="O450" s="12" t="str">
        <f t="shared" si="990"/>
        <v>#VALUE!</v>
      </c>
      <c r="P450" s="12" t="str">
        <f t="shared" si="991"/>
        <v>#VALUE!</v>
      </c>
      <c r="Q450" s="12" t="str">
        <f t="shared" si="992"/>
        <v>#VALUE!</v>
      </c>
      <c r="R450" s="12" t="str">
        <f t="shared" si="993"/>
        <v>#VALUE!</v>
      </c>
      <c r="S450" s="12" t="str">
        <f t="shared" si="994"/>
        <v>#VALUE!</v>
      </c>
      <c r="T450" s="4" t="str">
        <f t="shared" si="995"/>
        <v>#VALUE!</v>
      </c>
      <c r="U450" s="2" t="str">
        <f t="shared" si="996"/>
        <v>#VALUE!</v>
      </c>
      <c r="V450" s="42" t="str">
        <f t="shared" si="15"/>
        <v>#VALUE!</v>
      </c>
      <c r="W450" s="2" t="str">
        <f t="shared" si="997"/>
        <v>#VALUE!</v>
      </c>
      <c r="X450" s="2" t="str">
        <f t="shared" si="998"/>
        <v>#VALUE!</v>
      </c>
      <c r="Y450" s="2" t="str">
        <f t="shared" si="999"/>
        <v>#VALUE!</v>
      </c>
      <c r="Z450" s="60" t="str">
        <f t="shared" si="1000"/>
        <v>#VALUE!</v>
      </c>
      <c r="AA450" s="11" t="str">
        <f t="shared" si="1001"/>
        <v>#VALUE!</v>
      </c>
      <c r="AB450" s="2" t="str">
        <f t="shared" si="1002"/>
        <v>#VALUE!</v>
      </c>
      <c r="AC450" s="2" t="str">
        <f t="shared" si="1049"/>
        <v>#VALUE!</v>
      </c>
      <c r="AD450" s="12" t="str">
        <f t="shared" si="1050"/>
        <v>#VALUE!</v>
      </c>
      <c r="AE450" s="12" t="str">
        <f t="shared" si="1051"/>
        <v>#VALUE!</v>
      </c>
      <c r="AF450" s="61">
        <v>129500.0</v>
      </c>
      <c r="AG450" s="62" t="str">
        <f t="shared" si="1006"/>
        <v>#VALUE!</v>
      </c>
      <c r="AH450" s="63" t="str">
        <f t="shared" si="1007"/>
        <v>#VALUE!</v>
      </c>
      <c r="AI450" s="64" t="str">
        <f t="shared" ref="AI450:AI452" si="1488">AB450</f>
        <v>#VALUE!</v>
      </c>
      <c r="AJ450" s="64" t="str">
        <f t="shared" ref="AJ450:AJ452" si="1489">AI450-(AI450*7%)</f>
        <v>#VALUE!</v>
      </c>
      <c r="AK450" s="66" t="str">
        <f t="shared" si="1008"/>
        <v>#VALUE!</v>
      </c>
      <c r="AL450" s="66"/>
      <c r="AM450" s="14" t="str">
        <f t="shared" si="1009"/>
        <v>#VALUE!</v>
      </c>
      <c r="AN450" s="67" t="str">
        <f t="shared" si="1010"/>
        <v>#VALUE!</v>
      </c>
      <c r="AO450" s="68" t="str">
        <f t="shared" si="1011"/>
        <v>#VALUE!</v>
      </c>
      <c r="AP450" s="69" t="str">
        <f t="shared" si="1012"/>
        <v>#VALUE!</v>
      </c>
      <c r="AQ450" s="70" t="str">
        <f t="shared" si="1013"/>
        <v>#VALUE!</v>
      </c>
      <c r="AR450" s="71" t="str">
        <f t="shared" ref="AR450:AS450" si="1485">AI450/94</f>
        <v>#VALUE!</v>
      </c>
      <c r="AS450" s="71" t="str">
        <f t="shared" si="1485"/>
        <v>#VALUE!</v>
      </c>
      <c r="AT450" s="72" t="str">
        <f t="shared" ref="AT450:AU450" si="1486">AI450/24</f>
        <v>#VALUE!</v>
      </c>
      <c r="AU450" s="72" t="str">
        <f t="shared" si="1486"/>
        <v>#VALUE!</v>
      </c>
      <c r="AV450" s="73" t="str">
        <f t="shared" ref="AV450:AW450" si="1487">AI450/125</f>
        <v>#VALUE!</v>
      </c>
      <c r="AW450" s="73" t="str">
        <f t="shared" si="1487"/>
        <v>#VALUE!</v>
      </c>
    </row>
    <row r="451" ht="15.75" customHeight="1">
      <c r="A451" s="2"/>
      <c r="B451" s="2" t="s">
        <v>897</v>
      </c>
      <c r="C451" s="2" t="s">
        <v>898</v>
      </c>
      <c r="D451" s="10" t="s">
        <v>469</v>
      </c>
      <c r="E451" s="2">
        <v>350.0</v>
      </c>
      <c r="F451" s="2">
        <v>10.0</v>
      </c>
      <c r="G451" s="10">
        <v>8.3061E7</v>
      </c>
      <c r="H451" s="59">
        <v>0.05</v>
      </c>
      <c r="I451" s="2" t="str">
        <f t="shared" si="1477"/>
        <v>#VALUE!</v>
      </c>
      <c r="K451" s="2" t="str">
        <f t="shared" si="1478"/>
        <v>#VALUE!</v>
      </c>
      <c r="L451" s="4" t="str">
        <f t="shared" si="987"/>
        <v>#VALUE!</v>
      </c>
      <c r="M451" s="2" t="str">
        <f t="shared" si="1055"/>
        <v>#VALUE!</v>
      </c>
      <c r="N451" s="12" t="str">
        <f t="shared" si="989"/>
        <v>#VALUE!</v>
      </c>
      <c r="O451" s="12" t="str">
        <f t="shared" si="990"/>
        <v>#VALUE!</v>
      </c>
      <c r="P451" s="12" t="str">
        <f t="shared" si="991"/>
        <v>#VALUE!</v>
      </c>
      <c r="Q451" s="12" t="str">
        <f t="shared" si="992"/>
        <v>#VALUE!</v>
      </c>
      <c r="R451" s="12" t="str">
        <f t="shared" si="993"/>
        <v>#VALUE!</v>
      </c>
      <c r="S451" s="12" t="str">
        <f t="shared" si="994"/>
        <v>#VALUE!</v>
      </c>
      <c r="T451" s="4" t="str">
        <f t="shared" si="995"/>
        <v>#VALUE!</v>
      </c>
      <c r="U451" s="2" t="str">
        <f t="shared" si="996"/>
        <v>#VALUE!</v>
      </c>
      <c r="V451" s="42" t="str">
        <f t="shared" si="15"/>
        <v>#VALUE!</v>
      </c>
      <c r="W451" s="2" t="str">
        <f t="shared" si="997"/>
        <v>#VALUE!</v>
      </c>
      <c r="X451" s="2" t="str">
        <f t="shared" si="998"/>
        <v>#VALUE!</v>
      </c>
      <c r="Y451" s="2" t="str">
        <f t="shared" si="999"/>
        <v>#VALUE!</v>
      </c>
      <c r="Z451" s="60" t="str">
        <f t="shared" si="1000"/>
        <v>#VALUE!</v>
      </c>
      <c r="AA451" s="11" t="str">
        <f t="shared" si="1001"/>
        <v>#VALUE!</v>
      </c>
      <c r="AB451" s="2" t="str">
        <f t="shared" si="1002"/>
        <v>#VALUE!</v>
      </c>
      <c r="AC451" s="2" t="str">
        <f t="shared" si="1049"/>
        <v>#VALUE!</v>
      </c>
      <c r="AD451" s="12" t="str">
        <f t="shared" si="1050"/>
        <v>#VALUE!</v>
      </c>
      <c r="AE451" s="12" t="str">
        <f t="shared" si="1051"/>
        <v>#VALUE!</v>
      </c>
      <c r="AF451" s="61">
        <v>114500.0</v>
      </c>
      <c r="AG451" s="62" t="str">
        <f t="shared" si="1006"/>
        <v>#VALUE!</v>
      </c>
      <c r="AH451" s="63" t="str">
        <f t="shared" si="1007"/>
        <v>#VALUE!</v>
      </c>
      <c r="AI451" s="64" t="str">
        <f t="shared" si="1488"/>
        <v>#VALUE!</v>
      </c>
      <c r="AJ451" s="64" t="str">
        <f t="shared" si="1489"/>
        <v>#VALUE!</v>
      </c>
      <c r="AK451" s="66" t="str">
        <f t="shared" si="1008"/>
        <v>#VALUE!</v>
      </c>
      <c r="AL451" s="66"/>
      <c r="AM451" s="14" t="str">
        <f t="shared" si="1009"/>
        <v>#VALUE!</v>
      </c>
      <c r="AN451" s="67" t="str">
        <f t="shared" si="1010"/>
        <v>#VALUE!</v>
      </c>
      <c r="AO451" s="68" t="str">
        <f t="shared" si="1011"/>
        <v>#VALUE!</v>
      </c>
      <c r="AP451" s="69" t="str">
        <f t="shared" si="1012"/>
        <v>#VALUE!</v>
      </c>
      <c r="AQ451" s="70" t="str">
        <f t="shared" si="1013"/>
        <v>#VALUE!</v>
      </c>
      <c r="AR451" s="71" t="str">
        <f t="shared" ref="AR451:AS451" si="1490">AI451/94</f>
        <v>#VALUE!</v>
      </c>
      <c r="AS451" s="71" t="str">
        <f t="shared" si="1490"/>
        <v>#VALUE!</v>
      </c>
      <c r="AT451" s="72" t="str">
        <f t="shared" ref="AT451:AU451" si="1491">AI451/24</f>
        <v>#VALUE!</v>
      </c>
      <c r="AU451" s="72" t="str">
        <f t="shared" si="1491"/>
        <v>#VALUE!</v>
      </c>
      <c r="AV451" s="73" t="str">
        <f t="shared" ref="AV451:AW451" si="1492">AI451/125</f>
        <v>#VALUE!</v>
      </c>
      <c r="AW451" s="73" t="str">
        <f t="shared" si="1492"/>
        <v>#VALUE!</v>
      </c>
    </row>
    <row r="452" ht="15.75" customHeight="1">
      <c r="A452" s="2"/>
      <c r="B452" s="2" t="s">
        <v>899</v>
      </c>
      <c r="C452" s="2" t="s">
        <v>900</v>
      </c>
      <c r="D452" s="10" t="s">
        <v>469</v>
      </c>
      <c r="E452" s="2">
        <v>190.0</v>
      </c>
      <c r="F452" s="2">
        <v>10.0</v>
      </c>
      <c r="G452" s="10">
        <v>8.3061E7</v>
      </c>
      <c r="H452" s="59">
        <v>0.05</v>
      </c>
      <c r="I452" s="2" t="str">
        <f t="shared" si="1477"/>
        <v>#VALUE!</v>
      </c>
      <c r="K452" s="2" t="str">
        <f t="shared" si="1478"/>
        <v>#VALUE!</v>
      </c>
      <c r="L452" s="4" t="str">
        <f t="shared" si="987"/>
        <v>#VALUE!</v>
      </c>
      <c r="M452" s="2" t="str">
        <f t="shared" si="1055"/>
        <v>#VALUE!</v>
      </c>
      <c r="N452" s="12" t="str">
        <f t="shared" si="989"/>
        <v>#VALUE!</v>
      </c>
      <c r="O452" s="12" t="str">
        <f t="shared" si="990"/>
        <v>#VALUE!</v>
      </c>
      <c r="P452" s="12" t="str">
        <f t="shared" si="991"/>
        <v>#VALUE!</v>
      </c>
      <c r="Q452" s="12" t="str">
        <f t="shared" si="992"/>
        <v>#VALUE!</v>
      </c>
      <c r="R452" s="12" t="str">
        <f t="shared" si="993"/>
        <v>#VALUE!</v>
      </c>
      <c r="S452" s="12" t="str">
        <f t="shared" si="994"/>
        <v>#VALUE!</v>
      </c>
      <c r="T452" s="4" t="str">
        <f t="shared" si="995"/>
        <v>#VALUE!</v>
      </c>
      <c r="U452" s="2" t="str">
        <f t="shared" si="996"/>
        <v>#VALUE!</v>
      </c>
      <c r="V452" s="42" t="str">
        <f t="shared" si="15"/>
        <v>#VALUE!</v>
      </c>
      <c r="W452" s="2" t="str">
        <f t="shared" si="997"/>
        <v>#VALUE!</v>
      </c>
      <c r="X452" s="2" t="str">
        <f t="shared" si="998"/>
        <v>#VALUE!</v>
      </c>
      <c r="Y452" s="2" t="str">
        <f t="shared" si="999"/>
        <v>#VALUE!</v>
      </c>
      <c r="Z452" s="60" t="str">
        <f t="shared" si="1000"/>
        <v>#VALUE!</v>
      </c>
      <c r="AA452" s="11" t="str">
        <f t="shared" si="1001"/>
        <v>#VALUE!</v>
      </c>
      <c r="AB452" s="2" t="str">
        <f t="shared" si="1002"/>
        <v>#VALUE!</v>
      </c>
      <c r="AC452" s="2" t="str">
        <f t="shared" si="1049"/>
        <v>#VALUE!</v>
      </c>
      <c r="AD452" s="12" t="str">
        <f t="shared" si="1050"/>
        <v>#VALUE!</v>
      </c>
      <c r="AE452" s="12" t="str">
        <f t="shared" si="1051"/>
        <v>#VALUE!</v>
      </c>
      <c r="AF452" s="61">
        <v>53500.0</v>
      </c>
      <c r="AG452" s="62" t="str">
        <f t="shared" si="1006"/>
        <v>#VALUE!</v>
      </c>
      <c r="AH452" s="63" t="str">
        <f t="shared" si="1007"/>
        <v>#VALUE!</v>
      </c>
      <c r="AI452" s="64" t="str">
        <f t="shared" si="1488"/>
        <v>#VALUE!</v>
      </c>
      <c r="AJ452" s="64" t="str">
        <f t="shared" si="1489"/>
        <v>#VALUE!</v>
      </c>
      <c r="AK452" s="66" t="str">
        <f t="shared" si="1008"/>
        <v>#VALUE!</v>
      </c>
      <c r="AL452" s="66"/>
      <c r="AM452" s="14" t="str">
        <f t="shared" si="1009"/>
        <v>#VALUE!</v>
      </c>
      <c r="AN452" s="67" t="str">
        <f t="shared" si="1010"/>
        <v>#VALUE!</v>
      </c>
      <c r="AO452" s="68" t="str">
        <f t="shared" si="1011"/>
        <v>#VALUE!</v>
      </c>
      <c r="AP452" s="69" t="str">
        <f t="shared" si="1012"/>
        <v>#VALUE!</v>
      </c>
      <c r="AQ452" s="70" t="str">
        <f t="shared" si="1013"/>
        <v>#VALUE!</v>
      </c>
      <c r="AR452" s="71" t="str">
        <f t="shared" ref="AR452:AS452" si="1493">AI452/94</f>
        <v>#VALUE!</v>
      </c>
      <c r="AS452" s="71" t="str">
        <f t="shared" si="1493"/>
        <v>#VALUE!</v>
      </c>
      <c r="AT452" s="72" t="str">
        <f t="shared" ref="AT452:AU452" si="1494">AI452/24</f>
        <v>#VALUE!</v>
      </c>
      <c r="AU452" s="72" t="str">
        <f t="shared" si="1494"/>
        <v>#VALUE!</v>
      </c>
      <c r="AV452" s="73" t="str">
        <f t="shared" ref="AV452:AW452" si="1495">AI452/125</f>
        <v>#VALUE!</v>
      </c>
      <c r="AW452" s="73" t="str">
        <f t="shared" si="1495"/>
        <v>#VALUE!</v>
      </c>
    </row>
    <row r="453" ht="15.75" customHeight="1">
      <c r="A453" s="2"/>
      <c r="B453" s="2" t="s">
        <v>901</v>
      </c>
      <c r="C453" s="2" t="s">
        <v>902</v>
      </c>
      <c r="D453" s="10">
        <v>51700.0</v>
      </c>
      <c r="E453" s="2">
        <v>1000.0</v>
      </c>
      <c r="F453" s="2">
        <v>10.0</v>
      </c>
      <c r="G453" s="10">
        <v>8.3061E7</v>
      </c>
      <c r="H453" s="59">
        <v>0.05</v>
      </c>
      <c r="I453" s="2">
        <f t="shared" si="1477"/>
        <v>2585</v>
      </c>
      <c r="K453" s="2">
        <f t="shared" si="1478"/>
        <v>2068</v>
      </c>
      <c r="L453" s="4">
        <f t="shared" si="987"/>
        <v>57363</v>
      </c>
      <c r="M453" s="2">
        <f t="shared" si="1055"/>
        <v>517</v>
      </c>
      <c r="N453" s="12">
        <f t="shared" si="989"/>
        <v>4589.04</v>
      </c>
      <c r="O453" s="12">
        <f t="shared" si="990"/>
        <v>5736.3</v>
      </c>
      <c r="P453" s="12">
        <f t="shared" si="991"/>
        <v>2868.15</v>
      </c>
      <c r="Q453" s="12">
        <f t="shared" si="992"/>
        <v>1147.26</v>
      </c>
      <c r="R453" s="12">
        <f t="shared" si="993"/>
        <v>542.85</v>
      </c>
      <c r="S453" s="12">
        <f t="shared" si="994"/>
        <v>573.63</v>
      </c>
      <c r="T453" s="60">
        <f t="shared" si="995"/>
        <v>15431.38</v>
      </c>
      <c r="U453" s="2">
        <f t="shared" si="996"/>
        <v>1085.7</v>
      </c>
      <c r="V453" s="42">
        <f t="shared" si="15"/>
        <v>5428.5</v>
      </c>
      <c r="W453" s="2">
        <f t="shared" si="997"/>
        <v>1085.7</v>
      </c>
      <c r="X453" s="2">
        <f t="shared" si="998"/>
        <v>8685.6</v>
      </c>
      <c r="Y453" s="2">
        <f t="shared" si="999"/>
        <v>16285.5</v>
      </c>
      <c r="Z453" s="60">
        <f t="shared" si="1000"/>
        <v>89079.88</v>
      </c>
      <c r="AA453" s="11">
        <f t="shared" si="1001"/>
        <v>17815.976</v>
      </c>
      <c r="AB453" s="12">
        <f t="shared" si="1002"/>
        <v>106895.856</v>
      </c>
      <c r="AC453" s="2">
        <f t="shared" si="1049"/>
        <v>108570</v>
      </c>
      <c r="AD453" s="12">
        <f t="shared" si="1050"/>
        <v>-1674.144</v>
      </c>
      <c r="AE453" s="12">
        <f t="shared" si="1051"/>
        <v>-1.566144903</v>
      </c>
      <c r="AF453" s="61">
        <v>65500.0</v>
      </c>
      <c r="AG453" s="62">
        <f t="shared" si="1006"/>
        <v>14.18510189</v>
      </c>
      <c r="AH453" s="63">
        <f t="shared" si="1007"/>
        <v>4490</v>
      </c>
      <c r="AI453" s="64">
        <v>79990.0</v>
      </c>
      <c r="AJ453" s="64">
        <v>69990.0</v>
      </c>
      <c r="AK453" s="66">
        <f t="shared" si="1008"/>
        <v>22.01244705</v>
      </c>
      <c r="AL453" s="66"/>
      <c r="AM453" s="14">
        <f t="shared" si="1009"/>
        <v>6.415202172</v>
      </c>
      <c r="AN453" s="67">
        <f t="shared" si="1010"/>
        <v>7.827345153</v>
      </c>
      <c r="AO453" s="68">
        <f t="shared" si="1011"/>
        <v>1.22012447</v>
      </c>
      <c r="AP453" s="69">
        <f t="shared" si="1012"/>
        <v>-369.05856</v>
      </c>
      <c r="AQ453" s="70">
        <f t="shared" si="1013"/>
        <v>-385.8</v>
      </c>
      <c r="AR453" s="71">
        <f t="shared" ref="AR453:AS453" si="1496">AI453/94</f>
        <v>850.9574468</v>
      </c>
      <c r="AS453" s="71">
        <f t="shared" si="1496"/>
        <v>744.5744681</v>
      </c>
      <c r="AT453" s="72">
        <f t="shared" ref="AT453:AU453" si="1497">AI453/24</f>
        <v>3332.916667</v>
      </c>
      <c r="AU453" s="72">
        <f t="shared" si="1497"/>
        <v>2916.25</v>
      </c>
      <c r="AV453" s="73">
        <f t="shared" ref="AV453:AW453" si="1498">AI453/125</f>
        <v>639.92</v>
      </c>
      <c r="AW453" s="73">
        <f t="shared" si="1498"/>
        <v>559.92</v>
      </c>
    </row>
    <row r="454" ht="15.75" customHeight="1">
      <c r="A454" s="2"/>
      <c r="B454" s="2" t="s">
        <v>903</v>
      </c>
      <c r="C454" s="2" t="s">
        <v>904</v>
      </c>
      <c r="D454" s="10">
        <v>65000.0</v>
      </c>
      <c r="E454" s="2">
        <v>1500.0</v>
      </c>
      <c r="F454" s="2">
        <v>10.0</v>
      </c>
      <c r="G454" s="10">
        <v>8.3061E7</v>
      </c>
      <c r="H454" s="59">
        <v>0.05</v>
      </c>
      <c r="I454" s="2">
        <f t="shared" si="1477"/>
        <v>3250</v>
      </c>
      <c r="K454" s="2">
        <f t="shared" si="1478"/>
        <v>2600</v>
      </c>
      <c r="L454" s="4">
        <f t="shared" si="987"/>
        <v>72360</v>
      </c>
      <c r="M454" s="2">
        <f t="shared" si="1055"/>
        <v>650</v>
      </c>
      <c r="N454" s="12">
        <f t="shared" si="989"/>
        <v>5788.8</v>
      </c>
      <c r="O454" s="12">
        <f t="shared" si="990"/>
        <v>7236</v>
      </c>
      <c r="P454" s="12">
        <f t="shared" si="991"/>
        <v>3618</v>
      </c>
      <c r="Q454" s="12">
        <f t="shared" si="992"/>
        <v>1447.2</v>
      </c>
      <c r="R454" s="12">
        <f t="shared" si="993"/>
        <v>682.5</v>
      </c>
      <c r="S454" s="12">
        <f t="shared" si="994"/>
        <v>723.6</v>
      </c>
      <c r="T454" s="60">
        <f t="shared" si="995"/>
        <v>19463.6</v>
      </c>
      <c r="U454" s="2">
        <f t="shared" si="996"/>
        <v>1365</v>
      </c>
      <c r="V454" s="42">
        <f t="shared" si="15"/>
        <v>6825</v>
      </c>
      <c r="W454" s="2">
        <f t="shared" si="997"/>
        <v>1365</v>
      </c>
      <c r="X454" s="2">
        <f t="shared" si="998"/>
        <v>10920</v>
      </c>
      <c r="Y454" s="2">
        <f t="shared" si="999"/>
        <v>20475</v>
      </c>
      <c r="Z454" s="60">
        <f t="shared" si="1000"/>
        <v>112298.6</v>
      </c>
      <c r="AA454" s="11">
        <f t="shared" si="1001"/>
        <v>22459.72</v>
      </c>
      <c r="AB454" s="12">
        <f t="shared" si="1002"/>
        <v>134758.32</v>
      </c>
      <c r="AC454" s="2">
        <f t="shared" si="1049"/>
        <v>136500</v>
      </c>
      <c r="AD454" s="12">
        <f t="shared" si="1050"/>
        <v>-1741.68</v>
      </c>
      <c r="AE454" s="12">
        <f t="shared" si="1051"/>
        <v>-1.292447101</v>
      </c>
      <c r="AF454" s="61">
        <v>65500.0</v>
      </c>
      <c r="AG454" s="62">
        <f t="shared" si="1006"/>
        <v>-9.480375898</v>
      </c>
      <c r="AH454" s="63">
        <f t="shared" si="1007"/>
        <v>6490</v>
      </c>
      <c r="AI454" s="65">
        <v>81990.0</v>
      </c>
      <c r="AJ454" s="65">
        <v>71990.0</v>
      </c>
      <c r="AK454" s="66">
        <f t="shared" si="1008"/>
        <v>-0.5113322278</v>
      </c>
      <c r="AL454" s="66"/>
      <c r="AM454" s="14">
        <f t="shared" si="1009"/>
        <v>9.015140992</v>
      </c>
      <c r="AN454" s="67">
        <f t="shared" si="1010"/>
        <v>8.969043671</v>
      </c>
      <c r="AO454" s="68">
        <f t="shared" si="1011"/>
        <v>0.9948866777</v>
      </c>
      <c r="AP454" s="69">
        <f t="shared" si="1012"/>
        <v>-627.6832</v>
      </c>
      <c r="AQ454" s="70">
        <f t="shared" si="1013"/>
        <v>-645.1</v>
      </c>
      <c r="AR454" s="71">
        <f t="shared" ref="AR454:AS454" si="1499">AI454/94</f>
        <v>872.2340426</v>
      </c>
      <c r="AS454" s="71">
        <f t="shared" si="1499"/>
        <v>765.8510638</v>
      </c>
      <c r="AT454" s="72">
        <f t="shared" ref="AT454:AU454" si="1500">AI454/24</f>
        <v>3416.25</v>
      </c>
      <c r="AU454" s="72">
        <f t="shared" si="1500"/>
        <v>2999.583333</v>
      </c>
      <c r="AV454" s="73">
        <f t="shared" ref="AV454:AW454" si="1501">AI454/125</f>
        <v>655.92</v>
      </c>
      <c r="AW454" s="73">
        <f t="shared" si="1501"/>
        <v>575.92</v>
      </c>
    </row>
    <row r="455" ht="15.75" customHeight="1">
      <c r="A455" s="2"/>
      <c r="B455" s="2" t="s">
        <v>905</v>
      </c>
      <c r="C455" s="2" t="s">
        <v>906</v>
      </c>
      <c r="D455" s="10" t="s">
        <v>469</v>
      </c>
      <c r="E455" s="2">
        <v>190.0</v>
      </c>
      <c r="F455" s="2">
        <v>10.0</v>
      </c>
      <c r="G455" s="10">
        <v>8.3061E7</v>
      </c>
      <c r="H455" s="59">
        <v>0.05</v>
      </c>
      <c r="I455" s="2" t="str">
        <f t="shared" si="1477"/>
        <v>#VALUE!</v>
      </c>
      <c r="K455" s="2" t="str">
        <f t="shared" si="1478"/>
        <v>#VALUE!</v>
      </c>
      <c r="L455" s="4" t="str">
        <f t="shared" si="987"/>
        <v>#VALUE!</v>
      </c>
      <c r="M455" s="2" t="str">
        <f t="shared" si="1055"/>
        <v>#VALUE!</v>
      </c>
      <c r="N455" s="12" t="str">
        <f t="shared" si="989"/>
        <v>#VALUE!</v>
      </c>
      <c r="O455" s="12" t="str">
        <f t="shared" si="990"/>
        <v>#VALUE!</v>
      </c>
      <c r="P455" s="12" t="str">
        <f t="shared" si="991"/>
        <v>#VALUE!</v>
      </c>
      <c r="Q455" s="12" t="str">
        <f t="shared" si="992"/>
        <v>#VALUE!</v>
      </c>
      <c r="R455" s="12" t="str">
        <f t="shared" si="993"/>
        <v>#VALUE!</v>
      </c>
      <c r="S455" s="12" t="str">
        <f t="shared" si="994"/>
        <v>#VALUE!</v>
      </c>
      <c r="T455" s="4" t="str">
        <f t="shared" si="995"/>
        <v>#VALUE!</v>
      </c>
      <c r="U455" s="2" t="str">
        <f t="shared" si="996"/>
        <v>#VALUE!</v>
      </c>
      <c r="V455" s="42" t="str">
        <f t="shared" si="15"/>
        <v>#VALUE!</v>
      </c>
      <c r="W455" s="2" t="str">
        <f t="shared" si="997"/>
        <v>#VALUE!</v>
      </c>
      <c r="X455" s="2" t="str">
        <f t="shared" si="998"/>
        <v>#VALUE!</v>
      </c>
      <c r="Y455" s="2" t="str">
        <f t="shared" si="999"/>
        <v>#VALUE!</v>
      </c>
      <c r="Z455" s="60" t="str">
        <f t="shared" si="1000"/>
        <v>#VALUE!</v>
      </c>
      <c r="AA455" s="11" t="str">
        <f t="shared" si="1001"/>
        <v>#VALUE!</v>
      </c>
      <c r="AB455" s="2" t="str">
        <f t="shared" si="1002"/>
        <v>#VALUE!</v>
      </c>
      <c r="AC455" s="2" t="str">
        <f t="shared" si="1049"/>
        <v>#VALUE!</v>
      </c>
      <c r="AD455" s="12" t="str">
        <f t="shared" si="1050"/>
        <v>#VALUE!</v>
      </c>
      <c r="AE455" s="12" t="str">
        <f t="shared" si="1051"/>
        <v>#VALUE!</v>
      </c>
      <c r="AF455" s="61">
        <v>114500.0</v>
      </c>
      <c r="AG455" s="62" t="str">
        <f t="shared" si="1006"/>
        <v>#VALUE!</v>
      </c>
      <c r="AH455" s="63" t="str">
        <f t="shared" si="1007"/>
        <v>#VALUE!</v>
      </c>
      <c r="AI455" s="64" t="str">
        <f t="shared" ref="AI455:AI456" si="1505">AB455</f>
        <v>#VALUE!</v>
      </c>
      <c r="AJ455" s="64" t="str">
        <f t="shared" ref="AJ455:AJ456" si="1506">AI455-(AI455*7%)</f>
        <v>#VALUE!</v>
      </c>
      <c r="AK455" s="66" t="str">
        <f t="shared" si="1008"/>
        <v>#VALUE!</v>
      </c>
      <c r="AL455" s="66"/>
      <c r="AM455" s="14" t="str">
        <f t="shared" si="1009"/>
        <v>#VALUE!</v>
      </c>
      <c r="AN455" s="67" t="str">
        <f t="shared" si="1010"/>
        <v>#VALUE!</v>
      </c>
      <c r="AO455" s="68" t="str">
        <f t="shared" si="1011"/>
        <v>#VALUE!</v>
      </c>
      <c r="AP455" s="69" t="str">
        <f t="shared" si="1012"/>
        <v>#VALUE!</v>
      </c>
      <c r="AQ455" s="70" t="str">
        <f t="shared" si="1013"/>
        <v>#VALUE!</v>
      </c>
      <c r="AR455" s="71" t="str">
        <f t="shared" ref="AR455:AS455" si="1502">AI455/94</f>
        <v>#VALUE!</v>
      </c>
      <c r="AS455" s="71" t="str">
        <f t="shared" si="1502"/>
        <v>#VALUE!</v>
      </c>
      <c r="AT455" s="72" t="str">
        <f t="shared" ref="AT455:AU455" si="1503">AI455/24</f>
        <v>#VALUE!</v>
      </c>
      <c r="AU455" s="72" t="str">
        <f t="shared" si="1503"/>
        <v>#VALUE!</v>
      </c>
      <c r="AV455" s="73" t="str">
        <f t="shared" ref="AV455:AW455" si="1504">AI455/125</f>
        <v>#VALUE!</v>
      </c>
      <c r="AW455" s="73" t="str">
        <f t="shared" si="1504"/>
        <v>#VALUE!</v>
      </c>
    </row>
    <row r="456" ht="15.75" customHeight="1">
      <c r="A456" s="2"/>
      <c r="B456" s="2" t="s">
        <v>907</v>
      </c>
      <c r="C456" s="2" t="s">
        <v>908</v>
      </c>
      <c r="D456" s="10" t="s">
        <v>469</v>
      </c>
      <c r="E456" s="2">
        <v>190.0</v>
      </c>
      <c r="F456" s="2">
        <v>10.0</v>
      </c>
      <c r="G456" s="10">
        <v>8.3061E7</v>
      </c>
      <c r="H456" s="59">
        <v>0.0500000000000001</v>
      </c>
      <c r="I456" s="2" t="str">
        <f t="shared" si="1477"/>
        <v>#VALUE!</v>
      </c>
      <c r="K456" s="2" t="str">
        <f t="shared" si="1478"/>
        <v>#VALUE!</v>
      </c>
      <c r="L456" s="4" t="str">
        <f t="shared" si="987"/>
        <v>#VALUE!</v>
      </c>
      <c r="M456" s="2" t="str">
        <f t="shared" si="1055"/>
        <v>#VALUE!</v>
      </c>
      <c r="N456" s="12" t="str">
        <f t="shared" si="989"/>
        <v>#VALUE!</v>
      </c>
      <c r="O456" s="12" t="str">
        <f t="shared" si="990"/>
        <v>#VALUE!</v>
      </c>
      <c r="P456" s="12" t="str">
        <f t="shared" si="991"/>
        <v>#VALUE!</v>
      </c>
      <c r="Q456" s="12" t="str">
        <f t="shared" si="992"/>
        <v>#VALUE!</v>
      </c>
      <c r="R456" s="12" t="str">
        <f t="shared" si="993"/>
        <v>#VALUE!</v>
      </c>
      <c r="S456" s="12" t="str">
        <f t="shared" si="994"/>
        <v>#VALUE!</v>
      </c>
      <c r="T456" s="4" t="str">
        <f t="shared" si="995"/>
        <v>#VALUE!</v>
      </c>
      <c r="U456" s="2" t="str">
        <f t="shared" si="996"/>
        <v>#VALUE!</v>
      </c>
      <c r="V456" s="42" t="str">
        <f t="shared" si="15"/>
        <v>#VALUE!</v>
      </c>
      <c r="W456" s="2" t="str">
        <f t="shared" si="997"/>
        <v>#VALUE!</v>
      </c>
      <c r="X456" s="2" t="str">
        <f t="shared" si="998"/>
        <v>#VALUE!</v>
      </c>
      <c r="Y456" s="2" t="str">
        <f t="shared" si="999"/>
        <v>#VALUE!</v>
      </c>
      <c r="Z456" s="60" t="str">
        <f t="shared" si="1000"/>
        <v>#VALUE!</v>
      </c>
      <c r="AA456" s="11" t="str">
        <f t="shared" si="1001"/>
        <v>#VALUE!</v>
      </c>
      <c r="AB456" s="2" t="str">
        <f t="shared" si="1002"/>
        <v>#VALUE!</v>
      </c>
      <c r="AC456" s="2" t="str">
        <f t="shared" si="1049"/>
        <v>#VALUE!</v>
      </c>
      <c r="AD456" s="12" t="str">
        <f t="shared" si="1050"/>
        <v>#VALUE!</v>
      </c>
      <c r="AE456" s="12" t="str">
        <f t="shared" si="1051"/>
        <v>#VALUE!</v>
      </c>
      <c r="AF456" s="61">
        <v>99500.0</v>
      </c>
      <c r="AG456" s="62" t="str">
        <f t="shared" si="1006"/>
        <v>#VALUE!</v>
      </c>
      <c r="AH456" s="63" t="str">
        <f t="shared" si="1007"/>
        <v>#VALUE!</v>
      </c>
      <c r="AI456" s="64" t="str">
        <f t="shared" si="1505"/>
        <v>#VALUE!</v>
      </c>
      <c r="AJ456" s="64" t="str">
        <f t="shared" si="1506"/>
        <v>#VALUE!</v>
      </c>
      <c r="AK456" s="66" t="str">
        <f t="shared" si="1008"/>
        <v>#VALUE!</v>
      </c>
      <c r="AL456" s="66"/>
      <c r="AM456" s="14" t="str">
        <f t="shared" si="1009"/>
        <v>#VALUE!</v>
      </c>
      <c r="AN456" s="67" t="str">
        <f t="shared" si="1010"/>
        <v>#VALUE!</v>
      </c>
      <c r="AO456" s="68" t="str">
        <f t="shared" si="1011"/>
        <v>#VALUE!</v>
      </c>
      <c r="AP456" s="69" t="str">
        <f t="shared" si="1012"/>
        <v>#VALUE!</v>
      </c>
      <c r="AQ456" s="70" t="str">
        <f t="shared" si="1013"/>
        <v>#VALUE!</v>
      </c>
      <c r="AR456" s="71" t="str">
        <f t="shared" ref="AR456:AS456" si="1507">AI456/94</f>
        <v>#VALUE!</v>
      </c>
      <c r="AS456" s="71" t="str">
        <f t="shared" si="1507"/>
        <v>#VALUE!</v>
      </c>
      <c r="AT456" s="72" t="str">
        <f t="shared" ref="AT456:AU456" si="1508">AI456/24</f>
        <v>#VALUE!</v>
      </c>
      <c r="AU456" s="72" t="str">
        <f t="shared" si="1508"/>
        <v>#VALUE!</v>
      </c>
      <c r="AV456" s="73" t="str">
        <f t="shared" ref="AV456:AW456" si="1509">AI456/125</f>
        <v>#VALUE!</v>
      </c>
      <c r="AW456" s="73" t="str">
        <f t="shared" si="1509"/>
        <v>#VALUE!</v>
      </c>
    </row>
    <row r="457" ht="15.0" customHeight="1">
      <c r="A457" s="2" t="s">
        <v>909</v>
      </c>
      <c r="B457" s="2" t="s">
        <v>910</v>
      </c>
      <c r="C457" s="2" t="s">
        <v>911</v>
      </c>
      <c r="D457" s="10">
        <v>780.0</v>
      </c>
      <c r="E457" s="2">
        <v>65.0</v>
      </c>
      <c r="F457" s="1">
        <v>85.0</v>
      </c>
      <c r="G457" s="10">
        <v>8.3061E7</v>
      </c>
      <c r="H457" s="59">
        <v>0.05</v>
      </c>
      <c r="I457" s="2">
        <f t="shared" si="1477"/>
        <v>39</v>
      </c>
      <c r="K457" s="1">
        <v>40.0</v>
      </c>
      <c r="L457" s="4">
        <f t="shared" si="987"/>
        <v>1009</v>
      </c>
      <c r="M457" s="2">
        <f t="shared" si="1055"/>
        <v>7.8</v>
      </c>
      <c r="N457" s="12">
        <f t="shared" si="989"/>
        <v>80.72</v>
      </c>
      <c r="O457" s="12">
        <f t="shared" si="990"/>
        <v>100.9</v>
      </c>
      <c r="P457" s="12">
        <f t="shared" si="991"/>
        <v>50.45</v>
      </c>
      <c r="Q457" s="12">
        <f t="shared" si="992"/>
        <v>20.18</v>
      </c>
      <c r="R457" s="12">
        <f t="shared" si="993"/>
        <v>8.19</v>
      </c>
      <c r="S457" s="12">
        <f t="shared" si="994"/>
        <v>10.09</v>
      </c>
      <c r="T457" s="60">
        <f t="shared" si="995"/>
        <v>270.14</v>
      </c>
      <c r="U457" s="2">
        <f t="shared" si="996"/>
        <v>16.38</v>
      </c>
      <c r="V457" s="42">
        <f t="shared" si="15"/>
        <v>81.9</v>
      </c>
      <c r="W457" s="2">
        <f t="shared" si="997"/>
        <v>16.38</v>
      </c>
      <c r="X457" s="2">
        <f t="shared" si="998"/>
        <v>131.04</v>
      </c>
      <c r="Y457" s="2">
        <f t="shared" si="999"/>
        <v>245.7</v>
      </c>
      <c r="Z457" s="60">
        <f t="shared" si="1000"/>
        <v>1524.84</v>
      </c>
      <c r="AA457" s="11">
        <f t="shared" si="1001"/>
        <v>304.968</v>
      </c>
      <c r="AB457" s="12">
        <f t="shared" si="1002"/>
        <v>1829.808</v>
      </c>
      <c r="AC457" s="2">
        <f t="shared" si="1049"/>
        <v>1638</v>
      </c>
      <c r="AD457" s="12">
        <f t="shared" si="1050"/>
        <v>191.808</v>
      </c>
      <c r="AE457" s="12">
        <f t="shared" si="1051"/>
        <v>10.48241127</v>
      </c>
      <c r="AF457" s="61">
        <v>1550.0</v>
      </c>
      <c r="AG457" s="62">
        <f t="shared" si="1006"/>
        <v>53.61744301</v>
      </c>
      <c r="AH457" s="63">
        <f t="shared" si="1007"/>
        <v>40</v>
      </c>
      <c r="AI457" s="65">
        <v>1990.0</v>
      </c>
      <c r="AJ457" s="65">
        <v>1590.0</v>
      </c>
      <c r="AK457" s="66">
        <f t="shared" si="1008"/>
        <v>57.58176412</v>
      </c>
      <c r="AL457" s="66"/>
      <c r="AM457" s="14">
        <f t="shared" si="1009"/>
        <v>2.51572327</v>
      </c>
      <c r="AN457" s="67">
        <f t="shared" si="1010"/>
        <v>3.96432111</v>
      </c>
      <c r="AO457" s="68">
        <f t="shared" si="1011"/>
        <v>1.575817641</v>
      </c>
      <c r="AP457" s="69">
        <f t="shared" si="1012"/>
        <v>-2.39808</v>
      </c>
      <c r="AQ457" s="70">
        <f t="shared" si="1013"/>
        <v>-0.48</v>
      </c>
      <c r="AR457" s="71">
        <f t="shared" ref="AR457:AS457" si="1510">AI457/94</f>
        <v>21.17021277</v>
      </c>
      <c r="AS457" s="71">
        <f t="shared" si="1510"/>
        <v>16.91489362</v>
      </c>
      <c r="AT457" s="72">
        <f t="shared" ref="AT457:AU457" si="1511">AI457/24</f>
        <v>82.91666667</v>
      </c>
      <c r="AU457" s="72">
        <f t="shared" si="1511"/>
        <v>66.25</v>
      </c>
      <c r="AV457" s="73">
        <f t="shared" ref="AV457:AW457" si="1512">AI457/125</f>
        <v>15.92</v>
      </c>
      <c r="AW457" s="73">
        <f t="shared" si="1512"/>
        <v>12.72</v>
      </c>
    </row>
    <row r="458" ht="15.75" customHeight="1">
      <c r="A458" s="2"/>
      <c r="B458" s="2" t="s">
        <v>912</v>
      </c>
      <c r="C458" s="2" t="s">
        <v>913</v>
      </c>
      <c r="D458" s="10">
        <v>1235.0</v>
      </c>
      <c r="E458" s="2">
        <v>65.0</v>
      </c>
      <c r="F458" s="1">
        <v>85.0</v>
      </c>
      <c r="G458" s="10">
        <v>8.3061E7</v>
      </c>
      <c r="H458" s="59">
        <v>0.05</v>
      </c>
      <c r="I458" s="2">
        <f t="shared" si="1477"/>
        <v>61.75</v>
      </c>
      <c r="K458" s="1">
        <v>40.0</v>
      </c>
      <c r="L458" s="4">
        <f t="shared" si="987"/>
        <v>1486.75</v>
      </c>
      <c r="M458" s="2">
        <f t="shared" si="1055"/>
        <v>12.35</v>
      </c>
      <c r="N458" s="12">
        <f t="shared" si="989"/>
        <v>118.94</v>
      </c>
      <c r="O458" s="12">
        <f t="shared" si="990"/>
        <v>148.675</v>
      </c>
      <c r="P458" s="12">
        <f t="shared" si="991"/>
        <v>74.3375</v>
      </c>
      <c r="Q458" s="12">
        <f t="shared" si="992"/>
        <v>29.735</v>
      </c>
      <c r="R458" s="12">
        <f t="shared" si="993"/>
        <v>12.9675</v>
      </c>
      <c r="S458" s="12">
        <f t="shared" si="994"/>
        <v>14.8675</v>
      </c>
      <c r="T458" s="60">
        <f t="shared" si="995"/>
        <v>398.905</v>
      </c>
      <c r="U458" s="2">
        <f t="shared" si="996"/>
        <v>25.935</v>
      </c>
      <c r="V458" s="42">
        <f t="shared" si="15"/>
        <v>129.675</v>
      </c>
      <c r="W458" s="2">
        <f t="shared" si="997"/>
        <v>25.935</v>
      </c>
      <c r="X458" s="2">
        <f t="shared" si="998"/>
        <v>207.48</v>
      </c>
      <c r="Y458" s="2">
        <f t="shared" si="999"/>
        <v>389.025</v>
      </c>
      <c r="Z458" s="60">
        <f t="shared" si="1000"/>
        <v>2274.68</v>
      </c>
      <c r="AA458" s="11">
        <f t="shared" si="1001"/>
        <v>454.936</v>
      </c>
      <c r="AB458" s="12">
        <f t="shared" si="1002"/>
        <v>2729.616</v>
      </c>
      <c r="AC458" s="2">
        <f t="shared" si="1049"/>
        <v>2593.5</v>
      </c>
      <c r="AD458" s="12">
        <f t="shared" si="1050"/>
        <v>136.116</v>
      </c>
      <c r="AE458" s="12">
        <f t="shared" si="1051"/>
        <v>4.986635483</v>
      </c>
      <c r="AF458" s="61">
        <v>2190.0</v>
      </c>
      <c r="AG458" s="62">
        <f t="shared" si="1006"/>
        <v>47.30116025</v>
      </c>
      <c r="AH458" s="63">
        <f t="shared" si="1007"/>
        <v>100</v>
      </c>
      <c r="AI458" s="65">
        <v>2490.0</v>
      </c>
      <c r="AJ458" s="65">
        <v>2290.0</v>
      </c>
      <c r="AK458" s="66">
        <f t="shared" si="1008"/>
        <v>54.02724063</v>
      </c>
      <c r="AL458" s="66"/>
      <c r="AM458" s="14">
        <f t="shared" si="1009"/>
        <v>4.366812227</v>
      </c>
      <c r="AN458" s="67">
        <f t="shared" si="1010"/>
        <v>6.726080377</v>
      </c>
      <c r="AO458" s="68">
        <f t="shared" si="1011"/>
        <v>1.540272406</v>
      </c>
      <c r="AP458" s="69">
        <f t="shared" si="1012"/>
        <v>-4.39616</v>
      </c>
      <c r="AQ458" s="70">
        <f t="shared" si="1013"/>
        <v>-3.035</v>
      </c>
      <c r="AR458" s="71">
        <f t="shared" ref="AR458:AS458" si="1513">AI458/94</f>
        <v>26.4893617</v>
      </c>
      <c r="AS458" s="71">
        <f t="shared" si="1513"/>
        <v>24.36170213</v>
      </c>
      <c r="AT458" s="72">
        <f t="shared" ref="AT458:AU458" si="1514">AI458/24</f>
        <v>103.75</v>
      </c>
      <c r="AU458" s="72">
        <f t="shared" si="1514"/>
        <v>95.41666667</v>
      </c>
      <c r="AV458" s="73">
        <f t="shared" ref="AV458:AW458" si="1515">AI458/125</f>
        <v>19.92</v>
      </c>
      <c r="AW458" s="73">
        <f t="shared" si="1515"/>
        <v>18.32</v>
      </c>
    </row>
    <row r="459" ht="15.75" customHeight="1">
      <c r="A459" s="2"/>
      <c r="B459" s="2" t="s">
        <v>914</v>
      </c>
      <c r="C459" s="2" t="s">
        <v>915</v>
      </c>
      <c r="D459" s="10">
        <v>910.0</v>
      </c>
      <c r="E459" s="2">
        <v>65.0</v>
      </c>
      <c r="F459" s="1">
        <v>85.0</v>
      </c>
      <c r="G459" s="10">
        <v>8.3061E7</v>
      </c>
      <c r="H459" s="59">
        <v>0.05</v>
      </c>
      <c r="I459" s="2">
        <f t="shared" si="1477"/>
        <v>45.5</v>
      </c>
      <c r="K459" s="1">
        <v>40.0</v>
      </c>
      <c r="L459" s="4">
        <f t="shared" si="987"/>
        <v>1145.5</v>
      </c>
      <c r="M459" s="2">
        <f t="shared" si="1055"/>
        <v>9.1</v>
      </c>
      <c r="N459" s="12">
        <f t="shared" si="989"/>
        <v>91.64</v>
      </c>
      <c r="O459" s="12">
        <f t="shared" si="990"/>
        <v>114.55</v>
      </c>
      <c r="P459" s="12">
        <f t="shared" si="991"/>
        <v>57.275</v>
      </c>
      <c r="Q459" s="12">
        <f t="shared" si="992"/>
        <v>22.91</v>
      </c>
      <c r="R459" s="12">
        <f t="shared" si="993"/>
        <v>9.555</v>
      </c>
      <c r="S459" s="12">
        <f t="shared" si="994"/>
        <v>11.455</v>
      </c>
      <c r="T459" s="60">
        <f t="shared" si="995"/>
        <v>306.93</v>
      </c>
      <c r="U459" s="2">
        <f t="shared" si="996"/>
        <v>19.11</v>
      </c>
      <c r="V459" s="42">
        <f t="shared" si="15"/>
        <v>95.55</v>
      </c>
      <c r="W459" s="2">
        <f t="shared" si="997"/>
        <v>19.11</v>
      </c>
      <c r="X459" s="2">
        <f t="shared" si="998"/>
        <v>152.88</v>
      </c>
      <c r="Y459" s="2">
        <f t="shared" si="999"/>
        <v>286.65</v>
      </c>
      <c r="Z459" s="60">
        <f t="shared" si="1000"/>
        <v>1739.08</v>
      </c>
      <c r="AA459" s="11">
        <f t="shared" si="1001"/>
        <v>347.816</v>
      </c>
      <c r="AB459" s="12">
        <f t="shared" si="1002"/>
        <v>2086.896</v>
      </c>
      <c r="AC459" s="2">
        <f t="shared" si="1049"/>
        <v>1911</v>
      </c>
      <c r="AD459" s="12">
        <f t="shared" si="1050"/>
        <v>175.896</v>
      </c>
      <c r="AE459" s="12">
        <f t="shared" si="1051"/>
        <v>8.428594429</v>
      </c>
      <c r="AF459" s="61">
        <v>1750.0</v>
      </c>
      <c r="AG459" s="62">
        <f t="shared" si="1006"/>
        <v>52.77171541</v>
      </c>
      <c r="AH459" s="63">
        <f t="shared" si="1007"/>
        <v>140</v>
      </c>
      <c r="AI459" s="65">
        <v>2390.0</v>
      </c>
      <c r="AJ459" s="65">
        <v>1890.0</v>
      </c>
      <c r="AK459" s="66">
        <f t="shared" si="1008"/>
        <v>64.99345264</v>
      </c>
      <c r="AL459" s="66"/>
      <c r="AM459" s="14">
        <f t="shared" si="1009"/>
        <v>7.407407407</v>
      </c>
      <c r="AN459" s="67">
        <f t="shared" si="1010"/>
        <v>12.22173723</v>
      </c>
      <c r="AO459" s="68">
        <f t="shared" si="1011"/>
        <v>1.649934526</v>
      </c>
      <c r="AP459" s="69">
        <f t="shared" si="1012"/>
        <v>-1.96896</v>
      </c>
      <c r="AQ459" s="70">
        <f t="shared" si="1013"/>
        <v>-0.21</v>
      </c>
      <c r="AR459" s="71">
        <f t="shared" ref="AR459:AS459" si="1516">AI459/94</f>
        <v>25.42553191</v>
      </c>
      <c r="AS459" s="71">
        <f t="shared" si="1516"/>
        <v>20.10638298</v>
      </c>
      <c r="AT459" s="72">
        <f t="shared" ref="AT459:AU459" si="1517">AI459/24</f>
        <v>99.58333333</v>
      </c>
      <c r="AU459" s="72">
        <f t="shared" si="1517"/>
        <v>78.75</v>
      </c>
      <c r="AV459" s="73">
        <f t="shared" ref="AV459:AW459" si="1518">AI459/125</f>
        <v>19.12</v>
      </c>
      <c r="AW459" s="73">
        <f t="shared" si="1518"/>
        <v>15.12</v>
      </c>
    </row>
    <row r="460" ht="15.75" customHeight="1">
      <c r="A460" s="2"/>
      <c r="B460" s="2" t="s">
        <v>916</v>
      </c>
      <c r="C460" s="2" t="s">
        <v>917</v>
      </c>
      <c r="D460" s="10">
        <v>1235.0</v>
      </c>
      <c r="E460" s="2">
        <v>65.0</v>
      </c>
      <c r="F460" s="1">
        <v>85.0</v>
      </c>
      <c r="G460" s="10">
        <v>8.3061E7</v>
      </c>
      <c r="H460" s="59">
        <v>0.05</v>
      </c>
      <c r="I460" s="2">
        <f t="shared" si="1477"/>
        <v>61.75</v>
      </c>
      <c r="K460" s="1">
        <v>40.0</v>
      </c>
      <c r="L460" s="4">
        <f t="shared" si="987"/>
        <v>1486.75</v>
      </c>
      <c r="M460" s="2">
        <f t="shared" si="1055"/>
        <v>12.35</v>
      </c>
      <c r="N460" s="12">
        <f t="shared" si="989"/>
        <v>118.94</v>
      </c>
      <c r="O460" s="12">
        <f t="shared" si="990"/>
        <v>148.675</v>
      </c>
      <c r="P460" s="12">
        <f t="shared" si="991"/>
        <v>74.3375</v>
      </c>
      <c r="Q460" s="12">
        <f t="shared" si="992"/>
        <v>29.735</v>
      </c>
      <c r="R460" s="12">
        <f t="shared" si="993"/>
        <v>12.9675</v>
      </c>
      <c r="S460" s="12">
        <f t="shared" si="994"/>
        <v>14.8675</v>
      </c>
      <c r="T460" s="60">
        <f t="shared" si="995"/>
        <v>398.905</v>
      </c>
      <c r="U460" s="2">
        <f t="shared" si="996"/>
        <v>25.935</v>
      </c>
      <c r="V460" s="42">
        <f t="shared" si="15"/>
        <v>129.675</v>
      </c>
      <c r="W460" s="2">
        <f t="shared" si="997"/>
        <v>25.935</v>
      </c>
      <c r="X460" s="2">
        <f t="shared" si="998"/>
        <v>207.48</v>
      </c>
      <c r="Y460" s="2">
        <f t="shared" si="999"/>
        <v>389.025</v>
      </c>
      <c r="Z460" s="60">
        <f t="shared" si="1000"/>
        <v>2274.68</v>
      </c>
      <c r="AA460" s="11">
        <f t="shared" si="1001"/>
        <v>454.936</v>
      </c>
      <c r="AB460" s="12">
        <f t="shared" si="1002"/>
        <v>2729.616</v>
      </c>
      <c r="AC460" s="2">
        <f t="shared" si="1049"/>
        <v>2593.5</v>
      </c>
      <c r="AD460" s="12">
        <f t="shared" si="1050"/>
        <v>136.116</v>
      </c>
      <c r="AE460" s="12">
        <f t="shared" si="1051"/>
        <v>4.986635483</v>
      </c>
      <c r="AF460" s="61">
        <v>2190.0</v>
      </c>
      <c r="AG460" s="62">
        <f t="shared" si="1006"/>
        <v>47.30116025</v>
      </c>
      <c r="AH460" s="63">
        <f t="shared" si="1007"/>
        <v>100</v>
      </c>
      <c r="AI460" s="64">
        <f>AB460</f>
        <v>2729.616</v>
      </c>
      <c r="AJ460" s="65">
        <v>2290.0</v>
      </c>
      <c r="AK460" s="66">
        <f t="shared" si="1008"/>
        <v>54.02724063</v>
      </c>
      <c r="AL460" s="66"/>
      <c r="AM460" s="14">
        <f t="shared" si="1009"/>
        <v>4.366812227</v>
      </c>
      <c r="AN460" s="67">
        <f t="shared" si="1010"/>
        <v>6.726080377</v>
      </c>
      <c r="AO460" s="68">
        <f t="shared" si="1011"/>
        <v>1.540272406</v>
      </c>
      <c r="AP460" s="69">
        <f t="shared" si="1012"/>
        <v>-4.39616</v>
      </c>
      <c r="AQ460" s="70">
        <f t="shared" si="1013"/>
        <v>-3.035</v>
      </c>
      <c r="AR460" s="71">
        <f t="shared" ref="AR460:AS460" si="1519">AI460/94</f>
        <v>29.03846809</v>
      </c>
      <c r="AS460" s="71">
        <f t="shared" si="1519"/>
        <v>24.36170213</v>
      </c>
      <c r="AT460" s="72">
        <f t="shared" ref="AT460:AU460" si="1520">AI460/24</f>
        <v>113.734</v>
      </c>
      <c r="AU460" s="72">
        <f t="shared" si="1520"/>
        <v>95.41666667</v>
      </c>
      <c r="AV460" s="73">
        <f t="shared" ref="AV460:AW460" si="1521">AI460/125</f>
        <v>21.836928</v>
      </c>
      <c r="AW460" s="73">
        <f t="shared" si="1521"/>
        <v>18.32</v>
      </c>
    </row>
    <row r="461" ht="15.75" customHeight="1">
      <c r="A461" s="2"/>
      <c r="B461" s="2" t="s">
        <v>918</v>
      </c>
      <c r="C461" s="2" t="s">
        <v>919</v>
      </c>
      <c r="D461" s="10">
        <v>780.0</v>
      </c>
      <c r="E461" s="2">
        <v>65.0</v>
      </c>
      <c r="F461" s="1">
        <v>85.0</v>
      </c>
      <c r="G461" s="10">
        <v>8.3061E7</v>
      </c>
      <c r="H461" s="59">
        <v>0.05</v>
      </c>
      <c r="I461" s="2">
        <f t="shared" si="1477"/>
        <v>39</v>
      </c>
      <c r="K461" s="1">
        <v>40.0</v>
      </c>
      <c r="L461" s="4">
        <f t="shared" si="987"/>
        <v>1009</v>
      </c>
      <c r="M461" s="2">
        <f t="shared" si="1055"/>
        <v>7.8</v>
      </c>
      <c r="N461" s="12">
        <f t="shared" si="989"/>
        <v>80.72</v>
      </c>
      <c r="O461" s="12">
        <f t="shared" si="990"/>
        <v>100.9</v>
      </c>
      <c r="P461" s="12">
        <f t="shared" si="991"/>
        <v>50.45</v>
      </c>
      <c r="Q461" s="12">
        <f t="shared" si="992"/>
        <v>20.18</v>
      </c>
      <c r="R461" s="12">
        <f t="shared" si="993"/>
        <v>8.19</v>
      </c>
      <c r="S461" s="12">
        <f t="shared" si="994"/>
        <v>10.09</v>
      </c>
      <c r="T461" s="60">
        <f t="shared" si="995"/>
        <v>270.14</v>
      </c>
      <c r="U461" s="2">
        <f t="shared" si="996"/>
        <v>16.38</v>
      </c>
      <c r="V461" s="42">
        <f t="shared" si="15"/>
        <v>81.9</v>
      </c>
      <c r="W461" s="2">
        <f t="shared" si="997"/>
        <v>16.38</v>
      </c>
      <c r="X461" s="2">
        <f t="shared" si="998"/>
        <v>131.04</v>
      </c>
      <c r="Y461" s="2">
        <f t="shared" si="999"/>
        <v>245.7</v>
      </c>
      <c r="Z461" s="60">
        <f t="shared" si="1000"/>
        <v>1524.84</v>
      </c>
      <c r="AA461" s="11">
        <f t="shared" si="1001"/>
        <v>304.968</v>
      </c>
      <c r="AB461" s="12">
        <f t="shared" si="1002"/>
        <v>1829.808</v>
      </c>
      <c r="AC461" s="2">
        <f t="shared" si="1049"/>
        <v>1638</v>
      </c>
      <c r="AD461" s="12">
        <f t="shared" si="1050"/>
        <v>191.808</v>
      </c>
      <c r="AE461" s="12">
        <f t="shared" si="1051"/>
        <v>10.48241127</v>
      </c>
      <c r="AF461" s="61">
        <v>1550.0</v>
      </c>
      <c r="AG461" s="62">
        <f t="shared" si="1006"/>
        <v>53.61744301</v>
      </c>
      <c r="AH461" s="63">
        <f t="shared" si="1007"/>
        <v>40</v>
      </c>
      <c r="AI461" s="65">
        <v>1990.0</v>
      </c>
      <c r="AJ461" s="65">
        <v>1590.0</v>
      </c>
      <c r="AK461" s="66">
        <f t="shared" si="1008"/>
        <v>57.58176412</v>
      </c>
      <c r="AL461" s="66"/>
      <c r="AM461" s="14">
        <f t="shared" si="1009"/>
        <v>2.51572327</v>
      </c>
      <c r="AN461" s="67">
        <f t="shared" si="1010"/>
        <v>3.96432111</v>
      </c>
      <c r="AO461" s="68">
        <f t="shared" si="1011"/>
        <v>1.575817641</v>
      </c>
      <c r="AP461" s="69">
        <f t="shared" si="1012"/>
        <v>-2.39808</v>
      </c>
      <c r="AQ461" s="70">
        <f t="shared" si="1013"/>
        <v>-0.48</v>
      </c>
      <c r="AR461" s="71">
        <f t="shared" ref="AR461:AS461" si="1522">AI461/94</f>
        <v>21.17021277</v>
      </c>
      <c r="AS461" s="71">
        <f t="shared" si="1522"/>
        <v>16.91489362</v>
      </c>
      <c r="AT461" s="72">
        <f t="shared" ref="AT461:AU461" si="1523">AI461/24</f>
        <v>82.91666667</v>
      </c>
      <c r="AU461" s="72">
        <f t="shared" si="1523"/>
        <v>66.25</v>
      </c>
      <c r="AV461" s="73">
        <f t="shared" ref="AV461:AW461" si="1524">AI461/125</f>
        <v>15.92</v>
      </c>
      <c r="AW461" s="73">
        <f t="shared" si="1524"/>
        <v>12.72</v>
      </c>
    </row>
    <row r="462" ht="15.75" customHeight="1">
      <c r="A462" s="2"/>
      <c r="B462" s="2" t="s">
        <v>920</v>
      </c>
      <c r="C462" s="2" t="s">
        <v>921</v>
      </c>
      <c r="D462" s="10">
        <v>910.0</v>
      </c>
      <c r="E462" s="2">
        <v>65.0</v>
      </c>
      <c r="F462" s="1">
        <v>85.0</v>
      </c>
      <c r="G462" s="10">
        <v>8.3061E7</v>
      </c>
      <c r="H462" s="59">
        <v>0.05</v>
      </c>
      <c r="I462" s="2">
        <f t="shared" si="1477"/>
        <v>45.5</v>
      </c>
      <c r="K462" s="1">
        <v>40.0</v>
      </c>
      <c r="L462" s="4">
        <f t="shared" si="987"/>
        <v>1145.5</v>
      </c>
      <c r="M462" s="2">
        <f t="shared" si="1055"/>
        <v>9.1</v>
      </c>
      <c r="N462" s="12">
        <f t="shared" si="989"/>
        <v>91.64</v>
      </c>
      <c r="O462" s="12">
        <f t="shared" si="990"/>
        <v>114.55</v>
      </c>
      <c r="P462" s="12">
        <f t="shared" si="991"/>
        <v>57.275</v>
      </c>
      <c r="Q462" s="12">
        <f t="shared" si="992"/>
        <v>22.91</v>
      </c>
      <c r="R462" s="12">
        <f t="shared" si="993"/>
        <v>9.555</v>
      </c>
      <c r="S462" s="12">
        <f t="shared" si="994"/>
        <v>11.455</v>
      </c>
      <c r="T462" s="60">
        <f t="shared" si="995"/>
        <v>306.93</v>
      </c>
      <c r="U462" s="2">
        <f t="shared" si="996"/>
        <v>19.11</v>
      </c>
      <c r="V462" s="42">
        <f t="shared" si="15"/>
        <v>95.55</v>
      </c>
      <c r="W462" s="2">
        <f t="shared" si="997"/>
        <v>19.11</v>
      </c>
      <c r="X462" s="2">
        <f t="shared" si="998"/>
        <v>152.88</v>
      </c>
      <c r="Y462" s="2">
        <f t="shared" si="999"/>
        <v>286.65</v>
      </c>
      <c r="Z462" s="60">
        <f t="shared" si="1000"/>
        <v>1739.08</v>
      </c>
      <c r="AA462" s="11">
        <f t="shared" si="1001"/>
        <v>347.816</v>
      </c>
      <c r="AB462" s="12">
        <f t="shared" si="1002"/>
        <v>2086.896</v>
      </c>
      <c r="AC462" s="2">
        <f t="shared" si="1049"/>
        <v>1911</v>
      </c>
      <c r="AD462" s="12">
        <f t="shared" si="1050"/>
        <v>175.896</v>
      </c>
      <c r="AE462" s="12">
        <f t="shared" si="1051"/>
        <v>8.428594429</v>
      </c>
      <c r="AF462" s="61">
        <v>1750.0</v>
      </c>
      <c r="AG462" s="62">
        <f t="shared" si="1006"/>
        <v>52.77171541</v>
      </c>
      <c r="AH462" s="63">
        <f t="shared" si="1007"/>
        <v>140</v>
      </c>
      <c r="AI462" s="65">
        <v>1990.0</v>
      </c>
      <c r="AJ462" s="65">
        <v>1890.0</v>
      </c>
      <c r="AK462" s="66">
        <f t="shared" si="1008"/>
        <v>64.99345264</v>
      </c>
      <c r="AL462" s="66"/>
      <c r="AM462" s="14">
        <f t="shared" si="1009"/>
        <v>7.407407407</v>
      </c>
      <c r="AN462" s="67">
        <f t="shared" si="1010"/>
        <v>12.22173723</v>
      </c>
      <c r="AO462" s="68">
        <f t="shared" si="1011"/>
        <v>1.649934526</v>
      </c>
      <c r="AP462" s="69">
        <f t="shared" si="1012"/>
        <v>-1.96896</v>
      </c>
      <c r="AQ462" s="70">
        <f t="shared" si="1013"/>
        <v>-0.21</v>
      </c>
      <c r="AR462" s="71">
        <f t="shared" ref="AR462:AS462" si="1525">AI462/94</f>
        <v>21.17021277</v>
      </c>
      <c r="AS462" s="71">
        <f t="shared" si="1525"/>
        <v>20.10638298</v>
      </c>
      <c r="AT462" s="72">
        <f t="shared" ref="AT462:AU462" si="1526">AI462/24</f>
        <v>82.91666667</v>
      </c>
      <c r="AU462" s="72">
        <f t="shared" si="1526"/>
        <v>78.75</v>
      </c>
      <c r="AV462" s="73">
        <f t="shared" ref="AV462:AW462" si="1527">AI462/125</f>
        <v>15.92</v>
      </c>
      <c r="AW462" s="73">
        <f t="shared" si="1527"/>
        <v>15.12</v>
      </c>
    </row>
    <row r="463" ht="15.75" customHeight="1">
      <c r="A463" s="2"/>
      <c r="B463" s="2" t="s">
        <v>922</v>
      </c>
      <c r="C463" s="2" t="s">
        <v>923</v>
      </c>
      <c r="D463" s="10">
        <v>1235.0</v>
      </c>
      <c r="E463" s="2">
        <v>65.0</v>
      </c>
      <c r="F463" s="1">
        <v>85.0</v>
      </c>
      <c r="G463" s="10">
        <v>8.3061E7</v>
      </c>
      <c r="H463" s="59">
        <v>0.05</v>
      </c>
      <c r="I463" s="2">
        <f t="shared" si="1477"/>
        <v>61.75</v>
      </c>
      <c r="K463" s="1">
        <v>40.0</v>
      </c>
      <c r="L463" s="4">
        <f t="shared" si="987"/>
        <v>1486.75</v>
      </c>
      <c r="M463" s="2">
        <f t="shared" si="1055"/>
        <v>12.35</v>
      </c>
      <c r="N463" s="12">
        <f t="shared" si="989"/>
        <v>118.94</v>
      </c>
      <c r="O463" s="12">
        <f t="shared" si="990"/>
        <v>148.675</v>
      </c>
      <c r="P463" s="12">
        <f t="shared" si="991"/>
        <v>74.3375</v>
      </c>
      <c r="Q463" s="12">
        <f t="shared" si="992"/>
        <v>29.735</v>
      </c>
      <c r="R463" s="12">
        <f t="shared" si="993"/>
        <v>12.9675</v>
      </c>
      <c r="S463" s="12">
        <f t="shared" si="994"/>
        <v>14.8675</v>
      </c>
      <c r="T463" s="60">
        <f t="shared" si="995"/>
        <v>398.905</v>
      </c>
      <c r="U463" s="2">
        <f t="shared" si="996"/>
        <v>25.935</v>
      </c>
      <c r="V463" s="42">
        <f t="shared" si="15"/>
        <v>129.675</v>
      </c>
      <c r="W463" s="2">
        <f t="shared" si="997"/>
        <v>25.935</v>
      </c>
      <c r="X463" s="2">
        <f t="shared" si="998"/>
        <v>207.48</v>
      </c>
      <c r="Y463" s="2">
        <f t="shared" si="999"/>
        <v>389.025</v>
      </c>
      <c r="Z463" s="60">
        <f t="shared" si="1000"/>
        <v>2274.68</v>
      </c>
      <c r="AA463" s="11">
        <f t="shared" si="1001"/>
        <v>454.936</v>
      </c>
      <c r="AB463" s="12">
        <f t="shared" si="1002"/>
        <v>2729.616</v>
      </c>
      <c r="AC463" s="2">
        <f t="shared" si="1049"/>
        <v>2593.5</v>
      </c>
      <c r="AD463" s="12">
        <f t="shared" si="1050"/>
        <v>136.116</v>
      </c>
      <c r="AE463" s="12">
        <f t="shared" si="1051"/>
        <v>4.986635483</v>
      </c>
      <c r="AF463" s="61">
        <v>2190.0</v>
      </c>
      <c r="AG463" s="62">
        <f t="shared" si="1006"/>
        <v>47.30116025</v>
      </c>
      <c r="AH463" s="63">
        <f t="shared" si="1007"/>
        <v>300</v>
      </c>
      <c r="AI463" s="65">
        <v>2890.0</v>
      </c>
      <c r="AJ463" s="65">
        <v>2490.0</v>
      </c>
      <c r="AK463" s="66">
        <f t="shared" si="1008"/>
        <v>67.47940138</v>
      </c>
      <c r="AL463" s="66"/>
      <c r="AM463" s="14">
        <f t="shared" si="1009"/>
        <v>12.04819277</v>
      </c>
      <c r="AN463" s="67">
        <f t="shared" si="1010"/>
        <v>20.17824113</v>
      </c>
      <c r="AO463" s="68">
        <f t="shared" si="1011"/>
        <v>1.674794014</v>
      </c>
      <c r="AP463" s="69">
        <f t="shared" si="1012"/>
        <v>-2.39616</v>
      </c>
      <c r="AQ463" s="70">
        <f t="shared" si="1013"/>
        <v>-1.035</v>
      </c>
      <c r="AR463" s="71">
        <f t="shared" ref="AR463:AS463" si="1528">AI463/94</f>
        <v>30.74468085</v>
      </c>
      <c r="AS463" s="71">
        <f t="shared" si="1528"/>
        <v>26.4893617</v>
      </c>
      <c r="AT463" s="72">
        <f t="shared" ref="AT463:AU463" si="1529">AI463/24</f>
        <v>120.4166667</v>
      </c>
      <c r="AU463" s="72">
        <f t="shared" si="1529"/>
        <v>103.75</v>
      </c>
      <c r="AV463" s="73">
        <f t="shared" ref="AV463:AW463" si="1530">AI463/125</f>
        <v>23.12</v>
      </c>
      <c r="AW463" s="73">
        <f t="shared" si="1530"/>
        <v>19.92</v>
      </c>
    </row>
    <row r="464" ht="15.75" customHeight="1">
      <c r="A464" s="2"/>
      <c r="B464" s="2" t="s">
        <v>924</v>
      </c>
      <c r="C464" s="2" t="s">
        <v>925</v>
      </c>
      <c r="D464" s="10">
        <v>780.0</v>
      </c>
      <c r="E464" s="2">
        <v>65.0</v>
      </c>
      <c r="F464" s="1">
        <v>85.0</v>
      </c>
      <c r="G464" s="10">
        <v>8.3061E7</v>
      </c>
      <c r="H464" s="59">
        <v>0.05</v>
      </c>
      <c r="I464" s="2">
        <f t="shared" si="1477"/>
        <v>39</v>
      </c>
      <c r="K464" s="1">
        <v>40.0</v>
      </c>
      <c r="L464" s="4">
        <f t="shared" si="987"/>
        <v>1009</v>
      </c>
      <c r="M464" s="2">
        <f t="shared" si="1055"/>
        <v>7.8</v>
      </c>
      <c r="N464" s="12">
        <f t="shared" si="989"/>
        <v>80.72</v>
      </c>
      <c r="O464" s="12">
        <f t="shared" si="990"/>
        <v>100.9</v>
      </c>
      <c r="P464" s="12">
        <f t="shared" si="991"/>
        <v>50.45</v>
      </c>
      <c r="Q464" s="12">
        <f t="shared" si="992"/>
        <v>20.18</v>
      </c>
      <c r="R464" s="12">
        <f t="shared" si="993"/>
        <v>8.19</v>
      </c>
      <c r="S464" s="12">
        <f t="shared" si="994"/>
        <v>10.09</v>
      </c>
      <c r="T464" s="60">
        <f t="shared" si="995"/>
        <v>270.14</v>
      </c>
      <c r="U464" s="2">
        <f t="shared" si="996"/>
        <v>16.38</v>
      </c>
      <c r="V464" s="42">
        <f t="shared" si="15"/>
        <v>81.9</v>
      </c>
      <c r="W464" s="2">
        <f t="shared" si="997"/>
        <v>16.38</v>
      </c>
      <c r="X464" s="2">
        <f t="shared" si="998"/>
        <v>131.04</v>
      </c>
      <c r="Y464" s="2">
        <f t="shared" si="999"/>
        <v>245.7</v>
      </c>
      <c r="Z464" s="60">
        <f t="shared" si="1000"/>
        <v>1524.84</v>
      </c>
      <c r="AA464" s="11">
        <f t="shared" si="1001"/>
        <v>304.968</v>
      </c>
      <c r="AB464" s="12">
        <f t="shared" si="1002"/>
        <v>1829.808</v>
      </c>
      <c r="AC464" s="2">
        <f t="shared" si="1049"/>
        <v>1638</v>
      </c>
      <c r="AD464" s="12">
        <f t="shared" si="1050"/>
        <v>191.808</v>
      </c>
      <c r="AE464" s="12">
        <f t="shared" si="1051"/>
        <v>10.48241127</v>
      </c>
      <c r="AF464" s="61">
        <v>1550.0</v>
      </c>
      <c r="AG464" s="62">
        <f t="shared" si="1006"/>
        <v>53.61744301</v>
      </c>
      <c r="AH464" s="63">
        <f t="shared" si="1007"/>
        <v>299</v>
      </c>
      <c r="AI464" s="65">
        <v>1990.0</v>
      </c>
      <c r="AJ464" s="65">
        <v>1849.0</v>
      </c>
      <c r="AK464" s="66">
        <f t="shared" si="1008"/>
        <v>83.25074331</v>
      </c>
      <c r="AL464" s="66"/>
      <c r="AM464" s="14">
        <f t="shared" si="1009"/>
        <v>16.17090319</v>
      </c>
      <c r="AN464" s="67">
        <f t="shared" si="1010"/>
        <v>29.6333003</v>
      </c>
      <c r="AO464" s="68">
        <f t="shared" si="1011"/>
        <v>1.832507433</v>
      </c>
      <c r="AP464" s="69">
        <f t="shared" si="1012"/>
        <v>0.19192</v>
      </c>
      <c r="AQ464" s="70">
        <f t="shared" si="1013"/>
        <v>2.11</v>
      </c>
      <c r="AR464" s="71">
        <f t="shared" ref="AR464:AS464" si="1531">AI464/94</f>
        <v>21.17021277</v>
      </c>
      <c r="AS464" s="71">
        <f t="shared" si="1531"/>
        <v>19.67021277</v>
      </c>
      <c r="AT464" s="72">
        <f t="shared" ref="AT464:AU464" si="1532">AI464/24</f>
        <v>82.91666667</v>
      </c>
      <c r="AU464" s="72">
        <f t="shared" si="1532"/>
        <v>77.04166667</v>
      </c>
      <c r="AV464" s="73">
        <f t="shared" ref="AV464:AW464" si="1533">AI464/125</f>
        <v>15.92</v>
      </c>
      <c r="AW464" s="73">
        <f t="shared" si="1533"/>
        <v>14.792</v>
      </c>
    </row>
    <row r="465" ht="15.75" customHeight="1">
      <c r="A465" s="2"/>
      <c r="B465" s="2" t="s">
        <v>926</v>
      </c>
      <c r="C465" s="2" t="s">
        <v>927</v>
      </c>
      <c r="D465" s="10">
        <v>910.0</v>
      </c>
      <c r="E465" s="2">
        <v>65.0</v>
      </c>
      <c r="F465" s="1">
        <v>85.0</v>
      </c>
      <c r="G465" s="10">
        <v>8.3061E7</v>
      </c>
      <c r="H465" s="59">
        <v>0.05</v>
      </c>
      <c r="I465" s="2">
        <f t="shared" si="1477"/>
        <v>45.5</v>
      </c>
      <c r="K465" s="1">
        <v>40.0</v>
      </c>
      <c r="L465" s="4">
        <f t="shared" si="987"/>
        <v>1145.5</v>
      </c>
      <c r="M465" s="2">
        <f t="shared" si="1055"/>
        <v>9.1</v>
      </c>
      <c r="N465" s="12">
        <f t="shared" si="989"/>
        <v>91.64</v>
      </c>
      <c r="O465" s="12">
        <f t="shared" si="990"/>
        <v>114.55</v>
      </c>
      <c r="P465" s="12">
        <f t="shared" si="991"/>
        <v>57.275</v>
      </c>
      <c r="Q465" s="12">
        <f t="shared" si="992"/>
        <v>22.91</v>
      </c>
      <c r="R465" s="12">
        <f t="shared" si="993"/>
        <v>9.555</v>
      </c>
      <c r="S465" s="12">
        <f t="shared" si="994"/>
        <v>11.455</v>
      </c>
      <c r="T465" s="60">
        <f t="shared" si="995"/>
        <v>306.93</v>
      </c>
      <c r="U465" s="2">
        <f t="shared" si="996"/>
        <v>19.11</v>
      </c>
      <c r="V465" s="42">
        <f t="shared" si="15"/>
        <v>95.55</v>
      </c>
      <c r="W465" s="2">
        <f t="shared" si="997"/>
        <v>19.11</v>
      </c>
      <c r="X465" s="2">
        <f t="shared" si="998"/>
        <v>152.88</v>
      </c>
      <c r="Y465" s="2">
        <f t="shared" si="999"/>
        <v>286.65</v>
      </c>
      <c r="Z465" s="60">
        <f t="shared" si="1000"/>
        <v>1739.08</v>
      </c>
      <c r="AA465" s="11">
        <f t="shared" si="1001"/>
        <v>347.816</v>
      </c>
      <c r="AB465" s="12">
        <f t="shared" si="1002"/>
        <v>2086.896</v>
      </c>
      <c r="AC465" s="2">
        <f t="shared" si="1049"/>
        <v>1911</v>
      </c>
      <c r="AD465" s="12">
        <f t="shared" si="1050"/>
        <v>175.896</v>
      </c>
      <c r="AE465" s="12">
        <f t="shared" si="1051"/>
        <v>8.428594429</v>
      </c>
      <c r="AF465" s="61">
        <v>1750.0</v>
      </c>
      <c r="AG465" s="62">
        <f t="shared" si="1006"/>
        <v>52.77171541</v>
      </c>
      <c r="AH465" s="63">
        <f t="shared" si="1007"/>
        <v>240</v>
      </c>
      <c r="AI465" s="65">
        <v>2190.0</v>
      </c>
      <c r="AJ465" s="65">
        <v>1990.0</v>
      </c>
      <c r="AK465" s="66">
        <f t="shared" si="1008"/>
        <v>73.72326495</v>
      </c>
      <c r="AL465" s="66"/>
      <c r="AM465" s="14">
        <f t="shared" si="1009"/>
        <v>12.06030151</v>
      </c>
      <c r="AN465" s="67">
        <f t="shared" si="1010"/>
        <v>20.95154954</v>
      </c>
      <c r="AO465" s="68">
        <f t="shared" si="1011"/>
        <v>1.737232649</v>
      </c>
      <c r="AP465" s="69">
        <f t="shared" si="1012"/>
        <v>-0.96896</v>
      </c>
      <c r="AQ465" s="70">
        <f t="shared" si="1013"/>
        <v>0.79</v>
      </c>
      <c r="AR465" s="71">
        <f t="shared" ref="AR465:AS465" si="1534">AI465/94</f>
        <v>23.29787234</v>
      </c>
      <c r="AS465" s="71">
        <f t="shared" si="1534"/>
        <v>21.17021277</v>
      </c>
      <c r="AT465" s="72">
        <f t="shared" ref="AT465:AU465" si="1535">AI465/24</f>
        <v>91.25</v>
      </c>
      <c r="AU465" s="72">
        <f t="shared" si="1535"/>
        <v>82.91666667</v>
      </c>
      <c r="AV465" s="73">
        <f t="shared" ref="AV465:AW465" si="1536">AI465/125</f>
        <v>17.52</v>
      </c>
      <c r="AW465" s="73">
        <f t="shared" si="1536"/>
        <v>15.92</v>
      </c>
    </row>
    <row r="466" ht="15.75" customHeight="1">
      <c r="A466" s="2"/>
      <c r="B466" s="2" t="s">
        <v>928</v>
      </c>
      <c r="C466" s="2" t="s">
        <v>929</v>
      </c>
      <c r="D466" s="10">
        <v>1235.0</v>
      </c>
      <c r="E466" s="2">
        <v>65.0</v>
      </c>
      <c r="F466" s="1">
        <v>85.0</v>
      </c>
      <c r="G466" s="10">
        <v>8.3061E7</v>
      </c>
      <c r="H466" s="59">
        <v>0.05</v>
      </c>
      <c r="I466" s="2">
        <f t="shared" si="1477"/>
        <v>61.75</v>
      </c>
      <c r="K466" s="1">
        <v>40.0</v>
      </c>
      <c r="L466" s="4">
        <f t="shared" si="987"/>
        <v>1486.75</v>
      </c>
      <c r="M466" s="2">
        <f t="shared" si="1055"/>
        <v>12.35</v>
      </c>
      <c r="N466" s="12">
        <f t="shared" si="989"/>
        <v>118.94</v>
      </c>
      <c r="O466" s="12">
        <f t="shared" si="990"/>
        <v>148.675</v>
      </c>
      <c r="P466" s="12">
        <f t="shared" si="991"/>
        <v>74.3375</v>
      </c>
      <c r="Q466" s="12">
        <f t="shared" si="992"/>
        <v>29.735</v>
      </c>
      <c r="R466" s="12">
        <f t="shared" si="993"/>
        <v>12.9675</v>
      </c>
      <c r="S466" s="12">
        <f t="shared" si="994"/>
        <v>14.8675</v>
      </c>
      <c r="T466" s="60">
        <f t="shared" si="995"/>
        <v>398.905</v>
      </c>
      <c r="U466" s="2">
        <f t="shared" si="996"/>
        <v>25.935</v>
      </c>
      <c r="V466" s="42">
        <f t="shared" si="15"/>
        <v>129.675</v>
      </c>
      <c r="W466" s="2">
        <f t="shared" si="997"/>
        <v>25.935</v>
      </c>
      <c r="X466" s="2">
        <f t="shared" si="998"/>
        <v>207.48</v>
      </c>
      <c r="Y466" s="2">
        <f t="shared" si="999"/>
        <v>389.025</v>
      </c>
      <c r="Z466" s="60">
        <f t="shared" si="1000"/>
        <v>2274.68</v>
      </c>
      <c r="AA466" s="11">
        <f t="shared" si="1001"/>
        <v>454.936</v>
      </c>
      <c r="AB466" s="12">
        <f t="shared" si="1002"/>
        <v>2729.616</v>
      </c>
      <c r="AC466" s="2">
        <f t="shared" si="1049"/>
        <v>2593.5</v>
      </c>
      <c r="AD466" s="12">
        <f t="shared" si="1050"/>
        <v>136.116</v>
      </c>
      <c r="AE466" s="12">
        <f t="shared" si="1051"/>
        <v>4.986635483</v>
      </c>
      <c r="AF466" s="61">
        <v>2190.0</v>
      </c>
      <c r="AG466" s="62">
        <f t="shared" si="1006"/>
        <v>47.30116025</v>
      </c>
      <c r="AH466" s="63">
        <f t="shared" si="1007"/>
        <v>348.54288</v>
      </c>
      <c r="AI466" s="64">
        <f>AB466</f>
        <v>2729.616</v>
      </c>
      <c r="AJ466" s="64">
        <f>AI466-(AI466*7%)</f>
        <v>2538.54288</v>
      </c>
      <c r="AK466" s="66">
        <f t="shared" si="1008"/>
        <v>70.7444345</v>
      </c>
      <c r="AL466" s="66"/>
      <c r="AM466" s="14">
        <f t="shared" si="1009"/>
        <v>13.73003713</v>
      </c>
      <c r="AN466" s="67">
        <f t="shared" si="1010"/>
        <v>23.44327426</v>
      </c>
      <c r="AO466" s="68">
        <f t="shared" si="1011"/>
        <v>1.707444345</v>
      </c>
      <c r="AP466" s="69">
        <f t="shared" si="1012"/>
        <v>-1.9107312</v>
      </c>
      <c r="AQ466" s="70">
        <f t="shared" si="1013"/>
        <v>-0.5495712</v>
      </c>
      <c r="AR466" s="71">
        <f t="shared" ref="AR466:AS466" si="1537">AI466/94</f>
        <v>29.03846809</v>
      </c>
      <c r="AS466" s="71">
        <f t="shared" si="1537"/>
        <v>27.00577532</v>
      </c>
      <c r="AT466" s="72">
        <f t="shared" ref="AT466:AU466" si="1538">AI466/24</f>
        <v>113.734</v>
      </c>
      <c r="AU466" s="72">
        <f t="shared" si="1538"/>
        <v>105.77262</v>
      </c>
      <c r="AV466" s="73">
        <f t="shared" ref="AV466:AW466" si="1539">AI466/125</f>
        <v>21.836928</v>
      </c>
      <c r="AW466" s="73">
        <f t="shared" si="1539"/>
        <v>20.30834304</v>
      </c>
    </row>
    <row r="467" ht="15.75" customHeight="1">
      <c r="A467" s="2"/>
      <c r="B467" s="2" t="s">
        <v>930</v>
      </c>
      <c r="C467" s="2" t="s">
        <v>931</v>
      </c>
      <c r="D467" s="10">
        <v>780.0</v>
      </c>
      <c r="E467" s="2">
        <v>65.0</v>
      </c>
      <c r="F467" s="1">
        <v>85.0</v>
      </c>
      <c r="G467" s="10">
        <v>8.3061E7</v>
      </c>
      <c r="H467" s="59">
        <v>0.05</v>
      </c>
      <c r="I467" s="2">
        <f t="shared" si="1477"/>
        <v>39</v>
      </c>
      <c r="K467" s="1">
        <v>40.0</v>
      </c>
      <c r="L467" s="4">
        <f t="shared" si="987"/>
        <v>1009</v>
      </c>
      <c r="M467" s="2">
        <f t="shared" si="1055"/>
        <v>7.8</v>
      </c>
      <c r="N467" s="12">
        <f t="shared" si="989"/>
        <v>80.72</v>
      </c>
      <c r="O467" s="12">
        <f t="shared" si="990"/>
        <v>100.9</v>
      </c>
      <c r="P467" s="12">
        <f t="shared" si="991"/>
        <v>50.45</v>
      </c>
      <c r="Q467" s="12">
        <f t="shared" si="992"/>
        <v>20.18</v>
      </c>
      <c r="R467" s="12">
        <f t="shared" si="993"/>
        <v>8.19</v>
      </c>
      <c r="S467" s="12">
        <f t="shared" si="994"/>
        <v>10.09</v>
      </c>
      <c r="T467" s="60">
        <f t="shared" si="995"/>
        <v>270.14</v>
      </c>
      <c r="U467" s="2">
        <f t="shared" si="996"/>
        <v>16.38</v>
      </c>
      <c r="V467" s="42">
        <f t="shared" si="15"/>
        <v>81.9</v>
      </c>
      <c r="W467" s="2">
        <f t="shared" si="997"/>
        <v>16.38</v>
      </c>
      <c r="X467" s="2">
        <f t="shared" si="998"/>
        <v>131.04</v>
      </c>
      <c r="Y467" s="2">
        <f t="shared" si="999"/>
        <v>245.7</v>
      </c>
      <c r="Z467" s="60">
        <f t="shared" si="1000"/>
        <v>1524.84</v>
      </c>
      <c r="AA467" s="11">
        <f t="shared" si="1001"/>
        <v>304.968</v>
      </c>
      <c r="AB467" s="12">
        <f t="shared" si="1002"/>
        <v>1829.808</v>
      </c>
      <c r="AC467" s="2">
        <f t="shared" si="1049"/>
        <v>1638</v>
      </c>
      <c r="AD467" s="12">
        <f t="shared" si="1050"/>
        <v>191.808</v>
      </c>
      <c r="AE467" s="12">
        <f t="shared" si="1051"/>
        <v>10.48241127</v>
      </c>
      <c r="AF467" s="61">
        <v>1550.0</v>
      </c>
      <c r="AG467" s="62">
        <f t="shared" si="1006"/>
        <v>53.61744301</v>
      </c>
      <c r="AH467" s="63">
        <f t="shared" si="1007"/>
        <v>240</v>
      </c>
      <c r="AI467" s="65">
        <v>1890.0</v>
      </c>
      <c r="AJ467" s="65">
        <v>1790.0</v>
      </c>
      <c r="AK467" s="66">
        <f t="shared" si="1008"/>
        <v>77.40336967</v>
      </c>
      <c r="AL467" s="66"/>
      <c r="AM467" s="14">
        <f t="shared" si="1009"/>
        <v>13.40782123</v>
      </c>
      <c r="AN467" s="67">
        <f t="shared" si="1010"/>
        <v>23.78592666</v>
      </c>
      <c r="AO467" s="68">
        <f t="shared" si="1011"/>
        <v>1.774033697</v>
      </c>
      <c r="AP467" s="69">
        <f t="shared" si="1012"/>
        <v>-0.39808</v>
      </c>
      <c r="AQ467" s="70">
        <f t="shared" si="1013"/>
        <v>1.52</v>
      </c>
      <c r="AR467" s="71">
        <f t="shared" ref="AR467:AS467" si="1540">AI467/94</f>
        <v>20.10638298</v>
      </c>
      <c r="AS467" s="71">
        <f t="shared" si="1540"/>
        <v>19.04255319</v>
      </c>
      <c r="AT467" s="72">
        <f t="shared" ref="AT467:AU467" si="1541">AI467/24</f>
        <v>78.75</v>
      </c>
      <c r="AU467" s="72">
        <f t="shared" si="1541"/>
        <v>74.58333333</v>
      </c>
      <c r="AV467" s="73">
        <f t="shared" ref="AV467:AW467" si="1542">AI467/125</f>
        <v>15.12</v>
      </c>
      <c r="AW467" s="73">
        <f t="shared" si="1542"/>
        <v>14.32</v>
      </c>
    </row>
    <row r="468" ht="15.75" customHeight="1">
      <c r="A468" s="2"/>
      <c r="B468" s="2" t="s">
        <v>932</v>
      </c>
      <c r="C468" s="2" t="s">
        <v>933</v>
      </c>
      <c r="D468" s="10">
        <v>910.0</v>
      </c>
      <c r="E468" s="2">
        <v>65.0</v>
      </c>
      <c r="F468" s="1">
        <v>85.0</v>
      </c>
      <c r="G468" s="10">
        <v>8.3061E7</v>
      </c>
      <c r="H468" s="59">
        <v>0.05</v>
      </c>
      <c r="I468" s="2">
        <f t="shared" si="1477"/>
        <v>45.5</v>
      </c>
      <c r="K468" s="1">
        <v>40.0</v>
      </c>
      <c r="L468" s="4">
        <f t="shared" si="987"/>
        <v>1145.5</v>
      </c>
      <c r="M468" s="2">
        <f t="shared" si="1055"/>
        <v>9.1</v>
      </c>
      <c r="N468" s="12">
        <f t="shared" si="989"/>
        <v>91.64</v>
      </c>
      <c r="O468" s="12">
        <f t="shared" si="990"/>
        <v>114.55</v>
      </c>
      <c r="P468" s="12">
        <f t="shared" si="991"/>
        <v>57.275</v>
      </c>
      <c r="Q468" s="12">
        <f t="shared" si="992"/>
        <v>22.91</v>
      </c>
      <c r="R468" s="12">
        <f t="shared" si="993"/>
        <v>9.555</v>
      </c>
      <c r="S468" s="12">
        <f t="shared" si="994"/>
        <v>11.455</v>
      </c>
      <c r="T468" s="60">
        <f t="shared" si="995"/>
        <v>306.93</v>
      </c>
      <c r="U468" s="2">
        <f t="shared" si="996"/>
        <v>19.11</v>
      </c>
      <c r="V468" s="42">
        <f t="shared" si="15"/>
        <v>95.55</v>
      </c>
      <c r="W468" s="2">
        <f t="shared" si="997"/>
        <v>19.11</v>
      </c>
      <c r="X468" s="2">
        <f t="shared" si="998"/>
        <v>152.88</v>
      </c>
      <c r="Y468" s="2">
        <f t="shared" si="999"/>
        <v>286.65</v>
      </c>
      <c r="Z468" s="60">
        <f t="shared" si="1000"/>
        <v>1739.08</v>
      </c>
      <c r="AA468" s="11">
        <f t="shared" si="1001"/>
        <v>347.816</v>
      </c>
      <c r="AB468" s="12">
        <f t="shared" si="1002"/>
        <v>2086.896</v>
      </c>
      <c r="AC468" s="2">
        <f t="shared" si="1049"/>
        <v>1911</v>
      </c>
      <c r="AD468" s="12">
        <f t="shared" si="1050"/>
        <v>175.896</v>
      </c>
      <c r="AE468" s="12">
        <f t="shared" si="1051"/>
        <v>8.428594429</v>
      </c>
      <c r="AF468" s="61">
        <v>1750.0</v>
      </c>
      <c r="AG468" s="62">
        <f t="shared" si="1006"/>
        <v>52.77171541</v>
      </c>
      <c r="AH468" s="63">
        <f t="shared" si="1007"/>
        <v>140</v>
      </c>
      <c r="AI468" s="65">
        <v>1990.0</v>
      </c>
      <c r="AJ468" s="65">
        <v>1890.0</v>
      </c>
      <c r="AK468" s="66">
        <f t="shared" si="1008"/>
        <v>64.99345264</v>
      </c>
      <c r="AL468" s="66"/>
      <c r="AM468" s="14">
        <f t="shared" si="1009"/>
        <v>7.407407407</v>
      </c>
      <c r="AN468" s="67">
        <f t="shared" si="1010"/>
        <v>12.22173723</v>
      </c>
      <c r="AO468" s="68">
        <f t="shared" si="1011"/>
        <v>1.649934526</v>
      </c>
      <c r="AP468" s="69">
        <f t="shared" si="1012"/>
        <v>-1.96896</v>
      </c>
      <c r="AQ468" s="70">
        <f t="shared" si="1013"/>
        <v>-0.21</v>
      </c>
      <c r="AR468" s="71">
        <f t="shared" ref="AR468:AS468" si="1543">AI468/94</f>
        <v>21.17021277</v>
      </c>
      <c r="AS468" s="71">
        <f t="shared" si="1543"/>
        <v>20.10638298</v>
      </c>
      <c r="AT468" s="72">
        <f t="shared" ref="AT468:AU468" si="1544">AI468/24</f>
        <v>82.91666667</v>
      </c>
      <c r="AU468" s="72">
        <f t="shared" si="1544"/>
        <v>78.75</v>
      </c>
      <c r="AV468" s="73">
        <f t="shared" ref="AV468:AW468" si="1545">AI468/125</f>
        <v>15.92</v>
      </c>
      <c r="AW468" s="73">
        <f t="shared" si="1545"/>
        <v>15.12</v>
      </c>
    </row>
    <row r="469" ht="15.0" customHeight="1">
      <c r="A469" s="2" t="s">
        <v>934</v>
      </c>
      <c r="B469" s="2" t="s">
        <v>935</v>
      </c>
      <c r="C469" s="2" t="s">
        <v>936</v>
      </c>
      <c r="D469" s="188">
        <f>0.55*3600</f>
        <v>1980</v>
      </c>
      <c r="E469" s="2">
        <v>55.0</v>
      </c>
      <c r="F469" s="1">
        <v>85.0</v>
      </c>
      <c r="G469" s="10">
        <v>8.3061E7</v>
      </c>
      <c r="H469" s="59">
        <v>0.05</v>
      </c>
      <c r="I469" s="2">
        <f t="shared" si="1477"/>
        <v>99</v>
      </c>
      <c r="K469" s="1">
        <v>100.0</v>
      </c>
      <c r="L469" s="119">
        <f t="shared" si="987"/>
        <v>2319</v>
      </c>
      <c r="M469" s="2">
        <f t="shared" si="1055"/>
        <v>19.8</v>
      </c>
      <c r="N469" s="12">
        <f t="shared" si="989"/>
        <v>185.52</v>
      </c>
      <c r="O469" s="12">
        <f t="shared" si="990"/>
        <v>231.9</v>
      </c>
      <c r="P469" s="12">
        <f t="shared" si="991"/>
        <v>115.95</v>
      </c>
      <c r="Q469" s="12">
        <f t="shared" si="992"/>
        <v>46.38</v>
      </c>
      <c r="R469" s="12">
        <f t="shared" si="993"/>
        <v>20.79</v>
      </c>
      <c r="S469" s="12">
        <f t="shared" si="994"/>
        <v>23.19</v>
      </c>
      <c r="T469" s="60">
        <f t="shared" si="995"/>
        <v>622.74</v>
      </c>
      <c r="U469" s="2">
        <f t="shared" si="996"/>
        <v>41.58</v>
      </c>
      <c r="V469" s="42">
        <f t="shared" si="15"/>
        <v>207.9</v>
      </c>
      <c r="W469" s="2">
        <f t="shared" si="997"/>
        <v>41.58</v>
      </c>
      <c r="X469" s="2">
        <f t="shared" si="998"/>
        <v>332.64</v>
      </c>
      <c r="Y469" s="2">
        <f t="shared" si="999"/>
        <v>623.7</v>
      </c>
      <c r="Z469" s="60">
        <f t="shared" si="1000"/>
        <v>3565.44</v>
      </c>
      <c r="AA469" s="11">
        <f t="shared" si="1001"/>
        <v>713.088</v>
      </c>
      <c r="AB469" s="12">
        <f t="shared" si="1002"/>
        <v>4278.528</v>
      </c>
      <c r="AC469" s="2">
        <f t="shared" si="1049"/>
        <v>4158</v>
      </c>
      <c r="AD469" s="12">
        <f t="shared" si="1050"/>
        <v>120.528</v>
      </c>
      <c r="AE469" s="12">
        <f t="shared" si="1051"/>
        <v>2.817043619</v>
      </c>
      <c r="AF469" s="61">
        <v>6950.0</v>
      </c>
      <c r="AG469" s="62">
        <f t="shared" si="1006"/>
        <v>199.6981458</v>
      </c>
      <c r="AH469" s="63">
        <f t="shared" si="1007"/>
        <v>540</v>
      </c>
      <c r="AI469" s="65">
        <v>8990.0</v>
      </c>
      <c r="AJ469" s="65">
        <v>7490.0</v>
      </c>
      <c r="AK469" s="66">
        <f t="shared" si="1008"/>
        <v>222.9840448</v>
      </c>
      <c r="AL469" s="66"/>
      <c r="AM469" s="14">
        <f t="shared" si="1009"/>
        <v>7.209612817</v>
      </c>
      <c r="AN469" s="67">
        <f t="shared" si="1010"/>
        <v>23.28589909</v>
      </c>
      <c r="AO469" s="68">
        <f t="shared" si="1011"/>
        <v>3.229840448</v>
      </c>
      <c r="AP469" s="69">
        <f t="shared" si="1012"/>
        <v>32.11472</v>
      </c>
      <c r="AQ469" s="70">
        <f t="shared" si="1013"/>
        <v>33.32</v>
      </c>
      <c r="AR469" s="71">
        <f t="shared" ref="AR469:AS469" si="1546">AI469/94</f>
        <v>95.63829787</v>
      </c>
      <c r="AS469" s="71">
        <f t="shared" si="1546"/>
        <v>79.68085106</v>
      </c>
      <c r="AT469" s="72">
        <f t="shared" ref="AT469:AU469" si="1547">AI469/24</f>
        <v>374.5833333</v>
      </c>
      <c r="AU469" s="72">
        <f t="shared" si="1547"/>
        <v>312.0833333</v>
      </c>
      <c r="AV469" s="73">
        <f t="shared" ref="AV469:AW469" si="1548">AI469/125</f>
        <v>71.92</v>
      </c>
      <c r="AW469" s="73">
        <f t="shared" si="1548"/>
        <v>59.92</v>
      </c>
    </row>
    <row r="470" ht="15.75" customHeight="1">
      <c r="A470" s="2"/>
      <c r="B470" s="2" t="s">
        <v>937</v>
      </c>
      <c r="C470" s="2" t="s">
        <v>938</v>
      </c>
      <c r="D470" s="211">
        <v>7920.0</v>
      </c>
      <c r="E470" s="2">
        <v>145.0</v>
      </c>
      <c r="F470" s="1">
        <v>100.0</v>
      </c>
      <c r="G470" s="10">
        <v>8.3061E7</v>
      </c>
      <c r="H470" s="59">
        <v>0.05</v>
      </c>
      <c r="I470" s="2">
        <f t="shared" si="1477"/>
        <v>396</v>
      </c>
      <c r="K470" s="1">
        <v>100.0</v>
      </c>
      <c r="L470" s="119">
        <f t="shared" si="987"/>
        <v>8661</v>
      </c>
      <c r="M470" s="2">
        <f t="shared" si="1055"/>
        <v>79.2</v>
      </c>
      <c r="N470" s="12">
        <f t="shared" si="989"/>
        <v>692.88</v>
      </c>
      <c r="O470" s="12">
        <f t="shared" si="990"/>
        <v>866.1</v>
      </c>
      <c r="P470" s="12">
        <f t="shared" si="991"/>
        <v>433.05</v>
      </c>
      <c r="Q470" s="12">
        <f t="shared" si="992"/>
        <v>173.22</v>
      </c>
      <c r="R470" s="12">
        <f t="shared" si="993"/>
        <v>83.16</v>
      </c>
      <c r="S470" s="12">
        <f t="shared" si="994"/>
        <v>86.61</v>
      </c>
      <c r="T470" s="60">
        <f t="shared" si="995"/>
        <v>2331.06</v>
      </c>
      <c r="U470" s="2">
        <f t="shared" si="996"/>
        <v>166.32</v>
      </c>
      <c r="V470" s="42">
        <f t="shared" si="15"/>
        <v>831.6</v>
      </c>
      <c r="W470" s="2">
        <f t="shared" si="997"/>
        <v>166.32</v>
      </c>
      <c r="X470" s="2">
        <f t="shared" si="998"/>
        <v>1330.56</v>
      </c>
      <c r="Y470" s="2">
        <f t="shared" si="999"/>
        <v>2494.8</v>
      </c>
      <c r="Z470" s="60">
        <f t="shared" si="1000"/>
        <v>13486.86</v>
      </c>
      <c r="AA470" s="11">
        <f t="shared" si="1001"/>
        <v>2697.372</v>
      </c>
      <c r="AB470" s="12">
        <f t="shared" si="1002"/>
        <v>16184.232</v>
      </c>
      <c r="AC470" s="2">
        <f t="shared" si="1049"/>
        <v>16632</v>
      </c>
      <c r="AD470" s="12">
        <f t="shared" si="1050"/>
        <v>-447.768</v>
      </c>
      <c r="AE470" s="12">
        <f t="shared" si="1051"/>
        <v>-2.766692914</v>
      </c>
      <c r="AF470" s="61">
        <v>12450.0</v>
      </c>
      <c r="AG470" s="62">
        <f t="shared" si="1006"/>
        <v>43.74783512</v>
      </c>
      <c r="AH470" s="63">
        <f t="shared" si="1007"/>
        <v>2540</v>
      </c>
      <c r="AI470" s="65">
        <v>16990.0</v>
      </c>
      <c r="AJ470" s="65">
        <v>14990.0</v>
      </c>
      <c r="AK470" s="66">
        <f t="shared" si="1008"/>
        <v>73.07470269</v>
      </c>
      <c r="AL470" s="66"/>
      <c r="AM470" s="14">
        <f t="shared" si="1009"/>
        <v>16.94462975</v>
      </c>
      <c r="AN470" s="67">
        <f t="shared" si="1010"/>
        <v>29.32686757</v>
      </c>
      <c r="AO470" s="68">
        <f t="shared" si="1011"/>
        <v>1.730747027</v>
      </c>
      <c r="AP470" s="69">
        <f t="shared" si="1012"/>
        <v>-11.94232</v>
      </c>
      <c r="AQ470" s="70">
        <f t="shared" si="1013"/>
        <v>-16.42</v>
      </c>
      <c r="AR470" s="71">
        <f t="shared" ref="AR470:AS470" si="1549">AI470/94</f>
        <v>180.7446809</v>
      </c>
      <c r="AS470" s="71">
        <f t="shared" si="1549"/>
        <v>159.4680851</v>
      </c>
      <c r="AT470" s="72">
        <f t="shared" ref="AT470:AU470" si="1550">AI470/24</f>
        <v>707.9166667</v>
      </c>
      <c r="AU470" s="72">
        <f t="shared" si="1550"/>
        <v>624.5833333</v>
      </c>
      <c r="AV470" s="73">
        <f t="shared" ref="AV470:AW470" si="1551">AI470/125</f>
        <v>135.92</v>
      </c>
      <c r="AW470" s="73">
        <f t="shared" si="1551"/>
        <v>119.92</v>
      </c>
    </row>
    <row r="471" ht="15.75" customHeight="1">
      <c r="A471" s="2"/>
      <c r="B471" s="2" t="s">
        <v>939</v>
      </c>
      <c r="C471" s="2" t="s">
        <v>940</v>
      </c>
      <c r="D471" s="188">
        <v>8900.0</v>
      </c>
      <c r="E471" s="2">
        <v>145.0</v>
      </c>
      <c r="F471" s="1">
        <v>100.0</v>
      </c>
      <c r="G471" s="10">
        <v>8.3061E7</v>
      </c>
      <c r="H471" s="59">
        <v>0.05</v>
      </c>
      <c r="I471" s="2">
        <f t="shared" si="1477"/>
        <v>445</v>
      </c>
      <c r="K471" s="1">
        <v>100.0</v>
      </c>
      <c r="L471" s="119">
        <f t="shared" si="987"/>
        <v>9690</v>
      </c>
      <c r="M471" s="2">
        <f t="shared" si="1055"/>
        <v>89</v>
      </c>
      <c r="N471" s="12">
        <f t="shared" si="989"/>
        <v>775.2</v>
      </c>
      <c r="O471" s="12">
        <f t="shared" si="990"/>
        <v>969</v>
      </c>
      <c r="P471" s="12">
        <f t="shared" si="991"/>
        <v>484.5</v>
      </c>
      <c r="Q471" s="12">
        <f t="shared" si="992"/>
        <v>193.8</v>
      </c>
      <c r="R471" s="12">
        <f t="shared" si="993"/>
        <v>93.45</v>
      </c>
      <c r="S471" s="12">
        <f t="shared" si="994"/>
        <v>96.9</v>
      </c>
      <c r="T471" s="60">
        <f t="shared" si="995"/>
        <v>2608.4</v>
      </c>
      <c r="U471" s="2">
        <f t="shared" si="996"/>
        <v>186.9</v>
      </c>
      <c r="V471" s="42">
        <f t="shared" si="15"/>
        <v>934.5</v>
      </c>
      <c r="W471" s="2">
        <f t="shared" si="997"/>
        <v>186.9</v>
      </c>
      <c r="X471" s="2">
        <f t="shared" si="998"/>
        <v>1495.2</v>
      </c>
      <c r="Y471" s="2">
        <f t="shared" si="999"/>
        <v>2803.5</v>
      </c>
      <c r="Z471" s="60">
        <f t="shared" si="1000"/>
        <v>15101.9</v>
      </c>
      <c r="AA471" s="11">
        <f t="shared" si="1001"/>
        <v>3020.38</v>
      </c>
      <c r="AB471" s="12">
        <f t="shared" si="1002"/>
        <v>18122.28</v>
      </c>
      <c r="AC471" s="2">
        <f t="shared" si="1049"/>
        <v>18690</v>
      </c>
      <c r="AD471" s="12">
        <f t="shared" si="1050"/>
        <v>-567.72</v>
      </c>
      <c r="AE471" s="12">
        <f t="shared" si="1051"/>
        <v>-3.1327184</v>
      </c>
      <c r="AF471" s="61">
        <v>13750.0</v>
      </c>
      <c r="AG471" s="62">
        <f t="shared" si="1006"/>
        <v>41.89886481</v>
      </c>
      <c r="AH471" s="63">
        <f t="shared" si="1007"/>
        <v>3240</v>
      </c>
      <c r="AI471" s="65">
        <v>18990.0</v>
      </c>
      <c r="AJ471" s="65">
        <v>16990.0</v>
      </c>
      <c r="AK471" s="66">
        <f t="shared" si="1008"/>
        <v>75.33539732</v>
      </c>
      <c r="AL471" s="66"/>
      <c r="AM471" s="14">
        <f t="shared" si="1009"/>
        <v>19.0700412</v>
      </c>
      <c r="AN471" s="67">
        <f t="shared" si="1010"/>
        <v>33.43653251</v>
      </c>
      <c r="AO471" s="68">
        <f t="shared" si="1011"/>
        <v>1.753353973</v>
      </c>
      <c r="AP471" s="69">
        <f t="shared" si="1012"/>
        <v>-11.3228</v>
      </c>
      <c r="AQ471" s="70">
        <f t="shared" si="1013"/>
        <v>-17</v>
      </c>
      <c r="AR471" s="71">
        <f t="shared" ref="AR471:AS471" si="1552">AI471/94</f>
        <v>202.0212766</v>
      </c>
      <c r="AS471" s="71">
        <f t="shared" si="1552"/>
        <v>180.7446809</v>
      </c>
      <c r="AT471" s="72">
        <f t="shared" ref="AT471:AU471" si="1553">AI471/24</f>
        <v>791.25</v>
      </c>
      <c r="AU471" s="72">
        <f t="shared" si="1553"/>
        <v>707.9166667</v>
      </c>
      <c r="AV471" s="73">
        <f t="shared" ref="AV471:AW471" si="1554">AI471/125</f>
        <v>151.92</v>
      </c>
      <c r="AW471" s="73">
        <f t="shared" si="1554"/>
        <v>135.92</v>
      </c>
    </row>
    <row r="472" ht="15.75" customHeight="1">
      <c r="A472" s="2"/>
      <c r="B472" s="2" t="s">
        <v>941</v>
      </c>
      <c r="C472" s="2" t="s">
        <v>942</v>
      </c>
      <c r="D472" s="188">
        <v>10000.0</v>
      </c>
      <c r="E472" s="2">
        <v>145.0</v>
      </c>
      <c r="F472" s="1">
        <v>100.0</v>
      </c>
      <c r="G472" s="10">
        <v>8.3061E7</v>
      </c>
      <c r="H472" s="59">
        <v>0.05</v>
      </c>
      <c r="I472" s="2">
        <f t="shared" si="1477"/>
        <v>500</v>
      </c>
      <c r="K472" s="1">
        <v>100.0</v>
      </c>
      <c r="L472" s="119">
        <f t="shared" si="987"/>
        <v>10845</v>
      </c>
      <c r="M472" s="2">
        <f t="shared" si="1055"/>
        <v>100</v>
      </c>
      <c r="N472" s="12">
        <f t="shared" si="989"/>
        <v>867.6</v>
      </c>
      <c r="O472" s="12">
        <f t="shared" si="990"/>
        <v>1084.5</v>
      </c>
      <c r="P472" s="12">
        <f t="shared" si="991"/>
        <v>542.25</v>
      </c>
      <c r="Q472" s="12">
        <f t="shared" si="992"/>
        <v>216.9</v>
      </c>
      <c r="R472" s="12">
        <f t="shared" si="993"/>
        <v>105</v>
      </c>
      <c r="S472" s="12">
        <f t="shared" si="994"/>
        <v>108.45</v>
      </c>
      <c r="T472" s="60">
        <f t="shared" si="995"/>
        <v>2919.7</v>
      </c>
      <c r="U472" s="2">
        <f t="shared" si="996"/>
        <v>210</v>
      </c>
      <c r="V472" s="42">
        <f t="shared" si="15"/>
        <v>1050</v>
      </c>
      <c r="W472" s="2">
        <f t="shared" si="997"/>
        <v>210</v>
      </c>
      <c r="X472" s="2">
        <f t="shared" si="998"/>
        <v>1680</v>
      </c>
      <c r="Y472" s="2">
        <f t="shared" si="999"/>
        <v>3150</v>
      </c>
      <c r="Z472" s="60">
        <f t="shared" si="1000"/>
        <v>16914.7</v>
      </c>
      <c r="AA472" s="11">
        <f t="shared" si="1001"/>
        <v>3382.94</v>
      </c>
      <c r="AB472" s="12">
        <f t="shared" si="1002"/>
        <v>20297.64</v>
      </c>
      <c r="AC472" s="2">
        <f t="shared" si="1049"/>
        <v>21000</v>
      </c>
      <c r="AD472" s="12">
        <f t="shared" si="1050"/>
        <v>-702.36</v>
      </c>
      <c r="AE472" s="12">
        <f t="shared" si="1051"/>
        <v>-3.460303759</v>
      </c>
      <c r="AF472" s="61">
        <v>14850.0</v>
      </c>
      <c r="AG472" s="62">
        <f t="shared" si="1006"/>
        <v>36.92946058</v>
      </c>
      <c r="AH472" s="63">
        <f t="shared" si="1007"/>
        <v>4140</v>
      </c>
      <c r="AI472" s="65">
        <v>20990.0</v>
      </c>
      <c r="AJ472" s="65">
        <v>18990.0</v>
      </c>
      <c r="AK472" s="66">
        <f t="shared" si="1008"/>
        <v>75.10373444</v>
      </c>
      <c r="AL472" s="66"/>
      <c r="AM472" s="14">
        <f t="shared" si="1009"/>
        <v>21.80094787</v>
      </c>
      <c r="AN472" s="67">
        <f t="shared" si="1010"/>
        <v>38.17427386</v>
      </c>
      <c r="AO472" s="68">
        <f t="shared" si="1011"/>
        <v>1.751037344</v>
      </c>
      <c r="AP472" s="69">
        <f t="shared" si="1012"/>
        <v>-13.0764</v>
      </c>
      <c r="AQ472" s="70">
        <f t="shared" si="1013"/>
        <v>-20.1</v>
      </c>
      <c r="AR472" s="71">
        <f t="shared" ref="AR472:AS472" si="1555">AI472/94</f>
        <v>223.2978723</v>
      </c>
      <c r="AS472" s="71">
        <f t="shared" si="1555"/>
        <v>202.0212766</v>
      </c>
      <c r="AT472" s="72">
        <f t="shared" ref="AT472:AU472" si="1556">AI472/24</f>
        <v>874.5833333</v>
      </c>
      <c r="AU472" s="72">
        <f t="shared" si="1556"/>
        <v>791.25</v>
      </c>
      <c r="AV472" s="73">
        <f t="shared" ref="AV472:AW472" si="1557">AI472/125</f>
        <v>167.92</v>
      </c>
      <c r="AW472" s="73">
        <f t="shared" si="1557"/>
        <v>151.92</v>
      </c>
    </row>
    <row r="473" ht="15.75" customHeight="1">
      <c r="A473" s="2"/>
      <c r="B473" s="2" t="s">
        <v>943</v>
      </c>
      <c r="C473" s="2" t="s">
        <v>944</v>
      </c>
      <c r="D473" s="188">
        <v>11000.0</v>
      </c>
      <c r="E473" s="2">
        <v>145.0</v>
      </c>
      <c r="F473" s="1">
        <v>100.0</v>
      </c>
      <c r="G473" s="10">
        <v>8.3061E7</v>
      </c>
      <c r="H473" s="59">
        <v>0.05</v>
      </c>
      <c r="I473" s="2">
        <f t="shared" si="1477"/>
        <v>550</v>
      </c>
      <c r="K473" s="1">
        <v>100.0</v>
      </c>
      <c r="L473" s="119">
        <f t="shared" si="987"/>
        <v>11895</v>
      </c>
      <c r="M473" s="2">
        <f t="shared" si="1055"/>
        <v>110</v>
      </c>
      <c r="N473" s="12">
        <f t="shared" si="989"/>
        <v>951.6</v>
      </c>
      <c r="O473" s="12">
        <f t="shared" si="990"/>
        <v>1189.5</v>
      </c>
      <c r="P473" s="12">
        <f t="shared" si="991"/>
        <v>594.75</v>
      </c>
      <c r="Q473" s="12">
        <f t="shared" si="992"/>
        <v>237.9</v>
      </c>
      <c r="R473" s="12">
        <f t="shared" si="993"/>
        <v>115.5</v>
      </c>
      <c r="S473" s="12">
        <f t="shared" si="994"/>
        <v>118.95</v>
      </c>
      <c r="T473" s="60">
        <f t="shared" si="995"/>
        <v>3202.7</v>
      </c>
      <c r="U473" s="2">
        <f t="shared" si="996"/>
        <v>231</v>
      </c>
      <c r="V473" s="42">
        <f t="shared" si="15"/>
        <v>1155</v>
      </c>
      <c r="W473" s="2">
        <f t="shared" si="997"/>
        <v>231</v>
      </c>
      <c r="X473" s="2">
        <f t="shared" si="998"/>
        <v>1848</v>
      </c>
      <c r="Y473" s="2">
        <f t="shared" si="999"/>
        <v>3465</v>
      </c>
      <c r="Z473" s="60">
        <f t="shared" si="1000"/>
        <v>18562.7</v>
      </c>
      <c r="AA473" s="11">
        <f t="shared" si="1001"/>
        <v>3712.54</v>
      </c>
      <c r="AB473" s="12">
        <f t="shared" si="1002"/>
        <v>22275.24</v>
      </c>
      <c r="AC473" s="2">
        <f t="shared" si="1049"/>
        <v>23100</v>
      </c>
      <c r="AD473" s="12">
        <f t="shared" si="1050"/>
        <v>-824.76</v>
      </c>
      <c r="AE473" s="12">
        <f t="shared" si="1051"/>
        <v>-3.702586369</v>
      </c>
      <c r="AF473" s="61">
        <v>15950.0</v>
      </c>
      <c r="AG473" s="62">
        <f t="shared" si="1006"/>
        <v>34.08995376</v>
      </c>
      <c r="AH473" s="63">
        <f t="shared" si="1007"/>
        <v>4040</v>
      </c>
      <c r="AI473" s="65">
        <v>21990.0</v>
      </c>
      <c r="AJ473" s="65">
        <v>19990.0</v>
      </c>
      <c r="AK473" s="66">
        <f t="shared" si="1008"/>
        <v>68.05380412</v>
      </c>
      <c r="AL473" s="66"/>
      <c r="AM473" s="14">
        <f t="shared" si="1009"/>
        <v>20.21010505</v>
      </c>
      <c r="AN473" s="67">
        <f t="shared" si="1010"/>
        <v>33.96385036</v>
      </c>
      <c r="AO473" s="68">
        <f t="shared" si="1011"/>
        <v>1.680538041</v>
      </c>
      <c r="AP473" s="69">
        <f t="shared" si="1012"/>
        <v>-22.8524</v>
      </c>
      <c r="AQ473" s="70">
        <f t="shared" si="1013"/>
        <v>-31.1</v>
      </c>
      <c r="AR473" s="71">
        <f t="shared" ref="AR473:AS473" si="1558">AI473/94</f>
        <v>233.9361702</v>
      </c>
      <c r="AS473" s="71">
        <f t="shared" si="1558"/>
        <v>212.6595745</v>
      </c>
      <c r="AT473" s="72">
        <f t="shared" ref="AT473:AU473" si="1559">AI473/24</f>
        <v>916.25</v>
      </c>
      <c r="AU473" s="72">
        <f t="shared" si="1559"/>
        <v>832.9166667</v>
      </c>
      <c r="AV473" s="73">
        <f t="shared" ref="AV473:AW473" si="1560">AI473/125</f>
        <v>175.92</v>
      </c>
      <c r="AW473" s="73">
        <f t="shared" si="1560"/>
        <v>159.92</v>
      </c>
    </row>
    <row r="474" ht="15.75" customHeight="1">
      <c r="A474" s="2"/>
      <c r="B474" s="2" t="s">
        <v>543</v>
      </c>
      <c r="C474" s="2" t="s">
        <v>945</v>
      </c>
      <c r="D474" s="188">
        <f>0.65*3600</f>
        <v>2340</v>
      </c>
      <c r="E474" s="2">
        <v>125.0</v>
      </c>
      <c r="F474" s="1">
        <v>85.0</v>
      </c>
      <c r="G474" s="10">
        <v>8.3061E7</v>
      </c>
      <c r="H474" s="59">
        <v>0.05</v>
      </c>
      <c r="I474" s="2">
        <f t="shared" si="1477"/>
        <v>117</v>
      </c>
      <c r="K474" s="1">
        <v>100.0</v>
      </c>
      <c r="L474" s="119">
        <f t="shared" si="987"/>
        <v>2767</v>
      </c>
      <c r="M474" s="2">
        <f t="shared" si="1055"/>
        <v>23.4</v>
      </c>
      <c r="N474" s="12">
        <f t="shared" si="989"/>
        <v>221.36</v>
      </c>
      <c r="O474" s="12">
        <f t="shared" si="990"/>
        <v>276.7</v>
      </c>
      <c r="P474" s="12">
        <f t="shared" si="991"/>
        <v>138.35</v>
      </c>
      <c r="Q474" s="12">
        <f t="shared" si="992"/>
        <v>55.34</v>
      </c>
      <c r="R474" s="12">
        <f t="shared" si="993"/>
        <v>24.57</v>
      </c>
      <c r="S474" s="12">
        <f t="shared" si="994"/>
        <v>27.67</v>
      </c>
      <c r="T474" s="60">
        <f t="shared" si="995"/>
        <v>742.82</v>
      </c>
      <c r="U474" s="2">
        <f t="shared" si="996"/>
        <v>49.14</v>
      </c>
      <c r="V474" s="42">
        <f t="shared" si="15"/>
        <v>245.7</v>
      </c>
      <c r="W474" s="2">
        <f t="shared" si="997"/>
        <v>49.14</v>
      </c>
      <c r="X474" s="2">
        <f t="shared" si="998"/>
        <v>393.12</v>
      </c>
      <c r="Y474" s="2">
        <f t="shared" si="999"/>
        <v>737.1</v>
      </c>
      <c r="Z474" s="60">
        <f t="shared" si="1000"/>
        <v>4246.92</v>
      </c>
      <c r="AA474" s="11">
        <f t="shared" si="1001"/>
        <v>849.384</v>
      </c>
      <c r="AB474" s="12">
        <f t="shared" si="1002"/>
        <v>5096.304</v>
      </c>
      <c r="AC474" s="2">
        <f t="shared" si="1049"/>
        <v>4914</v>
      </c>
      <c r="AD474" s="12">
        <f t="shared" si="1050"/>
        <v>182.304</v>
      </c>
      <c r="AE474" s="12">
        <f t="shared" si="1051"/>
        <v>3.577180639</v>
      </c>
      <c r="AF474" s="61">
        <v>7950.0</v>
      </c>
      <c r="AG474" s="62">
        <f t="shared" si="1006"/>
        <v>187.3147814</v>
      </c>
      <c r="AH474" s="63">
        <f t="shared" si="1007"/>
        <v>1040</v>
      </c>
      <c r="AI474" s="65">
        <v>9990.0</v>
      </c>
      <c r="AJ474" s="65">
        <v>8990.0</v>
      </c>
      <c r="AK474" s="66">
        <f t="shared" si="1008"/>
        <v>224.9006144</v>
      </c>
      <c r="AL474" s="66"/>
      <c r="AM474" s="14">
        <f t="shared" si="1009"/>
        <v>11.56840934</v>
      </c>
      <c r="AN474" s="67">
        <f t="shared" si="1010"/>
        <v>37.58583303</v>
      </c>
      <c r="AO474" s="68">
        <f t="shared" si="1011"/>
        <v>3.249006144</v>
      </c>
      <c r="AP474" s="69">
        <f t="shared" si="1012"/>
        <v>38.93696</v>
      </c>
      <c r="AQ474" s="70">
        <f t="shared" si="1013"/>
        <v>40.76</v>
      </c>
      <c r="AR474" s="71">
        <f t="shared" ref="AR474:AS474" si="1561">AI474/94</f>
        <v>106.2765957</v>
      </c>
      <c r="AS474" s="71">
        <f t="shared" si="1561"/>
        <v>95.63829787</v>
      </c>
      <c r="AT474" s="72">
        <f t="shared" ref="AT474:AU474" si="1562">AI474/24</f>
        <v>416.25</v>
      </c>
      <c r="AU474" s="72">
        <f t="shared" si="1562"/>
        <v>374.5833333</v>
      </c>
      <c r="AV474" s="73">
        <f t="shared" ref="AV474:AW474" si="1563">AI474/125</f>
        <v>79.92</v>
      </c>
      <c r="AW474" s="73">
        <f t="shared" si="1563"/>
        <v>71.92</v>
      </c>
    </row>
    <row r="475" ht="15.75" customHeight="1">
      <c r="A475" s="2"/>
      <c r="B475" s="2" t="s">
        <v>545</v>
      </c>
      <c r="C475" s="2" t="s">
        <v>946</v>
      </c>
      <c r="D475" s="188">
        <f>0.95*3600</f>
        <v>3420</v>
      </c>
      <c r="E475" s="2">
        <v>125.0</v>
      </c>
      <c r="F475" s="1">
        <v>85.0</v>
      </c>
      <c r="G475" s="10">
        <v>8.3061E7</v>
      </c>
      <c r="H475" s="59">
        <v>0.05</v>
      </c>
      <c r="I475" s="2">
        <f t="shared" si="1477"/>
        <v>171</v>
      </c>
      <c r="K475" s="1">
        <v>100.0</v>
      </c>
      <c r="L475" s="119">
        <f t="shared" si="987"/>
        <v>3901</v>
      </c>
      <c r="M475" s="2">
        <f t="shared" si="1055"/>
        <v>34.2</v>
      </c>
      <c r="N475" s="12">
        <f t="shared" si="989"/>
        <v>312.08</v>
      </c>
      <c r="O475" s="12">
        <f t="shared" si="990"/>
        <v>390.1</v>
      </c>
      <c r="P475" s="12">
        <f t="shared" si="991"/>
        <v>195.05</v>
      </c>
      <c r="Q475" s="12">
        <f t="shared" si="992"/>
        <v>78.02</v>
      </c>
      <c r="R475" s="12">
        <f t="shared" si="993"/>
        <v>35.91</v>
      </c>
      <c r="S475" s="12">
        <f t="shared" si="994"/>
        <v>39.01</v>
      </c>
      <c r="T475" s="60">
        <f t="shared" si="995"/>
        <v>1048.46</v>
      </c>
      <c r="U475" s="2">
        <f t="shared" si="996"/>
        <v>71.82</v>
      </c>
      <c r="V475" s="42">
        <f t="shared" si="15"/>
        <v>359.1</v>
      </c>
      <c r="W475" s="2">
        <f t="shared" si="997"/>
        <v>71.82</v>
      </c>
      <c r="X475" s="2">
        <f t="shared" si="998"/>
        <v>574.56</v>
      </c>
      <c r="Y475" s="2">
        <f t="shared" si="999"/>
        <v>1077.3</v>
      </c>
      <c r="Z475" s="60">
        <f t="shared" si="1000"/>
        <v>6026.76</v>
      </c>
      <c r="AA475" s="11">
        <f t="shared" si="1001"/>
        <v>1205.352</v>
      </c>
      <c r="AB475" s="12">
        <f t="shared" si="1002"/>
        <v>7232.112</v>
      </c>
      <c r="AC475" s="2">
        <f t="shared" si="1049"/>
        <v>7182</v>
      </c>
      <c r="AD475" s="12">
        <f t="shared" si="1050"/>
        <v>50.112</v>
      </c>
      <c r="AE475" s="12">
        <f t="shared" si="1051"/>
        <v>0.6929096231</v>
      </c>
      <c r="AF475" s="61">
        <v>8950.0</v>
      </c>
      <c r="AG475" s="62">
        <f t="shared" si="1006"/>
        <v>129.4283517</v>
      </c>
      <c r="AH475" s="63">
        <f t="shared" si="1007"/>
        <v>1040</v>
      </c>
      <c r="AI475" s="65">
        <v>10990.0</v>
      </c>
      <c r="AJ475" s="65">
        <v>9990.0</v>
      </c>
      <c r="AK475" s="66">
        <f t="shared" si="1008"/>
        <v>156.0881825</v>
      </c>
      <c r="AL475" s="66"/>
      <c r="AM475" s="14">
        <f t="shared" si="1009"/>
        <v>10.41041041</v>
      </c>
      <c r="AN475" s="67">
        <f t="shared" si="1010"/>
        <v>26.65983081</v>
      </c>
      <c r="AO475" s="68">
        <f t="shared" si="1011"/>
        <v>2.560881825</v>
      </c>
      <c r="AP475" s="69">
        <f t="shared" si="1012"/>
        <v>27.57888</v>
      </c>
      <c r="AQ475" s="70">
        <f t="shared" si="1013"/>
        <v>28.08</v>
      </c>
      <c r="AR475" s="71">
        <f t="shared" ref="AR475:AS475" si="1564">AI475/94</f>
        <v>116.9148936</v>
      </c>
      <c r="AS475" s="71">
        <f t="shared" si="1564"/>
        <v>106.2765957</v>
      </c>
      <c r="AT475" s="72">
        <f t="shared" ref="AT475:AU475" si="1565">AI475/24</f>
        <v>457.9166667</v>
      </c>
      <c r="AU475" s="72">
        <f t="shared" si="1565"/>
        <v>416.25</v>
      </c>
      <c r="AV475" s="73">
        <f t="shared" ref="AV475:AW475" si="1566">AI475/125</f>
        <v>87.92</v>
      </c>
      <c r="AW475" s="73">
        <f t="shared" si="1566"/>
        <v>79.92</v>
      </c>
    </row>
    <row r="476" ht="15.75" customHeight="1">
      <c r="A476" s="2"/>
      <c r="B476" s="2" t="s">
        <v>947</v>
      </c>
      <c r="C476" s="2" t="s">
        <v>948</v>
      </c>
      <c r="D476" s="188">
        <f>1.05*3600</f>
        <v>3780</v>
      </c>
      <c r="E476" s="2">
        <v>125.0</v>
      </c>
      <c r="F476" s="1">
        <v>100.0</v>
      </c>
      <c r="G476" s="10">
        <v>8.3061E7</v>
      </c>
      <c r="H476" s="59">
        <v>0.05</v>
      </c>
      <c r="I476" s="2">
        <f t="shared" si="1477"/>
        <v>189</v>
      </c>
      <c r="K476" s="1">
        <v>100.0</v>
      </c>
      <c r="L476" s="119">
        <f t="shared" si="987"/>
        <v>4294</v>
      </c>
      <c r="M476" s="2">
        <f t="shared" si="1055"/>
        <v>37.8</v>
      </c>
      <c r="N476" s="12">
        <f t="shared" si="989"/>
        <v>343.52</v>
      </c>
      <c r="O476" s="12">
        <f t="shared" si="990"/>
        <v>429.4</v>
      </c>
      <c r="P476" s="12">
        <f t="shared" si="991"/>
        <v>214.7</v>
      </c>
      <c r="Q476" s="12">
        <f t="shared" si="992"/>
        <v>85.88</v>
      </c>
      <c r="R476" s="12">
        <f t="shared" si="993"/>
        <v>39.69</v>
      </c>
      <c r="S476" s="12">
        <f t="shared" si="994"/>
        <v>42.94</v>
      </c>
      <c r="T476" s="60">
        <f t="shared" si="995"/>
        <v>1154.24</v>
      </c>
      <c r="U476" s="2">
        <f t="shared" si="996"/>
        <v>79.38</v>
      </c>
      <c r="V476" s="42">
        <f t="shared" si="15"/>
        <v>396.9</v>
      </c>
      <c r="W476" s="2">
        <f t="shared" si="997"/>
        <v>79.38</v>
      </c>
      <c r="X476" s="2">
        <f t="shared" si="998"/>
        <v>635.04</v>
      </c>
      <c r="Y476" s="2">
        <f t="shared" si="999"/>
        <v>1190.7</v>
      </c>
      <c r="Z476" s="60">
        <f t="shared" si="1000"/>
        <v>6638.94</v>
      </c>
      <c r="AA476" s="11">
        <f t="shared" si="1001"/>
        <v>1327.788</v>
      </c>
      <c r="AB476" s="12">
        <f t="shared" si="1002"/>
        <v>7966.728</v>
      </c>
      <c r="AC476" s="2">
        <f t="shared" si="1049"/>
        <v>7938</v>
      </c>
      <c r="AD476" s="12">
        <f t="shared" si="1050"/>
        <v>28.728</v>
      </c>
      <c r="AE476" s="12">
        <f t="shared" si="1051"/>
        <v>0.3605997343</v>
      </c>
      <c r="AF476" s="61">
        <v>10250.0</v>
      </c>
      <c r="AG476" s="62">
        <f t="shared" si="1006"/>
        <v>138.70517</v>
      </c>
      <c r="AH476" s="63">
        <f t="shared" si="1007"/>
        <v>1740</v>
      </c>
      <c r="AI476" s="65">
        <v>12990.0</v>
      </c>
      <c r="AJ476" s="65">
        <v>11990.0</v>
      </c>
      <c r="AK476" s="66">
        <f t="shared" si="1008"/>
        <v>179.2268281</v>
      </c>
      <c r="AL476" s="66"/>
      <c r="AM476" s="14">
        <f t="shared" si="1009"/>
        <v>14.51209341</v>
      </c>
      <c r="AN476" s="67">
        <f t="shared" si="1010"/>
        <v>40.52165813</v>
      </c>
      <c r="AO476" s="68">
        <f t="shared" si="1011"/>
        <v>2.792268281</v>
      </c>
      <c r="AP476" s="69">
        <f t="shared" si="1012"/>
        <v>40.23272</v>
      </c>
      <c r="AQ476" s="70">
        <f t="shared" si="1013"/>
        <v>40.52</v>
      </c>
      <c r="AR476" s="71">
        <f t="shared" ref="AR476:AS476" si="1567">AI476/94</f>
        <v>138.1914894</v>
      </c>
      <c r="AS476" s="71">
        <f t="shared" si="1567"/>
        <v>127.5531915</v>
      </c>
      <c r="AT476" s="72">
        <f t="shared" ref="AT476:AU476" si="1568">AI476/24</f>
        <v>541.25</v>
      </c>
      <c r="AU476" s="72">
        <f t="shared" si="1568"/>
        <v>499.5833333</v>
      </c>
      <c r="AV476" s="73">
        <f t="shared" ref="AV476:AW476" si="1569">AI476/125</f>
        <v>103.92</v>
      </c>
      <c r="AW476" s="73">
        <f t="shared" si="1569"/>
        <v>95.92</v>
      </c>
    </row>
    <row r="477" ht="15.75" customHeight="1">
      <c r="A477" s="2"/>
      <c r="B477" s="2" t="s">
        <v>949</v>
      </c>
      <c r="C477" s="2" t="s">
        <v>950</v>
      </c>
      <c r="D477" s="188">
        <f>1.5*3600</f>
        <v>5400</v>
      </c>
      <c r="E477" s="2">
        <v>125.0</v>
      </c>
      <c r="F477" s="1">
        <v>100.0</v>
      </c>
      <c r="G477" s="10">
        <v>8.3061E7</v>
      </c>
      <c r="H477" s="59">
        <v>0.05</v>
      </c>
      <c r="I477" s="2">
        <f t="shared" si="1477"/>
        <v>270</v>
      </c>
      <c r="K477" s="1">
        <v>100.0</v>
      </c>
      <c r="L477" s="119">
        <f t="shared" si="987"/>
        <v>5995</v>
      </c>
      <c r="M477" s="2">
        <f t="shared" si="1055"/>
        <v>54</v>
      </c>
      <c r="N477" s="12">
        <f t="shared" si="989"/>
        <v>479.6</v>
      </c>
      <c r="O477" s="12">
        <f t="shared" si="990"/>
        <v>599.5</v>
      </c>
      <c r="P477" s="12">
        <f t="shared" si="991"/>
        <v>299.75</v>
      </c>
      <c r="Q477" s="12">
        <f t="shared" si="992"/>
        <v>119.9</v>
      </c>
      <c r="R477" s="12">
        <f t="shared" si="993"/>
        <v>56.7</v>
      </c>
      <c r="S477" s="12">
        <f t="shared" si="994"/>
        <v>59.95</v>
      </c>
      <c r="T477" s="60">
        <f t="shared" si="995"/>
        <v>1612.7</v>
      </c>
      <c r="U477" s="2">
        <f t="shared" si="996"/>
        <v>113.4</v>
      </c>
      <c r="V477" s="42">
        <f t="shared" si="15"/>
        <v>567</v>
      </c>
      <c r="W477" s="2">
        <f t="shared" si="997"/>
        <v>113.4</v>
      </c>
      <c r="X477" s="2">
        <f t="shared" si="998"/>
        <v>907.2</v>
      </c>
      <c r="Y477" s="2">
        <f t="shared" si="999"/>
        <v>1701</v>
      </c>
      <c r="Z477" s="60">
        <f t="shared" si="1000"/>
        <v>9308.7</v>
      </c>
      <c r="AA477" s="11">
        <f t="shared" si="1001"/>
        <v>1861.74</v>
      </c>
      <c r="AB477" s="12">
        <f t="shared" si="1002"/>
        <v>11170.44</v>
      </c>
      <c r="AC477" s="2">
        <f t="shared" si="1049"/>
        <v>11340</v>
      </c>
      <c r="AD477" s="12">
        <f t="shared" si="1050"/>
        <v>-169.56</v>
      </c>
      <c r="AE477" s="12">
        <f t="shared" si="1051"/>
        <v>-1.517934835</v>
      </c>
      <c r="AF477" s="61">
        <v>11250.0</v>
      </c>
      <c r="AG477" s="62">
        <f t="shared" si="1006"/>
        <v>87.65638032</v>
      </c>
      <c r="AH477" s="63">
        <f t="shared" si="1007"/>
        <v>740</v>
      </c>
      <c r="AI477" s="65">
        <v>12990.0</v>
      </c>
      <c r="AJ477" s="65">
        <v>11990.0</v>
      </c>
      <c r="AK477" s="66">
        <f t="shared" si="1008"/>
        <v>100</v>
      </c>
      <c r="AL477" s="66"/>
      <c r="AM477" s="14">
        <f t="shared" si="1009"/>
        <v>6.171809842</v>
      </c>
      <c r="AN477" s="67">
        <f t="shared" si="1010"/>
        <v>12.34361968</v>
      </c>
      <c r="AO477" s="68">
        <f t="shared" si="1011"/>
        <v>2</v>
      </c>
      <c r="AP477" s="69">
        <f t="shared" si="1012"/>
        <v>8.1956</v>
      </c>
      <c r="AQ477" s="70">
        <f t="shared" si="1013"/>
        <v>6.5</v>
      </c>
      <c r="AR477" s="71">
        <f t="shared" ref="AR477:AS477" si="1570">AI477/94</f>
        <v>138.1914894</v>
      </c>
      <c r="AS477" s="71">
        <f t="shared" si="1570"/>
        <v>127.5531915</v>
      </c>
      <c r="AT477" s="72">
        <f t="shared" ref="AT477:AU477" si="1571">AI477/24</f>
        <v>541.25</v>
      </c>
      <c r="AU477" s="72">
        <f t="shared" si="1571"/>
        <v>499.5833333</v>
      </c>
      <c r="AV477" s="73">
        <f t="shared" ref="AV477:AW477" si="1572">AI477/125</f>
        <v>103.92</v>
      </c>
      <c r="AW477" s="73">
        <f t="shared" si="1572"/>
        <v>95.92</v>
      </c>
    </row>
    <row r="478" ht="15.0" customHeight="1">
      <c r="A478" s="42" t="s">
        <v>951</v>
      </c>
      <c r="B478" s="42" t="s">
        <v>218</v>
      </c>
      <c r="C478" s="42" t="s">
        <v>952</v>
      </c>
      <c r="D478" s="45">
        <v>700.0</v>
      </c>
      <c r="E478" s="47"/>
      <c r="F478" s="44">
        <v>125.0</v>
      </c>
      <c r="G478" s="45">
        <v>442100.0</v>
      </c>
      <c r="H478" s="46">
        <v>0.12</v>
      </c>
      <c r="I478" s="42">
        <f t="shared" si="1477"/>
        <v>84</v>
      </c>
      <c r="J478" s="47"/>
      <c r="K478" s="44">
        <v>50.0</v>
      </c>
      <c r="L478" s="48">
        <f t="shared" si="987"/>
        <v>959</v>
      </c>
      <c r="M478" s="42">
        <f t="shared" si="1055"/>
        <v>7</v>
      </c>
      <c r="N478" s="49">
        <f t="shared" si="989"/>
        <v>76.72</v>
      </c>
      <c r="O478" s="49">
        <f t="shared" si="990"/>
        <v>95.9</v>
      </c>
      <c r="P478" s="49">
        <f t="shared" si="991"/>
        <v>47.95</v>
      </c>
      <c r="Q478" s="49">
        <f t="shared" si="992"/>
        <v>19.18</v>
      </c>
      <c r="R478" s="49">
        <f t="shared" si="993"/>
        <v>7.35</v>
      </c>
      <c r="S478" s="49">
        <f t="shared" si="994"/>
        <v>9.59</v>
      </c>
      <c r="T478" s="50">
        <f t="shared" si="995"/>
        <v>256.34</v>
      </c>
      <c r="U478" s="42">
        <f t="shared" si="996"/>
        <v>14.7</v>
      </c>
      <c r="V478" s="42">
        <f t="shared" si="15"/>
        <v>73.5</v>
      </c>
      <c r="W478" s="42">
        <f t="shared" si="997"/>
        <v>14.7</v>
      </c>
      <c r="X478" s="42">
        <f t="shared" si="998"/>
        <v>117.6</v>
      </c>
      <c r="Y478" s="42">
        <f t="shared" si="999"/>
        <v>220.5</v>
      </c>
      <c r="Z478" s="50">
        <f t="shared" si="1000"/>
        <v>1435.84</v>
      </c>
      <c r="AA478" s="51">
        <f t="shared" si="1001"/>
        <v>287.168</v>
      </c>
      <c r="AB478" s="49">
        <f t="shared" si="1002"/>
        <v>1723.008</v>
      </c>
      <c r="AC478" s="42">
        <f t="shared" si="1049"/>
        <v>1470</v>
      </c>
      <c r="AD478" s="49">
        <f t="shared" si="1050"/>
        <v>253.008</v>
      </c>
      <c r="AE478" s="49">
        <f t="shared" si="1051"/>
        <v>14.68408736</v>
      </c>
      <c r="AF478" s="47">
        <v>1950.0</v>
      </c>
      <c r="AG478" s="52">
        <f t="shared" si="1006"/>
        <v>103.3368092</v>
      </c>
      <c r="AH478" s="53">
        <f t="shared" si="1007"/>
        <v>0</v>
      </c>
      <c r="AI478" s="53">
        <v>2090.0</v>
      </c>
      <c r="AJ478" s="47">
        <v>1950.0</v>
      </c>
      <c r="AK478" s="55">
        <f t="shared" si="1008"/>
        <v>103.3368092</v>
      </c>
      <c r="AL478" s="55"/>
      <c r="AM478" s="55">
        <f t="shared" si="1009"/>
        <v>0</v>
      </c>
      <c r="AN478" s="55">
        <f t="shared" si="1010"/>
        <v>0</v>
      </c>
      <c r="AO478" s="56">
        <f t="shared" si="1011"/>
        <v>2.033368092</v>
      </c>
      <c r="AP478" s="55">
        <f t="shared" si="1012"/>
        <v>2.26992</v>
      </c>
      <c r="AQ478" s="55">
        <f t="shared" si="1013"/>
        <v>4.8</v>
      </c>
      <c r="AR478" s="57">
        <f t="shared" ref="AR478:AS478" si="1573">AI478/94</f>
        <v>22.23404255</v>
      </c>
      <c r="AS478" s="57">
        <f t="shared" si="1573"/>
        <v>20.74468085</v>
      </c>
      <c r="AT478" s="58">
        <f t="shared" ref="AT478:AU478" si="1574">AI478/24</f>
        <v>87.08333333</v>
      </c>
      <c r="AU478" s="58">
        <f t="shared" si="1574"/>
        <v>81.25</v>
      </c>
      <c r="AV478" s="58">
        <f t="shared" ref="AV478:AW478" si="1575">AI478/125</f>
        <v>16.72</v>
      </c>
      <c r="AW478" s="58">
        <f t="shared" si="1575"/>
        <v>15.6</v>
      </c>
      <c r="AX478" s="47"/>
      <c r="AY478" s="47"/>
    </row>
    <row r="479" ht="15.75" customHeight="1">
      <c r="A479" s="42"/>
      <c r="B479" s="42" t="s">
        <v>367</v>
      </c>
      <c r="C479" s="42" t="s">
        <v>953</v>
      </c>
      <c r="D479" s="45">
        <v>900.0</v>
      </c>
      <c r="E479" s="47"/>
      <c r="F479" s="44">
        <v>125.0</v>
      </c>
      <c r="G479" s="45">
        <v>442100.0</v>
      </c>
      <c r="H479" s="46">
        <v>0.12</v>
      </c>
      <c r="I479" s="42">
        <f t="shared" si="1477"/>
        <v>108</v>
      </c>
      <c r="J479" s="47"/>
      <c r="K479" s="44">
        <v>50.0</v>
      </c>
      <c r="L479" s="48">
        <f t="shared" si="987"/>
        <v>1183</v>
      </c>
      <c r="M479" s="42">
        <f t="shared" si="1055"/>
        <v>9</v>
      </c>
      <c r="N479" s="49">
        <f t="shared" si="989"/>
        <v>94.64</v>
      </c>
      <c r="O479" s="49">
        <f t="shared" si="990"/>
        <v>118.3</v>
      </c>
      <c r="P479" s="49">
        <f t="shared" si="991"/>
        <v>59.15</v>
      </c>
      <c r="Q479" s="49">
        <f t="shared" si="992"/>
        <v>23.66</v>
      </c>
      <c r="R479" s="49">
        <f t="shared" si="993"/>
        <v>9.45</v>
      </c>
      <c r="S479" s="49">
        <f t="shared" si="994"/>
        <v>11.83</v>
      </c>
      <c r="T479" s="50">
        <f t="shared" si="995"/>
        <v>316.58</v>
      </c>
      <c r="U479" s="42">
        <f t="shared" si="996"/>
        <v>18.9</v>
      </c>
      <c r="V479" s="42">
        <f t="shared" si="15"/>
        <v>94.5</v>
      </c>
      <c r="W479" s="42">
        <f t="shared" si="997"/>
        <v>18.9</v>
      </c>
      <c r="X479" s="42">
        <f t="shared" si="998"/>
        <v>151.2</v>
      </c>
      <c r="Y479" s="42">
        <f t="shared" si="999"/>
        <v>283.5</v>
      </c>
      <c r="Z479" s="50">
        <f t="shared" si="1000"/>
        <v>1783.08</v>
      </c>
      <c r="AA479" s="51">
        <f t="shared" si="1001"/>
        <v>356.616</v>
      </c>
      <c r="AB479" s="49">
        <f t="shared" si="1002"/>
        <v>2139.696</v>
      </c>
      <c r="AC479" s="42">
        <f t="shared" si="1049"/>
        <v>1890</v>
      </c>
      <c r="AD479" s="49">
        <f t="shared" si="1050"/>
        <v>249.696</v>
      </c>
      <c r="AE479" s="49">
        <f t="shared" si="1051"/>
        <v>11.66969513</v>
      </c>
      <c r="AF479" s="47">
        <v>2350.0</v>
      </c>
      <c r="AG479" s="52">
        <f t="shared" si="1006"/>
        <v>98.64750634</v>
      </c>
      <c r="AH479" s="53">
        <f t="shared" si="1007"/>
        <v>0</v>
      </c>
      <c r="AI479" s="54">
        <v>2990.0</v>
      </c>
      <c r="AJ479" s="47">
        <v>2350.0</v>
      </c>
      <c r="AK479" s="55">
        <f t="shared" si="1008"/>
        <v>98.64750634</v>
      </c>
      <c r="AL479" s="55"/>
      <c r="AM479" s="55">
        <f t="shared" si="1009"/>
        <v>0</v>
      </c>
      <c r="AN479" s="55">
        <f t="shared" si="1010"/>
        <v>0</v>
      </c>
      <c r="AO479" s="56">
        <f t="shared" si="1011"/>
        <v>1.986475063</v>
      </c>
      <c r="AP479" s="55">
        <f t="shared" si="1012"/>
        <v>2.10304</v>
      </c>
      <c r="AQ479" s="55">
        <f t="shared" si="1013"/>
        <v>4.6</v>
      </c>
      <c r="AR479" s="57">
        <f t="shared" ref="AR479:AS479" si="1576">AI479/94</f>
        <v>31.80851064</v>
      </c>
      <c r="AS479" s="57">
        <f t="shared" si="1576"/>
        <v>25</v>
      </c>
      <c r="AT479" s="58">
        <f t="shared" ref="AT479:AU479" si="1577">AI479/24</f>
        <v>124.5833333</v>
      </c>
      <c r="AU479" s="58">
        <f t="shared" si="1577"/>
        <v>97.91666667</v>
      </c>
      <c r="AV479" s="58">
        <f t="shared" ref="AV479:AW479" si="1578">AI479/125</f>
        <v>23.92</v>
      </c>
      <c r="AW479" s="58">
        <f t="shared" si="1578"/>
        <v>18.8</v>
      </c>
      <c r="AX479" s="47"/>
      <c r="AY479" s="47"/>
    </row>
    <row r="480" ht="15.0" customHeight="1">
      <c r="A480" s="42" t="s">
        <v>954</v>
      </c>
      <c r="B480" s="42" t="s">
        <v>955</v>
      </c>
      <c r="C480" s="42" t="s">
        <v>956</v>
      </c>
      <c r="D480" s="43">
        <v>2500.0</v>
      </c>
      <c r="E480" s="42">
        <v>385.0</v>
      </c>
      <c r="F480" s="44">
        <v>150.0</v>
      </c>
      <c r="G480" s="45">
        <v>442100.0</v>
      </c>
      <c r="H480" s="46">
        <v>0.12</v>
      </c>
      <c r="I480" s="42">
        <f t="shared" si="1477"/>
        <v>300</v>
      </c>
      <c r="J480" s="47"/>
      <c r="K480" s="44">
        <v>50.0</v>
      </c>
      <c r="L480" s="48">
        <f t="shared" si="987"/>
        <v>3385</v>
      </c>
      <c r="M480" s="42">
        <f t="shared" si="1055"/>
        <v>25</v>
      </c>
      <c r="N480" s="49">
        <f t="shared" si="989"/>
        <v>270.8</v>
      </c>
      <c r="O480" s="49">
        <f t="shared" si="990"/>
        <v>338.5</v>
      </c>
      <c r="P480" s="49">
        <f t="shared" si="991"/>
        <v>169.25</v>
      </c>
      <c r="Q480" s="49">
        <f t="shared" si="992"/>
        <v>67.7</v>
      </c>
      <c r="R480" s="49">
        <f t="shared" si="993"/>
        <v>26.25</v>
      </c>
      <c r="S480" s="49">
        <f t="shared" si="994"/>
        <v>33.85</v>
      </c>
      <c r="T480" s="50">
        <f t="shared" si="995"/>
        <v>905.1</v>
      </c>
      <c r="U480" s="42">
        <f t="shared" si="996"/>
        <v>52.5</v>
      </c>
      <c r="V480" s="42">
        <f t="shared" si="15"/>
        <v>262.5</v>
      </c>
      <c r="W480" s="42">
        <f t="shared" si="997"/>
        <v>52.5</v>
      </c>
      <c r="X480" s="42">
        <f t="shared" si="998"/>
        <v>420</v>
      </c>
      <c r="Y480" s="42">
        <f t="shared" si="999"/>
        <v>787.5</v>
      </c>
      <c r="Z480" s="50">
        <f t="shared" si="1000"/>
        <v>5077.6</v>
      </c>
      <c r="AA480" s="51">
        <f t="shared" si="1001"/>
        <v>1015.52</v>
      </c>
      <c r="AB480" s="49">
        <f t="shared" si="1002"/>
        <v>6093.12</v>
      </c>
      <c r="AC480" s="42">
        <f t="shared" si="1049"/>
        <v>5250</v>
      </c>
      <c r="AD480" s="49">
        <f t="shared" si="1050"/>
        <v>843.12</v>
      </c>
      <c r="AE480" s="49">
        <f t="shared" si="1051"/>
        <v>13.83724594</v>
      </c>
      <c r="AF480" s="47"/>
      <c r="AG480" s="52">
        <f t="shared" si="1006"/>
        <v>-100</v>
      </c>
      <c r="AH480" s="53">
        <f t="shared" si="1007"/>
        <v>5390</v>
      </c>
      <c r="AI480" s="54">
        <v>5990.0</v>
      </c>
      <c r="AJ480" s="54">
        <v>5390.0</v>
      </c>
      <c r="AK480" s="55">
        <f t="shared" si="1008"/>
        <v>59.23190547</v>
      </c>
      <c r="AL480" s="55"/>
      <c r="AM480" s="55">
        <f t="shared" si="1009"/>
        <v>100</v>
      </c>
      <c r="AN480" s="55">
        <f t="shared" si="1010"/>
        <v>159.2319055</v>
      </c>
      <c r="AO480" s="56">
        <f t="shared" si="1011"/>
        <v>1.592319055</v>
      </c>
      <c r="AP480" s="55">
        <f t="shared" si="1012"/>
        <v>-7.0312</v>
      </c>
      <c r="AQ480" s="55">
        <f t="shared" si="1013"/>
        <v>1.4</v>
      </c>
      <c r="AR480" s="57">
        <f t="shared" ref="AR480:AS480" si="1579">AI480/94</f>
        <v>63.72340426</v>
      </c>
      <c r="AS480" s="57">
        <f t="shared" si="1579"/>
        <v>57.34042553</v>
      </c>
      <c r="AT480" s="58">
        <f t="shared" ref="AT480:AU480" si="1580">AI480/24</f>
        <v>249.5833333</v>
      </c>
      <c r="AU480" s="58">
        <f t="shared" si="1580"/>
        <v>224.5833333</v>
      </c>
      <c r="AV480" s="58">
        <f t="shared" ref="AV480:AW480" si="1581">AI480/125</f>
        <v>47.92</v>
      </c>
      <c r="AW480" s="58">
        <f t="shared" si="1581"/>
        <v>43.12</v>
      </c>
      <c r="AX480" s="47"/>
      <c r="AY480" s="47"/>
    </row>
    <row r="481" ht="15.75" customHeight="1">
      <c r="A481" s="42"/>
      <c r="B481" s="42" t="s">
        <v>957</v>
      </c>
      <c r="C481" s="42" t="s">
        <v>956</v>
      </c>
      <c r="D481" s="43">
        <v>2500.0</v>
      </c>
      <c r="E481" s="42">
        <v>385.0</v>
      </c>
      <c r="F481" s="44">
        <v>150.0</v>
      </c>
      <c r="G481" s="45">
        <v>442100.0</v>
      </c>
      <c r="H481" s="46">
        <v>0.12</v>
      </c>
      <c r="I481" s="42">
        <f t="shared" si="1477"/>
        <v>300</v>
      </c>
      <c r="J481" s="47"/>
      <c r="K481" s="44">
        <v>50.0</v>
      </c>
      <c r="L481" s="48">
        <f t="shared" si="987"/>
        <v>3385</v>
      </c>
      <c r="M481" s="42">
        <f t="shared" si="1055"/>
        <v>25</v>
      </c>
      <c r="N481" s="49">
        <f t="shared" si="989"/>
        <v>270.8</v>
      </c>
      <c r="O481" s="49">
        <f t="shared" si="990"/>
        <v>338.5</v>
      </c>
      <c r="P481" s="49">
        <f t="shared" si="991"/>
        <v>169.25</v>
      </c>
      <c r="Q481" s="49">
        <f t="shared" si="992"/>
        <v>67.7</v>
      </c>
      <c r="R481" s="49">
        <f t="shared" si="993"/>
        <v>26.25</v>
      </c>
      <c r="S481" s="49">
        <f t="shared" si="994"/>
        <v>33.85</v>
      </c>
      <c r="T481" s="50">
        <f t="shared" si="995"/>
        <v>905.1</v>
      </c>
      <c r="U481" s="42">
        <f t="shared" si="996"/>
        <v>52.5</v>
      </c>
      <c r="V481" s="42">
        <f t="shared" si="15"/>
        <v>262.5</v>
      </c>
      <c r="W481" s="42">
        <f t="shared" si="997"/>
        <v>52.5</v>
      </c>
      <c r="X481" s="42">
        <f t="shared" si="998"/>
        <v>420</v>
      </c>
      <c r="Y481" s="42">
        <f t="shared" si="999"/>
        <v>787.5</v>
      </c>
      <c r="Z481" s="50">
        <f t="shared" si="1000"/>
        <v>5077.6</v>
      </c>
      <c r="AA481" s="51">
        <f t="shared" si="1001"/>
        <v>1015.52</v>
      </c>
      <c r="AB481" s="49">
        <f t="shared" si="1002"/>
        <v>6093.12</v>
      </c>
      <c r="AC481" s="42">
        <f t="shared" si="1049"/>
        <v>5250</v>
      </c>
      <c r="AD481" s="49">
        <f t="shared" si="1050"/>
        <v>843.12</v>
      </c>
      <c r="AE481" s="49">
        <f t="shared" si="1051"/>
        <v>13.83724594</v>
      </c>
      <c r="AF481" s="47"/>
      <c r="AG481" s="52">
        <f t="shared" si="1006"/>
        <v>-100</v>
      </c>
      <c r="AH481" s="53">
        <f t="shared" si="1007"/>
        <v>5390</v>
      </c>
      <c r="AI481" s="54">
        <v>5990.0</v>
      </c>
      <c r="AJ481" s="54">
        <v>5390.0</v>
      </c>
      <c r="AK481" s="55">
        <f t="shared" si="1008"/>
        <v>59.23190547</v>
      </c>
      <c r="AL481" s="55"/>
      <c r="AM481" s="55">
        <f t="shared" si="1009"/>
        <v>100</v>
      </c>
      <c r="AN481" s="55">
        <f t="shared" si="1010"/>
        <v>159.2319055</v>
      </c>
      <c r="AO481" s="56">
        <f t="shared" si="1011"/>
        <v>1.592319055</v>
      </c>
      <c r="AP481" s="55">
        <f t="shared" si="1012"/>
        <v>-7.0312</v>
      </c>
      <c r="AQ481" s="55">
        <f t="shared" si="1013"/>
        <v>1.4</v>
      </c>
      <c r="AR481" s="57">
        <f t="shared" ref="AR481:AS481" si="1582">AI481/94</f>
        <v>63.72340426</v>
      </c>
      <c r="AS481" s="57">
        <f t="shared" si="1582"/>
        <v>57.34042553</v>
      </c>
      <c r="AT481" s="58">
        <f t="shared" ref="AT481:AU481" si="1583">AI481/24</f>
        <v>249.5833333</v>
      </c>
      <c r="AU481" s="58">
        <f t="shared" si="1583"/>
        <v>224.5833333</v>
      </c>
      <c r="AV481" s="58">
        <f t="shared" ref="AV481:AW481" si="1584">AI481/125</f>
        <v>47.92</v>
      </c>
      <c r="AW481" s="58">
        <f t="shared" si="1584"/>
        <v>43.12</v>
      </c>
      <c r="AX481" s="47"/>
      <c r="AY481" s="47"/>
    </row>
    <row r="482" ht="15.75" customHeight="1">
      <c r="A482" s="42"/>
      <c r="B482" s="42" t="s">
        <v>958</v>
      </c>
      <c r="C482" s="42" t="s">
        <v>959</v>
      </c>
      <c r="D482" s="43">
        <v>2750.0</v>
      </c>
      <c r="E482" s="42">
        <v>425.0</v>
      </c>
      <c r="F482" s="44">
        <v>150.0</v>
      </c>
      <c r="G482" s="45">
        <v>442100.0</v>
      </c>
      <c r="H482" s="46">
        <v>0.12</v>
      </c>
      <c r="I482" s="42">
        <f t="shared" si="1477"/>
        <v>330</v>
      </c>
      <c r="J482" s="47"/>
      <c r="K482" s="44">
        <v>50.0</v>
      </c>
      <c r="L482" s="48">
        <f t="shared" si="987"/>
        <v>3705</v>
      </c>
      <c r="M482" s="42">
        <f t="shared" si="1055"/>
        <v>27.5</v>
      </c>
      <c r="N482" s="49">
        <f t="shared" si="989"/>
        <v>296.4</v>
      </c>
      <c r="O482" s="49">
        <f t="shared" si="990"/>
        <v>370.5</v>
      </c>
      <c r="P482" s="49">
        <f t="shared" si="991"/>
        <v>185.25</v>
      </c>
      <c r="Q482" s="49">
        <f t="shared" si="992"/>
        <v>74.1</v>
      </c>
      <c r="R482" s="49">
        <f t="shared" si="993"/>
        <v>28.875</v>
      </c>
      <c r="S482" s="49">
        <f t="shared" si="994"/>
        <v>37.05</v>
      </c>
      <c r="T482" s="50">
        <f t="shared" si="995"/>
        <v>990.8</v>
      </c>
      <c r="U482" s="42">
        <f t="shared" si="996"/>
        <v>57.75</v>
      </c>
      <c r="V482" s="42">
        <f t="shared" si="15"/>
        <v>288.75</v>
      </c>
      <c r="W482" s="42">
        <f t="shared" si="997"/>
        <v>57.75</v>
      </c>
      <c r="X482" s="42">
        <f t="shared" si="998"/>
        <v>462</v>
      </c>
      <c r="Y482" s="42">
        <f t="shared" si="999"/>
        <v>866.25</v>
      </c>
      <c r="Z482" s="50">
        <f t="shared" si="1000"/>
        <v>5562.05</v>
      </c>
      <c r="AA482" s="51">
        <f t="shared" si="1001"/>
        <v>1112.41</v>
      </c>
      <c r="AB482" s="49">
        <f t="shared" si="1002"/>
        <v>6674.46</v>
      </c>
      <c r="AC482" s="42">
        <f t="shared" si="1049"/>
        <v>5775</v>
      </c>
      <c r="AD482" s="49">
        <f t="shared" si="1050"/>
        <v>899.46</v>
      </c>
      <c r="AE482" s="49">
        <f t="shared" si="1051"/>
        <v>13.47614638</v>
      </c>
      <c r="AF482" s="47"/>
      <c r="AG482" s="52">
        <f t="shared" si="1006"/>
        <v>-100</v>
      </c>
      <c r="AH482" s="53">
        <f t="shared" si="1007"/>
        <v>5990</v>
      </c>
      <c r="AI482" s="54">
        <v>6490.0</v>
      </c>
      <c r="AJ482" s="54">
        <v>5990.0</v>
      </c>
      <c r="AK482" s="55">
        <f t="shared" si="1008"/>
        <v>61.6734143</v>
      </c>
      <c r="AL482" s="55"/>
      <c r="AM482" s="55">
        <f t="shared" si="1009"/>
        <v>100</v>
      </c>
      <c r="AN482" s="55">
        <f t="shared" si="1010"/>
        <v>161.6734143</v>
      </c>
      <c r="AO482" s="56">
        <f t="shared" si="1011"/>
        <v>1.616734143</v>
      </c>
      <c r="AP482" s="55">
        <f t="shared" si="1012"/>
        <v>-6.8446</v>
      </c>
      <c r="AQ482" s="55">
        <f t="shared" si="1013"/>
        <v>2.15</v>
      </c>
      <c r="AR482" s="57">
        <f t="shared" ref="AR482:AS482" si="1585">AI482/94</f>
        <v>69.04255319</v>
      </c>
      <c r="AS482" s="57">
        <f t="shared" si="1585"/>
        <v>63.72340426</v>
      </c>
      <c r="AT482" s="58">
        <f t="shared" ref="AT482:AU482" si="1586">AI482/24</f>
        <v>270.4166667</v>
      </c>
      <c r="AU482" s="58">
        <f t="shared" si="1586"/>
        <v>249.5833333</v>
      </c>
      <c r="AV482" s="58">
        <f t="shared" ref="AV482:AW482" si="1587">AI482/125</f>
        <v>51.92</v>
      </c>
      <c r="AW482" s="58">
        <f t="shared" si="1587"/>
        <v>47.92</v>
      </c>
      <c r="AX482" s="47"/>
      <c r="AY482" s="47"/>
    </row>
    <row r="483" ht="15.75" customHeight="1">
      <c r="A483" s="42"/>
      <c r="B483" s="42" t="s">
        <v>960</v>
      </c>
      <c r="C483" s="42" t="s">
        <v>959</v>
      </c>
      <c r="D483" s="43">
        <v>2750.0</v>
      </c>
      <c r="E483" s="42">
        <v>425.0</v>
      </c>
      <c r="F483" s="44">
        <v>150.0</v>
      </c>
      <c r="G483" s="45">
        <v>442100.0</v>
      </c>
      <c r="H483" s="46">
        <v>0.12</v>
      </c>
      <c r="I483" s="42">
        <f t="shared" si="1477"/>
        <v>330</v>
      </c>
      <c r="J483" s="47"/>
      <c r="K483" s="44">
        <v>50.0</v>
      </c>
      <c r="L483" s="48">
        <f t="shared" si="987"/>
        <v>3705</v>
      </c>
      <c r="M483" s="42">
        <f t="shared" si="1055"/>
        <v>27.5</v>
      </c>
      <c r="N483" s="49">
        <f t="shared" si="989"/>
        <v>296.4</v>
      </c>
      <c r="O483" s="49">
        <f t="shared" si="990"/>
        <v>370.5</v>
      </c>
      <c r="P483" s="49">
        <f t="shared" si="991"/>
        <v>185.25</v>
      </c>
      <c r="Q483" s="49">
        <f t="shared" si="992"/>
        <v>74.1</v>
      </c>
      <c r="R483" s="49">
        <f t="shared" si="993"/>
        <v>28.875</v>
      </c>
      <c r="S483" s="49">
        <f t="shared" si="994"/>
        <v>37.05</v>
      </c>
      <c r="T483" s="50">
        <f t="shared" si="995"/>
        <v>990.8</v>
      </c>
      <c r="U483" s="42">
        <f t="shared" si="996"/>
        <v>57.75</v>
      </c>
      <c r="V483" s="42">
        <f t="shared" si="15"/>
        <v>288.75</v>
      </c>
      <c r="W483" s="42">
        <f t="shared" si="997"/>
        <v>57.75</v>
      </c>
      <c r="X483" s="42">
        <f t="shared" si="998"/>
        <v>462</v>
      </c>
      <c r="Y483" s="42">
        <f t="shared" si="999"/>
        <v>866.25</v>
      </c>
      <c r="Z483" s="50">
        <f t="shared" si="1000"/>
        <v>5562.05</v>
      </c>
      <c r="AA483" s="51">
        <f t="shared" si="1001"/>
        <v>1112.41</v>
      </c>
      <c r="AB483" s="49">
        <f t="shared" si="1002"/>
        <v>6674.46</v>
      </c>
      <c r="AC483" s="42">
        <f t="shared" si="1049"/>
        <v>5775</v>
      </c>
      <c r="AD483" s="49">
        <f t="shared" si="1050"/>
        <v>899.46</v>
      </c>
      <c r="AE483" s="49">
        <f t="shared" si="1051"/>
        <v>13.47614638</v>
      </c>
      <c r="AF483" s="47"/>
      <c r="AG483" s="52">
        <f t="shared" si="1006"/>
        <v>-100</v>
      </c>
      <c r="AH483" s="53">
        <f t="shared" si="1007"/>
        <v>5990</v>
      </c>
      <c r="AI483" s="54">
        <v>6490.0</v>
      </c>
      <c r="AJ483" s="54">
        <v>5990.0</v>
      </c>
      <c r="AK483" s="55">
        <f t="shared" si="1008"/>
        <v>61.6734143</v>
      </c>
      <c r="AL483" s="55"/>
      <c r="AM483" s="55">
        <f t="shared" si="1009"/>
        <v>100</v>
      </c>
      <c r="AN483" s="55">
        <f t="shared" si="1010"/>
        <v>161.6734143</v>
      </c>
      <c r="AO483" s="56">
        <f t="shared" si="1011"/>
        <v>1.616734143</v>
      </c>
      <c r="AP483" s="55">
        <f t="shared" si="1012"/>
        <v>-6.8446</v>
      </c>
      <c r="AQ483" s="55">
        <f t="shared" si="1013"/>
        <v>2.15</v>
      </c>
      <c r="AR483" s="57">
        <f t="shared" ref="AR483:AS483" si="1588">AI483/94</f>
        <v>69.04255319</v>
      </c>
      <c r="AS483" s="57">
        <f t="shared" si="1588"/>
        <v>63.72340426</v>
      </c>
      <c r="AT483" s="58">
        <f t="shared" ref="AT483:AU483" si="1589">AI483/24</f>
        <v>270.4166667</v>
      </c>
      <c r="AU483" s="58">
        <f t="shared" si="1589"/>
        <v>249.5833333</v>
      </c>
      <c r="AV483" s="58">
        <f t="shared" ref="AV483:AW483" si="1590">AI483/125</f>
        <v>51.92</v>
      </c>
      <c r="AW483" s="58">
        <f t="shared" si="1590"/>
        <v>47.92</v>
      </c>
      <c r="AX483" s="47"/>
      <c r="AY483" s="47"/>
    </row>
    <row r="484" ht="15.75" customHeight="1">
      <c r="A484" s="42"/>
      <c r="B484" s="42" t="s">
        <v>961</v>
      </c>
      <c r="C484" s="42" t="s">
        <v>962</v>
      </c>
      <c r="D484" s="43">
        <v>3000.0</v>
      </c>
      <c r="E484" s="42">
        <v>425.0</v>
      </c>
      <c r="F484" s="44">
        <v>150.0</v>
      </c>
      <c r="G484" s="45">
        <v>442100.0</v>
      </c>
      <c r="H484" s="46">
        <v>0.12</v>
      </c>
      <c r="I484" s="42">
        <f t="shared" si="1477"/>
        <v>360</v>
      </c>
      <c r="J484" s="47"/>
      <c r="K484" s="44">
        <v>50.0</v>
      </c>
      <c r="L484" s="48">
        <f t="shared" si="987"/>
        <v>3985</v>
      </c>
      <c r="M484" s="42">
        <f t="shared" si="1055"/>
        <v>30</v>
      </c>
      <c r="N484" s="49">
        <f t="shared" si="989"/>
        <v>318.8</v>
      </c>
      <c r="O484" s="49">
        <f t="shared" si="990"/>
        <v>398.5</v>
      </c>
      <c r="P484" s="49">
        <f t="shared" si="991"/>
        <v>199.25</v>
      </c>
      <c r="Q484" s="49">
        <f t="shared" si="992"/>
        <v>79.7</v>
      </c>
      <c r="R484" s="49">
        <f t="shared" si="993"/>
        <v>31.5</v>
      </c>
      <c r="S484" s="49">
        <f t="shared" si="994"/>
        <v>39.85</v>
      </c>
      <c r="T484" s="50">
        <f t="shared" si="995"/>
        <v>1066.1</v>
      </c>
      <c r="U484" s="42">
        <f t="shared" si="996"/>
        <v>63</v>
      </c>
      <c r="V484" s="42">
        <f t="shared" si="15"/>
        <v>315</v>
      </c>
      <c r="W484" s="42">
        <f t="shared" si="997"/>
        <v>63</v>
      </c>
      <c r="X484" s="42">
        <f t="shared" si="998"/>
        <v>504</v>
      </c>
      <c r="Y484" s="42">
        <f t="shared" si="999"/>
        <v>945</v>
      </c>
      <c r="Z484" s="50">
        <f t="shared" si="1000"/>
        <v>5996.1</v>
      </c>
      <c r="AA484" s="51">
        <f t="shared" si="1001"/>
        <v>1199.22</v>
      </c>
      <c r="AB484" s="49">
        <f t="shared" si="1002"/>
        <v>7195.32</v>
      </c>
      <c r="AC484" s="42">
        <f t="shared" si="1049"/>
        <v>6300</v>
      </c>
      <c r="AD484" s="49">
        <f t="shared" si="1050"/>
        <v>895.32</v>
      </c>
      <c r="AE484" s="49">
        <f t="shared" si="1051"/>
        <v>12.44308801</v>
      </c>
      <c r="AF484" s="47"/>
      <c r="AG484" s="52">
        <f t="shared" si="1006"/>
        <v>-100</v>
      </c>
      <c r="AH484" s="53">
        <f t="shared" si="1007"/>
        <v>6990</v>
      </c>
      <c r="AI484" s="54">
        <v>7690.0</v>
      </c>
      <c r="AJ484" s="54">
        <v>6990.0</v>
      </c>
      <c r="AK484" s="55">
        <f t="shared" si="1008"/>
        <v>75.40777917</v>
      </c>
      <c r="AL484" s="55"/>
      <c r="AM484" s="55">
        <f t="shared" si="1009"/>
        <v>100</v>
      </c>
      <c r="AN484" s="55">
        <f t="shared" si="1010"/>
        <v>175.4077792</v>
      </c>
      <c r="AO484" s="56">
        <f t="shared" si="1011"/>
        <v>1.754077792</v>
      </c>
      <c r="AP484" s="55">
        <f t="shared" si="1012"/>
        <v>-2.0532</v>
      </c>
      <c r="AQ484" s="55">
        <f t="shared" si="1013"/>
        <v>6.9</v>
      </c>
      <c r="AR484" s="57">
        <f t="shared" ref="AR484:AS484" si="1591">AI484/94</f>
        <v>81.80851064</v>
      </c>
      <c r="AS484" s="57">
        <f t="shared" si="1591"/>
        <v>74.36170213</v>
      </c>
      <c r="AT484" s="58">
        <f t="shared" ref="AT484:AU484" si="1592">AI484/24</f>
        <v>320.4166667</v>
      </c>
      <c r="AU484" s="58">
        <f t="shared" si="1592"/>
        <v>291.25</v>
      </c>
      <c r="AV484" s="58">
        <f t="shared" ref="AV484:AW484" si="1593">AI484/125</f>
        <v>61.52</v>
      </c>
      <c r="AW484" s="58">
        <f t="shared" si="1593"/>
        <v>55.92</v>
      </c>
      <c r="AX484" s="47"/>
      <c r="AY484" s="47"/>
    </row>
    <row r="485" ht="15.75" customHeight="1">
      <c r="A485" s="42"/>
      <c r="B485" s="42" t="s">
        <v>963</v>
      </c>
      <c r="C485" s="42" t="s">
        <v>964</v>
      </c>
      <c r="D485" s="43">
        <v>3000.0</v>
      </c>
      <c r="E485" s="42">
        <v>425.0</v>
      </c>
      <c r="F485" s="44">
        <v>150.0</v>
      </c>
      <c r="G485" s="45">
        <v>442100.0</v>
      </c>
      <c r="H485" s="46">
        <v>0.12</v>
      </c>
      <c r="I485" s="42">
        <f t="shared" si="1477"/>
        <v>360</v>
      </c>
      <c r="J485" s="47"/>
      <c r="K485" s="44">
        <v>50.0</v>
      </c>
      <c r="L485" s="48">
        <f t="shared" si="987"/>
        <v>3985</v>
      </c>
      <c r="M485" s="42">
        <f t="shared" si="1055"/>
        <v>30</v>
      </c>
      <c r="N485" s="49">
        <f t="shared" si="989"/>
        <v>318.8</v>
      </c>
      <c r="O485" s="49">
        <f t="shared" si="990"/>
        <v>398.5</v>
      </c>
      <c r="P485" s="49">
        <f t="shared" si="991"/>
        <v>199.25</v>
      </c>
      <c r="Q485" s="49">
        <f t="shared" si="992"/>
        <v>79.7</v>
      </c>
      <c r="R485" s="49">
        <f t="shared" si="993"/>
        <v>31.5</v>
      </c>
      <c r="S485" s="49">
        <f t="shared" si="994"/>
        <v>39.85</v>
      </c>
      <c r="T485" s="50">
        <f t="shared" si="995"/>
        <v>1066.1</v>
      </c>
      <c r="U485" s="42">
        <f t="shared" si="996"/>
        <v>63</v>
      </c>
      <c r="V485" s="42">
        <f t="shared" si="15"/>
        <v>315</v>
      </c>
      <c r="W485" s="42">
        <f t="shared" si="997"/>
        <v>63</v>
      </c>
      <c r="X485" s="42">
        <f t="shared" si="998"/>
        <v>504</v>
      </c>
      <c r="Y485" s="42">
        <f t="shared" si="999"/>
        <v>945</v>
      </c>
      <c r="Z485" s="50">
        <f t="shared" si="1000"/>
        <v>5996.1</v>
      </c>
      <c r="AA485" s="51">
        <f t="shared" si="1001"/>
        <v>1199.22</v>
      </c>
      <c r="AB485" s="49">
        <f t="shared" si="1002"/>
        <v>7195.32</v>
      </c>
      <c r="AC485" s="42">
        <f t="shared" si="1049"/>
        <v>6300</v>
      </c>
      <c r="AD485" s="49">
        <f t="shared" si="1050"/>
        <v>895.32</v>
      </c>
      <c r="AE485" s="49">
        <f t="shared" si="1051"/>
        <v>12.44308801</v>
      </c>
      <c r="AF485" s="47"/>
      <c r="AG485" s="52">
        <f t="shared" si="1006"/>
        <v>-100</v>
      </c>
      <c r="AH485" s="53">
        <f t="shared" si="1007"/>
        <v>6990</v>
      </c>
      <c r="AI485" s="54">
        <v>7690.0</v>
      </c>
      <c r="AJ485" s="54">
        <v>6990.0</v>
      </c>
      <c r="AK485" s="55">
        <f t="shared" si="1008"/>
        <v>75.40777917</v>
      </c>
      <c r="AL485" s="55"/>
      <c r="AM485" s="55">
        <f t="shared" si="1009"/>
        <v>100</v>
      </c>
      <c r="AN485" s="55">
        <f t="shared" si="1010"/>
        <v>175.4077792</v>
      </c>
      <c r="AO485" s="56">
        <f t="shared" si="1011"/>
        <v>1.754077792</v>
      </c>
      <c r="AP485" s="55">
        <f t="shared" si="1012"/>
        <v>-2.0532</v>
      </c>
      <c r="AQ485" s="55">
        <f t="shared" si="1013"/>
        <v>6.9</v>
      </c>
      <c r="AR485" s="57">
        <f t="shared" ref="AR485:AS485" si="1594">AI485/94</f>
        <v>81.80851064</v>
      </c>
      <c r="AS485" s="57">
        <f t="shared" si="1594"/>
        <v>74.36170213</v>
      </c>
      <c r="AT485" s="58">
        <f t="shared" ref="AT485:AU485" si="1595">AI485/24</f>
        <v>320.4166667</v>
      </c>
      <c r="AU485" s="58">
        <f t="shared" si="1595"/>
        <v>291.25</v>
      </c>
      <c r="AV485" s="58">
        <f t="shared" ref="AV485:AW485" si="1596">AI485/125</f>
        <v>61.52</v>
      </c>
      <c r="AW485" s="58">
        <f t="shared" si="1596"/>
        <v>55.92</v>
      </c>
      <c r="AX485" s="47"/>
      <c r="AY485" s="47"/>
    </row>
    <row r="486" ht="15.75" customHeight="1">
      <c r="A486" s="42"/>
      <c r="B486" s="42" t="s">
        <v>965</v>
      </c>
      <c r="C486" s="42" t="s">
        <v>966</v>
      </c>
      <c r="D486" s="43">
        <v>3500.0</v>
      </c>
      <c r="E486" s="42">
        <v>495.0</v>
      </c>
      <c r="F486" s="44">
        <v>150.0</v>
      </c>
      <c r="G486" s="45">
        <v>442100.0</v>
      </c>
      <c r="H486" s="46">
        <v>0.12</v>
      </c>
      <c r="I486" s="42">
        <f t="shared" si="1477"/>
        <v>420</v>
      </c>
      <c r="J486" s="47"/>
      <c r="K486" s="44">
        <v>50.0</v>
      </c>
      <c r="L486" s="48">
        <f t="shared" si="987"/>
        <v>4615</v>
      </c>
      <c r="M486" s="42">
        <f t="shared" si="1055"/>
        <v>35</v>
      </c>
      <c r="N486" s="49">
        <f t="shared" si="989"/>
        <v>369.2</v>
      </c>
      <c r="O486" s="49">
        <f t="shared" si="990"/>
        <v>461.5</v>
      </c>
      <c r="P486" s="49">
        <f t="shared" si="991"/>
        <v>230.75</v>
      </c>
      <c r="Q486" s="49">
        <f t="shared" si="992"/>
        <v>92.3</v>
      </c>
      <c r="R486" s="49">
        <f t="shared" si="993"/>
        <v>36.75</v>
      </c>
      <c r="S486" s="49">
        <f t="shared" si="994"/>
        <v>46.15</v>
      </c>
      <c r="T486" s="50">
        <f t="shared" si="995"/>
        <v>1234.9</v>
      </c>
      <c r="U486" s="42">
        <f t="shared" si="996"/>
        <v>73.5</v>
      </c>
      <c r="V486" s="42">
        <f t="shared" si="15"/>
        <v>367.5</v>
      </c>
      <c r="W486" s="42">
        <f t="shared" si="997"/>
        <v>73.5</v>
      </c>
      <c r="X486" s="42">
        <f t="shared" si="998"/>
        <v>588</v>
      </c>
      <c r="Y486" s="42">
        <f t="shared" si="999"/>
        <v>1102.5</v>
      </c>
      <c r="Z486" s="50">
        <f t="shared" si="1000"/>
        <v>6952.4</v>
      </c>
      <c r="AA486" s="51">
        <f t="shared" si="1001"/>
        <v>1390.48</v>
      </c>
      <c r="AB486" s="49">
        <f t="shared" si="1002"/>
        <v>8342.88</v>
      </c>
      <c r="AC486" s="42">
        <f t="shared" si="1049"/>
        <v>7350</v>
      </c>
      <c r="AD486" s="49">
        <f t="shared" si="1050"/>
        <v>992.88</v>
      </c>
      <c r="AE486" s="49">
        <f t="shared" si="1051"/>
        <v>11.9009263</v>
      </c>
      <c r="AF486" s="47"/>
      <c r="AG486" s="52">
        <f t="shared" si="1006"/>
        <v>-100</v>
      </c>
      <c r="AH486" s="53">
        <f t="shared" si="1007"/>
        <v>8990</v>
      </c>
      <c r="AI486" s="54">
        <v>9990.0</v>
      </c>
      <c r="AJ486" s="54">
        <v>8990.0</v>
      </c>
      <c r="AK486" s="55">
        <f t="shared" si="1008"/>
        <v>94.79956663</v>
      </c>
      <c r="AL486" s="55"/>
      <c r="AM486" s="55">
        <f t="shared" si="1009"/>
        <v>100</v>
      </c>
      <c r="AN486" s="55">
        <f t="shared" si="1010"/>
        <v>194.7995666</v>
      </c>
      <c r="AO486" s="56">
        <f t="shared" si="1011"/>
        <v>1.947995666</v>
      </c>
      <c r="AP486" s="55">
        <f t="shared" si="1012"/>
        <v>6.4712</v>
      </c>
      <c r="AQ486" s="55">
        <f t="shared" si="1013"/>
        <v>16.4</v>
      </c>
      <c r="AR486" s="57">
        <f t="shared" ref="AR486:AS486" si="1597">AI486/94</f>
        <v>106.2765957</v>
      </c>
      <c r="AS486" s="57">
        <f t="shared" si="1597"/>
        <v>95.63829787</v>
      </c>
      <c r="AT486" s="58">
        <f t="shared" ref="AT486:AU486" si="1598">AI486/24</f>
        <v>416.25</v>
      </c>
      <c r="AU486" s="58">
        <f t="shared" si="1598"/>
        <v>374.5833333</v>
      </c>
      <c r="AV486" s="58">
        <f t="shared" ref="AV486:AW486" si="1599">AI486/125</f>
        <v>79.92</v>
      </c>
      <c r="AW486" s="58">
        <f t="shared" si="1599"/>
        <v>71.92</v>
      </c>
      <c r="AX486" s="47"/>
      <c r="AY486" s="47"/>
    </row>
    <row r="487" ht="15.75" customHeight="1">
      <c r="A487" s="42"/>
      <c r="B487" s="42" t="s">
        <v>967</v>
      </c>
      <c r="C487" s="42" t="s">
        <v>968</v>
      </c>
      <c r="D487" s="43">
        <v>3500.0</v>
      </c>
      <c r="E487" s="42">
        <v>495.0</v>
      </c>
      <c r="F487" s="44">
        <v>150.0</v>
      </c>
      <c r="G487" s="45">
        <v>442100.0</v>
      </c>
      <c r="H487" s="46">
        <v>0.12</v>
      </c>
      <c r="I487" s="42">
        <f t="shared" si="1477"/>
        <v>420</v>
      </c>
      <c r="J487" s="47"/>
      <c r="K487" s="44">
        <v>50.0</v>
      </c>
      <c r="L487" s="48">
        <f t="shared" si="987"/>
        <v>4615</v>
      </c>
      <c r="M487" s="42">
        <f t="shared" si="1055"/>
        <v>35</v>
      </c>
      <c r="N487" s="49">
        <f t="shared" si="989"/>
        <v>369.2</v>
      </c>
      <c r="O487" s="49">
        <f t="shared" si="990"/>
        <v>461.5</v>
      </c>
      <c r="P487" s="49">
        <f t="shared" si="991"/>
        <v>230.75</v>
      </c>
      <c r="Q487" s="49">
        <f t="shared" si="992"/>
        <v>92.3</v>
      </c>
      <c r="R487" s="49">
        <f t="shared" si="993"/>
        <v>36.75</v>
      </c>
      <c r="S487" s="49">
        <f t="shared" si="994"/>
        <v>46.15</v>
      </c>
      <c r="T487" s="50">
        <f t="shared" si="995"/>
        <v>1234.9</v>
      </c>
      <c r="U487" s="42">
        <f t="shared" si="996"/>
        <v>73.5</v>
      </c>
      <c r="V487" s="42">
        <f t="shared" si="15"/>
        <v>367.5</v>
      </c>
      <c r="W487" s="42">
        <f t="shared" si="997"/>
        <v>73.5</v>
      </c>
      <c r="X487" s="42">
        <f t="shared" si="998"/>
        <v>588</v>
      </c>
      <c r="Y487" s="42">
        <f t="shared" si="999"/>
        <v>1102.5</v>
      </c>
      <c r="Z487" s="50">
        <f t="shared" si="1000"/>
        <v>6952.4</v>
      </c>
      <c r="AA487" s="51">
        <f t="shared" si="1001"/>
        <v>1390.48</v>
      </c>
      <c r="AB487" s="49">
        <f t="shared" si="1002"/>
        <v>8342.88</v>
      </c>
      <c r="AC487" s="42">
        <f t="shared" si="1049"/>
        <v>7350</v>
      </c>
      <c r="AD487" s="49">
        <f t="shared" si="1050"/>
        <v>992.88</v>
      </c>
      <c r="AE487" s="49">
        <f t="shared" si="1051"/>
        <v>11.9009263</v>
      </c>
      <c r="AF487" s="47"/>
      <c r="AG487" s="52">
        <f t="shared" si="1006"/>
        <v>-100</v>
      </c>
      <c r="AH487" s="53">
        <f t="shared" si="1007"/>
        <v>8990</v>
      </c>
      <c r="AI487" s="54">
        <v>9990.0</v>
      </c>
      <c r="AJ487" s="54">
        <v>8990.0</v>
      </c>
      <c r="AK487" s="55">
        <f t="shared" si="1008"/>
        <v>94.79956663</v>
      </c>
      <c r="AL487" s="55"/>
      <c r="AM487" s="55">
        <f t="shared" si="1009"/>
        <v>100</v>
      </c>
      <c r="AN487" s="55">
        <f t="shared" si="1010"/>
        <v>194.7995666</v>
      </c>
      <c r="AO487" s="56">
        <f t="shared" si="1011"/>
        <v>1.947995666</v>
      </c>
      <c r="AP487" s="55">
        <f t="shared" si="1012"/>
        <v>6.4712</v>
      </c>
      <c r="AQ487" s="55">
        <f t="shared" si="1013"/>
        <v>16.4</v>
      </c>
      <c r="AR487" s="57">
        <f t="shared" ref="AR487:AS487" si="1600">AI487/94</f>
        <v>106.2765957</v>
      </c>
      <c r="AS487" s="57">
        <f t="shared" si="1600"/>
        <v>95.63829787</v>
      </c>
      <c r="AT487" s="58">
        <f t="shared" ref="AT487:AU487" si="1601">AI487/24</f>
        <v>416.25</v>
      </c>
      <c r="AU487" s="58">
        <f t="shared" si="1601"/>
        <v>374.5833333</v>
      </c>
      <c r="AV487" s="58">
        <f t="shared" ref="AV487:AW487" si="1602">AI487/125</f>
        <v>79.92</v>
      </c>
      <c r="AW487" s="58">
        <f t="shared" si="1602"/>
        <v>71.92</v>
      </c>
      <c r="AX487" s="47"/>
      <c r="AY487" s="47"/>
    </row>
    <row r="488" ht="15.0" customHeight="1">
      <c r="A488" s="2" t="s">
        <v>969</v>
      </c>
      <c r="B488" s="2" t="s">
        <v>970</v>
      </c>
      <c r="C488" s="2" t="s">
        <v>971</v>
      </c>
      <c r="D488" s="102">
        <v>69000.0</v>
      </c>
      <c r="E488" s="1">
        <v>1150.0</v>
      </c>
      <c r="F488" s="1">
        <v>200.0</v>
      </c>
      <c r="G488" s="10">
        <v>8.3061E7</v>
      </c>
      <c r="H488" s="59">
        <v>0.05</v>
      </c>
      <c r="I488" s="2">
        <f t="shared" si="1477"/>
        <v>3450</v>
      </c>
      <c r="K488" s="1">
        <v>750.0</v>
      </c>
      <c r="L488" s="4">
        <f t="shared" si="987"/>
        <v>74550</v>
      </c>
      <c r="M488" s="2">
        <f t="shared" si="1055"/>
        <v>690</v>
      </c>
      <c r="N488" s="12">
        <f t="shared" si="989"/>
        <v>5964</v>
      </c>
      <c r="O488" s="12">
        <f t="shared" si="990"/>
        <v>7455</v>
      </c>
      <c r="P488" s="12">
        <f t="shared" si="991"/>
        <v>3727.5</v>
      </c>
      <c r="Q488" s="12">
        <f t="shared" si="992"/>
        <v>1491</v>
      </c>
      <c r="R488" s="12">
        <f t="shared" si="993"/>
        <v>724.5</v>
      </c>
      <c r="S488" s="12">
        <f t="shared" si="994"/>
        <v>745.5</v>
      </c>
      <c r="T488" s="60">
        <f t="shared" si="995"/>
        <v>20073</v>
      </c>
      <c r="U488" s="2">
        <f t="shared" si="996"/>
        <v>1449</v>
      </c>
      <c r="V488" s="42">
        <f t="shared" si="15"/>
        <v>7245</v>
      </c>
      <c r="W488" s="2">
        <f t="shared" si="997"/>
        <v>1449</v>
      </c>
      <c r="X488" s="2">
        <f t="shared" si="998"/>
        <v>11592</v>
      </c>
      <c r="Y488" s="2">
        <f t="shared" si="999"/>
        <v>21735</v>
      </c>
      <c r="Z488" s="60">
        <f t="shared" si="1000"/>
        <v>116358</v>
      </c>
      <c r="AA488" s="11">
        <f t="shared" si="1001"/>
        <v>23271.6</v>
      </c>
      <c r="AB488" s="12">
        <f t="shared" si="1002"/>
        <v>139629.6</v>
      </c>
      <c r="AC488" s="2">
        <f t="shared" si="1049"/>
        <v>144900</v>
      </c>
      <c r="AD488" s="12">
        <f t="shared" si="1050"/>
        <v>-5270.4</v>
      </c>
      <c r="AE488" s="12">
        <f t="shared" si="1051"/>
        <v>-3.77455783</v>
      </c>
      <c r="AF488" s="61">
        <v>92500.0</v>
      </c>
      <c r="AG488" s="62">
        <f t="shared" si="1006"/>
        <v>24.07780013</v>
      </c>
      <c r="AH488" s="63">
        <f t="shared" si="1007"/>
        <v>5490</v>
      </c>
      <c r="AI488" s="65">
        <v>119990.0</v>
      </c>
      <c r="AJ488" s="65">
        <v>97990.0</v>
      </c>
      <c r="AK488" s="66">
        <f t="shared" si="1008"/>
        <v>31.44198524</v>
      </c>
      <c r="AL488" s="66"/>
      <c r="AM488" s="14">
        <f t="shared" si="1009"/>
        <v>5.602612511</v>
      </c>
      <c r="AN488" s="67">
        <f t="shared" si="1010"/>
        <v>7.364185111</v>
      </c>
      <c r="AO488" s="68">
        <f t="shared" si="1011"/>
        <v>1.314419852</v>
      </c>
      <c r="AP488" s="69">
        <f t="shared" si="1012"/>
        <v>-416.396</v>
      </c>
      <c r="AQ488" s="70">
        <f t="shared" si="1013"/>
        <v>-469.1</v>
      </c>
      <c r="AR488" s="71">
        <f t="shared" ref="AR488:AS488" si="1603">AI488/94</f>
        <v>1276.489362</v>
      </c>
      <c r="AS488" s="71">
        <f t="shared" si="1603"/>
        <v>1042.446809</v>
      </c>
      <c r="AT488" s="72">
        <f t="shared" ref="AT488:AU488" si="1604">AI488/24</f>
        <v>4999.583333</v>
      </c>
      <c r="AU488" s="72">
        <f t="shared" si="1604"/>
        <v>4082.916667</v>
      </c>
      <c r="AV488" s="73">
        <f t="shared" ref="AV488:AW488" si="1605">AI488/125</f>
        <v>959.92</v>
      </c>
      <c r="AW488" s="73">
        <f t="shared" si="1605"/>
        <v>783.92</v>
      </c>
    </row>
    <row r="489" ht="15.75" customHeight="1">
      <c r="A489" s="2"/>
      <c r="B489" s="2" t="s">
        <v>972</v>
      </c>
      <c r="C489" s="2" t="s">
        <v>973</v>
      </c>
      <c r="D489" s="102">
        <v>72000.0</v>
      </c>
      <c r="E489" s="1">
        <v>1150.0</v>
      </c>
      <c r="F489" s="1">
        <v>200.0</v>
      </c>
      <c r="G489" s="10">
        <v>8.3061E7</v>
      </c>
      <c r="H489" s="59">
        <v>0.05</v>
      </c>
      <c r="I489" s="2">
        <f t="shared" si="1477"/>
        <v>3600</v>
      </c>
      <c r="K489" s="1">
        <v>750.0</v>
      </c>
      <c r="L489" s="4">
        <f t="shared" si="987"/>
        <v>77700</v>
      </c>
      <c r="M489" s="2">
        <f t="shared" si="1055"/>
        <v>720</v>
      </c>
      <c r="N489" s="12">
        <f t="shared" si="989"/>
        <v>6216</v>
      </c>
      <c r="O489" s="12">
        <f t="shared" si="990"/>
        <v>7770</v>
      </c>
      <c r="P489" s="12">
        <f t="shared" si="991"/>
        <v>3885</v>
      </c>
      <c r="Q489" s="12">
        <f t="shared" si="992"/>
        <v>1554</v>
      </c>
      <c r="R489" s="12">
        <f t="shared" si="993"/>
        <v>756</v>
      </c>
      <c r="S489" s="12">
        <f t="shared" si="994"/>
        <v>777</v>
      </c>
      <c r="T489" s="60">
        <f t="shared" si="995"/>
        <v>20922</v>
      </c>
      <c r="U489" s="2">
        <f t="shared" si="996"/>
        <v>1512</v>
      </c>
      <c r="V489" s="42">
        <f t="shared" si="15"/>
        <v>7560</v>
      </c>
      <c r="W489" s="2">
        <f t="shared" si="997"/>
        <v>1512</v>
      </c>
      <c r="X489" s="2">
        <f t="shared" si="998"/>
        <v>12096</v>
      </c>
      <c r="Y489" s="2">
        <f t="shared" si="999"/>
        <v>22680</v>
      </c>
      <c r="Z489" s="60">
        <f t="shared" si="1000"/>
        <v>121302</v>
      </c>
      <c r="AA489" s="11">
        <f t="shared" si="1001"/>
        <v>24260.4</v>
      </c>
      <c r="AB489" s="12">
        <f t="shared" si="1002"/>
        <v>145562.4</v>
      </c>
      <c r="AC489" s="2">
        <f t="shared" si="1049"/>
        <v>151200</v>
      </c>
      <c r="AD489" s="12">
        <f t="shared" si="1050"/>
        <v>-5637.6</v>
      </c>
      <c r="AE489" s="12">
        <f t="shared" si="1051"/>
        <v>-3.872978187</v>
      </c>
      <c r="AF489" s="61">
        <v>96500.0</v>
      </c>
      <c r="AG489" s="62">
        <f t="shared" si="1006"/>
        <v>24.1956242</v>
      </c>
      <c r="AH489" s="63">
        <f t="shared" si="1007"/>
        <v>3490</v>
      </c>
      <c r="AI489" s="65">
        <v>129990.0</v>
      </c>
      <c r="AJ489" s="65">
        <v>99990.0</v>
      </c>
      <c r="AK489" s="66">
        <f t="shared" si="1008"/>
        <v>28.68725869</v>
      </c>
      <c r="AL489" s="66"/>
      <c r="AM489" s="14">
        <f t="shared" si="1009"/>
        <v>3.490349035</v>
      </c>
      <c r="AN489" s="67">
        <f t="shared" si="1010"/>
        <v>4.491634492</v>
      </c>
      <c r="AO489" s="68">
        <f t="shared" si="1011"/>
        <v>1.286872587</v>
      </c>
      <c r="AP489" s="69">
        <f t="shared" si="1012"/>
        <v>-455.724</v>
      </c>
      <c r="AQ489" s="70">
        <f t="shared" si="1013"/>
        <v>-512.1</v>
      </c>
      <c r="AR489" s="71">
        <f t="shared" ref="AR489:AS489" si="1606">AI489/94</f>
        <v>1382.87234</v>
      </c>
      <c r="AS489" s="71">
        <f t="shared" si="1606"/>
        <v>1063.723404</v>
      </c>
      <c r="AT489" s="72">
        <f t="shared" ref="AT489:AU489" si="1607">AI489/24</f>
        <v>5416.25</v>
      </c>
      <c r="AU489" s="72">
        <f t="shared" si="1607"/>
        <v>4166.25</v>
      </c>
      <c r="AV489" s="73">
        <f t="shared" ref="AV489:AW489" si="1608">AI489/125</f>
        <v>1039.92</v>
      </c>
      <c r="AW489" s="73">
        <f t="shared" si="1608"/>
        <v>799.92</v>
      </c>
    </row>
    <row r="490" ht="15.75" customHeight="1">
      <c r="A490" s="2"/>
      <c r="B490" s="2" t="s">
        <v>974</v>
      </c>
      <c r="C490" s="2" t="s">
        <v>975</v>
      </c>
      <c r="D490" s="102">
        <v>65000.0</v>
      </c>
      <c r="E490" s="1">
        <v>1150.0</v>
      </c>
      <c r="F490" s="1">
        <v>200.0</v>
      </c>
      <c r="G490" s="10">
        <v>8.3061E7</v>
      </c>
      <c r="H490" s="59">
        <v>0.05</v>
      </c>
      <c r="I490" s="2">
        <f t="shared" si="1477"/>
        <v>3250</v>
      </c>
      <c r="K490" s="1">
        <v>750.0</v>
      </c>
      <c r="L490" s="4">
        <f t="shared" si="987"/>
        <v>70350</v>
      </c>
      <c r="M490" s="2">
        <f t="shared" si="1055"/>
        <v>650</v>
      </c>
      <c r="N490" s="12">
        <f t="shared" si="989"/>
        <v>5628</v>
      </c>
      <c r="O490" s="12">
        <f t="shared" si="990"/>
        <v>7035</v>
      </c>
      <c r="P490" s="12">
        <f t="shared" si="991"/>
        <v>3517.5</v>
      </c>
      <c r="Q490" s="12">
        <f t="shared" si="992"/>
        <v>1407</v>
      </c>
      <c r="R490" s="12">
        <f t="shared" si="993"/>
        <v>682.5</v>
      </c>
      <c r="S490" s="12">
        <f t="shared" si="994"/>
        <v>703.5</v>
      </c>
      <c r="T490" s="60">
        <f t="shared" si="995"/>
        <v>18941</v>
      </c>
      <c r="U490" s="2">
        <f t="shared" si="996"/>
        <v>1365</v>
      </c>
      <c r="V490" s="42">
        <f t="shared" si="15"/>
        <v>6825</v>
      </c>
      <c r="W490" s="2">
        <f t="shared" si="997"/>
        <v>1365</v>
      </c>
      <c r="X490" s="2">
        <f t="shared" si="998"/>
        <v>10920</v>
      </c>
      <c r="Y490" s="2">
        <f t="shared" si="999"/>
        <v>20475</v>
      </c>
      <c r="Z490" s="60">
        <f t="shared" si="1000"/>
        <v>109766</v>
      </c>
      <c r="AA490" s="11">
        <f t="shared" si="1001"/>
        <v>21953.2</v>
      </c>
      <c r="AB490" s="12">
        <f t="shared" si="1002"/>
        <v>131719.2</v>
      </c>
      <c r="AC490" s="2">
        <f t="shared" si="1049"/>
        <v>136500</v>
      </c>
      <c r="AD490" s="12">
        <f t="shared" si="1050"/>
        <v>-4780.8</v>
      </c>
      <c r="AE490" s="12">
        <f t="shared" si="1051"/>
        <v>-3.629539202</v>
      </c>
      <c r="AF490" s="61">
        <v>82500.0</v>
      </c>
      <c r="AG490" s="62">
        <f t="shared" si="1006"/>
        <v>17.27078891</v>
      </c>
      <c r="AH490" s="63">
        <f t="shared" si="1007"/>
        <v>7490</v>
      </c>
      <c r="AI490" s="65">
        <v>109990.0</v>
      </c>
      <c r="AJ490" s="65">
        <v>89990.0</v>
      </c>
      <c r="AK490" s="66">
        <f t="shared" si="1008"/>
        <v>27.91755508</v>
      </c>
      <c r="AL490" s="66"/>
      <c r="AM490" s="14">
        <f t="shared" si="1009"/>
        <v>8.323147016</v>
      </c>
      <c r="AN490" s="67">
        <f t="shared" si="1010"/>
        <v>10.64676617</v>
      </c>
      <c r="AO490" s="68">
        <f t="shared" si="1011"/>
        <v>1.279175551</v>
      </c>
      <c r="AP490" s="69">
        <f t="shared" si="1012"/>
        <v>-417.292</v>
      </c>
      <c r="AQ490" s="70">
        <f t="shared" si="1013"/>
        <v>-465.1</v>
      </c>
      <c r="AR490" s="71">
        <f t="shared" ref="AR490:AS490" si="1609">AI490/94</f>
        <v>1170.106383</v>
      </c>
      <c r="AS490" s="71">
        <f t="shared" si="1609"/>
        <v>957.3404255</v>
      </c>
      <c r="AT490" s="72">
        <f t="shared" ref="AT490:AU490" si="1610">AI490/24</f>
        <v>4582.916667</v>
      </c>
      <c r="AU490" s="72">
        <f t="shared" si="1610"/>
        <v>3749.583333</v>
      </c>
      <c r="AV490" s="73">
        <f t="shared" ref="AV490:AW490" si="1611">AI490/125</f>
        <v>879.92</v>
      </c>
      <c r="AW490" s="73">
        <f t="shared" si="1611"/>
        <v>719.92</v>
      </c>
    </row>
    <row r="491" ht="15.75" customHeight="1">
      <c r="A491" s="2"/>
      <c r="B491" s="2" t="s">
        <v>976</v>
      </c>
      <c r="C491" s="2" t="s">
        <v>977</v>
      </c>
      <c r="D491" s="102">
        <v>49000.0</v>
      </c>
      <c r="E491" s="1">
        <v>960.0</v>
      </c>
      <c r="F491" s="1">
        <v>160.0</v>
      </c>
      <c r="G491" s="10">
        <v>8.3061E7</v>
      </c>
      <c r="H491" s="59">
        <v>0.05</v>
      </c>
      <c r="I491" s="2">
        <f t="shared" si="1477"/>
        <v>2450</v>
      </c>
      <c r="K491" s="1">
        <v>600.0</v>
      </c>
      <c r="L491" s="4">
        <f t="shared" si="987"/>
        <v>53170</v>
      </c>
      <c r="M491" s="2">
        <f t="shared" si="1055"/>
        <v>490</v>
      </c>
      <c r="N491" s="12">
        <f t="shared" si="989"/>
        <v>4253.6</v>
      </c>
      <c r="O491" s="12">
        <f t="shared" si="990"/>
        <v>5317</v>
      </c>
      <c r="P491" s="12">
        <f t="shared" si="991"/>
        <v>2658.5</v>
      </c>
      <c r="Q491" s="12">
        <f t="shared" si="992"/>
        <v>1063.4</v>
      </c>
      <c r="R491" s="12">
        <f t="shared" si="993"/>
        <v>514.5</v>
      </c>
      <c r="S491" s="12">
        <f t="shared" si="994"/>
        <v>531.7</v>
      </c>
      <c r="T491" s="60">
        <f t="shared" si="995"/>
        <v>14314.2</v>
      </c>
      <c r="U491" s="2">
        <f t="shared" si="996"/>
        <v>1029</v>
      </c>
      <c r="V491" s="42">
        <f t="shared" si="15"/>
        <v>5145</v>
      </c>
      <c r="W491" s="2">
        <f t="shared" si="997"/>
        <v>1029</v>
      </c>
      <c r="X491" s="2">
        <f t="shared" si="998"/>
        <v>8232</v>
      </c>
      <c r="Y491" s="2">
        <f t="shared" si="999"/>
        <v>15435</v>
      </c>
      <c r="Z491" s="60">
        <f t="shared" si="1000"/>
        <v>82919.2</v>
      </c>
      <c r="AA491" s="11">
        <f t="shared" si="1001"/>
        <v>16583.84</v>
      </c>
      <c r="AB491" s="12">
        <f t="shared" si="1002"/>
        <v>99503.04</v>
      </c>
      <c r="AC491" s="2">
        <f t="shared" si="1049"/>
        <v>102900</v>
      </c>
      <c r="AD491" s="12">
        <f t="shared" si="1050"/>
        <v>-3396.96</v>
      </c>
      <c r="AE491" s="12">
        <f t="shared" si="1051"/>
        <v>-3.413925846</v>
      </c>
      <c r="AF491" s="61">
        <v>69500.0</v>
      </c>
      <c r="AG491" s="62">
        <f t="shared" si="1006"/>
        <v>30.71280797</v>
      </c>
      <c r="AH491" s="63">
        <f t="shared" si="1007"/>
        <v>3490</v>
      </c>
      <c r="AI491" s="65">
        <v>89990.0</v>
      </c>
      <c r="AJ491" s="65">
        <v>72990.0</v>
      </c>
      <c r="AK491" s="66">
        <f t="shared" si="1008"/>
        <v>37.27665977</v>
      </c>
      <c r="AL491" s="66"/>
      <c r="AM491" s="14">
        <f t="shared" si="1009"/>
        <v>4.781476915</v>
      </c>
      <c r="AN491" s="67">
        <f t="shared" si="1010"/>
        <v>6.563851796</v>
      </c>
      <c r="AO491" s="68">
        <f t="shared" si="1011"/>
        <v>1.372766598</v>
      </c>
      <c r="AP491" s="69">
        <f t="shared" si="1012"/>
        <v>-265.1304</v>
      </c>
      <c r="AQ491" s="70">
        <f t="shared" si="1013"/>
        <v>-299.1</v>
      </c>
      <c r="AR491" s="71">
        <f t="shared" ref="AR491:AS491" si="1612">AI491/94</f>
        <v>957.3404255</v>
      </c>
      <c r="AS491" s="71">
        <f t="shared" si="1612"/>
        <v>776.4893617</v>
      </c>
      <c r="AT491" s="72">
        <f t="shared" ref="AT491:AU491" si="1613">AI491/24</f>
        <v>3749.583333</v>
      </c>
      <c r="AU491" s="72">
        <f t="shared" si="1613"/>
        <v>3041.25</v>
      </c>
      <c r="AV491" s="73">
        <f t="shared" ref="AV491:AW491" si="1614">AI491/125</f>
        <v>719.92</v>
      </c>
      <c r="AW491" s="73">
        <f t="shared" si="1614"/>
        <v>583.92</v>
      </c>
    </row>
    <row r="492" ht="15.75" customHeight="1">
      <c r="A492" s="2"/>
      <c r="B492" s="2" t="s">
        <v>978</v>
      </c>
      <c r="C492" s="2" t="s">
        <v>979</v>
      </c>
      <c r="D492" s="102">
        <v>47000.0</v>
      </c>
      <c r="E492" s="1">
        <v>960.0</v>
      </c>
      <c r="F492" s="1">
        <v>160.0</v>
      </c>
      <c r="G492" s="10">
        <v>8.3061E7</v>
      </c>
      <c r="H492" s="59">
        <v>0.05</v>
      </c>
      <c r="I492" s="2">
        <f t="shared" si="1477"/>
        <v>2350</v>
      </c>
      <c r="K492" s="1">
        <v>600.0</v>
      </c>
      <c r="L492" s="4">
        <f t="shared" si="987"/>
        <v>51070</v>
      </c>
      <c r="M492" s="2">
        <f t="shared" si="1055"/>
        <v>470</v>
      </c>
      <c r="N492" s="12">
        <f t="shared" si="989"/>
        <v>4085.6</v>
      </c>
      <c r="O492" s="12">
        <f t="shared" si="990"/>
        <v>5107</v>
      </c>
      <c r="P492" s="12">
        <f t="shared" si="991"/>
        <v>2553.5</v>
      </c>
      <c r="Q492" s="12">
        <f t="shared" si="992"/>
        <v>1021.4</v>
      </c>
      <c r="R492" s="12">
        <f t="shared" si="993"/>
        <v>493.5</v>
      </c>
      <c r="S492" s="12">
        <f t="shared" si="994"/>
        <v>510.7</v>
      </c>
      <c r="T492" s="60">
        <f t="shared" si="995"/>
        <v>13748.2</v>
      </c>
      <c r="U492" s="2">
        <f t="shared" si="996"/>
        <v>987</v>
      </c>
      <c r="V492" s="42">
        <f t="shared" si="15"/>
        <v>4935</v>
      </c>
      <c r="W492" s="2">
        <f t="shared" si="997"/>
        <v>987</v>
      </c>
      <c r="X492" s="2">
        <f t="shared" si="998"/>
        <v>7896</v>
      </c>
      <c r="Y492" s="2">
        <f t="shared" si="999"/>
        <v>14805</v>
      </c>
      <c r="Z492" s="60">
        <f t="shared" si="1000"/>
        <v>79623.2</v>
      </c>
      <c r="AA492" s="11">
        <f t="shared" si="1001"/>
        <v>15924.64</v>
      </c>
      <c r="AB492" s="12">
        <f t="shared" si="1002"/>
        <v>95547.84</v>
      </c>
      <c r="AC492" s="2">
        <f t="shared" si="1049"/>
        <v>98700</v>
      </c>
      <c r="AD492" s="12">
        <f t="shared" si="1050"/>
        <v>-3152.16</v>
      </c>
      <c r="AE492" s="12">
        <f t="shared" si="1051"/>
        <v>-3.299038471</v>
      </c>
      <c r="AF492" s="61">
        <v>65500.0</v>
      </c>
      <c r="AG492" s="62">
        <f t="shared" si="1006"/>
        <v>28.25533581</v>
      </c>
      <c r="AH492" s="63">
        <f t="shared" si="1007"/>
        <v>2490</v>
      </c>
      <c r="AI492" s="65">
        <v>79990.0</v>
      </c>
      <c r="AJ492" s="65">
        <v>67990.0</v>
      </c>
      <c r="AK492" s="66">
        <f t="shared" si="1008"/>
        <v>33.13099667</v>
      </c>
      <c r="AL492" s="66"/>
      <c r="AM492" s="14">
        <f t="shared" si="1009"/>
        <v>3.66230328</v>
      </c>
      <c r="AN492" s="67">
        <f t="shared" si="1010"/>
        <v>4.875660858</v>
      </c>
      <c r="AO492" s="68">
        <f t="shared" si="1011"/>
        <v>1.331309967</v>
      </c>
      <c r="AP492" s="69">
        <f t="shared" si="1012"/>
        <v>-275.5784</v>
      </c>
      <c r="AQ492" s="70">
        <f t="shared" si="1013"/>
        <v>-307.1</v>
      </c>
      <c r="AR492" s="71">
        <f t="shared" ref="AR492:AS492" si="1615">AI492/94</f>
        <v>850.9574468</v>
      </c>
      <c r="AS492" s="71">
        <f t="shared" si="1615"/>
        <v>723.2978723</v>
      </c>
      <c r="AT492" s="72">
        <f t="shared" ref="AT492:AU492" si="1616">AI492/24</f>
        <v>3332.916667</v>
      </c>
      <c r="AU492" s="72">
        <f t="shared" si="1616"/>
        <v>2832.916667</v>
      </c>
      <c r="AV492" s="73">
        <f t="shared" ref="AV492:AW492" si="1617">AI492/125</f>
        <v>639.92</v>
      </c>
      <c r="AW492" s="73">
        <f t="shared" si="1617"/>
        <v>543.92</v>
      </c>
    </row>
    <row r="493" ht="15.75" customHeight="1">
      <c r="A493" s="2"/>
      <c r="B493" s="2" t="s">
        <v>980</v>
      </c>
      <c r="C493" s="2" t="s">
        <v>981</v>
      </c>
      <c r="D493" s="102">
        <v>43000.0</v>
      </c>
      <c r="E493" s="1">
        <v>960.0</v>
      </c>
      <c r="F493" s="1">
        <v>160.0</v>
      </c>
      <c r="G493" s="10">
        <v>8.3061E7</v>
      </c>
      <c r="H493" s="59">
        <v>0.05</v>
      </c>
      <c r="I493" s="2">
        <f t="shared" si="1477"/>
        <v>2150</v>
      </c>
      <c r="K493" s="1">
        <v>600.0</v>
      </c>
      <c r="L493" s="4">
        <f t="shared" si="987"/>
        <v>46870</v>
      </c>
      <c r="M493" s="2">
        <f t="shared" si="1055"/>
        <v>430</v>
      </c>
      <c r="N493" s="12">
        <f t="shared" si="989"/>
        <v>3749.6</v>
      </c>
      <c r="O493" s="12">
        <f t="shared" si="990"/>
        <v>4687</v>
      </c>
      <c r="P493" s="12">
        <f t="shared" si="991"/>
        <v>2343.5</v>
      </c>
      <c r="Q493" s="12">
        <f t="shared" si="992"/>
        <v>937.4</v>
      </c>
      <c r="R493" s="12">
        <f t="shared" si="993"/>
        <v>451.5</v>
      </c>
      <c r="S493" s="12">
        <f t="shared" si="994"/>
        <v>468.7</v>
      </c>
      <c r="T493" s="60">
        <f t="shared" si="995"/>
        <v>12616.2</v>
      </c>
      <c r="U493" s="2">
        <f t="shared" si="996"/>
        <v>903</v>
      </c>
      <c r="V493" s="42">
        <f t="shared" si="15"/>
        <v>4515</v>
      </c>
      <c r="W493" s="2">
        <f t="shared" si="997"/>
        <v>903</v>
      </c>
      <c r="X493" s="2">
        <f t="shared" si="998"/>
        <v>7224</v>
      </c>
      <c r="Y493" s="2">
        <f t="shared" si="999"/>
        <v>13545</v>
      </c>
      <c r="Z493" s="60">
        <f t="shared" si="1000"/>
        <v>73031.2</v>
      </c>
      <c r="AA493" s="11">
        <f t="shared" si="1001"/>
        <v>14606.24</v>
      </c>
      <c r="AB493" s="12">
        <f t="shared" si="1002"/>
        <v>87637.44</v>
      </c>
      <c r="AC493" s="2">
        <f t="shared" si="1049"/>
        <v>90300</v>
      </c>
      <c r="AD493" s="12">
        <f t="shared" si="1050"/>
        <v>-2662.56</v>
      </c>
      <c r="AE493" s="12">
        <f t="shared" si="1051"/>
        <v>-3.038153556</v>
      </c>
      <c r="AF493" s="61">
        <v>56500.0</v>
      </c>
      <c r="AG493" s="62">
        <f t="shared" si="1006"/>
        <v>20.54619159</v>
      </c>
      <c r="AH493" s="63">
        <f t="shared" si="1007"/>
        <v>3490</v>
      </c>
      <c r="AI493" s="65">
        <v>69990.0</v>
      </c>
      <c r="AJ493" s="65">
        <v>59990.0</v>
      </c>
      <c r="AK493" s="66">
        <f t="shared" si="1008"/>
        <v>27.99231918</v>
      </c>
      <c r="AL493" s="66"/>
      <c r="AM493" s="14">
        <f t="shared" si="1009"/>
        <v>5.817636273</v>
      </c>
      <c r="AN493" s="67">
        <f t="shared" si="1010"/>
        <v>7.446127587</v>
      </c>
      <c r="AO493" s="68">
        <f t="shared" si="1011"/>
        <v>1.279923192</v>
      </c>
      <c r="AP493" s="69">
        <f t="shared" si="1012"/>
        <v>-276.4744</v>
      </c>
      <c r="AQ493" s="70">
        <f t="shared" si="1013"/>
        <v>-303.1</v>
      </c>
      <c r="AR493" s="71">
        <f t="shared" ref="AR493:AS493" si="1618">AI493/94</f>
        <v>744.5744681</v>
      </c>
      <c r="AS493" s="71">
        <f t="shared" si="1618"/>
        <v>638.1914894</v>
      </c>
      <c r="AT493" s="72">
        <f t="shared" ref="AT493:AU493" si="1619">AI493/24</f>
        <v>2916.25</v>
      </c>
      <c r="AU493" s="72">
        <f t="shared" si="1619"/>
        <v>2499.583333</v>
      </c>
      <c r="AV493" s="73">
        <f t="shared" ref="AV493:AW493" si="1620">AI493/125</f>
        <v>559.92</v>
      </c>
      <c r="AW493" s="73">
        <f t="shared" si="1620"/>
        <v>479.92</v>
      </c>
    </row>
    <row r="494" ht="15.0" customHeight="1">
      <c r="A494" s="2" t="s">
        <v>982</v>
      </c>
      <c r="B494" s="2" t="s">
        <v>983</v>
      </c>
      <c r="C494" s="2" t="s">
        <v>984</v>
      </c>
      <c r="D494" s="102">
        <v>3000.0</v>
      </c>
      <c r="E494" s="2">
        <v>55.0</v>
      </c>
      <c r="F494" s="1">
        <v>85.0</v>
      </c>
      <c r="G494" s="10">
        <v>8.3061E7</v>
      </c>
      <c r="H494" s="59">
        <v>0.05</v>
      </c>
      <c r="I494" s="2">
        <f t="shared" si="1477"/>
        <v>150</v>
      </c>
      <c r="K494" s="1">
        <v>200.0</v>
      </c>
      <c r="L494" s="4">
        <f t="shared" si="987"/>
        <v>3490</v>
      </c>
      <c r="M494" s="2">
        <f t="shared" si="1055"/>
        <v>30</v>
      </c>
      <c r="N494" s="12">
        <f t="shared" si="989"/>
        <v>279.2</v>
      </c>
      <c r="O494" s="12">
        <f t="shared" si="990"/>
        <v>349</v>
      </c>
      <c r="P494" s="12">
        <f t="shared" si="991"/>
        <v>174.5</v>
      </c>
      <c r="Q494" s="12">
        <f t="shared" si="992"/>
        <v>69.8</v>
      </c>
      <c r="R494" s="12">
        <f t="shared" si="993"/>
        <v>31.5</v>
      </c>
      <c r="S494" s="12">
        <f t="shared" si="994"/>
        <v>34.9</v>
      </c>
      <c r="T494" s="60">
        <f t="shared" si="995"/>
        <v>937.4</v>
      </c>
      <c r="U494" s="2">
        <f t="shared" si="996"/>
        <v>63</v>
      </c>
      <c r="V494" s="42">
        <f t="shared" si="15"/>
        <v>315</v>
      </c>
      <c r="W494" s="2">
        <f t="shared" si="997"/>
        <v>63</v>
      </c>
      <c r="X494" s="2">
        <f t="shared" si="998"/>
        <v>504</v>
      </c>
      <c r="Y494" s="2">
        <f t="shared" si="999"/>
        <v>945</v>
      </c>
      <c r="Z494" s="60">
        <f t="shared" si="1000"/>
        <v>5372.4</v>
      </c>
      <c r="AA494" s="11">
        <f t="shared" si="1001"/>
        <v>1074.48</v>
      </c>
      <c r="AB494" s="12">
        <f t="shared" si="1002"/>
        <v>6446.88</v>
      </c>
      <c r="AC494" s="2">
        <f t="shared" si="1049"/>
        <v>6300</v>
      </c>
      <c r="AD494" s="12">
        <f t="shared" si="1050"/>
        <v>146.88</v>
      </c>
      <c r="AE494" s="12">
        <f t="shared" si="1051"/>
        <v>2.278311369</v>
      </c>
      <c r="AF494" s="61">
        <v>5950.0</v>
      </c>
      <c r="AG494" s="62">
        <f t="shared" si="1006"/>
        <v>70.48710602</v>
      </c>
      <c r="AH494" s="63">
        <f t="shared" si="1007"/>
        <v>540</v>
      </c>
      <c r="AI494" s="65">
        <v>6990.0</v>
      </c>
      <c r="AJ494" s="65">
        <v>6490.0</v>
      </c>
      <c r="AK494" s="66">
        <f t="shared" si="1008"/>
        <v>85.95988539</v>
      </c>
      <c r="AL494" s="66"/>
      <c r="AM494" s="14">
        <f t="shared" si="1009"/>
        <v>8.320493066</v>
      </c>
      <c r="AN494" s="67">
        <f t="shared" si="1010"/>
        <v>15.47277937</v>
      </c>
      <c r="AO494" s="68">
        <f t="shared" si="1011"/>
        <v>1.859598854</v>
      </c>
      <c r="AP494" s="69">
        <f t="shared" si="1012"/>
        <v>0.4312</v>
      </c>
      <c r="AQ494" s="70">
        <f t="shared" si="1013"/>
        <v>1.9</v>
      </c>
      <c r="AR494" s="71">
        <f t="shared" ref="AR494:AS494" si="1621">AI494/94</f>
        <v>74.36170213</v>
      </c>
      <c r="AS494" s="71">
        <f t="shared" si="1621"/>
        <v>69.04255319</v>
      </c>
      <c r="AT494" s="72">
        <f t="shared" ref="AT494:AU494" si="1622">AI494/24</f>
        <v>291.25</v>
      </c>
      <c r="AU494" s="72">
        <f t="shared" si="1622"/>
        <v>270.4166667</v>
      </c>
      <c r="AV494" s="73">
        <f t="shared" ref="AV494:AW494" si="1623">AI494/125</f>
        <v>55.92</v>
      </c>
      <c r="AW494" s="73">
        <f t="shared" si="1623"/>
        <v>51.92</v>
      </c>
    </row>
    <row r="495" ht="15.75" customHeight="1">
      <c r="A495" s="2"/>
      <c r="B495" s="2" t="s">
        <v>983</v>
      </c>
      <c r="C495" s="2" t="s">
        <v>985</v>
      </c>
      <c r="D495" s="102">
        <v>3000.0</v>
      </c>
      <c r="E495" s="2">
        <v>55.0</v>
      </c>
      <c r="F495" s="1">
        <v>85.0</v>
      </c>
      <c r="G495" s="10">
        <v>8.3061E7</v>
      </c>
      <c r="H495" s="59">
        <v>0.05</v>
      </c>
      <c r="I495" s="2">
        <f t="shared" si="1477"/>
        <v>150</v>
      </c>
      <c r="K495" s="1">
        <v>200.0</v>
      </c>
      <c r="L495" s="4">
        <f t="shared" si="987"/>
        <v>3490</v>
      </c>
      <c r="M495" s="2">
        <f t="shared" si="1055"/>
        <v>30</v>
      </c>
      <c r="N495" s="12">
        <f t="shared" si="989"/>
        <v>279.2</v>
      </c>
      <c r="O495" s="12">
        <f t="shared" si="990"/>
        <v>349</v>
      </c>
      <c r="P495" s="12">
        <f t="shared" si="991"/>
        <v>174.5</v>
      </c>
      <c r="Q495" s="12">
        <f t="shared" si="992"/>
        <v>69.8</v>
      </c>
      <c r="R495" s="12">
        <f t="shared" si="993"/>
        <v>31.5</v>
      </c>
      <c r="S495" s="12">
        <f t="shared" si="994"/>
        <v>34.9</v>
      </c>
      <c r="T495" s="60">
        <f t="shared" si="995"/>
        <v>937.4</v>
      </c>
      <c r="U495" s="2">
        <f t="shared" si="996"/>
        <v>63</v>
      </c>
      <c r="V495" s="42">
        <f t="shared" si="15"/>
        <v>315</v>
      </c>
      <c r="W495" s="2">
        <f t="shared" si="997"/>
        <v>63</v>
      </c>
      <c r="X495" s="2">
        <f t="shared" si="998"/>
        <v>504</v>
      </c>
      <c r="Y495" s="2">
        <f t="shared" si="999"/>
        <v>945</v>
      </c>
      <c r="Z495" s="60">
        <f t="shared" si="1000"/>
        <v>5372.4</v>
      </c>
      <c r="AA495" s="11">
        <f t="shared" si="1001"/>
        <v>1074.48</v>
      </c>
      <c r="AB495" s="12">
        <f t="shared" si="1002"/>
        <v>6446.88</v>
      </c>
      <c r="AC495" s="2">
        <f t="shared" si="1049"/>
        <v>6300</v>
      </c>
      <c r="AD495" s="12">
        <f t="shared" si="1050"/>
        <v>146.88</v>
      </c>
      <c r="AE495" s="12">
        <f t="shared" si="1051"/>
        <v>2.278311369</v>
      </c>
      <c r="AF495" s="61">
        <v>5950.0</v>
      </c>
      <c r="AG495" s="62">
        <f t="shared" si="1006"/>
        <v>70.48710602</v>
      </c>
      <c r="AH495" s="63">
        <f t="shared" si="1007"/>
        <v>240</v>
      </c>
      <c r="AI495" s="65">
        <v>6990.0</v>
      </c>
      <c r="AJ495" s="65">
        <v>6190.0</v>
      </c>
      <c r="AK495" s="66">
        <f t="shared" si="1008"/>
        <v>77.36389685</v>
      </c>
      <c r="AL495" s="66"/>
      <c r="AM495" s="14">
        <f t="shared" si="1009"/>
        <v>3.877221325</v>
      </c>
      <c r="AN495" s="67">
        <f t="shared" si="1010"/>
        <v>6.876790831</v>
      </c>
      <c r="AO495" s="68">
        <f t="shared" si="1011"/>
        <v>1.773638968</v>
      </c>
      <c r="AP495" s="69">
        <f t="shared" si="1012"/>
        <v>-2.5688</v>
      </c>
      <c r="AQ495" s="70">
        <f t="shared" si="1013"/>
        <v>-1.1</v>
      </c>
      <c r="AR495" s="71">
        <f t="shared" ref="AR495:AS495" si="1624">AI495/94</f>
        <v>74.36170213</v>
      </c>
      <c r="AS495" s="71">
        <f t="shared" si="1624"/>
        <v>65.85106383</v>
      </c>
      <c r="AT495" s="72">
        <f t="shared" ref="AT495:AU495" si="1625">AI495/24</f>
        <v>291.25</v>
      </c>
      <c r="AU495" s="72">
        <f t="shared" si="1625"/>
        <v>257.9166667</v>
      </c>
      <c r="AV495" s="73">
        <f t="shared" ref="AV495:AW495" si="1626">AI495/125</f>
        <v>55.92</v>
      </c>
      <c r="AW495" s="73">
        <f t="shared" si="1626"/>
        <v>49.52</v>
      </c>
    </row>
    <row r="496" ht="15.75" customHeight="1">
      <c r="A496" s="2"/>
      <c r="B496" s="2" t="s">
        <v>986</v>
      </c>
      <c r="C496" s="75" t="s">
        <v>987</v>
      </c>
      <c r="D496" s="102">
        <v>4000.0</v>
      </c>
      <c r="E496" s="2">
        <v>125.0</v>
      </c>
      <c r="F496" s="1">
        <v>85.0</v>
      </c>
      <c r="G496" s="10">
        <v>8.3061E7</v>
      </c>
      <c r="H496" s="59">
        <v>0.05</v>
      </c>
      <c r="I496" s="2">
        <f t="shared" si="1477"/>
        <v>200</v>
      </c>
      <c r="K496" s="1">
        <v>200.0</v>
      </c>
      <c r="L496" s="4">
        <f t="shared" si="987"/>
        <v>4610</v>
      </c>
      <c r="M496" s="2">
        <f t="shared" si="1055"/>
        <v>40</v>
      </c>
      <c r="N496" s="12">
        <f t="shared" si="989"/>
        <v>368.8</v>
      </c>
      <c r="O496" s="12">
        <f t="shared" si="990"/>
        <v>461</v>
      </c>
      <c r="P496" s="12">
        <f t="shared" si="991"/>
        <v>230.5</v>
      </c>
      <c r="Q496" s="12">
        <f t="shared" si="992"/>
        <v>92.2</v>
      </c>
      <c r="R496" s="12">
        <f t="shared" si="993"/>
        <v>42</v>
      </c>
      <c r="S496" s="12">
        <f t="shared" si="994"/>
        <v>46.1</v>
      </c>
      <c r="T496" s="60">
        <f t="shared" si="995"/>
        <v>1238.6</v>
      </c>
      <c r="U496" s="2">
        <f t="shared" si="996"/>
        <v>84</v>
      </c>
      <c r="V496" s="42">
        <f t="shared" si="15"/>
        <v>420</v>
      </c>
      <c r="W496" s="2">
        <f t="shared" si="997"/>
        <v>84</v>
      </c>
      <c r="X496" s="2">
        <f t="shared" si="998"/>
        <v>672</v>
      </c>
      <c r="Y496" s="2">
        <f t="shared" si="999"/>
        <v>1260</v>
      </c>
      <c r="Z496" s="60">
        <f t="shared" si="1000"/>
        <v>7108.6</v>
      </c>
      <c r="AA496" s="11">
        <f t="shared" si="1001"/>
        <v>1421.72</v>
      </c>
      <c r="AB496" s="12">
        <f t="shared" si="1002"/>
        <v>8530.32</v>
      </c>
      <c r="AC496" s="2">
        <f t="shared" si="1049"/>
        <v>8400</v>
      </c>
      <c r="AD496" s="12">
        <f t="shared" si="1050"/>
        <v>130.32</v>
      </c>
      <c r="AE496" s="12">
        <f t="shared" si="1051"/>
        <v>1.527726979</v>
      </c>
      <c r="AG496" s="62">
        <f t="shared" si="1006"/>
        <v>-100</v>
      </c>
      <c r="AH496" s="63">
        <f t="shared" si="1007"/>
        <v>7990</v>
      </c>
      <c r="AI496" s="64">
        <f t="shared" ref="AI496:AI497" si="1630">AB496</f>
        <v>8530.32</v>
      </c>
      <c r="AJ496" s="65">
        <v>7990.0</v>
      </c>
      <c r="AK496" s="66">
        <f t="shared" si="1008"/>
        <v>73.31887202</v>
      </c>
      <c r="AL496" s="66"/>
      <c r="AM496" s="14">
        <f t="shared" si="1009"/>
        <v>100</v>
      </c>
      <c r="AN496" s="67">
        <f t="shared" si="1010"/>
        <v>173.318872</v>
      </c>
      <c r="AO496" s="68">
        <f t="shared" si="1011"/>
        <v>1.73318872</v>
      </c>
      <c r="AP496" s="69">
        <f t="shared" si="1012"/>
        <v>-5.4032</v>
      </c>
      <c r="AQ496" s="70">
        <f t="shared" si="1013"/>
        <v>-4.1</v>
      </c>
      <c r="AR496" s="71">
        <f t="shared" ref="AR496:AS496" si="1627">AI496/94</f>
        <v>90.74808511</v>
      </c>
      <c r="AS496" s="71">
        <f t="shared" si="1627"/>
        <v>85</v>
      </c>
      <c r="AT496" s="72">
        <f t="shared" ref="AT496:AU496" si="1628">AI496/24</f>
        <v>355.43</v>
      </c>
      <c r="AU496" s="72">
        <f t="shared" si="1628"/>
        <v>332.9166667</v>
      </c>
      <c r="AV496" s="73">
        <f t="shared" ref="AV496:AW496" si="1629">AI496/125</f>
        <v>68.24256</v>
      </c>
      <c r="AW496" s="73">
        <f t="shared" si="1629"/>
        <v>63.92</v>
      </c>
    </row>
    <row r="497" ht="15.75" customHeight="1">
      <c r="A497" s="2"/>
      <c r="B497" s="2" t="s">
        <v>988</v>
      </c>
      <c r="C497" s="75" t="s">
        <v>989</v>
      </c>
      <c r="D497" s="102">
        <v>4800.0</v>
      </c>
      <c r="E497" s="2">
        <v>125.0</v>
      </c>
      <c r="F497" s="1">
        <v>85.0</v>
      </c>
      <c r="G497" s="10">
        <v>8.3061E7</v>
      </c>
      <c r="H497" s="59">
        <v>0.05</v>
      </c>
      <c r="I497" s="2">
        <f t="shared" si="1477"/>
        <v>240</v>
      </c>
      <c r="K497" s="1">
        <v>200.0</v>
      </c>
      <c r="L497" s="4">
        <f t="shared" si="987"/>
        <v>5450</v>
      </c>
      <c r="M497" s="2">
        <f t="shared" si="1055"/>
        <v>48</v>
      </c>
      <c r="N497" s="12">
        <f t="shared" si="989"/>
        <v>436</v>
      </c>
      <c r="O497" s="12">
        <f t="shared" si="990"/>
        <v>545</v>
      </c>
      <c r="P497" s="12">
        <f t="shared" si="991"/>
        <v>272.5</v>
      </c>
      <c r="Q497" s="12">
        <f t="shared" si="992"/>
        <v>109</v>
      </c>
      <c r="R497" s="12">
        <f t="shared" si="993"/>
        <v>50.4</v>
      </c>
      <c r="S497" s="12">
        <f t="shared" si="994"/>
        <v>54.5</v>
      </c>
      <c r="T497" s="60">
        <f t="shared" si="995"/>
        <v>1465</v>
      </c>
      <c r="U497" s="2">
        <f t="shared" si="996"/>
        <v>100.8</v>
      </c>
      <c r="V497" s="42">
        <f t="shared" si="15"/>
        <v>504</v>
      </c>
      <c r="W497" s="2">
        <f t="shared" si="997"/>
        <v>100.8</v>
      </c>
      <c r="X497" s="2">
        <f t="shared" si="998"/>
        <v>806.4</v>
      </c>
      <c r="Y497" s="2">
        <f t="shared" si="999"/>
        <v>1512</v>
      </c>
      <c r="Z497" s="60">
        <f t="shared" si="1000"/>
        <v>8427</v>
      </c>
      <c r="AA497" s="11">
        <f t="shared" si="1001"/>
        <v>1685.4</v>
      </c>
      <c r="AB497" s="12">
        <f t="shared" si="1002"/>
        <v>10112.4</v>
      </c>
      <c r="AC497" s="2">
        <f t="shared" si="1049"/>
        <v>10080</v>
      </c>
      <c r="AD497" s="12">
        <f t="shared" si="1050"/>
        <v>32.4</v>
      </c>
      <c r="AE497" s="12">
        <f t="shared" si="1051"/>
        <v>0.3203987184</v>
      </c>
      <c r="AG497" s="62">
        <f t="shared" si="1006"/>
        <v>-100</v>
      </c>
      <c r="AH497" s="63">
        <f t="shared" si="1007"/>
        <v>8990</v>
      </c>
      <c r="AI497" s="64">
        <f t="shared" si="1630"/>
        <v>10112.4</v>
      </c>
      <c r="AJ497" s="65">
        <v>8990.0</v>
      </c>
      <c r="AK497" s="66">
        <f t="shared" si="1008"/>
        <v>64.95412844</v>
      </c>
      <c r="AL497" s="66"/>
      <c r="AM497" s="14">
        <f t="shared" si="1009"/>
        <v>100</v>
      </c>
      <c r="AN497" s="67">
        <f t="shared" si="1010"/>
        <v>164.9541284</v>
      </c>
      <c r="AO497" s="68">
        <f t="shared" si="1011"/>
        <v>1.649541284</v>
      </c>
      <c r="AP497" s="69">
        <f t="shared" si="1012"/>
        <v>-11.224</v>
      </c>
      <c r="AQ497" s="70">
        <f t="shared" si="1013"/>
        <v>-10.9</v>
      </c>
      <c r="AR497" s="71">
        <f t="shared" ref="AR497:AS497" si="1631">AI497/94</f>
        <v>107.5787234</v>
      </c>
      <c r="AS497" s="71">
        <f t="shared" si="1631"/>
        <v>95.63829787</v>
      </c>
      <c r="AT497" s="72">
        <f t="shared" ref="AT497:AU497" si="1632">AI497/24</f>
        <v>421.35</v>
      </c>
      <c r="AU497" s="72">
        <f t="shared" si="1632"/>
        <v>374.5833333</v>
      </c>
      <c r="AV497" s="73">
        <f t="shared" ref="AV497:AW497" si="1633">AI497/125</f>
        <v>80.8992</v>
      </c>
      <c r="AW497" s="73">
        <f t="shared" si="1633"/>
        <v>71.92</v>
      </c>
    </row>
    <row r="498" ht="15.75" customHeight="1">
      <c r="A498" s="2"/>
      <c r="B498" s="1" t="s">
        <v>990</v>
      </c>
      <c r="C498" s="2" t="s">
        <v>991</v>
      </c>
      <c r="D498" s="102">
        <v>7600.0</v>
      </c>
      <c r="E498" s="2">
        <v>145.0</v>
      </c>
      <c r="F498" s="1">
        <v>125.0</v>
      </c>
      <c r="G498" s="10">
        <v>8.3061E7</v>
      </c>
      <c r="H498" s="59">
        <v>0.05</v>
      </c>
      <c r="I498" s="2">
        <f t="shared" si="1477"/>
        <v>380</v>
      </c>
      <c r="K498" s="1">
        <v>200.0</v>
      </c>
      <c r="L498" s="4">
        <f t="shared" si="987"/>
        <v>8450</v>
      </c>
      <c r="M498" s="2">
        <f t="shared" si="1055"/>
        <v>76</v>
      </c>
      <c r="N498" s="12">
        <f t="shared" si="989"/>
        <v>676</v>
      </c>
      <c r="O498" s="12">
        <f t="shared" si="990"/>
        <v>845</v>
      </c>
      <c r="P498" s="12">
        <f t="shared" si="991"/>
        <v>422.5</v>
      </c>
      <c r="Q498" s="12">
        <f t="shared" si="992"/>
        <v>169</v>
      </c>
      <c r="R498" s="12">
        <f t="shared" si="993"/>
        <v>79.8</v>
      </c>
      <c r="S498" s="12">
        <f t="shared" si="994"/>
        <v>84.5</v>
      </c>
      <c r="T498" s="60">
        <f t="shared" si="995"/>
        <v>2273</v>
      </c>
      <c r="U498" s="2">
        <f t="shared" si="996"/>
        <v>159.6</v>
      </c>
      <c r="V498" s="42">
        <f t="shared" si="15"/>
        <v>798</v>
      </c>
      <c r="W498" s="2">
        <f t="shared" si="997"/>
        <v>159.6</v>
      </c>
      <c r="X498" s="2">
        <f t="shared" si="998"/>
        <v>1276.8</v>
      </c>
      <c r="Y498" s="2">
        <f t="shared" si="999"/>
        <v>2394</v>
      </c>
      <c r="Z498" s="60">
        <f t="shared" si="1000"/>
        <v>13117</v>
      </c>
      <c r="AA498" s="11">
        <f t="shared" si="1001"/>
        <v>2623.4</v>
      </c>
      <c r="AB498" s="12">
        <f t="shared" si="1002"/>
        <v>15740.4</v>
      </c>
      <c r="AC498" s="2">
        <f t="shared" si="1049"/>
        <v>15960</v>
      </c>
      <c r="AD498" s="12">
        <f t="shared" si="1050"/>
        <v>-219.6</v>
      </c>
      <c r="AE498" s="12">
        <f t="shared" si="1051"/>
        <v>-1.395136083</v>
      </c>
      <c r="AF498" s="61">
        <v>8250.0</v>
      </c>
      <c r="AG498" s="62">
        <f t="shared" si="1006"/>
        <v>-2.366863905</v>
      </c>
      <c r="AH498" s="63">
        <f t="shared" si="1007"/>
        <v>740</v>
      </c>
      <c r="AI498" s="65">
        <v>9990.0</v>
      </c>
      <c r="AJ498" s="65">
        <v>8990.0</v>
      </c>
      <c r="AK498" s="66">
        <f t="shared" si="1008"/>
        <v>6.390532544</v>
      </c>
      <c r="AL498" s="66"/>
      <c r="AM498" s="14">
        <f t="shared" si="1009"/>
        <v>8.231368187</v>
      </c>
      <c r="AN498" s="67">
        <f t="shared" si="1010"/>
        <v>8.75739645</v>
      </c>
      <c r="AO498" s="68">
        <f t="shared" si="1011"/>
        <v>1.063905325</v>
      </c>
      <c r="AP498" s="69">
        <f t="shared" si="1012"/>
        <v>-67.504</v>
      </c>
      <c r="AQ498" s="70">
        <f t="shared" si="1013"/>
        <v>-69.7</v>
      </c>
      <c r="AR498" s="71">
        <f t="shared" ref="AR498:AS498" si="1634">AI498/94</f>
        <v>106.2765957</v>
      </c>
      <c r="AS498" s="71">
        <f t="shared" si="1634"/>
        <v>95.63829787</v>
      </c>
      <c r="AT498" s="72">
        <f t="shared" ref="AT498:AU498" si="1635">AI498/24</f>
        <v>416.25</v>
      </c>
      <c r="AU498" s="72">
        <f t="shared" si="1635"/>
        <v>374.5833333</v>
      </c>
      <c r="AV498" s="73">
        <f t="shared" ref="AV498:AW498" si="1636">AI498/125</f>
        <v>79.92</v>
      </c>
      <c r="AW498" s="73">
        <f t="shared" si="1636"/>
        <v>71.92</v>
      </c>
    </row>
    <row r="499" ht="15.75" customHeight="1">
      <c r="A499" s="2"/>
      <c r="B499" s="2" t="s">
        <v>992</v>
      </c>
      <c r="C499" s="2" t="s">
        <v>993</v>
      </c>
      <c r="D499" s="102">
        <v>8400.0</v>
      </c>
      <c r="E499" s="2">
        <v>145.0</v>
      </c>
      <c r="F499" s="1">
        <v>125.0</v>
      </c>
      <c r="G499" s="10">
        <v>8.3061E7</v>
      </c>
      <c r="H499" s="59">
        <v>0.05</v>
      </c>
      <c r="I499" s="2">
        <f t="shared" si="1477"/>
        <v>420</v>
      </c>
      <c r="K499" s="1">
        <v>200.0</v>
      </c>
      <c r="L499" s="4">
        <f t="shared" si="987"/>
        <v>9290</v>
      </c>
      <c r="M499" s="2">
        <f t="shared" si="1055"/>
        <v>84</v>
      </c>
      <c r="N499" s="12">
        <f t="shared" si="989"/>
        <v>743.2</v>
      </c>
      <c r="O499" s="12">
        <f t="shared" si="990"/>
        <v>929</v>
      </c>
      <c r="P499" s="12">
        <f t="shared" si="991"/>
        <v>464.5</v>
      </c>
      <c r="Q499" s="12">
        <f t="shared" si="992"/>
        <v>185.8</v>
      </c>
      <c r="R499" s="12">
        <f t="shared" si="993"/>
        <v>88.2</v>
      </c>
      <c r="S499" s="12">
        <f t="shared" si="994"/>
        <v>92.9</v>
      </c>
      <c r="T499" s="60">
        <f t="shared" si="995"/>
        <v>2499.4</v>
      </c>
      <c r="U499" s="2">
        <f t="shared" si="996"/>
        <v>176.4</v>
      </c>
      <c r="V499" s="42">
        <f t="shared" si="15"/>
        <v>882</v>
      </c>
      <c r="W499" s="2">
        <f t="shared" si="997"/>
        <v>176.4</v>
      </c>
      <c r="X499" s="2">
        <f t="shared" si="998"/>
        <v>1411.2</v>
      </c>
      <c r="Y499" s="2">
        <f t="shared" si="999"/>
        <v>2646</v>
      </c>
      <c r="Z499" s="60">
        <f t="shared" si="1000"/>
        <v>14435.4</v>
      </c>
      <c r="AA499" s="11">
        <f t="shared" si="1001"/>
        <v>2887.08</v>
      </c>
      <c r="AB499" s="12">
        <f t="shared" si="1002"/>
        <v>17322.48</v>
      </c>
      <c r="AC499" s="2">
        <f t="shared" si="1049"/>
        <v>17640</v>
      </c>
      <c r="AD499" s="12">
        <f t="shared" si="1050"/>
        <v>-317.52</v>
      </c>
      <c r="AE499" s="12">
        <f t="shared" si="1051"/>
        <v>-1.83299389</v>
      </c>
      <c r="AF499" s="61">
        <v>9350.0</v>
      </c>
      <c r="AG499" s="62">
        <f t="shared" si="1006"/>
        <v>0.6458557589</v>
      </c>
      <c r="AH499" s="63">
        <f t="shared" si="1007"/>
        <v>640</v>
      </c>
      <c r="AI499" s="65">
        <v>10990.0</v>
      </c>
      <c r="AJ499" s="65">
        <v>9990.0</v>
      </c>
      <c r="AK499" s="66">
        <f t="shared" si="1008"/>
        <v>7.534983854</v>
      </c>
      <c r="AL499" s="66"/>
      <c r="AM499" s="14">
        <f t="shared" si="1009"/>
        <v>6.406406406</v>
      </c>
      <c r="AN499" s="67">
        <f t="shared" si="1010"/>
        <v>6.889128095</v>
      </c>
      <c r="AO499" s="68">
        <f t="shared" si="1011"/>
        <v>1.075349839</v>
      </c>
      <c r="AP499" s="69">
        <f t="shared" si="1012"/>
        <v>-73.3248</v>
      </c>
      <c r="AQ499" s="70">
        <f t="shared" si="1013"/>
        <v>-76.5</v>
      </c>
      <c r="AR499" s="71">
        <f t="shared" ref="AR499:AS499" si="1637">AI499/94</f>
        <v>116.9148936</v>
      </c>
      <c r="AS499" s="71">
        <f t="shared" si="1637"/>
        <v>106.2765957</v>
      </c>
      <c r="AT499" s="72">
        <f t="shared" ref="AT499:AU499" si="1638">AI499/24</f>
        <v>457.9166667</v>
      </c>
      <c r="AU499" s="72">
        <f t="shared" si="1638"/>
        <v>416.25</v>
      </c>
      <c r="AV499" s="73">
        <f t="shared" ref="AV499:AW499" si="1639">AI499/125</f>
        <v>87.92</v>
      </c>
      <c r="AW499" s="73">
        <f t="shared" si="1639"/>
        <v>79.92</v>
      </c>
    </row>
    <row r="500" ht="15.75" customHeight="1">
      <c r="A500" s="2"/>
      <c r="B500" s="2" t="s">
        <v>994</v>
      </c>
      <c r="C500" s="2" t="s">
        <v>995</v>
      </c>
      <c r="D500" s="102">
        <v>9600.0</v>
      </c>
      <c r="E500" s="2">
        <v>145.0</v>
      </c>
      <c r="F500" s="1">
        <v>145.0</v>
      </c>
      <c r="G500" s="10">
        <v>8.3061E7</v>
      </c>
      <c r="H500" s="59">
        <v>0.05</v>
      </c>
      <c r="I500" s="2">
        <f t="shared" si="1477"/>
        <v>480</v>
      </c>
      <c r="K500" s="1">
        <v>200.0</v>
      </c>
      <c r="L500" s="4">
        <f t="shared" si="987"/>
        <v>10570</v>
      </c>
      <c r="M500" s="2">
        <f t="shared" si="1055"/>
        <v>96</v>
      </c>
      <c r="N500" s="12">
        <f t="shared" si="989"/>
        <v>845.6</v>
      </c>
      <c r="O500" s="12">
        <f t="shared" si="990"/>
        <v>1057</v>
      </c>
      <c r="P500" s="12">
        <f t="shared" si="991"/>
        <v>528.5</v>
      </c>
      <c r="Q500" s="12">
        <f t="shared" si="992"/>
        <v>211.4</v>
      </c>
      <c r="R500" s="12">
        <f t="shared" si="993"/>
        <v>100.8</v>
      </c>
      <c r="S500" s="12">
        <f t="shared" si="994"/>
        <v>105.7</v>
      </c>
      <c r="T500" s="60">
        <f t="shared" si="995"/>
        <v>2844.2</v>
      </c>
      <c r="U500" s="2">
        <f t="shared" si="996"/>
        <v>201.6</v>
      </c>
      <c r="V500" s="42">
        <f t="shared" si="15"/>
        <v>1008</v>
      </c>
      <c r="W500" s="2">
        <f t="shared" si="997"/>
        <v>201.6</v>
      </c>
      <c r="X500" s="2">
        <f t="shared" si="998"/>
        <v>1612.8</v>
      </c>
      <c r="Y500" s="2">
        <f t="shared" si="999"/>
        <v>3024</v>
      </c>
      <c r="Z500" s="60">
        <f t="shared" si="1000"/>
        <v>16438.2</v>
      </c>
      <c r="AA500" s="11">
        <f t="shared" si="1001"/>
        <v>3287.64</v>
      </c>
      <c r="AB500" s="12">
        <f t="shared" si="1002"/>
        <v>19725.84</v>
      </c>
      <c r="AC500" s="2">
        <f t="shared" si="1049"/>
        <v>20160</v>
      </c>
      <c r="AD500" s="12">
        <f t="shared" si="1050"/>
        <v>-434.16</v>
      </c>
      <c r="AE500" s="12">
        <f t="shared" si="1051"/>
        <v>-2.200970909</v>
      </c>
      <c r="AF500" s="61">
        <v>10750.0</v>
      </c>
      <c r="AG500" s="62">
        <f t="shared" si="1006"/>
        <v>1.702932829</v>
      </c>
      <c r="AH500" s="63">
        <f t="shared" si="1007"/>
        <v>1240</v>
      </c>
      <c r="AI500" s="65">
        <v>13990.0</v>
      </c>
      <c r="AJ500" s="65">
        <v>11990.0</v>
      </c>
      <c r="AK500" s="66">
        <f t="shared" si="1008"/>
        <v>13.43424787</v>
      </c>
      <c r="AL500" s="66"/>
      <c r="AM500" s="14">
        <f t="shared" si="1009"/>
        <v>10.34195163</v>
      </c>
      <c r="AN500" s="67">
        <f t="shared" si="1010"/>
        <v>11.73131504</v>
      </c>
      <c r="AO500" s="68">
        <f t="shared" si="1011"/>
        <v>1.134342479</v>
      </c>
      <c r="AP500" s="69">
        <f t="shared" si="1012"/>
        <v>-77.3584</v>
      </c>
      <c r="AQ500" s="70">
        <f t="shared" si="1013"/>
        <v>-81.7</v>
      </c>
      <c r="AR500" s="71">
        <f t="shared" ref="AR500:AS500" si="1640">AI500/94</f>
        <v>148.8297872</v>
      </c>
      <c r="AS500" s="71">
        <f t="shared" si="1640"/>
        <v>127.5531915</v>
      </c>
      <c r="AT500" s="72">
        <f t="shared" ref="AT500:AU500" si="1641">AI500/24</f>
        <v>582.9166667</v>
      </c>
      <c r="AU500" s="72">
        <f t="shared" si="1641"/>
        <v>499.5833333</v>
      </c>
      <c r="AV500" s="73">
        <f t="shared" ref="AV500:AW500" si="1642">AI500/125</f>
        <v>111.92</v>
      </c>
      <c r="AW500" s="73">
        <f t="shared" si="1642"/>
        <v>95.92</v>
      </c>
    </row>
    <row r="501" ht="15.75" customHeight="1">
      <c r="A501" s="2"/>
      <c r="B501" s="2" t="s">
        <v>996</v>
      </c>
      <c r="C501" s="2" t="s">
        <v>997</v>
      </c>
      <c r="D501" s="102">
        <v>10200.0</v>
      </c>
      <c r="E501" s="2">
        <v>145.0</v>
      </c>
      <c r="F501" s="1">
        <v>145.0</v>
      </c>
      <c r="G501" s="10">
        <v>8.3061E7</v>
      </c>
      <c r="H501" s="59">
        <v>0.05</v>
      </c>
      <c r="I501" s="2">
        <f t="shared" si="1477"/>
        <v>510</v>
      </c>
      <c r="K501" s="1">
        <v>200.0</v>
      </c>
      <c r="L501" s="4">
        <f t="shared" si="987"/>
        <v>11200</v>
      </c>
      <c r="M501" s="2">
        <f t="shared" si="1055"/>
        <v>102</v>
      </c>
      <c r="N501" s="12">
        <f t="shared" si="989"/>
        <v>896</v>
      </c>
      <c r="O501" s="12">
        <f t="shared" si="990"/>
        <v>1120</v>
      </c>
      <c r="P501" s="12">
        <f t="shared" si="991"/>
        <v>560</v>
      </c>
      <c r="Q501" s="12">
        <f t="shared" si="992"/>
        <v>224</v>
      </c>
      <c r="R501" s="12">
        <f t="shared" si="993"/>
        <v>107.1</v>
      </c>
      <c r="S501" s="12">
        <f t="shared" si="994"/>
        <v>112</v>
      </c>
      <c r="T501" s="60">
        <f t="shared" si="995"/>
        <v>3014</v>
      </c>
      <c r="U501" s="2">
        <f t="shared" si="996"/>
        <v>214.2</v>
      </c>
      <c r="V501" s="42">
        <f t="shared" si="15"/>
        <v>1071</v>
      </c>
      <c r="W501" s="2">
        <f t="shared" si="997"/>
        <v>214.2</v>
      </c>
      <c r="X501" s="2">
        <f t="shared" si="998"/>
        <v>1713.6</v>
      </c>
      <c r="Y501" s="2">
        <f t="shared" si="999"/>
        <v>3213</v>
      </c>
      <c r="Z501" s="60">
        <f t="shared" si="1000"/>
        <v>17427</v>
      </c>
      <c r="AA501" s="11">
        <f t="shared" si="1001"/>
        <v>3485.4</v>
      </c>
      <c r="AB501" s="12">
        <f t="shared" si="1002"/>
        <v>20912.4</v>
      </c>
      <c r="AC501" s="2">
        <f t="shared" si="1049"/>
        <v>21420</v>
      </c>
      <c r="AD501" s="12">
        <f t="shared" si="1050"/>
        <v>-507.6</v>
      </c>
      <c r="AE501" s="12">
        <f t="shared" si="1051"/>
        <v>-2.427268032</v>
      </c>
      <c r="AF501" s="61">
        <v>11950.0</v>
      </c>
      <c r="AG501" s="62">
        <f t="shared" si="1006"/>
        <v>6.696428571</v>
      </c>
      <c r="AH501" s="63">
        <f t="shared" si="1007"/>
        <v>1040</v>
      </c>
      <c r="AI501" s="65">
        <v>14990.0</v>
      </c>
      <c r="AJ501" s="65">
        <v>12990.0</v>
      </c>
      <c r="AK501" s="66">
        <f t="shared" si="1008"/>
        <v>15.98214286</v>
      </c>
      <c r="AL501" s="66"/>
      <c r="AM501" s="14">
        <f t="shared" si="1009"/>
        <v>8.006158584</v>
      </c>
      <c r="AN501" s="67">
        <f t="shared" si="1010"/>
        <v>9.285714286</v>
      </c>
      <c r="AO501" s="68">
        <f t="shared" si="1011"/>
        <v>1.159821429</v>
      </c>
      <c r="AP501" s="69">
        <f t="shared" si="1012"/>
        <v>-79.224</v>
      </c>
      <c r="AQ501" s="70">
        <f t="shared" si="1013"/>
        <v>-84.3</v>
      </c>
      <c r="AR501" s="71">
        <f t="shared" ref="AR501:AS501" si="1643">AI501/94</f>
        <v>159.4680851</v>
      </c>
      <c r="AS501" s="71">
        <f t="shared" si="1643"/>
        <v>138.1914894</v>
      </c>
      <c r="AT501" s="72">
        <f t="shared" ref="AT501:AU501" si="1644">AI501/24</f>
        <v>624.5833333</v>
      </c>
      <c r="AU501" s="72">
        <f t="shared" si="1644"/>
        <v>541.25</v>
      </c>
      <c r="AV501" s="73">
        <f t="shared" ref="AV501:AW501" si="1645">AI501/125</f>
        <v>119.92</v>
      </c>
      <c r="AW501" s="73">
        <f t="shared" si="1645"/>
        <v>103.92</v>
      </c>
    </row>
    <row r="502" ht="15.75" customHeight="1">
      <c r="A502" s="2"/>
      <c r="B502" s="2" t="s">
        <v>998</v>
      </c>
      <c r="C502" s="75" t="s">
        <v>999</v>
      </c>
      <c r="D502" s="102">
        <v>10800.0</v>
      </c>
      <c r="E502" s="2">
        <v>145.0</v>
      </c>
      <c r="F502" s="1">
        <v>145.0</v>
      </c>
      <c r="G502" s="10">
        <v>8.3061E7</v>
      </c>
      <c r="H502" s="59">
        <v>0.05</v>
      </c>
      <c r="I502" s="2">
        <f t="shared" si="1477"/>
        <v>540</v>
      </c>
      <c r="K502" s="1">
        <v>200.0</v>
      </c>
      <c r="L502" s="4">
        <f t="shared" si="987"/>
        <v>11830</v>
      </c>
      <c r="M502" s="2">
        <f t="shared" si="1055"/>
        <v>108</v>
      </c>
      <c r="N502" s="12">
        <f t="shared" si="989"/>
        <v>946.4</v>
      </c>
      <c r="O502" s="12">
        <f t="shared" si="990"/>
        <v>1183</v>
      </c>
      <c r="P502" s="12">
        <f t="shared" si="991"/>
        <v>591.5</v>
      </c>
      <c r="Q502" s="12">
        <f t="shared" si="992"/>
        <v>236.6</v>
      </c>
      <c r="R502" s="12">
        <f t="shared" si="993"/>
        <v>113.4</v>
      </c>
      <c r="S502" s="12">
        <f t="shared" si="994"/>
        <v>118.3</v>
      </c>
      <c r="T502" s="60">
        <f t="shared" si="995"/>
        <v>3183.8</v>
      </c>
      <c r="U502" s="2">
        <f t="shared" si="996"/>
        <v>226.8</v>
      </c>
      <c r="V502" s="42">
        <f t="shared" si="15"/>
        <v>1134</v>
      </c>
      <c r="W502" s="2">
        <f t="shared" si="997"/>
        <v>226.8</v>
      </c>
      <c r="X502" s="2">
        <f t="shared" si="998"/>
        <v>1814.4</v>
      </c>
      <c r="Y502" s="2">
        <f t="shared" si="999"/>
        <v>3402</v>
      </c>
      <c r="Z502" s="60">
        <f t="shared" si="1000"/>
        <v>18415.8</v>
      </c>
      <c r="AA502" s="11">
        <f t="shared" si="1001"/>
        <v>3683.16</v>
      </c>
      <c r="AB502" s="12">
        <f t="shared" si="1002"/>
        <v>22098.96</v>
      </c>
      <c r="AC502" s="2">
        <f t="shared" si="1049"/>
        <v>22680</v>
      </c>
      <c r="AD502" s="12">
        <f t="shared" si="1050"/>
        <v>-581.04</v>
      </c>
      <c r="AE502" s="12">
        <f t="shared" si="1051"/>
        <v>-2.629264002</v>
      </c>
      <c r="AG502" s="62">
        <f t="shared" si="1006"/>
        <v>-100</v>
      </c>
      <c r="AH502" s="63">
        <f t="shared" si="1007"/>
        <v>19990</v>
      </c>
      <c r="AI502" s="64">
        <f t="shared" ref="AI502:AI503" si="1649">AB502</f>
        <v>22098.96</v>
      </c>
      <c r="AJ502" s="65">
        <v>19990.0</v>
      </c>
      <c r="AK502" s="66">
        <f t="shared" si="1008"/>
        <v>68.97717667</v>
      </c>
      <c r="AL502" s="66"/>
      <c r="AM502" s="14">
        <f t="shared" si="1009"/>
        <v>100</v>
      </c>
      <c r="AN502" s="67">
        <f t="shared" si="1010"/>
        <v>168.9771767</v>
      </c>
      <c r="AO502" s="68">
        <f t="shared" si="1011"/>
        <v>1.689771767</v>
      </c>
      <c r="AP502" s="69">
        <f t="shared" si="1012"/>
        <v>-21.0896</v>
      </c>
      <c r="AQ502" s="70">
        <f t="shared" si="1013"/>
        <v>-26.9</v>
      </c>
      <c r="AR502" s="71">
        <f t="shared" ref="AR502:AS502" si="1646">AI502/94</f>
        <v>235.0953191</v>
      </c>
      <c r="AS502" s="71">
        <f t="shared" si="1646"/>
        <v>212.6595745</v>
      </c>
      <c r="AT502" s="72">
        <f t="shared" ref="AT502:AU502" si="1647">AI502/24</f>
        <v>920.79</v>
      </c>
      <c r="AU502" s="72">
        <f t="shared" si="1647"/>
        <v>832.9166667</v>
      </c>
      <c r="AV502" s="73">
        <f t="shared" ref="AV502:AW502" si="1648">AI502/125</f>
        <v>176.79168</v>
      </c>
      <c r="AW502" s="73">
        <f t="shared" si="1648"/>
        <v>159.92</v>
      </c>
    </row>
    <row r="503" ht="15.75" customHeight="1">
      <c r="A503" s="2"/>
      <c r="B503" s="1" t="s">
        <v>1000</v>
      </c>
      <c r="C503" s="75" t="s">
        <v>1001</v>
      </c>
      <c r="D503" s="102">
        <v>12500.0</v>
      </c>
      <c r="E503" s="2">
        <v>145.0</v>
      </c>
      <c r="F503" s="1">
        <v>145.0</v>
      </c>
      <c r="G503" s="10">
        <v>8.3061E7</v>
      </c>
      <c r="H503" s="59">
        <v>0.05</v>
      </c>
      <c r="I503" s="2">
        <f t="shared" si="1477"/>
        <v>625</v>
      </c>
      <c r="K503" s="1">
        <v>200.0</v>
      </c>
      <c r="L503" s="4">
        <f t="shared" si="987"/>
        <v>13615</v>
      </c>
      <c r="M503" s="2">
        <f t="shared" si="1055"/>
        <v>125</v>
      </c>
      <c r="N503" s="12">
        <f t="shared" si="989"/>
        <v>1089.2</v>
      </c>
      <c r="O503" s="12">
        <f t="shared" si="990"/>
        <v>1361.5</v>
      </c>
      <c r="P503" s="12">
        <f t="shared" si="991"/>
        <v>680.75</v>
      </c>
      <c r="Q503" s="12">
        <f t="shared" si="992"/>
        <v>272.3</v>
      </c>
      <c r="R503" s="12">
        <f t="shared" si="993"/>
        <v>131.25</v>
      </c>
      <c r="S503" s="12">
        <f t="shared" si="994"/>
        <v>136.15</v>
      </c>
      <c r="T503" s="60">
        <f t="shared" si="995"/>
        <v>3664.9</v>
      </c>
      <c r="U503" s="2">
        <f t="shared" si="996"/>
        <v>262.5</v>
      </c>
      <c r="V503" s="42">
        <f t="shared" si="15"/>
        <v>1312.5</v>
      </c>
      <c r="W503" s="2">
        <f t="shared" si="997"/>
        <v>262.5</v>
      </c>
      <c r="X503" s="2">
        <f t="shared" si="998"/>
        <v>2100</v>
      </c>
      <c r="Y503" s="2">
        <f t="shared" si="999"/>
        <v>3937.5</v>
      </c>
      <c r="Z503" s="60">
        <f t="shared" si="1000"/>
        <v>21217.4</v>
      </c>
      <c r="AA503" s="11">
        <f t="shared" si="1001"/>
        <v>4243.48</v>
      </c>
      <c r="AB503" s="12">
        <f t="shared" si="1002"/>
        <v>25460.88</v>
      </c>
      <c r="AC503" s="2">
        <f t="shared" si="1049"/>
        <v>26250</v>
      </c>
      <c r="AD503" s="12">
        <f t="shared" si="1050"/>
        <v>-789.12</v>
      </c>
      <c r="AE503" s="12">
        <f t="shared" si="1051"/>
        <v>-3.099342992</v>
      </c>
      <c r="AG503" s="62">
        <f t="shared" si="1006"/>
        <v>-100</v>
      </c>
      <c r="AH503" s="63">
        <f t="shared" si="1007"/>
        <v>24990</v>
      </c>
      <c r="AI503" s="64">
        <f t="shared" si="1649"/>
        <v>25460.88</v>
      </c>
      <c r="AJ503" s="65">
        <v>24990.0</v>
      </c>
      <c r="AK503" s="66">
        <f t="shared" si="1008"/>
        <v>83.54755784</v>
      </c>
      <c r="AL503" s="66"/>
      <c r="AM503" s="14">
        <f t="shared" si="1009"/>
        <v>100</v>
      </c>
      <c r="AN503" s="67">
        <f t="shared" si="1010"/>
        <v>183.5475578</v>
      </c>
      <c r="AO503" s="68">
        <f t="shared" si="1011"/>
        <v>1.835475578</v>
      </c>
      <c r="AP503" s="69">
        <f t="shared" si="1012"/>
        <v>-4.7088</v>
      </c>
      <c r="AQ503" s="70">
        <f t="shared" si="1013"/>
        <v>-12.6</v>
      </c>
      <c r="AR503" s="71">
        <f t="shared" ref="AR503:AS503" si="1650">AI503/94</f>
        <v>270.8604255</v>
      </c>
      <c r="AS503" s="71">
        <f t="shared" si="1650"/>
        <v>265.8510638</v>
      </c>
      <c r="AT503" s="72">
        <f t="shared" ref="AT503:AU503" si="1651">AI503/24</f>
        <v>1060.87</v>
      </c>
      <c r="AU503" s="72">
        <f t="shared" si="1651"/>
        <v>1041.25</v>
      </c>
      <c r="AV503" s="73">
        <f t="shared" ref="AV503:AW503" si="1652">AI503/125</f>
        <v>203.68704</v>
      </c>
      <c r="AW503" s="73">
        <f t="shared" si="1652"/>
        <v>199.92</v>
      </c>
    </row>
    <row r="504" ht="15.75" customHeight="1">
      <c r="A504" s="2"/>
      <c r="B504" s="2" t="s">
        <v>1002</v>
      </c>
      <c r="C504" s="2" t="s">
        <v>1003</v>
      </c>
      <c r="D504" s="102">
        <v>4000.0</v>
      </c>
      <c r="E504" s="2">
        <v>125.0</v>
      </c>
      <c r="F504" s="1">
        <v>85.0</v>
      </c>
      <c r="G504" s="10">
        <v>8.3061E7</v>
      </c>
      <c r="H504" s="59">
        <v>0.05</v>
      </c>
      <c r="I504" s="2">
        <f t="shared" si="1477"/>
        <v>200</v>
      </c>
      <c r="K504" s="1">
        <v>200.0</v>
      </c>
      <c r="L504" s="4">
        <f t="shared" si="987"/>
        <v>4610</v>
      </c>
      <c r="M504" s="2">
        <f t="shared" si="1055"/>
        <v>40</v>
      </c>
      <c r="N504" s="12">
        <f t="shared" si="989"/>
        <v>368.8</v>
      </c>
      <c r="O504" s="12">
        <f t="shared" si="990"/>
        <v>461</v>
      </c>
      <c r="P504" s="12">
        <f t="shared" si="991"/>
        <v>230.5</v>
      </c>
      <c r="Q504" s="12">
        <f t="shared" si="992"/>
        <v>92.2</v>
      </c>
      <c r="R504" s="12">
        <f t="shared" si="993"/>
        <v>42</v>
      </c>
      <c r="S504" s="12">
        <f t="shared" si="994"/>
        <v>46.1</v>
      </c>
      <c r="T504" s="60">
        <f t="shared" si="995"/>
        <v>1238.6</v>
      </c>
      <c r="U504" s="2">
        <f t="shared" si="996"/>
        <v>84</v>
      </c>
      <c r="V504" s="42">
        <f t="shared" si="15"/>
        <v>420</v>
      </c>
      <c r="W504" s="2">
        <f t="shared" si="997"/>
        <v>84</v>
      </c>
      <c r="X504" s="2">
        <f t="shared" si="998"/>
        <v>672</v>
      </c>
      <c r="Y504" s="2">
        <f t="shared" si="999"/>
        <v>1260</v>
      </c>
      <c r="Z504" s="60">
        <f t="shared" si="1000"/>
        <v>7108.6</v>
      </c>
      <c r="AA504" s="11">
        <f t="shared" si="1001"/>
        <v>1421.72</v>
      </c>
      <c r="AB504" s="12">
        <f t="shared" si="1002"/>
        <v>8530.32</v>
      </c>
      <c r="AC504" s="2">
        <f t="shared" si="1049"/>
        <v>8400</v>
      </c>
      <c r="AD504" s="12">
        <f t="shared" si="1050"/>
        <v>130.32</v>
      </c>
      <c r="AE504" s="12">
        <f t="shared" si="1051"/>
        <v>1.527726979</v>
      </c>
      <c r="AF504" s="61">
        <v>6650.0</v>
      </c>
      <c r="AG504" s="62">
        <f t="shared" si="1006"/>
        <v>44.2516269</v>
      </c>
      <c r="AH504" s="63">
        <f t="shared" si="1007"/>
        <v>340</v>
      </c>
      <c r="AI504" s="65">
        <v>7990.0</v>
      </c>
      <c r="AJ504" s="65">
        <v>6990.0</v>
      </c>
      <c r="AK504" s="66">
        <f t="shared" si="1008"/>
        <v>51.62689805</v>
      </c>
      <c r="AL504" s="66"/>
      <c r="AM504" s="14">
        <f t="shared" si="1009"/>
        <v>4.864091559</v>
      </c>
      <c r="AN504" s="67">
        <f t="shared" si="1010"/>
        <v>7.37527115</v>
      </c>
      <c r="AO504" s="68">
        <f t="shared" si="1011"/>
        <v>1.51626898</v>
      </c>
      <c r="AP504" s="69">
        <f t="shared" si="1012"/>
        <v>-15.4032</v>
      </c>
      <c r="AQ504" s="70">
        <f t="shared" si="1013"/>
        <v>-14.1</v>
      </c>
      <c r="AR504" s="71">
        <f t="shared" ref="AR504:AS504" si="1653">AI504/94</f>
        <v>85</v>
      </c>
      <c r="AS504" s="71">
        <f t="shared" si="1653"/>
        <v>74.36170213</v>
      </c>
      <c r="AT504" s="72">
        <f t="shared" ref="AT504:AU504" si="1654">AI504/24</f>
        <v>332.9166667</v>
      </c>
      <c r="AU504" s="72">
        <f t="shared" si="1654"/>
        <v>291.25</v>
      </c>
      <c r="AV504" s="73">
        <f t="shared" ref="AV504:AW504" si="1655">AI504/125</f>
        <v>63.92</v>
      </c>
      <c r="AW504" s="73">
        <f t="shared" si="1655"/>
        <v>55.92</v>
      </c>
    </row>
    <row r="505" ht="15.75" customHeight="1">
      <c r="A505" s="2"/>
      <c r="B505" s="2" t="s">
        <v>1004</v>
      </c>
      <c r="C505" s="2" t="s">
        <v>1005</v>
      </c>
      <c r="D505" s="102">
        <v>4800.0</v>
      </c>
      <c r="E505" s="2">
        <v>125.0</v>
      </c>
      <c r="F505" s="1">
        <v>85.0</v>
      </c>
      <c r="G505" s="10">
        <v>8.3061E7</v>
      </c>
      <c r="H505" s="59">
        <v>0.05</v>
      </c>
      <c r="I505" s="2">
        <f t="shared" si="1477"/>
        <v>240</v>
      </c>
      <c r="K505" s="1">
        <v>200.0</v>
      </c>
      <c r="L505" s="4">
        <f t="shared" si="987"/>
        <v>5450</v>
      </c>
      <c r="M505" s="2">
        <f t="shared" si="1055"/>
        <v>48</v>
      </c>
      <c r="N505" s="12">
        <f t="shared" si="989"/>
        <v>436</v>
      </c>
      <c r="O505" s="12">
        <f t="shared" si="990"/>
        <v>545</v>
      </c>
      <c r="P505" s="12">
        <f t="shared" si="991"/>
        <v>272.5</v>
      </c>
      <c r="Q505" s="12">
        <f t="shared" si="992"/>
        <v>109</v>
      </c>
      <c r="R505" s="12">
        <f t="shared" si="993"/>
        <v>50.4</v>
      </c>
      <c r="S505" s="12">
        <f t="shared" si="994"/>
        <v>54.5</v>
      </c>
      <c r="T505" s="60">
        <f t="shared" si="995"/>
        <v>1465</v>
      </c>
      <c r="U505" s="2">
        <f t="shared" si="996"/>
        <v>100.8</v>
      </c>
      <c r="V505" s="42">
        <f t="shared" si="15"/>
        <v>504</v>
      </c>
      <c r="W505" s="2">
        <f t="shared" si="997"/>
        <v>100.8</v>
      </c>
      <c r="X505" s="2">
        <f t="shared" si="998"/>
        <v>806.4</v>
      </c>
      <c r="Y505" s="2">
        <f t="shared" si="999"/>
        <v>1512</v>
      </c>
      <c r="Z505" s="60">
        <f t="shared" si="1000"/>
        <v>8427</v>
      </c>
      <c r="AA505" s="11">
        <f t="shared" si="1001"/>
        <v>1685.4</v>
      </c>
      <c r="AB505" s="12">
        <f t="shared" si="1002"/>
        <v>10112.4</v>
      </c>
      <c r="AC505" s="2">
        <f t="shared" si="1049"/>
        <v>10080</v>
      </c>
      <c r="AD505" s="12">
        <f t="shared" si="1050"/>
        <v>32.4</v>
      </c>
      <c r="AE505" s="12">
        <f t="shared" si="1051"/>
        <v>0.3203987184</v>
      </c>
      <c r="AF505" s="61">
        <v>7450.0</v>
      </c>
      <c r="AG505" s="62">
        <f t="shared" si="1006"/>
        <v>36.69724771</v>
      </c>
      <c r="AH505" s="63">
        <f t="shared" si="1007"/>
        <v>540</v>
      </c>
      <c r="AI505" s="65">
        <v>8990.0</v>
      </c>
      <c r="AJ505" s="65">
        <v>7990.0</v>
      </c>
      <c r="AK505" s="66">
        <f t="shared" si="1008"/>
        <v>46.60550459</v>
      </c>
      <c r="AL505" s="66"/>
      <c r="AM505" s="14">
        <f t="shared" si="1009"/>
        <v>6.75844806</v>
      </c>
      <c r="AN505" s="67">
        <f t="shared" si="1010"/>
        <v>9.908256881</v>
      </c>
      <c r="AO505" s="68">
        <f t="shared" si="1011"/>
        <v>1.466055046</v>
      </c>
      <c r="AP505" s="69">
        <f t="shared" si="1012"/>
        <v>-21.224</v>
      </c>
      <c r="AQ505" s="70">
        <f t="shared" si="1013"/>
        <v>-20.9</v>
      </c>
      <c r="AR505" s="71">
        <f t="shared" ref="AR505:AS505" si="1656">AI505/94</f>
        <v>95.63829787</v>
      </c>
      <c r="AS505" s="71">
        <f t="shared" si="1656"/>
        <v>85</v>
      </c>
      <c r="AT505" s="72">
        <f t="shared" ref="AT505:AU505" si="1657">AI505/24</f>
        <v>374.5833333</v>
      </c>
      <c r="AU505" s="72">
        <f t="shared" si="1657"/>
        <v>332.9166667</v>
      </c>
      <c r="AV505" s="73">
        <f t="shared" ref="AV505:AW505" si="1658">AI505/125</f>
        <v>71.92</v>
      </c>
      <c r="AW505" s="73">
        <f t="shared" si="1658"/>
        <v>63.92</v>
      </c>
    </row>
    <row r="506" ht="15.75" customHeight="1">
      <c r="A506" s="2"/>
      <c r="B506" s="2" t="s">
        <v>1006</v>
      </c>
      <c r="C506" s="2" t="s">
        <v>1007</v>
      </c>
      <c r="D506" s="102">
        <v>7600.0</v>
      </c>
      <c r="E506" s="2">
        <v>145.0</v>
      </c>
      <c r="F506" s="1">
        <v>85.0</v>
      </c>
      <c r="G506" s="10">
        <v>8.3061E7</v>
      </c>
      <c r="H506" s="59">
        <v>0.05</v>
      </c>
      <c r="I506" s="2">
        <f t="shared" si="1477"/>
        <v>380</v>
      </c>
      <c r="K506" s="1">
        <v>200.0</v>
      </c>
      <c r="L506" s="4">
        <f t="shared" si="987"/>
        <v>8410</v>
      </c>
      <c r="M506" s="2">
        <f t="shared" si="1055"/>
        <v>76</v>
      </c>
      <c r="N506" s="12">
        <f t="shared" si="989"/>
        <v>672.8</v>
      </c>
      <c r="O506" s="12">
        <f t="shared" si="990"/>
        <v>841</v>
      </c>
      <c r="P506" s="12">
        <f t="shared" si="991"/>
        <v>420.5</v>
      </c>
      <c r="Q506" s="12">
        <f t="shared" si="992"/>
        <v>168.2</v>
      </c>
      <c r="R506" s="12">
        <f t="shared" si="993"/>
        <v>79.8</v>
      </c>
      <c r="S506" s="12">
        <f t="shared" si="994"/>
        <v>84.1</v>
      </c>
      <c r="T506" s="60">
        <f t="shared" si="995"/>
        <v>2262.6</v>
      </c>
      <c r="U506" s="2">
        <f t="shared" si="996"/>
        <v>159.6</v>
      </c>
      <c r="V506" s="42">
        <f t="shared" si="15"/>
        <v>798</v>
      </c>
      <c r="W506" s="2">
        <f t="shared" si="997"/>
        <v>159.6</v>
      </c>
      <c r="X506" s="2">
        <f t="shared" si="998"/>
        <v>1276.8</v>
      </c>
      <c r="Y506" s="2">
        <f t="shared" si="999"/>
        <v>2394</v>
      </c>
      <c r="Z506" s="60">
        <f t="shared" si="1000"/>
        <v>13066.6</v>
      </c>
      <c r="AA506" s="11">
        <f t="shared" si="1001"/>
        <v>2613.32</v>
      </c>
      <c r="AB506" s="12">
        <f t="shared" si="1002"/>
        <v>15679.92</v>
      </c>
      <c r="AC506" s="2">
        <f t="shared" si="1049"/>
        <v>15960</v>
      </c>
      <c r="AD506" s="12">
        <f t="shared" si="1050"/>
        <v>-280.08</v>
      </c>
      <c r="AE506" s="12">
        <f t="shared" si="1051"/>
        <v>-1.786233603</v>
      </c>
      <c r="AF506" s="61">
        <v>8250.0</v>
      </c>
      <c r="AG506" s="62">
        <f t="shared" si="1006"/>
        <v>-1.902497027</v>
      </c>
      <c r="AH506" s="63">
        <f t="shared" si="1007"/>
        <v>740</v>
      </c>
      <c r="AI506" s="65">
        <v>9990.0</v>
      </c>
      <c r="AJ506" s="65">
        <v>8990.0</v>
      </c>
      <c r="AK506" s="66">
        <f t="shared" si="1008"/>
        <v>6.896551724</v>
      </c>
      <c r="AL506" s="66"/>
      <c r="AM506" s="14">
        <f t="shared" si="1009"/>
        <v>8.231368187</v>
      </c>
      <c r="AN506" s="67">
        <f t="shared" si="1010"/>
        <v>8.799048751</v>
      </c>
      <c r="AO506" s="68">
        <f t="shared" si="1011"/>
        <v>1.068965517</v>
      </c>
      <c r="AP506" s="69">
        <f t="shared" si="1012"/>
        <v>-66.8992</v>
      </c>
      <c r="AQ506" s="70">
        <f t="shared" si="1013"/>
        <v>-69.7</v>
      </c>
      <c r="AR506" s="71">
        <f t="shared" ref="AR506:AS506" si="1659">AI506/94</f>
        <v>106.2765957</v>
      </c>
      <c r="AS506" s="71">
        <f t="shared" si="1659"/>
        <v>95.63829787</v>
      </c>
      <c r="AT506" s="72">
        <f t="shared" ref="AT506:AU506" si="1660">AI506/24</f>
        <v>416.25</v>
      </c>
      <c r="AU506" s="72">
        <f t="shared" si="1660"/>
        <v>374.5833333</v>
      </c>
      <c r="AV506" s="73">
        <f t="shared" ref="AV506:AW506" si="1661">AI506/125</f>
        <v>79.92</v>
      </c>
      <c r="AW506" s="73">
        <f t="shared" si="1661"/>
        <v>71.92</v>
      </c>
    </row>
    <row r="507" ht="15.75" customHeight="1">
      <c r="A507" s="2"/>
      <c r="B507" s="2" t="s">
        <v>1008</v>
      </c>
      <c r="C507" s="2" t="s">
        <v>1009</v>
      </c>
      <c r="D507" s="102">
        <v>8400.0</v>
      </c>
      <c r="E507" s="2">
        <v>145.0</v>
      </c>
      <c r="F507" s="1">
        <v>85.0</v>
      </c>
      <c r="G507" s="10">
        <v>8.3061E7</v>
      </c>
      <c r="H507" s="59">
        <v>0.05</v>
      </c>
      <c r="I507" s="2">
        <f t="shared" si="1477"/>
        <v>420</v>
      </c>
      <c r="K507" s="1">
        <v>200.0</v>
      </c>
      <c r="L507" s="4">
        <f t="shared" si="987"/>
        <v>9250</v>
      </c>
      <c r="M507" s="2">
        <f t="shared" si="1055"/>
        <v>84</v>
      </c>
      <c r="N507" s="12">
        <f t="shared" si="989"/>
        <v>740</v>
      </c>
      <c r="O507" s="12">
        <f t="shared" si="990"/>
        <v>925</v>
      </c>
      <c r="P507" s="12">
        <f t="shared" si="991"/>
        <v>462.5</v>
      </c>
      <c r="Q507" s="12">
        <f t="shared" si="992"/>
        <v>185</v>
      </c>
      <c r="R507" s="12">
        <f t="shared" si="993"/>
        <v>88.2</v>
      </c>
      <c r="S507" s="12">
        <f t="shared" si="994"/>
        <v>92.5</v>
      </c>
      <c r="T507" s="60">
        <f t="shared" si="995"/>
        <v>2489</v>
      </c>
      <c r="U507" s="2">
        <f t="shared" si="996"/>
        <v>176.4</v>
      </c>
      <c r="V507" s="42">
        <f t="shared" si="15"/>
        <v>882</v>
      </c>
      <c r="W507" s="2">
        <f t="shared" si="997"/>
        <v>176.4</v>
      </c>
      <c r="X507" s="2">
        <f t="shared" si="998"/>
        <v>1411.2</v>
      </c>
      <c r="Y507" s="2">
        <f t="shared" si="999"/>
        <v>2646</v>
      </c>
      <c r="Z507" s="60">
        <f t="shared" si="1000"/>
        <v>14385</v>
      </c>
      <c r="AA507" s="11">
        <f t="shared" si="1001"/>
        <v>2877</v>
      </c>
      <c r="AB507" s="12">
        <f t="shared" si="1002"/>
        <v>17262</v>
      </c>
      <c r="AC507" s="2">
        <f t="shared" si="1049"/>
        <v>17640</v>
      </c>
      <c r="AD507" s="12">
        <f t="shared" si="1050"/>
        <v>-378</v>
      </c>
      <c r="AE507" s="12">
        <f t="shared" si="1051"/>
        <v>-2.189781022</v>
      </c>
      <c r="AF507" s="61">
        <v>9350.0</v>
      </c>
      <c r="AG507" s="62">
        <f t="shared" si="1006"/>
        <v>1.081081081</v>
      </c>
      <c r="AH507" s="63">
        <f t="shared" si="1007"/>
        <v>640</v>
      </c>
      <c r="AI507" s="65">
        <v>10990.0</v>
      </c>
      <c r="AJ507" s="65">
        <v>9990.0</v>
      </c>
      <c r="AK507" s="66">
        <f t="shared" si="1008"/>
        <v>8</v>
      </c>
      <c r="AL507" s="66"/>
      <c r="AM507" s="14">
        <f t="shared" si="1009"/>
        <v>6.406406406</v>
      </c>
      <c r="AN507" s="67">
        <f t="shared" si="1010"/>
        <v>6.918918919</v>
      </c>
      <c r="AO507" s="68">
        <f t="shared" si="1011"/>
        <v>1.08</v>
      </c>
      <c r="AP507" s="69">
        <f t="shared" si="1012"/>
        <v>-72.72</v>
      </c>
      <c r="AQ507" s="70">
        <f t="shared" si="1013"/>
        <v>-76.5</v>
      </c>
      <c r="AR507" s="71">
        <f t="shared" ref="AR507:AS507" si="1662">AI507/94</f>
        <v>116.9148936</v>
      </c>
      <c r="AS507" s="71">
        <f t="shared" si="1662"/>
        <v>106.2765957</v>
      </c>
      <c r="AT507" s="72">
        <f t="shared" ref="AT507:AU507" si="1663">AI507/24</f>
        <v>457.9166667</v>
      </c>
      <c r="AU507" s="72">
        <f t="shared" si="1663"/>
        <v>416.25</v>
      </c>
      <c r="AV507" s="73">
        <f t="shared" ref="AV507:AW507" si="1664">AI507/125</f>
        <v>87.92</v>
      </c>
      <c r="AW507" s="73">
        <f t="shared" si="1664"/>
        <v>79.92</v>
      </c>
    </row>
    <row r="508" ht="15.75" customHeight="1">
      <c r="A508" s="2"/>
      <c r="B508" s="2" t="s">
        <v>1010</v>
      </c>
      <c r="C508" s="2" t="s">
        <v>1011</v>
      </c>
      <c r="D508" s="102">
        <v>9600.0</v>
      </c>
      <c r="E508" s="2">
        <v>145.0</v>
      </c>
      <c r="F508" s="1">
        <v>145.0</v>
      </c>
      <c r="G508" s="10">
        <v>8.3061E7</v>
      </c>
      <c r="H508" s="59">
        <v>0.05</v>
      </c>
      <c r="I508" s="2">
        <f t="shared" si="1477"/>
        <v>480</v>
      </c>
      <c r="K508" s="1">
        <v>200.0</v>
      </c>
      <c r="L508" s="4">
        <f t="shared" si="987"/>
        <v>10570</v>
      </c>
      <c r="M508" s="2">
        <f t="shared" si="1055"/>
        <v>96</v>
      </c>
      <c r="N508" s="12">
        <f t="shared" si="989"/>
        <v>845.6</v>
      </c>
      <c r="O508" s="12">
        <f t="shared" si="990"/>
        <v>1057</v>
      </c>
      <c r="P508" s="12">
        <f t="shared" si="991"/>
        <v>528.5</v>
      </c>
      <c r="Q508" s="12">
        <f t="shared" si="992"/>
        <v>211.4</v>
      </c>
      <c r="R508" s="12">
        <f t="shared" si="993"/>
        <v>100.8</v>
      </c>
      <c r="S508" s="12">
        <f t="shared" si="994"/>
        <v>105.7</v>
      </c>
      <c r="T508" s="60">
        <f t="shared" si="995"/>
        <v>2844.2</v>
      </c>
      <c r="U508" s="2">
        <f t="shared" si="996"/>
        <v>201.6</v>
      </c>
      <c r="V508" s="42">
        <f t="shared" si="15"/>
        <v>1008</v>
      </c>
      <c r="W508" s="2">
        <f t="shared" si="997"/>
        <v>201.6</v>
      </c>
      <c r="X508" s="2">
        <f t="shared" si="998"/>
        <v>1612.8</v>
      </c>
      <c r="Y508" s="2">
        <f t="shared" si="999"/>
        <v>3024</v>
      </c>
      <c r="Z508" s="60">
        <f t="shared" si="1000"/>
        <v>16438.2</v>
      </c>
      <c r="AA508" s="11">
        <f t="shared" si="1001"/>
        <v>3287.64</v>
      </c>
      <c r="AB508" s="12">
        <f t="shared" si="1002"/>
        <v>19725.84</v>
      </c>
      <c r="AC508" s="2">
        <f t="shared" si="1049"/>
        <v>20160</v>
      </c>
      <c r="AD508" s="12">
        <f t="shared" si="1050"/>
        <v>-434.16</v>
      </c>
      <c r="AE508" s="12">
        <f t="shared" si="1051"/>
        <v>-2.200970909</v>
      </c>
      <c r="AF508" s="61">
        <v>10750.0</v>
      </c>
      <c r="AG508" s="62">
        <f t="shared" si="1006"/>
        <v>1.702932829</v>
      </c>
      <c r="AH508" s="63">
        <f t="shared" si="1007"/>
        <v>240</v>
      </c>
      <c r="AI508" s="65">
        <v>12990.0</v>
      </c>
      <c r="AJ508" s="65">
        <v>10990.0</v>
      </c>
      <c r="AK508" s="66">
        <f t="shared" si="1008"/>
        <v>3.973509934</v>
      </c>
      <c r="AL508" s="66"/>
      <c r="AM508" s="14">
        <f t="shared" si="1009"/>
        <v>2.183803458</v>
      </c>
      <c r="AN508" s="67">
        <f t="shared" si="1010"/>
        <v>2.270577105</v>
      </c>
      <c r="AO508" s="68">
        <f t="shared" si="1011"/>
        <v>1.039735099</v>
      </c>
      <c r="AP508" s="69">
        <f t="shared" si="1012"/>
        <v>-87.3584</v>
      </c>
      <c r="AQ508" s="70">
        <f t="shared" si="1013"/>
        <v>-91.7</v>
      </c>
      <c r="AR508" s="71">
        <f t="shared" ref="AR508:AS508" si="1665">AI508/94</f>
        <v>138.1914894</v>
      </c>
      <c r="AS508" s="71">
        <f t="shared" si="1665"/>
        <v>116.9148936</v>
      </c>
      <c r="AT508" s="72">
        <f t="shared" ref="AT508:AU508" si="1666">AI508/24</f>
        <v>541.25</v>
      </c>
      <c r="AU508" s="72">
        <f t="shared" si="1666"/>
        <v>457.9166667</v>
      </c>
      <c r="AV508" s="73">
        <f t="shared" ref="AV508:AW508" si="1667">AI508/125</f>
        <v>103.92</v>
      </c>
      <c r="AW508" s="73">
        <f t="shared" si="1667"/>
        <v>87.92</v>
      </c>
    </row>
    <row r="509" ht="15.75" customHeight="1">
      <c r="A509" s="2"/>
      <c r="B509" s="1" t="s">
        <v>1012</v>
      </c>
      <c r="C509" s="2" t="s">
        <v>1013</v>
      </c>
      <c r="D509" s="102">
        <v>10200.0</v>
      </c>
      <c r="E509" s="2">
        <v>145.0</v>
      </c>
      <c r="F509" s="1">
        <v>145.0</v>
      </c>
      <c r="G509" s="10">
        <v>8.3061E7</v>
      </c>
      <c r="H509" s="59">
        <v>0.05</v>
      </c>
      <c r="I509" s="2">
        <f t="shared" si="1477"/>
        <v>510</v>
      </c>
      <c r="K509" s="1">
        <v>200.0</v>
      </c>
      <c r="L509" s="4">
        <f t="shared" si="987"/>
        <v>11200</v>
      </c>
      <c r="M509" s="2">
        <f t="shared" si="1055"/>
        <v>102</v>
      </c>
      <c r="N509" s="12">
        <f t="shared" si="989"/>
        <v>896</v>
      </c>
      <c r="O509" s="12">
        <f t="shared" si="990"/>
        <v>1120</v>
      </c>
      <c r="P509" s="12">
        <f t="shared" si="991"/>
        <v>560</v>
      </c>
      <c r="Q509" s="12">
        <f t="shared" si="992"/>
        <v>224</v>
      </c>
      <c r="R509" s="12">
        <f t="shared" si="993"/>
        <v>107.1</v>
      </c>
      <c r="S509" s="12">
        <f t="shared" si="994"/>
        <v>112</v>
      </c>
      <c r="T509" s="60">
        <f t="shared" si="995"/>
        <v>3014</v>
      </c>
      <c r="U509" s="2">
        <f t="shared" si="996"/>
        <v>214.2</v>
      </c>
      <c r="V509" s="42">
        <f t="shared" si="15"/>
        <v>1071</v>
      </c>
      <c r="W509" s="2">
        <f t="shared" si="997"/>
        <v>214.2</v>
      </c>
      <c r="X509" s="2">
        <f t="shared" si="998"/>
        <v>1713.6</v>
      </c>
      <c r="Y509" s="2">
        <f t="shared" si="999"/>
        <v>3213</v>
      </c>
      <c r="Z509" s="60">
        <f t="shared" si="1000"/>
        <v>17427</v>
      </c>
      <c r="AA509" s="11">
        <f t="shared" si="1001"/>
        <v>3485.4</v>
      </c>
      <c r="AB509" s="12">
        <f t="shared" si="1002"/>
        <v>20912.4</v>
      </c>
      <c r="AC509" s="2">
        <f t="shared" si="1049"/>
        <v>21420</v>
      </c>
      <c r="AD509" s="12">
        <f t="shared" si="1050"/>
        <v>-507.6</v>
      </c>
      <c r="AE509" s="12">
        <f t="shared" si="1051"/>
        <v>-2.427268032</v>
      </c>
      <c r="AF509" s="61">
        <v>11950.0</v>
      </c>
      <c r="AG509" s="62">
        <f t="shared" si="1006"/>
        <v>6.696428571</v>
      </c>
      <c r="AH509" s="63">
        <f t="shared" si="1007"/>
        <v>1040</v>
      </c>
      <c r="AI509" s="65">
        <v>13990.0</v>
      </c>
      <c r="AJ509" s="65">
        <v>12990.0</v>
      </c>
      <c r="AK509" s="66">
        <f t="shared" si="1008"/>
        <v>15.98214286</v>
      </c>
      <c r="AL509" s="66"/>
      <c r="AM509" s="14">
        <f t="shared" si="1009"/>
        <v>8.006158584</v>
      </c>
      <c r="AN509" s="67">
        <f t="shared" si="1010"/>
        <v>9.285714286</v>
      </c>
      <c r="AO509" s="68">
        <f t="shared" si="1011"/>
        <v>1.159821429</v>
      </c>
      <c r="AP509" s="69">
        <f t="shared" si="1012"/>
        <v>-79.224</v>
      </c>
      <c r="AQ509" s="70">
        <f t="shared" si="1013"/>
        <v>-84.3</v>
      </c>
      <c r="AR509" s="71">
        <f t="shared" ref="AR509:AS509" si="1668">AI509/94</f>
        <v>148.8297872</v>
      </c>
      <c r="AS509" s="71">
        <f t="shared" si="1668"/>
        <v>138.1914894</v>
      </c>
      <c r="AT509" s="72">
        <f t="shared" ref="AT509:AU509" si="1669">AI509/24</f>
        <v>582.9166667</v>
      </c>
      <c r="AU509" s="72">
        <f t="shared" si="1669"/>
        <v>541.25</v>
      </c>
      <c r="AV509" s="73">
        <f t="shared" ref="AV509:AW509" si="1670">AI509/125</f>
        <v>111.92</v>
      </c>
      <c r="AW509" s="73">
        <f t="shared" si="1670"/>
        <v>103.92</v>
      </c>
    </row>
    <row r="510" ht="15.75" customHeight="1">
      <c r="A510" s="2"/>
      <c r="B510" s="2" t="s">
        <v>1014</v>
      </c>
      <c r="C510" s="2" t="s">
        <v>1015</v>
      </c>
      <c r="D510" s="102">
        <v>10800.0</v>
      </c>
      <c r="E510" s="2">
        <v>145.0</v>
      </c>
      <c r="F510" s="1">
        <v>145.0</v>
      </c>
      <c r="G510" s="10">
        <v>8.3061E7</v>
      </c>
      <c r="H510" s="59">
        <v>0.05</v>
      </c>
      <c r="I510" s="2">
        <f t="shared" si="1477"/>
        <v>540</v>
      </c>
      <c r="K510" s="1">
        <v>200.0</v>
      </c>
      <c r="L510" s="4">
        <f t="shared" si="987"/>
        <v>11830</v>
      </c>
      <c r="M510" s="2">
        <f t="shared" si="1055"/>
        <v>108</v>
      </c>
      <c r="N510" s="12">
        <f t="shared" si="989"/>
        <v>946.4</v>
      </c>
      <c r="O510" s="12">
        <f t="shared" si="990"/>
        <v>1183</v>
      </c>
      <c r="P510" s="12">
        <f t="shared" si="991"/>
        <v>591.5</v>
      </c>
      <c r="Q510" s="12">
        <f t="shared" si="992"/>
        <v>236.6</v>
      </c>
      <c r="R510" s="12">
        <f t="shared" si="993"/>
        <v>113.4</v>
      </c>
      <c r="S510" s="12">
        <f t="shared" si="994"/>
        <v>118.3</v>
      </c>
      <c r="T510" s="60">
        <f t="shared" si="995"/>
        <v>3183.8</v>
      </c>
      <c r="U510" s="2">
        <f t="shared" si="996"/>
        <v>226.8</v>
      </c>
      <c r="V510" s="42">
        <f t="shared" si="15"/>
        <v>1134</v>
      </c>
      <c r="W510" s="2">
        <f t="shared" si="997"/>
        <v>226.8</v>
      </c>
      <c r="X510" s="2">
        <f t="shared" si="998"/>
        <v>1814.4</v>
      </c>
      <c r="Y510" s="2">
        <f t="shared" si="999"/>
        <v>3402</v>
      </c>
      <c r="Z510" s="60">
        <f t="shared" si="1000"/>
        <v>18415.8</v>
      </c>
      <c r="AA510" s="11">
        <f t="shared" si="1001"/>
        <v>3683.16</v>
      </c>
      <c r="AB510" s="12">
        <f t="shared" si="1002"/>
        <v>22098.96</v>
      </c>
      <c r="AC510" s="2">
        <f t="shared" si="1049"/>
        <v>22680</v>
      </c>
      <c r="AD510" s="12">
        <f t="shared" si="1050"/>
        <v>-581.04</v>
      </c>
      <c r="AE510" s="12">
        <f t="shared" si="1051"/>
        <v>-2.629264002</v>
      </c>
      <c r="AF510" s="61">
        <v>12650.0</v>
      </c>
      <c r="AG510" s="62">
        <f t="shared" si="1006"/>
        <v>6.931530008</v>
      </c>
      <c r="AH510" s="63">
        <f t="shared" si="1007"/>
        <v>340</v>
      </c>
      <c r="AI510" s="65">
        <v>14990.0</v>
      </c>
      <c r="AJ510" s="65">
        <v>12990.0</v>
      </c>
      <c r="AK510" s="66">
        <f t="shared" si="1008"/>
        <v>9.805579036</v>
      </c>
      <c r="AL510" s="66"/>
      <c r="AM510" s="14">
        <f t="shared" si="1009"/>
        <v>2.617397998</v>
      </c>
      <c r="AN510" s="67">
        <f t="shared" si="1010"/>
        <v>2.874049028</v>
      </c>
      <c r="AO510" s="68">
        <f t="shared" si="1011"/>
        <v>1.09805579</v>
      </c>
      <c r="AP510" s="69">
        <f t="shared" si="1012"/>
        <v>-91.0896</v>
      </c>
      <c r="AQ510" s="70">
        <f t="shared" si="1013"/>
        <v>-96.9</v>
      </c>
      <c r="AR510" s="71">
        <f t="shared" ref="AR510:AS510" si="1671">AI510/94</f>
        <v>159.4680851</v>
      </c>
      <c r="AS510" s="71">
        <f t="shared" si="1671"/>
        <v>138.1914894</v>
      </c>
      <c r="AT510" s="72">
        <f t="shared" ref="AT510:AU510" si="1672">AI510/24</f>
        <v>624.5833333</v>
      </c>
      <c r="AU510" s="72">
        <f t="shared" si="1672"/>
        <v>541.25</v>
      </c>
      <c r="AV510" s="73">
        <f t="shared" ref="AV510:AW510" si="1673">AI510/125</f>
        <v>119.92</v>
      </c>
      <c r="AW510" s="73">
        <f t="shared" si="1673"/>
        <v>103.92</v>
      </c>
    </row>
    <row r="511" ht="15.75" customHeight="1">
      <c r="A511" s="2"/>
      <c r="B511" s="2" t="s">
        <v>1016</v>
      </c>
      <c r="C511" s="1" t="s">
        <v>1017</v>
      </c>
      <c r="D511" s="102">
        <v>12500.0</v>
      </c>
      <c r="E511" s="2">
        <v>145.0</v>
      </c>
      <c r="F511" s="1">
        <v>145.0</v>
      </c>
      <c r="G511" s="10">
        <v>8.3061E7</v>
      </c>
      <c r="H511" s="59">
        <v>0.05</v>
      </c>
      <c r="I511" s="2">
        <f t="shared" si="1477"/>
        <v>625</v>
      </c>
      <c r="K511" s="1">
        <v>200.0</v>
      </c>
      <c r="L511" s="4">
        <f t="shared" si="987"/>
        <v>13615</v>
      </c>
      <c r="M511" s="2">
        <f t="shared" si="1055"/>
        <v>125</v>
      </c>
      <c r="N511" s="12">
        <f t="shared" si="989"/>
        <v>1089.2</v>
      </c>
      <c r="O511" s="12">
        <f t="shared" si="990"/>
        <v>1361.5</v>
      </c>
      <c r="P511" s="12">
        <f t="shared" si="991"/>
        <v>680.75</v>
      </c>
      <c r="Q511" s="12">
        <f t="shared" si="992"/>
        <v>272.3</v>
      </c>
      <c r="R511" s="12">
        <f t="shared" si="993"/>
        <v>131.25</v>
      </c>
      <c r="S511" s="12">
        <f t="shared" si="994"/>
        <v>136.15</v>
      </c>
      <c r="T511" s="60">
        <f t="shared" si="995"/>
        <v>3664.9</v>
      </c>
      <c r="U511" s="2">
        <f t="shared" si="996"/>
        <v>262.5</v>
      </c>
      <c r="V511" s="42">
        <f t="shared" si="15"/>
        <v>1312.5</v>
      </c>
      <c r="W511" s="2">
        <f t="shared" si="997"/>
        <v>262.5</v>
      </c>
      <c r="X511" s="2">
        <f t="shared" si="998"/>
        <v>2100</v>
      </c>
      <c r="Y511" s="2">
        <f t="shared" si="999"/>
        <v>3937.5</v>
      </c>
      <c r="Z511" s="60">
        <f t="shared" si="1000"/>
        <v>21217.4</v>
      </c>
      <c r="AA511" s="11">
        <f t="shared" si="1001"/>
        <v>4243.48</v>
      </c>
      <c r="AB511" s="12">
        <f t="shared" si="1002"/>
        <v>25460.88</v>
      </c>
      <c r="AC511" s="2">
        <f t="shared" si="1049"/>
        <v>26250</v>
      </c>
      <c r="AD511" s="12">
        <f t="shared" si="1050"/>
        <v>-789.12</v>
      </c>
      <c r="AE511" s="12">
        <f t="shared" si="1051"/>
        <v>-3.099342992</v>
      </c>
      <c r="AG511" s="62">
        <f t="shared" si="1006"/>
        <v>-100</v>
      </c>
      <c r="AH511" s="63">
        <f t="shared" si="1007"/>
        <v>23990</v>
      </c>
      <c r="AI511" s="64">
        <f t="shared" ref="AI511:AI512" si="1677">AB511</f>
        <v>25460.88</v>
      </c>
      <c r="AJ511" s="65">
        <v>23990.0</v>
      </c>
      <c r="AK511" s="66">
        <f t="shared" si="1008"/>
        <v>76.20271759</v>
      </c>
      <c r="AL511" s="66"/>
      <c r="AM511" s="14">
        <f t="shared" si="1009"/>
        <v>100</v>
      </c>
      <c r="AN511" s="67">
        <f t="shared" si="1010"/>
        <v>176.2027176</v>
      </c>
      <c r="AO511" s="68">
        <f t="shared" si="1011"/>
        <v>1.762027176</v>
      </c>
      <c r="AP511" s="69">
        <f t="shared" si="1012"/>
        <v>-14.7088</v>
      </c>
      <c r="AQ511" s="70">
        <f t="shared" si="1013"/>
        <v>-22.6</v>
      </c>
      <c r="AR511" s="71">
        <f t="shared" ref="AR511:AS511" si="1674">AI511/94</f>
        <v>270.8604255</v>
      </c>
      <c r="AS511" s="71">
        <f t="shared" si="1674"/>
        <v>255.212766</v>
      </c>
      <c r="AT511" s="72">
        <f t="shared" ref="AT511:AU511" si="1675">AI511/24</f>
        <v>1060.87</v>
      </c>
      <c r="AU511" s="72">
        <f t="shared" si="1675"/>
        <v>999.5833333</v>
      </c>
      <c r="AV511" s="73">
        <f t="shared" ref="AV511:AW511" si="1676">AI511/125</f>
        <v>203.68704</v>
      </c>
      <c r="AW511" s="73">
        <f t="shared" si="1676"/>
        <v>191.92</v>
      </c>
    </row>
    <row r="512" ht="15.75" customHeight="1">
      <c r="A512" s="2" t="s">
        <v>1018</v>
      </c>
      <c r="B512" s="2" t="s">
        <v>218</v>
      </c>
      <c r="C512" s="2" t="s">
        <v>1019</v>
      </c>
      <c r="D512" s="105">
        <v>4400.0</v>
      </c>
      <c r="E512" s="1">
        <v>250.0</v>
      </c>
      <c r="F512" s="1">
        <v>145.0</v>
      </c>
      <c r="G512" s="10">
        <v>8.3061E7</v>
      </c>
      <c r="H512" s="59">
        <v>0.05</v>
      </c>
      <c r="I512" s="2">
        <f t="shared" si="1477"/>
        <v>220</v>
      </c>
      <c r="K512" s="1">
        <v>200.0</v>
      </c>
      <c r="L512" s="4">
        <f t="shared" si="987"/>
        <v>5215</v>
      </c>
      <c r="M512" s="2">
        <f t="shared" si="1055"/>
        <v>44</v>
      </c>
      <c r="N512" s="12">
        <f t="shared" si="989"/>
        <v>417.2</v>
      </c>
      <c r="O512" s="12">
        <f t="shared" si="990"/>
        <v>521.5</v>
      </c>
      <c r="P512" s="12">
        <f t="shared" si="991"/>
        <v>260.75</v>
      </c>
      <c r="Q512" s="12">
        <f t="shared" si="992"/>
        <v>104.3</v>
      </c>
      <c r="R512" s="12">
        <f t="shared" si="993"/>
        <v>46.2</v>
      </c>
      <c r="S512" s="12">
        <f t="shared" si="994"/>
        <v>52.15</v>
      </c>
      <c r="T512" s="60">
        <f t="shared" si="995"/>
        <v>1399.9</v>
      </c>
      <c r="U512" s="2">
        <f t="shared" si="996"/>
        <v>92.4</v>
      </c>
      <c r="V512" s="42">
        <f t="shared" si="15"/>
        <v>462</v>
      </c>
      <c r="W512" s="2">
        <f t="shared" si="997"/>
        <v>92.4</v>
      </c>
      <c r="X512" s="2">
        <f t="shared" si="998"/>
        <v>739.2</v>
      </c>
      <c r="Y512" s="2">
        <f t="shared" si="999"/>
        <v>1386</v>
      </c>
      <c r="Z512" s="60">
        <f t="shared" si="1000"/>
        <v>8000.9</v>
      </c>
      <c r="AA512" s="11">
        <f t="shared" si="1001"/>
        <v>1600.18</v>
      </c>
      <c r="AB512" s="12">
        <f t="shared" si="1002"/>
        <v>9601.08</v>
      </c>
      <c r="AC512" s="2">
        <f t="shared" si="1049"/>
        <v>9240</v>
      </c>
      <c r="AD512" s="12">
        <f t="shared" si="1050"/>
        <v>361.08</v>
      </c>
      <c r="AE512" s="12">
        <f t="shared" si="1051"/>
        <v>3.760826907</v>
      </c>
      <c r="AF512" s="61">
        <v>8950.0</v>
      </c>
      <c r="AG512" s="62">
        <f t="shared" si="1006"/>
        <v>71.62032598</v>
      </c>
      <c r="AH512" s="63">
        <f t="shared" si="1007"/>
        <v>40</v>
      </c>
      <c r="AI512" s="64">
        <f t="shared" si="1677"/>
        <v>9601.08</v>
      </c>
      <c r="AJ512" s="65">
        <v>8990.0</v>
      </c>
      <c r="AK512" s="66">
        <f t="shared" si="1008"/>
        <v>72.3873442</v>
      </c>
      <c r="AL512" s="66"/>
      <c r="AM512" s="14">
        <f t="shared" si="1009"/>
        <v>0.4449388209</v>
      </c>
      <c r="AN512" s="67">
        <f t="shared" si="1010"/>
        <v>0.7670182167</v>
      </c>
      <c r="AO512" s="68">
        <f t="shared" si="1011"/>
        <v>1.723873442</v>
      </c>
      <c r="AP512" s="69">
        <f t="shared" si="1012"/>
        <v>-6.1108</v>
      </c>
      <c r="AQ512" s="70">
        <f t="shared" si="1013"/>
        <v>-2.5</v>
      </c>
      <c r="AR512" s="71">
        <f t="shared" ref="AR512:AS512" si="1678">AI512/94</f>
        <v>102.1391489</v>
      </c>
      <c r="AS512" s="71">
        <f t="shared" si="1678"/>
        <v>95.63829787</v>
      </c>
      <c r="AT512" s="72">
        <f t="shared" ref="AT512:AU512" si="1679">AI512/24</f>
        <v>400.045</v>
      </c>
      <c r="AU512" s="72">
        <f t="shared" si="1679"/>
        <v>374.5833333</v>
      </c>
      <c r="AV512" s="73">
        <f t="shared" ref="AV512:AW512" si="1680">AI512/125</f>
        <v>76.80864</v>
      </c>
      <c r="AW512" s="73">
        <f t="shared" si="1680"/>
        <v>71.92</v>
      </c>
    </row>
    <row r="513" ht="15.75" customHeight="1">
      <c r="A513" s="42" t="s">
        <v>1020</v>
      </c>
      <c r="B513" s="44" t="s">
        <v>1021</v>
      </c>
      <c r="C513" s="95" t="s">
        <v>1022</v>
      </c>
      <c r="D513" s="96">
        <v>8000.0</v>
      </c>
      <c r="E513" s="47"/>
      <c r="F513" s="44">
        <v>200.0</v>
      </c>
      <c r="G513" s="45">
        <v>7326.0</v>
      </c>
      <c r="H513" s="46">
        <v>0.18</v>
      </c>
      <c r="I513" s="42">
        <f t="shared" si="1477"/>
        <v>1440</v>
      </c>
      <c r="J513" s="47"/>
      <c r="K513" s="44">
        <v>200.0</v>
      </c>
      <c r="L513" s="48">
        <f t="shared" si="987"/>
        <v>9840</v>
      </c>
      <c r="M513" s="42">
        <f t="shared" si="1055"/>
        <v>80</v>
      </c>
      <c r="N513" s="49">
        <f t="shared" si="989"/>
        <v>787.2</v>
      </c>
      <c r="O513" s="49">
        <f t="shared" si="990"/>
        <v>984</v>
      </c>
      <c r="P513" s="49">
        <f t="shared" si="991"/>
        <v>492</v>
      </c>
      <c r="Q513" s="49">
        <f t="shared" si="992"/>
        <v>196.8</v>
      </c>
      <c r="R513" s="49">
        <f t="shared" si="993"/>
        <v>84</v>
      </c>
      <c r="S513" s="49">
        <f t="shared" si="994"/>
        <v>98.4</v>
      </c>
      <c r="T513" s="50">
        <f t="shared" si="995"/>
        <v>2638.4</v>
      </c>
      <c r="U513" s="42">
        <f t="shared" si="996"/>
        <v>168</v>
      </c>
      <c r="V513" s="42">
        <f t="shared" si="15"/>
        <v>840</v>
      </c>
      <c r="W513" s="42">
        <f t="shared" si="997"/>
        <v>168</v>
      </c>
      <c r="X513" s="42">
        <f t="shared" si="998"/>
        <v>1344</v>
      </c>
      <c r="Y513" s="42">
        <f t="shared" si="999"/>
        <v>2520</v>
      </c>
      <c r="Z513" s="50">
        <f t="shared" si="1000"/>
        <v>14998.4</v>
      </c>
      <c r="AA513" s="51">
        <f t="shared" si="1001"/>
        <v>2999.68</v>
      </c>
      <c r="AB513" s="49">
        <f t="shared" si="1002"/>
        <v>17998.08</v>
      </c>
      <c r="AC513" s="42">
        <f t="shared" si="1049"/>
        <v>16800</v>
      </c>
      <c r="AD513" s="49">
        <f t="shared" si="1050"/>
        <v>1198.08</v>
      </c>
      <c r="AE513" s="49">
        <f t="shared" si="1051"/>
        <v>6.656710049</v>
      </c>
      <c r="AF513" s="97">
        <v>10500.0</v>
      </c>
      <c r="AG513" s="52">
        <f t="shared" si="1006"/>
        <v>6.707317073</v>
      </c>
      <c r="AH513" s="53">
        <f t="shared" si="1007"/>
        <v>3000</v>
      </c>
      <c r="AI513" s="54">
        <v>0.0</v>
      </c>
      <c r="AJ513" s="54">
        <v>13500.0</v>
      </c>
      <c r="AK513" s="55">
        <f t="shared" si="1008"/>
        <v>37.19512195</v>
      </c>
      <c r="AL513" s="55"/>
      <c r="AM513" s="55">
        <f t="shared" si="1009"/>
        <v>22.22222222</v>
      </c>
      <c r="AN513" s="55">
        <f t="shared" si="1010"/>
        <v>30.48780488</v>
      </c>
      <c r="AO513" s="56">
        <f t="shared" si="1011"/>
        <v>1.37195122</v>
      </c>
      <c r="AP513" s="55">
        <f t="shared" si="1012"/>
        <v>-44.9808</v>
      </c>
      <c r="AQ513" s="55">
        <f t="shared" si="1013"/>
        <v>-33</v>
      </c>
      <c r="AR513" s="57">
        <f t="shared" ref="AR513:AS513" si="1681">AI513/94</f>
        <v>0</v>
      </c>
      <c r="AS513" s="57">
        <f t="shared" si="1681"/>
        <v>143.6170213</v>
      </c>
      <c r="AT513" s="58">
        <f t="shared" ref="AT513:AU513" si="1682">AI513/24</f>
        <v>0</v>
      </c>
      <c r="AU513" s="58">
        <f t="shared" si="1682"/>
        <v>562.5</v>
      </c>
      <c r="AV513" s="58">
        <f t="shared" ref="AV513:AW513" si="1683">AI513/125</f>
        <v>0</v>
      </c>
      <c r="AW513" s="58">
        <f t="shared" si="1683"/>
        <v>108</v>
      </c>
      <c r="AX513" s="47"/>
      <c r="AY513" s="47"/>
    </row>
    <row r="514" ht="15.0" customHeight="1">
      <c r="A514" s="2" t="s">
        <v>1023</v>
      </c>
      <c r="B514" s="2" t="s">
        <v>1024</v>
      </c>
      <c r="C514" s="75" t="s">
        <v>1025</v>
      </c>
      <c r="D514" s="10"/>
      <c r="E514" s="2">
        <v>55.0</v>
      </c>
      <c r="F514" s="2">
        <v>10.0</v>
      </c>
      <c r="G514" s="10">
        <v>8.3061E7</v>
      </c>
      <c r="H514" s="59">
        <v>0.05</v>
      </c>
      <c r="I514" s="2">
        <f t="shared" si="1477"/>
        <v>0</v>
      </c>
      <c r="K514" s="2">
        <f>D514*4%</f>
        <v>0</v>
      </c>
      <c r="L514" s="4">
        <f t="shared" si="987"/>
        <v>65</v>
      </c>
      <c r="M514" s="2">
        <f t="shared" si="1055"/>
        <v>0</v>
      </c>
      <c r="N514" s="12">
        <f t="shared" si="989"/>
        <v>5.2</v>
      </c>
      <c r="O514" s="12">
        <f t="shared" si="990"/>
        <v>6.5</v>
      </c>
      <c r="P514" s="12">
        <f t="shared" si="991"/>
        <v>3.25</v>
      </c>
      <c r="Q514" s="12">
        <f t="shared" si="992"/>
        <v>1.3</v>
      </c>
      <c r="R514" s="12">
        <f t="shared" si="993"/>
        <v>0</v>
      </c>
      <c r="S514" s="12">
        <f t="shared" si="994"/>
        <v>0.65</v>
      </c>
      <c r="T514" s="60">
        <f t="shared" si="995"/>
        <v>16.9</v>
      </c>
      <c r="U514" s="2">
        <f t="shared" si="996"/>
        <v>0</v>
      </c>
      <c r="V514" s="42">
        <f t="shared" si="15"/>
        <v>0</v>
      </c>
      <c r="W514" s="2">
        <f t="shared" si="997"/>
        <v>0</v>
      </c>
      <c r="X514" s="2">
        <f t="shared" si="998"/>
        <v>0</v>
      </c>
      <c r="Y514" s="2">
        <f t="shared" si="999"/>
        <v>0</v>
      </c>
      <c r="Z514" s="60">
        <f t="shared" si="1000"/>
        <v>81.9</v>
      </c>
      <c r="AA514" s="11">
        <f t="shared" si="1001"/>
        <v>16.38</v>
      </c>
      <c r="AB514" s="12">
        <f t="shared" si="1002"/>
        <v>98.28</v>
      </c>
      <c r="AC514" s="2">
        <f t="shared" si="1049"/>
        <v>0</v>
      </c>
      <c r="AD514" s="12">
        <f t="shared" si="1050"/>
        <v>98.28</v>
      </c>
      <c r="AE514" s="12">
        <f t="shared" si="1051"/>
        <v>100</v>
      </c>
      <c r="AG514" s="62">
        <f t="shared" si="1006"/>
        <v>-100</v>
      </c>
      <c r="AH514" s="63">
        <f t="shared" si="1007"/>
        <v>0</v>
      </c>
      <c r="AI514" s="65">
        <v>0.0</v>
      </c>
      <c r="AJ514" s="65">
        <v>0.0</v>
      </c>
      <c r="AK514" s="66">
        <f t="shared" si="1008"/>
        <v>-100</v>
      </c>
      <c r="AL514" s="66"/>
      <c r="AM514" s="14" t="str">
        <f t="shared" si="1009"/>
        <v>#DIV/0!</v>
      </c>
      <c r="AN514" s="67">
        <f t="shared" si="1010"/>
        <v>0</v>
      </c>
      <c r="AO514" s="68">
        <f t="shared" si="1011"/>
        <v>0</v>
      </c>
      <c r="AP514" s="69">
        <f t="shared" si="1012"/>
        <v>-0.9828</v>
      </c>
      <c r="AQ514" s="70">
        <f t="shared" si="1013"/>
        <v>0</v>
      </c>
      <c r="AR514" s="71">
        <f t="shared" ref="AR514:AS514" si="1684">AI514/94</f>
        <v>0</v>
      </c>
      <c r="AS514" s="71">
        <f t="shared" si="1684"/>
        <v>0</v>
      </c>
      <c r="AT514" s="72">
        <f t="shared" ref="AT514:AU514" si="1685">AI514/24</f>
        <v>0</v>
      </c>
      <c r="AU514" s="72">
        <f t="shared" si="1685"/>
        <v>0</v>
      </c>
      <c r="AV514" s="73">
        <f t="shared" ref="AV514:AW514" si="1686">AI514/125</f>
        <v>0</v>
      </c>
      <c r="AW514" s="73">
        <f t="shared" si="1686"/>
        <v>0</v>
      </c>
    </row>
    <row r="515" ht="15.75" customHeight="1">
      <c r="A515" s="2"/>
      <c r="B515" s="2" t="s">
        <v>1026</v>
      </c>
      <c r="C515" s="75" t="s">
        <v>1027</v>
      </c>
      <c r="D515" s="105">
        <v>6600.0</v>
      </c>
      <c r="E515" s="2">
        <v>55.0</v>
      </c>
      <c r="F515" s="1">
        <v>80.0</v>
      </c>
      <c r="G515" s="10">
        <v>8.3061E7</v>
      </c>
      <c r="H515" s="59">
        <v>0.05</v>
      </c>
      <c r="I515" s="2">
        <f t="shared" si="1477"/>
        <v>330</v>
      </c>
      <c r="K515" s="1">
        <v>150.0</v>
      </c>
      <c r="L515" s="4">
        <f t="shared" si="987"/>
        <v>7215</v>
      </c>
      <c r="M515" s="2">
        <f t="shared" si="1055"/>
        <v>66</v>
      </c>
      <c r="N515" s="12">
        <f t="shared" si="989"/>
        <v>577.2</v>
      </c>
      <c r="O515" s="12">
        <f t="shared" si="990"/>
        <v>721.5</v>
      </c>
      <c r="P515" s="12">
        <f t="shared" si="991"/>
        <v>360.75</v>
      </c>
      <c r="Q515" s="12">
        <f t="shared" si="992"/>
        <v>144.3</v>
      </c>
      <c r="R515" s="12">
        <f t="shared" si="993"/>
        <v>69.3</v>
      </c>
      <c r="S515" s="12">
        <f t="shared" si="994"/>
        <v>72.15</v>
      </c>
      <c r="T515" s="60">
        <f t="shared" si="995"/>
        <v>1941.9</v>
      </c>
      <c r="U515" s="2">
        <f t="shared" si="996"/>
        <v>138.6</v>
      </c>
      <c r="V515" s="42">
        <f t="shared" si="15"/>
        <v>693</v>
      </c>
      <c r="W515" s="2">
        <f t="shared" si="997"/>
        <v>138.6</v>
      </c>
      <c r="X515" s="2">
        <f t="shared" si="998"/>
        <v>1108.8</v>
      </c>
      <c r="Y515" s="2">
        <f t="shared" si="999"/>
        <v>2079</v>
      </c>
      <c r="Z515" s="60">
        <f t="shared" si="1000"/>
        <v>11235.9</v>
      </c>
      <c r="AA515" s="11">
        <f t="shared" si="1001"/>
        <v>2247.18</v>
      </c>
      <c r="AB515" s="12">
        <f t="shared" si="1002"/>
        <v>13483.08</v>
      </c>
      <c r="AC515" s="2">
        <f t="shared" si="1049"/>
        <v>13860</v>
      </c>
      <c r="AD515" s="12">
        <f t="shared" si="1050"/>
        <v>-376.92</v>
      </c>
      <c r="AE515" s="12">
        <f t="shared" si="1051"/>
        <v>-2.795503698</v>
      </c>
      <c r="AG515" s="62">
        <f t="shared" si="1006"/>
        <v>-100</v>
      </c>
      <c r="AH515" s="63">
        <f t="shared" si="1007"/>
        <v>12990</v>
      </c>
      <c r="AI515" s="64">
        <f>AB515</f>
        <v>13483.08</v>
      </c>
      <c r="AJ515" s="65">
        <v>12990.0</v>
      </c>
      <c r="AK515" s="66">
        <f t="shared" si="1008"/>
        <v>80.04158004</v>
      </c>
      <c r="AL515" s="66"/>
      <c r="AM515" s="14">
        <f t="shared" si="1009"/>
        <v>100</v>
      </c>
      <c r="AN515" s="67">
        <f t="shared" si="1010"/>
        <v>180.04158</v>
      </c>
      <c r="AO515" s="68">
        <f t="shared" si="1011"/>
        <v>1.8004158</v>
      </c>
      <c r="AP515" s="69">
        <f t="shared" si="1012"/>
        <v>-4.9308</v>
      </c>
      <c r="AQ515" s="70">
        <f t="shared" si="1013"/>
        <v>-8.7</v>
      </c>
      <c r="AR515" s="71">
        <f t="shared" ref="AR515:AS515" si="1687">AI515/94</f>
        <v>143.4370213</v>
      </c>
      <c r="AS515" s="71">
        <f t="shared" si="1687"/>
        <v>138.1914894</v>
      </c>
      <c r="AT515" s="72">
        <f t="shared" ref="AT515:AU515" si="1688">AI515/24</f>
        <v>561.795</v>
      </c>
      <c r="AU515" s="72">
        <f t="shared" si="1688"/>
        <v>541.25</v>
      </c>
      <c r="AV515" s="73">
        <f t="shared" ref="AV515:AW515" si="1689">AI515/125</f>
        <v>107.86464</v>
      </c>
      <c r="AW515" s="73">
        <f t="shared" si="1689"/>
        <v>103.92</v>
      </c>
    </row>
    <row r="516" ht="15.0" customHeight="1">
      <c r="A516" s="2" t="s">
        <v>1028</v>
      </c>
      <c r="B516" s="2" t="s">
        <v>1029</v>
      </c>
      <c r="C516" s="75" t="s">
        <v>1030</v>
      </c>
      <c r="D516" s="103">
        <v>19500.0</v>
      </c>
      <c r="F516" s="2">
        <v>10.0</v>
      </c>
      <c r="G516" s="10">
        <v>9.203001E7</v>
      </c>
      <c r="H516" s="10">
        <v>0.0</v>
      </c>
      <c r="I516" s="2">
        <f t="shared" si="1477"/>
        <v>0</v>
      </c>
      <c r="K516" s="2">
        <f t="shared" ref="K516:K517" si="1693">D516*4%</f>
        <v>780</v>
      </c>
      <c r="L516" s="4">
        <f t="shared" si="987"/>
        <v>20290</v>
      </c>
      <c r="M516" s="2">
        <f t="shared" si="1055"/>
        <v>195</v>
      </c>
      <c r="N516" s="12">
        <f t="shared" si="989"/>
        <v>1623.2</v>
      </c>
      <c r="O516" s="12">
        <f t="shared" si="990"/>
        <v>2029</v>
      </c>
      <c r="P516" s="12">
        <f t="shared" si="991"/>
        <v>1014.5</v>
      </c>
      <c r="Q516" s="12">
        <f t="shared" si="992"/>
        <v>405.8</v>
      </c>
      <c r="R516" s="12">
        <f t="shared" si="993"/>
        <v>204.75</v>
      </c>
      <c r="S516" s="12">
        <f t="shared" si="994"/>
        <v>202.9</v>
      </c>
      <c r="T516" s="60">
        <f t="shared" si="995"/>
        <v>5470.4</v>
      </c>
      <c r="U516" s="2">
        <f t="shared" si="996"/>
        <v>409.5</v>
      </c>
      <c r="V516" s="42">
        <f t="shared" si="15"/>
        <v>2047.5</v>
      </c>
      <c r="W516" s="2">
        <f t="shared" si="997"/>
        <v>409.5</v>
      </c>
      <c r="X516" s="2">
        <f t="shared" si="998"/>
        <v>3276</v>
      </c>
      <c r="Y516" s="2">
        <f t="shared" si="999"/>
        <v>6142.5</v>
      </c>
      <c r="Z516" s="60">
        <f t="shared" si="1000"/>
        <v>31902.9</v>
      </c>
      <c r="AA516" s="11">
        <f t="shared" si="1001"/>
        <v>6380.58</v>
      </c>
      <c r="AB516" s="12">
        <f t="shared" si="1002"/>
        <v>38283.48</v>
      </c>
      <c r="AC516" s="2">
        <f t="shared" si="1049"/>
        <v>40950</v>
      </c>
      <c r="AD516" s="12">
        <f t="shared" si="1050"/>
        <v>-2666.52</v>
      </c>
      <c r="AE516" s="12">
        <f t="shared" si="1051"/>
        <v>-6.965197521</v>
      </c>
      <c r="AG516" s="62">
        <f t="shared" si="1006"/>
        <v>-100</v>
      </c>
      <c r="AH516" s="63">
        <f t="shared" si="1007"/>
        <v>37990</v>
      </c>
      <c r="AI516" s="64">
        <v>39990.0</v>
      </c>
      <c r="AJ516" s="64">
        <v>37990.0</v>
      </c>
      <c r="AK516" s="66">
        <f t="shared" si="1008"/>
        <v>87.23509118</v>
      </c>
      <c r="AL516" s="66"/>
      <c r="AM516" s="14">
        <f t="shared" si="1009"/>
        <v>100</v>
      </c>
      <c r="AN516" s="67">
        <f t="shared" si="1010"/>
        <v>187.2350912</v>
      </c>
      <c r="AO516" s="68">
        <f t="shared" si="1011"/>
        <v>1.872350912</v>
      </c>
      <c r="AP516" s="69">
        <f t="shared" si="1012"/>
        <v>-2.9348</v>
      </c>
      <c r="AQ516" s="70">
        <f t="shared" si="1013"/>
        <v>-29.6</v>
      </c>
      <c r="AR516" s="71">
        <f t="shared" ref="AR516:AS516" si="1690">AI516/94</f>
        <v>425.4255319</v>
      </c>
      <c r="AS516" s="71">
        <f t="shared" si="1690"/>
        <v>404.1489362</v>
      </c>
      <c r="AT516" s="72">
        <f t="shared" ref="AT516:AU516" si="1691">AI516/24</f>
        <v>1666.25</v>
      </c>
      <c r="AU516" s="72">
        <f t="shared" si="1691"/>
        <v>1582.916667</v>
      </c>
      <c r="AV516" s="73">
        <f t="shared" ref="AV516:AW516" si="1692">AI516/125</f>
        <v>319.92</v>
      </c>
      <c r="AW516" s="73">
        <f t="shared" si="1692"/>
        <v>303.92</v>
      </c>
    </row>
    <row r="517" ht="15.75" customHeight="1">
      <c r="A517" s="2"/>
      <c r="B517" s="2" t="s">
        <v>1031</v>
      </c>
      <c r="C517" s="75" t="s">
        <v>1032</v>
      </c>
      <c r="D517" s="103">
        <v>16000.0</v>
      </c>
      <c r="F517" s="2">
        <v>10.0</v>
      </c>
      <c r="G517" s="10">
        <v>9.203001E7</v>
      </c>
      <c r="H517" s="10">
        <v>0.0</v>
      </c>
      <c r="I517" s="2">
        <f t="shared" si="1477"/>
        <v>0</v>
      </c>
      <c r="K517" s="2">
        <f t="shared" si="1693"/>
        <v>640</v>
      </c>
      <c r="L517" s="4">
        <f t="shared" si="987"/>
        <v>16650</v>
      </c>
      <c r="M517" s="2">
        <f t="shared" si="1055"/>
        <v>160</v>
      </c>
      <c r="N517" s="12">
        <f t="shared" si="989"/>
        <v>1332</v>
      </c>
      <c r="O517" s="12">
        <f t="shared" si="990"/>
        <v>1665</v>
      </c>
      <c r="P517" s="12">
        <f t="shared" si="991"/>
        <v>832.5</v>
      </c>
      <c r="Q517" s="12">
        <f t="shared" si="992"/>
        <v>333</v>
      </c>
      <c r="R517" s="12">
        <f t="shared" si="993"/>
        <v>168</v>
      </c>
      <c r="S517" s="12">
        <f t="shared" si="994"/>
        <v>166.5</v>
      </c>
      <c r="T517" s="60">
        <f t="shared" si="995"/>
        <v>4489</v>
      </c>
      <c r="U517" s="2">
        <f t="shared" si="996"/>
        <v>336</v>
      </c>
      <c r="V517" s="42">
        <f t="shared" si="15"/>
        <v>1680</v>
      </c>
      <c r="W517" s="2">
        <f t="shared" si="997"/>
        <v>336</v>
      </c>
      <c r="X517" s="2">
        <f t="shared" si="998"/>
        <v>2688</v>
      </c>
      <c r="Y517" s="2">
        <f t="shared" si="999"/>
        <v>5040</v>
      </c>
      <c r="Z517" s="60">
        <f t="shared" si="1000"/>
        <v>26179</v>
      </c>
      <c r="AA517" s="11">
        <f t="shared" si="1001"/>
        <v>5235.8</v>
      </c>
      <c r="AB517" s="12">
        <f t="shared" si="1002"/>
        <v>31414.8</v>
      </c>
      <c r="AC517" s="2">
        <f t="shared" si="1049"/>
        <v>33600</v>
      </c>
      <c r="AD517" s="12">
        <f t="shared" si="1050"/>
        <v>-2185.2</v>
      </c>
      <c r="AE517" s="12">
        <f t="shared" si="1051"/>
        <v>-6.955957065</v>
      </c>
      <c r="AG517" s="62">
        <f t="shared" si="1006"/>
        <v>-100</v>
      </c>
      <c r="AH517" s="63">
        <f t="shared" si="1007"/>
        <v>31990</v>
      </c>
      <c r="AI517" s="64">
        <v>33900.0</v>
      </c>
      <c r="AJ517" s="64">
        <v>31990.0</v>
      </c>
      <c r="AK517" s="66">
        <f t="shared" si="1008"/>
        <v>92.13213213</v>
      </c>
      <c r="AL517" s="66"/>
      <c r="AM517" s="14">
        <f t="shared" si="1009"/>
        <v>100</v>
      </c>
      <c r="AN517" s="67">
        <f t="shared" si="1010"/>
        <v>192.1321321</v>
      </c>
      <c r="AO517" s="68">
        <f t="shared" si="1011"/>
        <v>1.921321321</v>
      </c>
      <c r="AP517" s="69">
        <f t="shared" si="1012"/>
        <v>5.752</v>
      </c>
      <c r="AQ517" s="70">
        <f t="shared" si="1013"/>
        <v>-16.1</v>
      </c>
      <c r="AR517" s="71">
        <f t="shared" ref="AR517:AS517" si="1694">AI517/94</f>
        <v>360.6382979</v>
      </c>
      <c r="AS517" s="71">
        <f t="shared" si="1694"/>
        <v>340.3191489</v>
      </c>
      <c r="AT517" s="72">
        <f t="shared" ref="AT517:AU517" si="1695">AI517/24</f>
        <v>1412.5</v>
      </c>
      <c r="AU517" s="72">
        <f t="shared" si="1695"/>
        <v>1332.916667</v>
      </c>
      <c r="AV517" s="73">
        <f t="shared" ref="AV517:AW517" si="1696">AI517/125</f>
        <v>271.2</v>
      </c>
      <c r="AW517" s="73">
        <f t="shared" si="1696"/>
        <v>255.92</v>
      </c>
    </row>
    <row r="518" ht="15.75" customHeight="1">
      <c r="A518" s="42" t="s">
        <v>1033</v>
      </c>
      <c r="B518" s="42" t="s">
        <v>218</v>
      </c>
      <c r="C518" s="95" t="s">
        <v>1034</v>
      </c>
      <c r="D518" s="96">
        <v>5200.0</v>
      </c>
      <c r="E518" s="44">
        <v>130.0</v>
      </c>
      <c r="F518" s="44">
        <v>140.0</v>
      </c>
      <c r="G518" s="45">
        <v>8.3061E7</v>
      </c>
      <c r="H518" s="46">
        <v>0.05</v>
      </c>
      <c r="I518" s="42">
        <f t="shared" si="1477"/>
        <v>260</v>
      </c>
      <c r="J518" s="47"/>
      <c r="K518" s="44">
        <v>200.0</v>
      </c>
      <c r="L518" s="48">
        <f t="shared" si="987"/>
        <v>5930</v>
      </c>
      <c r="M518" s="42">
        <f t="shared" si="1055"/>
        <v>52</v>
      </c>
      <c r="N518" s="49">
        <f t="shared" si="989"/>
        <v>474.4</v>
      </c>
      <c r="O518" s="49">
        <f t="shared" si="990"/>
        <v>593</v>
      </c>
      <c r="P518" s="49">
        <f t="shared" si="991"/>
        <v>296.5</v>
      </c>
      <c r="Q518" s="49">
        <f t="shared" si="992"/>
        <v>118.6</v>
      </c>
      <c r="R518" s="49">
        <f t="shared" si="993"/>
        <v>54.6</v>
      </c>
      <c r="S518" s="49">
        <f t="shared" si="994"/>
        <v>59.3</v>
      </c>
      <c r="T518" s="50">
        <f t="shared" si="995"/>
        <v>1593.8</v>
      </c>
      <c r="U518" s="42">
        <f t="shared" si="996"/>
        <v>109.2</v>
      </c>
      <c r="V518" s="42">
        <f t="shared" si="15"/>
        <v>546</v>
      </c>
      <c r="W518" s="42">
        <f t="shared" si="997"/>
        <v>109.2</v>
      </c>
      <c r="X518" s="42">
        <f t="shared" si="998"/>
        <v>873.6</v>
      </c>
      <c r="Y518" s="42">
        <f t="shared" si="999"/>
        <v>1638</v>
      </c>
      <c r="Z518" s="50">
        <f t="shared" si="1000"/>
        <v>9161.8</v>
      </c>
      <c r="AA518" s="51">
        <f t="shared" si="1001"/>
        <v>1832.36</v>
      </c>
      <c r="AB518" s="49">
        <f t="shared" si="1002"/>
        <v>10994.16</v>
      </c>
      <c r="AC518" s="42">
        <f t="shared" si="1049"/>
        <v>10920</v>
      </c>
      <c r="AD518" s="49">
        <f t="shared" si="1050"/>
        <v>74.16</v>
      </c>
      <c r="AE518" s="49">
        <f t="shared" si="1051"/>
        <v>0.6745399376</v>
      </c>
      <c r="AF518" s="97">
        <v>10990.0</v>
      </c>
      <c r="AG518" s="52">
        <f t="shared" si="1006"/>
        <v>85.32883642</v>
      </c>
      <c r="AH518" s="53">
        <f t="shared" si="1007"/>
        <v>0</v>
      </c>
      <c r="AI518" s="53">
        <f t="shared" ref="AI518:AI519" si="1700">AB518</f>
        <v>10994.16</v>
      </c>
      <c r="AJ518" s="54">
        <v>10990.0</v>
      </c>
      <c r="AK518" s="55">
        <f t="shared" si="1008"/>
        <v>85.32883642</v>
      </c>
      <c r="AL518" s="55"/>
      <c r="AM518" s="55">
        <f t="shared" si="1009"/>
        <v>0</v>
      </c>
      <c r="AN518" s="55">
        <f t="shared" si="1010"/>
        <v>0</v>
      </c>
      <c r="AO518" s="56">
        <f t="shared" si="1011"/>
        <v>1.853288364</v>
      </c>
      <c r="AP518" s="55">
        <f t="shared" si="1012"/>
        <v>-0.0416</v>
      </c>
      <c r="AQ518" s="55">
        <f t="shared" si="1013"/>
        <v>0.7</v>
      </c>
      <c r="AR518" s="57">
        <f t="shared" ref="AR518:AS518" si="1697">AI518/94</f>
        <v>116.9591489</v>
      </c>
      <c r="AS518" s="57">
        <f t="shared" si="1697"/>
        <v>116.9148936</v>
      </c>
      <c r="AT518" s="58">
        <f t="shared" ref="AT518:AU518" si="1698">AI518/24</f>
        <v>458.09</v>
      </c>
      <c r="AU518" s="58">
        <f t="shared" si="1698"/>
        <v>457.9166667</v>
      </c>
      <c r="AV518" s="58">
        <f t="shared" ref="AV518:AW518" si="1699">AI518/125</f>
        <v>87.95328</v>
      </c>
      <c r="AW518" s="58">
        <f t="shared" si="1699"/>
        <v>87.92</v>
      </c>
      <c r="AX518" s="47"/>
      <c r="AY518" s="47"/>
    </row>
    <row r="519" ht="15.75" customHeight="1">
      <c r="A519" s="42" t="s">
        <v>1035</v>
      </c>
      <c r="B519" s="42" t="s">
        <v>475</v>
      </c>
      <c r="C519" s="44" t="s">
        <v>1036</v>
      </c>
      <c r="D519" s="96">
        <v>4800.0</v>
      </c>
      <c r="E519" s="44">
        <v>120.0</v>
      </c>
      <c r="F519" s="44">
        <v>140.0</v>
      </c>
      <c r="G519" s="45">
        <v>8.3061E7</v>
      </c>
      <c r="H519" s="46">
        <v>0.05</v>
      </c>
      <c r="I519" s="42">
        <f t="shared" si="1477"/>
        <v>240</v>
      </c>
      <c r="J519" s="47"/>
      <c r="K519" s="44">
        <v>200.0</v>
      </c>
      <c r="L519" s="48">
        <f t="shared" si="987"/>
        <v>5500</v>
      </c>
      <c r="M519" s="42">
        <f t="shared" si="1055"/>
        <v>48</v>
      </c>
      <c r="N519" s="49">
        <f t="shared" si="989"/>
        <v>440</v>
      </c>
      <c r="O519" s="49">
        <f t="shared" si="990"/>
        <v>550</v>
      </c>
      <c r="P519" s="49">
        <f t="shared" si="991"/>
        <v>275</v>
      </c>
      <c r="Q519" s="49">
        <f t="shared" si="992"/>
        <v>110</v>
      </c>
      <c r="R519" s="49">
        <f t="shared" si="993"/>
        <v>50.4</v>
      </c>
      <c r="S519" s="49">
        <f t="shared" si="994"/>
        <v>55</v>
      </c>
      <c r="T519" s="50">
        <f t="shared" si="995"/>
        <v>1478</v>
      </c>
      <c r="U519" s="42">
        <f t="shared" si="996"/>
        <v>100.8</v>
      </c>
      <c r="V519" s="42">
        <f t="shared" si="15"/>
        <v>504</v>
      </c>
      <c r="W519" s="42">
        <f t="shared" si="997"/>
        <v>100.8</v>
      </c>
      <c r="X519" s="42">
        <f t="shared" si="998"/>
        <v>806.4</v>
      </c>
      <c r="Y519" s="42">
        <f t="shared" si="999"/>
        <v>1512</v>
      </c>
      <c r="Z519" s="50">
        <f t="shared" si="1000"/>
        <v>8490</v>
      </c>
      <c r="AA519" s="51">
        <f t="shared" si="1001"/>
        <v>1698</v>
      </c>
      <c r="AB519" s="49">
        <f t="shared" si="1002"/>
        <v>10188</v>
      </c>
      <c r="AC519" s="42">
        <f t="shared" si="1049"/>
        <v>10080</v>
      </c>
      <c r="AD519" s="49">
        <f t="shared" si="1050"/>
        <v>108</v>
      </c>
      <c r="AE519" s="49">
        <f t="shared" si="1051"/>
        <v>1.060070671</v>
      </c>
      <c r="AF519" s="97">
        <v>9950.0</v>
      </c>
      <c r="AG519" s="52">
        <f t="shared" si="1006"/>
        <v>80.90909091</v>
      </c>
      <c r="AH519" s="53">
        <f t="shared" si="1007"/>
        <v>0</v>
      </c>
      <c r="AI519" s="53">
        <f t="shared" si="1700"/>
        <v>10188</v>
      </c>
      <c r="AJ519" s="54">
        <v>9950.0</v>
      </c>
      <c r="AK519" s="55">
        <f t="shared" si="1008"/>
        <v>80.90909091</v>
      </c>
      <c r="AL519" s="55"/>
      <c r="AM519" s="55">
        <f t="shared" si="1009"/>
        <v>0</v>
      </c>
      <c r="AN519" s="55">
        <f t="shared" si="1010"/>
        <v>0</v>
      </c>
      <c r="AO519" s="56">
        <f t="shared" si="1011"/>
        <v>1.809090909</v>
      </c>
      <c r="AP519" s="55">
        <f t="shared" si="1012"/>
        <v>-2.38</v>
      </c>
      <c r="AQ519" s="55">
        <f t="shared" si="1013"/>
        <v>-1.3</v>
      </c>
      <c r="AR519" s="57">
        <f t="shared" ref="AR519:AS519" si="1701">AI519/94</f>
        <v>108.3829787</v>
      </c>
      <c r="AS519" s="57">
        <f t="shared" si="1701"/>
        <v>105.8510638</v>
      </c>
      <c r="AT519" s="58">
        <f t="shared" ref="AT519:AU519" si="1702">AI519/24</f>
        <v>424.5</v>
      </c>
      <c r="AU519" s="58">
        <f t="shared" si="1702"/>
        <v>414.5833333</v>
      </c>
      <c r="AV519" s="58">
        <f t="shared" ref="AV519:AW519" si="1703">AI519/125</f>
        <v>81.504</v>
      </c>
      <c r="AW519" s="58">
        <f t="shared" si="1703"/>
        <v>79.6</v>
      </c>
      <c r="AX519" s="47"/>
      <c r="AY519" s="47"/>
    </row>
    <row r="520" ht="15.75" customHeight="1">
      <c r="A520" s="42" t="s">
        <v>1035</v>
      </c>
      <c r="B520" s="44" t="s">
        <v>1037</v>
      </c>
      <c r="C520" s="95" t="s">
        <v>1038</v>
      </c>
      <c r="D520" s="96">
        <v>7000.0</v>
      </c>
      <c r="E520" s="44">
        <v>120.0</v>
      </c>
      <c r="F520" s="44">
        <v>140.0</v>
      </c>
      <c r="G520" s="45">
        <v>8.3061E7</v>
      </c>
      <c r="H520" s="46"/>
      <c r="I520" s="42"/>
      <c r="J520" s="47"/>
      <c r="K520" s="44">
        <v>200.0</v>
      </c>
      <c r="L520" s="48">
        <f t="shared" si="987"/>
        <v>7460</v>
      </c>
      <c r="M520" s="42"/>
      <c r="N520" s="49"/>
      <c r="O520" s="49"/>
      <c r="P520" s="49"/>
      <c r="Q520" s="49"/>
      <c r="R520" s="49"/>
      <c r="S520" s="49"/>
      <c r="T520" s="48"/>
      <c r="U520" s="42"/>
      <c r="V520" s="42">
        <f t="shared" si="15"/>
        <v>0</v>
      </c>
      <c r="W520" s="42"/>
      <c r="X520" s="42"/>
      <c r="Y520" s="42"/>
      <c r="Z520" s="50"/>
      <c r="AA520" s="51"/>
      <c r="AB520" s="42"/>
      <c r="AC520" s="42"/>
      <c r="AD520" s="49"/>
      <c r="AE520" s="49"/>
      <c r="AF520" s="97">
        <v>12950.0</v>
      </c>
      <c r="AG520" s="52">
        <f t="shared" si="1006"/>
        <v>73.5924933</v>
      </c>
      <c r="AH520" s="53"/>
      <c r="AI520" s="53"/>
      <c r="AJ520" s="54">
        <v>12950.0</v>
      </c>
      <c r="AK520" s="55">
        <f t="shared" si="1008"/>
        <v>73.5924933</v>
      </c>
      <c r="AL520" s="55"/>
      <c r="AM520" s="55"/>
      <c r="AN520" s="55"/>
      <c r="AO520" s="56"/>
      <c r="AP520" s="55"/>
      <c r="AQ520" s="55"/>
      <c r="AR520" s="57"/>
      <c r="AS520" s="57"/>
      <c r="AT520" s="58"/>
      <c r="AU520" s="58"/>
      <c r="AV520" s="58"/>
      <c r="AW520" s="58"/>
      <c r="AX520" s="47"/>
      <c r="AY520" s="47"/>
    </row>
    <row r="521" ht="15.75" customHeight="1">
      <c r="A521" s="42"/>
      <c r="B521" s="42"/>
      <c r="C521" s="95"/>
      <c r="D521" s="101"/>
      <c r="E521" s="44"/>
      <c r="F521" s="44"/>
      <c r="G521" s="45"/>
      <c r="H521" s="46"/>
      <c r="I521" s="42"/>
      <c r="J521" s="47"/>
      <c r="K521" s="44"/>
      <c r="L521" s="48"/>
      <c r="M521" s="42"/>
      <c r="N521" s="49"/>
      <c r="O521" s="49"/>
      <c r="P521" s="49"/>
      <c r="Q521" s="49"/>
      <c r="R521" s="49"/>
      <c r="S521" s="49"/>
      <c r="T521" s="48"/>
      <c r="U521" s="42"/>
      <c r="V521" s="42">
        <f t="shared" si="15"/>
        <v>0</v>
      </c>
      <c r="W521" s="42"/>
      <c r="X521" s="42"/>
      <c r="Y521" s="42"/>
      <c r="Z521" s="50"/>
      <c r="AA521" s="51"/>
      <c r="AB521" s="42"/>
      <c r="AC521" s="42"/>
      <c r="AD521" s="49"/>
      <c r="AE521" s="49"/>
      <c r="AF521" s="47"/>
      <c r="AG521" s="52"/>
      <c r="AH521" s="53"/>
      <c r="AI521" s="53"/>
      <c r="AJ521" s="54"/>
      <c r="AK521" s="55"/>
      <c r="AL521" s="55"/>
      <c r="AM521" s="55"/>
      <c r="AN521" s="55"/>
      <c r="AO521" s="56"/>
      <c r="AP521" s="55"/>
      <c r="AQ521" s="55"/>
      <c r="AR521" s="57"/>
      <c r="AS521" s="57"/>
      <c r="AT521" s="58"/>
      <c r="AU521" s="58"/>
      <c r="AV521" s="58"/>
      <c r="AW521" s="58"/>
      <c r="AX521" s="47"/>
      <c r="AY521" s="47"/>
    </row>
    <row r="522" ht="15.75" customHeight="1">
      <c r="A522" s="2" t="s">
        <v>1039</v>
      </c>
      <c r="B522" s="2" t="s">
        <v>218</v>
      </c>
      <c r="C522" s="2" t="s">
        <v>1040</v>
      </c>
      <c r="D522" s="103">
        <v>950.0</v>
      </c>
      <c r="E522" s="2">
        <v>50.0</v>
      </c>
      <c r="F522" s="1">
        <v>50.0</v>
      </c>
      <c r="G522" s="10">
        <v>4.42019E7</v>
      </c>
      <c r="H522" s="59">
        <v>0.05</v>
      </c>
      <c r="I522" s="2">
        <f t="shared" ref="I522:I536" si="1707">D522*H522</f>
        <v>47.5</v>
      </c>
      <c r="K522" s="1">
        <v>200.0</v>
      </c>
      <c r="L522" s="4">
        <f t="shared" ref="L522:L795" si="1708">K522+J522+I522+F522+E522+D522</f>
        <v>1297.5</v>
      </c>
      <c r="M522" s="2">
        <f t="shared" ref="M522:M557" si="1709">D522*1%</f>
        <v>9.5</v>
      </c>
      <c r="N522" s="12">
        <f t="shared" ref="N522:N557" si="1710">L522*8%</f>
        <v>103.8</v>
      </c>
      <c r="O522" s="12">
        <f t="shared" ref="O522:O557" si="1711">L522*10%</f>
        <v>129.75</v>
      </c>
      <c r="P522" s="12">
        <f t="shared" ref="P522:P557" si="1712">L522*5%</f>
        <v>64.875</v>
      </c>
      <c r="Q522" s="12">
        <f t="shared" ref="Q522:Q557" si="1713">L522*2%</f>
        <v>25.95</v>
      </c>
      <c r="R522" s="12">
        <f t="shared" ref="R522:R557" si="1714">AC522*0.5%</f>
        <v>9.975</v>
      </c>
      <c r="S522" s="12">
        <f t="shared" ref="S522:S557" si="1715">L522*1%</f>
        <v>12.975</v>
      </c>
      <c r="T522" s="60">
        <f t="shared" ref="T522:T557" si="1716">S522+Q522+P522+O522+N522+M522</f>
        <v>346.85</v>
      </c>
      <c r="U522" s="2">
        <f t="shared" ref="U522:U557" si="1717">AC522*1%</f>
        <v>19.95</v>
      </c>
      <c r="V522" s="42">
        <f t="shared" si="15"/>
        <v>99.75</v>
      </c>
      <c r="W522" s="2">
        <f t="shared" ref="W522:W557" si="1718">AC522*1%</f>
        <v>19.95</v>
      </c>
      <c r="X522" s="2">
        <f t="shared" ref="X522:X557" si="1719">AC522*8%</f>
        <v>159.6</v>
      </c>
      <c r="Y522" s="2">
        <f t="shared" ref="Y522:Y557" si="1720">U522+V522+W522+X522</f>
        <v>299.25</v>
      </c>
      <c r="Z522" s="60">
        <f t="shared" ref="Z522:Z557" si="1721">Y522+T522+L522</f>
        <v>1943.6</v>
      </c>
      <c r="AA522" s="11">
        <f t="shared" ref="AA522:AA557" si="1722">Z522*20%</f>
        <v>388.72</v>
      </c>
      <c r="AB522" s="12">
        <f t="shared" ref="AB522:AB554" si="1723">Z522+AA522</f>
        <v>2332.32</v>
      </c>
      <c r="AC522" s="2">
        <f t="shared" ref="AC522:AC554" si="1724">D522*2.1</f>
        <v>1995</v>
      </c>
      <c r="AD522" s="12">
        <f t="shared" ref="AD522:AD557" si="1725">AB522-AC522</f>
        <v>337.32</v>
      </c>
      <c r="AE522" s="12">
        <f t="shared" ref="AE522:AE557" si="1726">AD522/AB522*100</f>
        <v>14.46285244</v>
      </c>
      <c r="AF522" s="61">
        <v>1350.0</v>
      </c>
      <c r="AG522" s="62">
        <f t="shared" ref="AG522:AG557" si="1727">((AF522-L522)/L522)*100</f>
        <v>4.046242775</v>
      </c>
      <c r="AH522" s="63">
        <f t="shared" ref="AH522:AH557" si="1728">AJ522-AF522</f>
        <v>640</v>
      </c>
      <c r="AI522" s="64">
        <f t="shared" ref="AI522:AI532" si="1729">AB522</f>
        <v>2332.32</v>
      </c>
      <c r="AJ522" s="65">
        <v>1990.0</v>
      </c>
      <c r="AK522" s="66">
        <f t="shared" ref="AK522:AK795" si="1730">(AJ522-L522)/L522*100</f>
        <v>53.37186898</v>
      </c>
      <c r="AL522" s="66"/>
      <c r="AM522" s="14">
        <f t="shared" ref="AM522:AM536" si="1731">AH522/AJ522%</f>
        <v>32.16080402</v>
      </c>
      <c r="AN522" s="67">
        <f t="shared" ref="AN522:AN557" si="1732">AK522-AG522</f>
        <v>49.3256262</v>
      </c>
      <c r="AO522" s="68">
        <f t="shared" ref="AO522:AO557" si="1733">AJ522/L522</f>
        <v>1.53371869</v>
      </c>
      <c r="AP522" s="69">
        <f t="shared" ref="AP522:AP557" si="1734">(AJ522-AB522)/100</f>
        <v>-3.4232</v>
      </c>
      <c r="AQ522" s="70">
        <f t="shared" ref="AQ522:AQ557" si="1735">(AJ522-AC522)/100</f>
        <v>-0.05</v>
      </c>
      <c r="AR522" s="71">
        <f t="shared" ref="AR522:AS522" si="1704">AI522/94</f>
        <v>24.81191489</v>
      </c>
      <c r="AS522" s="71">
        <f t="shared" si="1704"/>
        <v>21.17021277</v>
      </c>
      <c r="AT522" s="72">
        <f t="shared" ref="AT522:AU522" si="1705">AI522/24</f>
        <v>97.18</v>
      </c>
      <c r="AU522" s="72">
        <f t="shared" si="1705"/>
        <v>82.91666667</v>
      </c>
      <c r="AV522" s="73">
        <f t="shared" ref="AV522:AW522" si="1706">AI522/125</f>
        <v>18.65856</v>
      </c>
      <c r="AW522" s="73">
        <f t="shared" si="1706"/>
        <v>15.92</v>
      </c>
    </row>
    <row r="523" ht="15.0" customHeight="1">
      <c r="A523" s="2" t="s">
        <v>1041</v>
      </c>
      <c r="B523" s="2" t="s">
        <v>363</v>
      </c>
      <c r="C523" s="75" t="s">
        <v>1042</v>
      </c>
      <c r="D523" s="10">
        <v>1200.0</v>
      </c>
      <c r="E523" s="2">
        <v>100.0</v>
      </c>
      <c r="F523" s="1">
        <v>85.0</v>
      </c>
      <c r="G523" s="10">
        <v>8.3061E7</v>
      </c>
      <c r="H523" s="59">
        <v>0.05</v>
      </c>
      <c r="I523" s="2">
        <f t="shared" si="1707"/>
        <v>60</v>
      </c>
      <c r="K523" s="1">
        <v>100.0</v>
      </c>
      <c r="L523" s="4">
        <f t="shared" si="1708"/>
        <v>1545</v>
      </c>
      <c r="M523" s="2">
        <f t="shared" si="1709"/>
        <v>12</v>
      </c>
      <c r="N523" s="12">
        <f t="shared" si="1710"/>
        <v>123.6</v>
      </c>
      <c r="O523" s="12">
        <f t="shared" si="1711"/>
        <v>154.5</v>
      </c>
      <c r="P523" s="12">
        <f t="shared" si="1712"/>
        <v>77.25</v>
      </c>
      <c r="Q523" s="12">
        <f t="shared" si="1713"/>
        <v>30.9</v>
      </c>
      <c r="R523" s="12">
        <f t="shared" si="1714"/>
        <v>12.6</v>
      </c>
      <c r="S523" s="12">
        <f t="shared" si="1715"/>
        <v>15.45</v>
      </c>
      <c r="T523" s="60">
        <f t="shared" si="1716"/>
        <v>413.7</v>
      </c>
      <c r="U523" s="2">
        <f t="shared" si="1717"/>
        <v>25.2</v>
      </c>
      <c r="V523" s="42">
        <f t="shared" si="15"/>
        <v>126</v>
      </c>
      <c r="W523" s="2">
        <f t="shared" si="1718"/>
        <v>25.2</v>
      </c>
      <c r="X523" s="2">
        <f t="shared" si="1719"/>
        <v>201.6</v>
      </c>
      <c r="Y523" s="2">
        <f t="shared" si="1720"/>
        <v>378</v>
      </c>
      <c r="Z523" s="60">
        <f t="shared" si="1721"/>
        <v>2336.7</v>
      </c>
      <c r="AA523" s="11">
        <f t="shared" si="1722"/>
        <v>467.34</v>
      </c>
      <c r="AB523" s="12">
        <f t="shared" si="1723"/>
        <v>2804.04</v>
      </c>
      <c r="AC523" s="2">
        <f t="shared" si="1724"/>
        <v>2520</v>
      </c>
      <c r="AD523" s="12">
        <f t="shared" si="1725"/>
        <v>284.04</v>
      </c>
      <c r="AE523" s="12">
        <f t="shared" si="1726"/>
        <v>10.12967005</v>
      </c>
      <c r="AG523" s="62">
        <f t="shared" si="1727"/>
        <v>-100</v>
      </c>
      <c r="AH523" s="63">
        <f t="shared" si="1728"/>
        <v>2190</v>
      </c>
      <c r="AI523" s="64">
        <f t="shared" si="1729"/>
        <v>2804.04</v>
      </c>
      <c r="AJ523" s="65">
        <v>2190.0</v>
      </c>
      <c r="AK523" s="66">
        <f t="shared" si="1730"/>
        <v>41.74757282</v>
      </c>
      <c r="AL523" s="66"/>
      <c r="AM523" s="14">
        <f t="shared" si="1731"/>
        <v>100</v>
      </c>
      <c r="AN523" s="67">
        <f t="shared" si="1732"/>
        <v>141.7475728</v>
      </c>
      <c r="AO523" s="68">
        <f t="shared" si="1733"/>
        <v>1.417475728</v>
      </c>
      <c r="AP523" s="69">
        <f t="shared" si="1734"/>
        <v>-6.1404</v>
      </c>
      <c r="AQ523" s="70">
        <f t="shared" si="1735"/>
        <v>-3.3</v>
      </c>
      <c r="AR523" s="71">
        <f t="shared" ref="AR523:AS523" si="1736">AI523/94</f>
        <v>29.83021277</v>
      </c>
      <c r="AS523" s="71">
        <f t="shared" si="1736"/>
        <v>23.29787234</v>
      </c>
      <c r="AT523" s="72">
        <f t="shared" ref="AT523:AU523" si="1737">AI523/24</f>
        <v>116.835</v>
      </c>
      <c r="AU523" s="72">
        <f t="shared" si="1737"/>
        <v>91.25</v>
      </c>
      <c r="AV523" s="73">
        <f t="shared" ref="AV523:AW523" si="1738">AI523/125</f>
        <v>22.43232</v>
      </c>
      <c r="AW523" s="73">
        <f t="shared" si="1738"/>
        <v>17.52</v>
      </c>
    </row>
    <row r="524" ht="15.75" customHeight="1">
      <c r="A524" s="2"/>
      <c r="B524" s="2" t="s">
        <v>367</v>
      </c>
      <c r="C524" s="75" t="s">
        <v>1043</v>
      </c>
      <c r="D524" s="10">
        <v>3800.0</v>
      </c>
      <c r="E524" s="2">
        <v>150.0</v>
      </c>
      <c r="F524" s="1">
        <v>95.0</v>
      </c>
      <c r="G524" s="10">
        <v>8.3061E7</v>
      </c>
      <c r="H524" s="59">
        <v>0.05</v>
      </c>
      <c r="I524" s="2">
        <f t="shared" si="1707"/>
        <v>190</v>
      </c>
      <c r="K524" s="1">
        <v>100.0</v>
      </c>
      <c r="L524" s="4">
        <f t="shared" si="1708"/>
        <v>4335</v>
      </c>
      <c r="M524" s="2">
        <f t="shared" si="1709"/>
        <v>38</v>
      </c>
      <c r="N524" s="12">
        <f t="shared" si="1710"/>
        <v>346.8</v>
      </c>
      <c r="O524" s="12">
        <f t="shared" si="1711"/>
        <v>433.5</v>
      </c>
      <c r="P524" s="12">
        <f t="shared" si="1712"/>
        <v>216.75</v>
      </c>
      <c r="Q524" s="12">
        <f t="shared" si="1713"/>
        <v>86.7</v>
      </c>
      <c r="R524" s="12">
        <f t="shared" si="1714"/>
        <v>39.9</v>
      </c>
      <c r="S524" s="12">
        <f t="shared" si="1715"/>
        <v>43.35</v>
      </c>
      <c r="T524" s="60">
        <f t="shared" si="1716"/>
        <v>1165.1</v>
      </c>
      <c r="U524" s="2">
        <f t="shared" si="1717"/>
        <v>79.8</v>
      </c>
      <c r="V524" s="42">
        <f t="shared" si="15"/>
        <v>399</v>
      </c>
      <c r="W524" s="2">
        <f t="shared" si="1718"/>
        <v>79.8</v>
      </c>
      <c r="X524" s="2">
        <f t="shared" si="1719"/>
        <v>638.4</v>
      </c>
      <c r="Y524" s="2">
        <f t="shared" si="1720"/>
        <v>1197</v>
      </c>
      <c r="Z524" s="60">
        <f t="shared" si="1721"/>
        <v>6697.1</v>
      </c>
      <c r="AA524" s="11">
        <f t="shared" si="1722"/>
        <v>1339.42</v>
      </c>
      <c r="AB524" s="12">
        <f t="shared" si="1723"/>
        <v>8036.52</v>
      </c>
      <c r="AC524" s="2">
        <f t="shared" si="1724"/>
        <v>7980</v>
      </c>
      <c r="AD524" s="12">
        <f t="shared" si="1725"/>
        <v>56.52</v>
      </c>
      <c r="AE524" s="12">
        <f t="shared" si="1726"/>
        <v>0.7032894835</v>
      </c>
      <c r="AG524" s="62">
        <f t="shared" si="1727"/>
        <v>-100</v>
      </c>
      <c r="AH524" s="63">
        <f t="shared" si="1728"/>
        <v>4990</v>
      </c>
      <c r="AI524" s="64">
        <f t="shared" si="1729"/>
        <v>8036.52</v>
      </c>
      <c r="AJ524" s="65">
        <v>4990.0</v>
      </c>
      <c r="AK524" s="66">
        <f t="shared" si="1730"/>
        <v>15.10957324</v>
      </c>
      <c r="AL524" s="66"/>
      <c r="AM524" s="14">
        <f t="shared" si="1731"/>
        <v>100</v>
      </c>
      <c r="AN524" s="67">
        <f t="shared" si="1732"/>
        <v>115.1095732</v>
      </c>
      <c r="AO524" s="68">
        <f t="shared" si="1733"/>
        <v>1.151095732</v>
      </c>
      <c r="AP524" s="69">
        <f t="shared" si="1734"/>
        <v>-30.4652</v>
      </c>
      <c r="AQ524" s="70">
        <f t="shared" si="1735"/>
        <v>-29.9</v>
      </c>
      <c r="AR524" s="71">
        <f t="shared" ref="AR524:AS524" si="1739">AI524/94</f>
        <v>85.49489362</v>
      </c>
      <c r="AS524" s="71">
        <f t="shared" si="1739"/>
        <v>53.08510638</v>
      </c>
      <c r="AT524" s="72">
        <f t="shared" ref="AT524:AU524" si="1740">AI524/24</f>
        <v>334.855</v>
      </c>
      <c r="AU524" s="72">
        <f t="shared" si="1740"/>
        <v>207.9166667</v>
      </c>
      <c r="AV524" s="73">
        <f t="shared" ref="AV524:AW524" si="1741">AI524/125</f>
        <v>64.29216</v>
      </c>
      <c r="AW524" s="73">
        <f t="shared" si="1741"/>
        <v>39.92</v>
      </c>
    </row>
    <row r="525" ht="15.0" customHeight="1">
      <c r="A525" s="1">
        <v>1490.0</v>
      </c>
      <c r="B525" s="2" t="s">
        <v>262</v>
      </c>
      <c r="C525" s="75" t="s">
        <v>1044</v>
      </c>
      <c r="D525" s="10">
        <v>1000.0</v>
      </c>
      <c r="F525" s="1">
        <v>85.0</v>
      </c>
      <c r="G525" s="10">
        <v>5705.0</v>
      </c>
      <c r="H525" s="59">
        <v>0.05</v>
      </c>
      <c r="I525" s="2">
        <f t="shared" si="1707"/>
        <v>50</v>
      </c>
      <c r="K525" s="1">
        <v>100.0</v>
      </c>
      <c r="L525" s="4">
        <f t="shared" si="1708"/>
        <v>1235</v>
      </c>
      <c r="M525" s="2">
        <f t="shared" si="1709"/>
        <v>10</v>
      </c>
      <c r="N525" s="12">
        <f t="shared" si="1710"/>
        <v>98.8</v>
      </c>
      <c r="O525" s="12">
        <f t="shared" si="1711"/>
        <v>123.5</v>
      </c>
      <c r="P525" s="12">
        <f t="shared" si="1712"/>
        <v>61.75</v>
      </c>
      <c r="Q525" s="12">
        <f t="shared" si="1713"/>
        <v>24.7</v>
      </c>
      <c r="R525" s="12">
        <f t="shared" si="1714"/>
        <v>10.5</v>
      </c>
      <c r="S525" s="12">
        <f t="shared" si="1715"/>
        <v>12.35</v>
      </c>
      <c r="T525" s="60">
        <f t="shared" si="1716"/>
        <v>331.1</v>
      </c>
      <c r="U525" s="2">
        <f t="shared" si="1717"/>
        <v>21</v>
      </c>
      <c r="V525" s="42">
        <f t="shared" si="15"/>
        <v>105</v>
      </c>
      <c r="W525" s="2">
        <f t="shared" si="1718"/>
        <v>21</v>
      </c>
      <c r="X525" s="2">
        <f t="shared" si="1719"/>
        <v>168</v>
      </c>
      <c r="Y525" s="2">
        <f t="shared" si="1720"/>
        <v>315</v>
      </c>
      <c r="Z525" s="60">
        <f t="shared" si="1721"/>
        <v>1881.1</v>
      </c>
      <c r="AA525" s="11">
        <f t="shared" si="1722"/>
        <v>376.22</v>
      </c>
      <c r="AB525" s="12">
        <f t="shared" si="1723"/>
        <v>2257.32</v>
      </c>
      <c r="AC525" s="2">
        <f t="shared" si="1724"/>
        <v>2100</v>
      </c>
      <c r="AD525" s="12">
        <f t="shared" si="1725"/>
        <v>157.32</v>
      </c>
      <c r="AE525" s="12">
        <f t="shared" si="1726"/>
        <v>6.969326458</v>
      </c>
      <c r="AG525" s="62">
        <f t="shared" si="1727"/>
        <v>-100</v>
      </c>
      <c r="AH525" s="63">
        <f t="shared" si="1728"/>
        <v>1490</v>
      </c>
      <c r="AI525" s="64">
        <f t="shared" si="1729"/>
        <v>2257.32</v>
      </c>
      <c r="AJ525" s="65">
        <v>1490.0</v>
      </c>
      <c r="AK525" s="66">
        <f t="shared" si="1730"/>
        <v>20.64777328</v>
      </c>
      <c r="AL525" s="66"/>
      <c r="AM525" s="14">
        <f t="shared" si="1731"/>
        <v>100</v>
      </c>
      <c r="AN525" s="67">
        <f t="shared" si="1732"/>
        <v>120.6477733</v>
      </c>
      <c r="AO525" s="68">
        <f t="shared" si="1733"/>
        <v>1.206477733</v>
      </c>
      <c r="AP525" s="69">
        <f t="shared" si="1734"/>
        <v>-7.6732</v>
      </c>
      <c r="AQ525" s="70">
        <f t="shared" si="1735"/>
        <v>-6.1</v>
      </c>
      <c r="AR525" s="71">
        <f t="shared" ref="AR525:AS525" si="1742">AI525/94</f>
        <v>24.01404255</v>
      </c>
      <c r="AS525" s="71">
        <f t="shared" si="1742"/>
        <v>15.85106383</v>
      </c>
      <c r="AT525" s="72">
        <f t="shared" ref="AT525:AU525" si="1743">AI525/24</f>
        <v>94.055</v>
      </c>
      <c r="AU525" s="72">
        <f t="shared" si="1743"/>
        <v>62.08333333</v>
      </c>
      <c r="AV525" s="73">
        <f t="shared" ref="AV525:AW525" si="1744">AI525/125</f>
        <v>18.05856</v>
      </c>
      <c r="AW525" s="73">
        <f t="shared" si="1744"/>
        <v>11.92</v>
      </c>
    </row>
    <row r="526" ht="15.75" customHeight="1">
      <c r="A526" s="2"/>
      <c r="B526" s="2" t="s">
        <v>247</v>
      </c>
      <c r="C526" s="75" t="s">
        <v>1045</v>
      </c>
      <c r="D526" s="10">
        <v>1000.0</v>
      </c>
      <c r="F526" s="1">
        <v>85.0</v>
      </c>
      <c r="G526" s="10">
        <v>5705.0</v>
      </c>
      <c r="H526" s="59">
        <v>0.05</v>
      </c>
      <c r="I526" s="2">
        <f t="shared" si="1707"/>
        <v>50</v>
      </c>
      <c r="K526" s="1">
        <v>100.0</v>
      </c>
      <c r="L526" s="4">
        <f t="shared" si="1708"/>
        <v>1235</v>
      </c>
      <c r="M526" s="2">
        <f t="shared" si="1709"/>
        <v>10</v>
      </c>
      <c r="N526" s="12">
        <f t="shared" si="1710"/>
        <v>98.8</v>
      </c>
      <c r="O526" s="12">
        <f t="shared" si="1711"/>
        <v>123.5</v>
      </c>
      <c r="P526" s="12">
        <f t="shared" si="1712"/>
        <v>61.75</v>
      </c>
      <c r="Q526" s="12">
        <f t="shared" si="1713"/>
        <v>24.7</v>
      </c>
      <c r="R526" s="12">
        <f t="shared" si="1714"/>
        <v>10.5</v>
      </c>
      <c r="S526" s="12">
        <f t="shared" si="1715"/>
        <v>12.35</v>
      </c>
      <c r="T526" s="60">
        <f t="shared" si="1716"/>
        <v>331.1</v>
      </c>
      <c r="U526" s="2">
        <f t="shared" si="1717"/>
        <v>21</v>
      </c>
      <c r="V526" s="42">
        <f t="shared" si="15"/>
        <v>105</v>
      </c>
      <c r="W526" s="2">
        <f t="shared" si="1718"/>
        <v>21</v>
      </c>
      <c r="X526" s="2">
        <f t="shared" si="1719"/>
        <v>168</v>
      </c>
      <c r="Y526" s="2">
        <f t="shared" si="1720"/>
        <v>315</v>
      </c>
      <c r="Z526" s="60">
        <f t="shared" si="1721"/>
        <v>1881.1</v>
      </c>
      <c r="AA526" s="11">
        <f t="shared" si="1722"/>
        <v>376.22</v>
      </c>
      <c r="AB526" s="12">
        <f t="shared" si="1723"/>
        <v>2257.32</v>
      </c>
      <c r="AC526" s="2">
        <f t="shared" si="1724"/>
        <v>2100</v>
      </c>
      <c r="AD526" s="12">
        <f t="shared" si="1725"/>
        <v>157.32</v>
      </c>
      <c r="AE526" s="12">
        <f t="shared" si="1726"/>
        <v>6.969326458</v>
      </c>
      <c r="AG526" s="62">
        <f t="shared" si="1727"/>
        <v>-100</v>
      </c>
      <c r="AH526" s="63">
        <f t="shared" si="1728"/>
        <v>1490</v>
      </c>
      <c r="AI526" s="64">
        <f t="shared" si="1729"/>
        <v>2257.32</v>
      </c>
      <c r="AJ526" s="65">
        <v>1490.0</v>
      </c>
      <c r="AK526" s="66">
        <f t="shared" si="1730"/>
        <v>20.64777328</v>
      </c>
      <c r="AL526" s="66"/>
      <c r="AM526" s="14">
        <f t="shared" si="1731"/>
        <v>100</v>
      </c>
      <c r="AN526" s="67">
        <f t="shared" si="1732"/>
        <v>120.6477733</v>
      </c>
      <c r="AO526" s="68">
        <f t="shared" si="1733"/>
        <v>1.206477733</v>
      </c>
      <c r="AP526" s="69">
        <f t="shared" si="1734"/>
        <v>-7.6732</v>
      </c>
      <c r="AQ526" s="70">
        <f t="shared" si="1735"/>
        <v>-6.1</v>
      </c>
      <c r="AR526" s="71">
        <f t="shared" ref="AR526:AS526" si="1745">AI526/94</f>
        <v>24.01404255</v>
      </c>
      <c r="AS526" s="71">
        <f t="shared" si="1745"/>
        <v>15.85106383</v>
      </c>
      <c r="AT526" s="72">
        <f t="shared" ref="AT526:AU526" si="1746">AI526/24</f>
        <v>94.055</v>
      </c>
      <c r="AU526" s="72">
        <f t="shared" si="1746"/>
        <v>62.08333333</v>
      </c>
      <c r="AV526" s="73">
        <f t="shared" ref="AV526:AW526" si="1747">AI526/125</f>
        <v>18.05856</v>
      </c>
      <c r="AW526" s="73">
        <f t="shared" si="1747"/>
        <v>11.92</v>
      </c>
    </row>
    <row r="527" ht="15.75" customHeight="1">
      <c r="A527" s="2"/>
      <c r="B527" s="2" t="s">
        <v>268</v>
      </c>
      <c r="C527" s="75" t="s">
        <v>1046</v>
      </c>
      <c r="D527" s="10">
        <v>1000.0</v>
      </c>
      <c r="F527" s="1">
        <v>85.0</v>
      </c>
      <c r="G527" s="10">
        <v>5705.0</v>
      </c>
      <c r="H527" s="59">
        <v>0.05</v>
      </c>
      <c r="I527" s="2">
        <f t="shared" si="1707"/>
        <v>50</v>
      </c>
      <c r="K527" s="1">
        <v>100.0</v>
      </c>
      <c r="L527" s="4">
        <f t="shared" si="1708"/>
        <v>1235</v>
      </c>
      <c r="M527" s="2">
        <f t="shared" si="1709"/>
        <v>10</v>
      </c>
      <c r="N527" s="12">
        <f t="shared" si="1710"/>
        <v>98.8</v>
      </c>
      <c r="O527" s="12">
        <f t="shared" si="1711"/>
        <v>123.5</v>
      </c>
      <c r="P527" s="12">
        <f t="shared" si="1712"/>
        <v>61.75</v>
      </c>
      <c r="Q527" s="12">
        <f t="shared" si="1713"/>
        <v>24.7</v>
      </c>
      <c r="R527" s="12">
        <f t="shared" si="1714"/>
        <v>10.5</v>
      </c>
      <c r="S527" s="12">
        <f t="shared" si="1715"/>
        <v>12.35</v>
      </c>
      <c r="T527" s="60">
        <f t="shared" si="1716"/>
        <v>331.1</v>
      </c>
      <c r="U527" s="2">
        <f t="shared" si="1717"/>
        <v>21</v>
      </c>
      <c r="V527" s="42">
        <f t="shared" si="15"/>
        <v>105</v>
      </c>
      <c r="W527" s="2">
        <f t="shared" si="1718"/>
        <v>21</v>
      </c>
      <c r="X527" s="2">
        <f t="shared" si="1719"/>
        <v>168</v>
      </c>
      <c r="Y527" s="2">
        <f t="shared" si="1720"/>
        <v>315</v>
      </c>
      <c r="Z527" s="60">
        <f t="shared" si="1721"/>
        <v>1881.1</v>
      </c>
      <c r="AA527" s="11">
        <f t="shared" si="1722"/>
        <v>376.22</v>
      </c>
      <c r="AB527" s="12">
        <f t="shared" si="1723"/>
        <v>2257.32</v>
      </c>
      <c r="AC527" s="2">
        <f t="shared" si="1724"/>
        <v>2100</v>
      </c>
      <c r="AD527" s="12">
        <f t="shared" si="1725"/>
        <v>157.32</v>
      </c>
      <c r="AE527" s="12">
        <f t="shared" si="1726"/>
        <v>6.969326458</v>
      </c>
      <c r="AG527" s="62">
        <f t="shared" si="1727"/>
        <v>-100</v>
      </c>
      <c r="AH527" s="63">
        <f t="shared" si="1728"/>
        <v>1490</v>
      </c>
      <c r="AI527" s="64">
        <f t="shared" si="1729"/>
        <v>2257.32</v>
      </c>
      <c r="AJ527" s="65">
        <v>1490.0</v>
      </c>
      <c r="AK527" s="66">
        <f t="shared" si="1730"/>
        <v>20.64777328</v>
      </c>
      <c r="AL527" s="66"/>
      <c r="AM527" s="14">
        <f t="shared" si="1731"/>
        <v>100</v>
      </c>
      <c r="AN527" s="67">
        <f t="shared" si="1732"/>
        <v>120.6477733</v>
      </c>
      <c r="AO527" s="68">
        <f t="shared" si="1733"/>
        <v>1.206477733</v>
      </c>
      <c r="AP527" s="69">
        <f t="shared" si="1734"/>
        <v>-7.6732</v>
      </c>
      <c r="AQ527" s="70">
        <f t="shared" si="1735"/>
        <v>-6.1</v>
      </c>
      <c r="AR527" s="71">
        <f t="shared" ref="AR527:AS527" si="1748">AI527/94</f>
        <v>24.01404255</v>
      </c>
      <c r="AS527" s="71">
        <f t="shared" si="1748"/>
        <v>15.85106383</v>
      </c>
      <c r="AT527" s="72">
        <f t="shared" ref="AT527:AU527" si="1749">AI527/24</f>
        <v>94.055</v>
      </c>
      <c r="AU527" s="72">
        <f t="shared" si="1749"/>
        <v>62.08333333</v>
      </c>
      <c r="AV527" s="73">
        <f t="shared" ref="AV527:AW527" si="1750">AI527/125</f>
        <v>18.05856</v>
      </c>
      <c r="AW527" s="73">
        <f t="shared" si="1750"/>
        <v>11.92</v>
      </c>
    </row>
    <row r="528" ht="15.75" customHeight="1">
      <c r="A528" s="2"/>
      <c r="B528" s="2" t="s">
        <v>251</v>
      </c>
      <c r="C528" s="75" t="s">
        <v>1047</v>
      </c>
      <c r="D528" s="10">
        <v>1000.0</v>
      </c>
      <c r="F528" s="1">
        <v>85.0</v>
      </c>
      <c r="G528" s="10">
        <v>5705.0</v>
      </c>
      <c r="H528" s="59">
        <v>0.05</v>
      </c>
      <c r="I528" s="2">
        <f t="shared" si="1707"/>
        <v>50</v>
      </c>
      <c r="K528" s="1">
        <v>100.0</v>
      </c>
      <c r="L528" s="4">
        <f t="shared" si="1708"/>
        <v>1235</v>
      </c>
      <c r="M528" s="2">
        <f t="shared" si="1709"/>
        <v>10</v>
      </c>
      <c r="N528" s="12">
        <f t="shared" si="1710"/>
        <v>98.8</v>
      </c>
      <c r="O528" s="12">
        <f t="shared" si="1711"/>
        <v>123.5</v>
      </c>
      <c r="P528" s="12">
        <f t="shared" si="1712"/>
        <v>61.75</v>
      </c>
      <c r="Q528" s="12">
        <f t="shared" si="1713"/>
        <v>24.7</v>
      </c>
      <c r="R528" s="12">
        <f t="shared" si="1714"/>
        <v>10.5</v>
      </c>
      <c r="S528" s="12">
        <f t="shared" si="1715"/>
        <v>12.35</v>
      </c>
      <c r="T528" s="60">
        <f t="shared" si="1716"/>
        <v>331.1</v>
      </c>
      <c r="U528" s="2">
        <f t="shared" si="1717"/>
        <v>21</v>
      </c>
      <c r="V528" s="42">
        <f t="shared" si="15"/>
        <v>105</v>
      </c>
      <c r="W528" s="2">
        <f t="shared" si="1718"/>
        <v>21</v>
      </c>
      <c r="X528" s="2">
        <f t="shared" si="1719"/>
        <v>168</v>
      </c>
      <c r="Y528" s="2">
        <f t="shared" si="1720"/>
        <v>315</v>
      </c>
      <c r="Z528" s="60">
        <f t="shared" si="1721"/>
        <v>1881.1</v>
      </c>
      <c r="AA528" s="11">
        <f t="shared" si="1722"/>
        <v>376.22</v>
      </c>
      <c r="AB528" s="12">
        <f t="shared" si="1723"/>
        <v>2257.32</v>
      </c>
      <c r="AC528" s="2">
        <f t="shared" si="1724"/>
        <v>2100</v>
      </c>
      <c r="AD528" s="12">
        <f t="shared" si="1725"/>
        <v>157.32</v>
      </c>
      <c r="AE528" s="12">
        <f t="shared" si="1726"/>
        <v>6.969326458</v>
      </c>
      <c r="AG528" s="62">
        <f t="shared" si="1727"/>
        <v>-100</v>
      </c>
      <c r="AH528" s="63">
        <f t="shared" si="1728"/>
        <v>1490</v>
      </c>
      <c r="AI528" s="64">
        <f t="shared" si="1729"/>
        <v>2257.32</v>
      </c>
      <c r="AJ528" s="65">
        <v>1490.0</v>
      </c>
      <c r="AK528" s="66">
        <f t="shared" si="1730"/>
        <v>20.64777328</v>
      </c>
      <c r="AL528" s="66"/>
      <c r="AM528" s="14">
        <f t="shared" si="1731"/>
        <v>100</v>
      </c>
      <c r="AN528" s="67">
        <f t="shared" si="1732"/>
        <v>120.6477733</v>
      </c>
      <c r="AO528" s="68">
        <f t="shared" si="1733"/>
        <v>1.206477733</v>
      </c>
      <c r="AP528" s="69">
        <f t="shared" si="1734"/>
        <v>-7.6732</v>
      </c>
      <c r="AQ528" s="70">
        <f t="shared" si="1735"/>
        <v>-6.1</v>
      </c>
      <c r="AR528" s="71">
        <f t="shared" ref="AR528:AS528" si="1751">AI528/94</f>
        <v>24.01404255</v>
      </c>
      <c r="AS528" s="71">
        <f t="shared" si="1751"/>
        <v>15.85106383</v>
      </c>
      <c r="AT528" s="72">
        <f t="shared" ref="AT528:AU528" si="1752">AI528/24</f>
        <v>94.055</v>
      </c>
      <c r="AU528" s="72">
        <f t="shared" si="1752"/>
        <v>62.08333333</v>
      </c>
      <c r="AV528" s="73">
        <f t="shared" ref="AV528:AW528" si="1753">AI528/125</f>
        <v>18.05856</v>
      </c>
      <c r="AW528" s="73">
        <f t="shared" si="1753"/>
        <v>11.92</v>
      </c>
    </row>
    <row r="529" ht="15.75" customHeight="1">
      <c r="A529" s="2"/>
      <c r="B529" s="2" t="s">
        <v>264</v>
      </c>
      <c r="C529" s="75" t="s">
        <v>1048</v>
      </c>
      <c r="D529" s="10">
        <v>1100.0</v>
      </c>
      <c r="F529" s="1">
        <v>85.0</v>
      </c>
      <c r="G529" s="10">
        <v>5705.0</v>
      </c>
      <c r="H529" s="59">
        <v>0.05</v>
      </c>
      <c r="I529" s="2">
        <f t="shared" si="1707"/>
        <v>55</v>
      </c>
      <c r="K529" s="1">
        <v>100.0</v>
      </c>
      <c r="L529" s="4">
        <f t="shared" si="1708"/>
        <v>1340</v>
      </c>
      <c r="M529" s="2">
        <f t="shared" si="1709"/>
        <v>11</v>
      </c>
      <c r="N529" s="12">
        <f t="shared" si="1710"/>
        <v>107.2</v>
      </c>
      <c r="O529" s="12">
        <f t="shared" si="1711"/>
        <v>134</v>
      </c>
      <c r="P529" s="12">
        <f t="shared" si="1712"/>
        <v>67</v>
      </c>
      <c r="Q529" s="12">
        <f t="shared" si="1713"/>
        <v>26.8</v>
      </c>
      <c r="R529" s="12">
        <f t="shared" si="1714"/>
        <v>11.55</v>
      </c>
      <c r="S529" s="12">
        <f t="shared" si="1715"/>
        <v>13.4</v>
      </c>
      <c r="T529" s="60">
        <f t="shared" si="1716"/>
        <v>359.4</v>
      </c>
      <c r="U529" s="2">
        <f t="shared" si="1717"/>
        <v>23.1</v>
      </c>
      <c r="V529" s="42">
        <f t="shared" si="15"/>
        <v>115.5</v>
      </c>
      <c r="W529" s="2">
        <f t="shared" si="1718"/>
        <v>23.1</v>
      </c>
      <c r="X529" s="2">
        <f t="shared" si="1719"/>
        <v>184.8</v>
      </c>
      <c r="Y529" s="2">
        <f t="shared" si="1720"/>
        <v>346.5</v>
      </c>
      <c r="Z529" s="60">
        <f t="shared" si="1721"/>
        <v>2045.9</v>
      </c>
      <c r="AA529" s="11">
        <f t="shared" si="1722"/>
        <v>409.18</v>
      </c>
      <c r="AB529" s="12">
        <f t="shared" si="1723"/>
        <v>2455.08</v>
      </c>
      <c r="AC529" s="2">
        <f t="shared" si="1724"/>
        <v>2310</v>
      </c>
      <c r="AD529" s="12">
        <f t="shared" si="1725"/>
        <v>145.08</v>
      </c>
      <c r="AE529" s="12">
        <f t="shared" si="1726"/>
        <v>5.909379735</v>
      </c>
      <c r="AG529" s="62">
        <f t="shared" si="1727"/>
        <v>-100</v>
      </c>
      <c r="AH529" s="63">
        <f t="shared" si="1728"/>
        <v>1490</v>
      </c>
      <c r="AI529" s="64">
        <f t="shared" si="1729"/>
        <v>2455.08</v>
      </c>
      <c r="AJ529" s="65">
        <v>1490.0</v>
      </c>
      <c r="AK529" s="66">
        <f t="shared" si="1730"/>
        <v>11.19402985</v>
      </c>
      <c r="AL529" s="66"/>
      <c r="AM529" s="14">
        <f t="shared" si="1731"/>
        <v>100</v>
      </c>
      <c r="AN529" s="67">
        <f t="shared" si="1732"/>
        <v>111.1940299</v>
      </c>
      <c r="AO529" s="68">
        <f t="shared" si="1733"/>
        <v>1.111940299</v>
      </c>
      <c r="AP529" s="69">
        <f t="shared" si="1734"/>
        <v>-9.6508</v>
      </c>
      <c r="AQ529" s="70">
        <f t="shared" si="1735"/>
        <v>-8.2</v>
      </c>
      <c r="AR529" s="71">
        <f t="shared" ref="AR529:AS529" si="1754">AI529/94</f>
        <v>26.11787234</v>
      </c>
      <c r="AS529" s="71">
        <f t="shared" si="1754"/>
        <v>15.85106383</v>
      </c>
      <c r="AT529" s="72">
        <f t="shared" ref="AT529:AU529" si="1755">AI529/24</f>
        <v>102.295</v>
      </c>
      <c r="AU529" s="72">
        <f t="shared" si="1755"/>
        <v>62.08333333</v>
      </c>
      <c r="AV529" s="73">
        <f t="shared" ref="AV529:AW529" si="1756">AI529/125</f>
        <v>19.64064</v>
      </c>
      <c r="AW529" s="73">
        <f t="shared" si="1756"/>
        <v>11.92</v>
      </c>
    </row>
    <row r="530" ht="15.75" customHeight="1">
      <c r="A530" s="2"/>
      <c r="B530" s="2" t="s">
        <v>255</v>
      </c>
      <c r="C530" s="75" t="s">
        <v>1049</v>
      </c>
      <c r="D530" s="10">
        <v>1100.0</v>
      </c>
      <c r="F530" s="1">
        <v>85.0</v>
      </c>
      <c r="G530" s="10">
        <v>5705.0</v>
      </c>
      <c r="H530" s="59">
        <v>0.05</v>
      </c>
      <c r="I530" s="2">
        <f t="shared" si="1707"/>
        <v>55</v>
      </c>
      <c r="K530" s="1">
        <v>100.0</v>
      </c>
      <c r="L530" s="4">
        <f t="shared" si="1708"/>
        <v>1340</v>
      </c>
      <c r="M530" s="2">
        <f t="shared" si="1709"/>
        <v>11</v>
      </c>
      <c r="N530" s="12">
        <f t="shared" si="1710"/>
        <v>107.2</v>
      </c>
      <c r="O530" s="12">
        <f t="shared" si="1711"/>
        <v>134</v>
      </c>
      <c r="P530" s="12">
        <f t="shared" si="1712"/>
        <v>67</v>
      </c>
      <c r="Q530" s="12">
        <f t="shared" si="1713"/>
        <v>26.8</v>
      </c>
      <c r="R530" s="12">
        <f t="shared" si="1714"/>
        <v>11.55</v>
      </c>
      <c r="S530" s="12">
        <f t="shared" si="1715"/>
        <v>13.4</v>
      </c>
      <c r="T530" s="60">
        <f t="shared" si="1716"/>
        <v>359.4</v>
      </c>
      <c r="U530" s="2">
        <f t="shared" si="1717"/>
        <v>23.1</v>
      </c>
      <c r="V530" s="42">
        <f t="shared" si="15"/>
        <v>115.5</v>
      </c>
      <c r="W530" s="2">
        <f t="shared" si="1718"/>
        <v>23.1</v>
      </c>
      <c r="X530" s="2">
        <f t="shared" si="1719"/>
        <v>184.8</v>
      </c>
      <c r="Y530" s="2">
        <f t="shared" si="1720"/>
        <v>346.5</v>
      </c>
      <c r="Z530" s="60">
        <f t="shared" si="1721"/>
        <v>2045.9</v>
      </c>
      <c r="AA530" s="11">
        <f t="shared" si="1722"/>
        <v>409.18</v>
      </c>
      <c r="AB530" s="12">
        <f t="shared" si="1723"/>
        <v>2455.08</v>
      </c>
      <c r="AC530" s="2">
        <f t="shared" si="1724"/>
        <v>2310</v>
      </c>
      <c r="AD530" s="12">
        <f t="shared" si="1725"/>
        <v>145.08</v>
      </c>
      <c r="AE530" s="12">
        <f t="shared" si="1726"/>
        <v>5.909379735</v>
      </c>
      <c r="AG530" s="62">
        <f t="shared" si="1727"/>
        <v>-100</v>
      </c>
      <c r="AH530" s="63">
        <f t="shared" si="1728"/>
        <v>1490</v>
      </c>
      <c r="AI530" s="64">
        <f t="shared" si="1729"/>
        <v>2455.08</v>
      </c>
      <c r="AJ530" s="65">
        <v>1490.0</v>
      </c>
      <c r="AK530" s="66">
        <f t="shared" si="1730"/>
        <v>11.19402985</v>
      </c>
      <c r="AL530" s="66"/>
      <c r="AM530" s="14">
        <f t="shared" si="1731"/>
        <v>100</v>
      </c>
      <c r="AN530" s="67">
        <f t="shared" si="1732"/>
        <v>111.1940299</v>
      </c>
      <c r="AO530" s="68">
        <f t="shared" si="1733"/>
        <v>1.111940299</v>
      </c>
      <c r="AP530" s="69">
        <f t="shared" si="1734"/>
        <v>-9.6508</v>
      </c>
      <c r="AQ530" s="70">
        <f t="shared" si="1735"/>
        <v>-8.2</v>
      </c>
      <c r="AR530" s="71">
        <f t="shared" ref="AR530:AS530" si="1757">AI530/94</f>
        <v>26.11787234</v>
      </c>
      <c r="AS530" s="71">
        <f t="shared" si="1757"/>
        <v>15.85106383</v>
      </c>
      <c r="AT530" s="72">
        <f t="shared" ref="AT530:AU530" si="1758">AI530/24</f>
        <v>102.295</v>
      </c>
      <c r="AU530" s="72">
        <f t="shared" si="1758"/>
        <v>62.08333333</v>
      </c>
      <c r="AV530" s="73">
        <f t="shared" ref="AV530:AW530" si="1759">AI530/125</f>
        <v>19.64064</v>
      </c>
      <c r="AW530" s="73">
        <f t="shared" si="1759"/>
        <v>11.92</v>
      </c>
    </row>
    <row r="531" ht="15.75" customHeight="1">
      <c r="A531" s="2"/>
      <c r="B531" s="2" t="s">
        <v>257</v>
      </c>
      <c r="C531" s="75" t="s">
        <v>1050</v>
      </c>
      <c r="D531" s="10">
        <v>1100.0</v>
      </c>
      <c r="F531" s="1">
        <v>85.0</v>
      </c>
      <c r="G531" s="10">
        <v>5705.0</v>
      </c>
      <c r="H531" s="59">
        <v>0.05</v>
      </c>
      <c r="I531" s="2">
        <f t="shared" si="1707"/>
        <v>55</v>
      </c>
      <c r="K531" s="1">
        <v>100.0</v>
      </c>
      <c r="L531" s="4">
        <f t="shared" si="1708"/>
        <v>1340</v>
      </c>
      <c r="M531" s="2">
        <f t="shared" si="1709"/>
        <v>11</v>
      </c>
      <c r="N531" s="12">
        <f t="shared" si="1710"/>
        <v>107.2</v>
      </c>
      <c r="O531" s="12">
        <f t="shared" si="1711"/>
        <v>134</v>
      </c>
      <c r="P531" s="12">
        <f t="shared" si="1712"/>
        <v>67</v>
      </c>
      <c r="Q531" s="12">
        <f t="shared" si="1713"/>
        <v>26.8</v>
      </c>
      <c r="R531" s="12">
        <f t="shared" si="1714"/>
        <v>11.55</v>
      </c>
      <c r="S531" s="12">
        <f t="shared" si="1715"/>
        <v>13.4</v>
      </c>
      <c r="T531" s="60">
        <f t="shared" si="1716"/>
        <v>359.4</v>
      </c>
      <c r="U531" s="2">
        <f t="shared" si="1717"/>
        <v>23.1</v>
      </c>
      <c r="V531" s="42">
        <f t="shared" si="15"/>
        <v>115.5</v>
      </c>
      <c r="W531" s="2">
        <f t="shared" si="1718"/>
        <v>23.1</v>
      </c>
      <c r="X531" s="2">
        <f t="shared" si="1719"/>
        <v>184.8</v>
      </c>
      <c r="Y531" s="2">
        <f t="shared" si="1720"/>
        <v>346.5</v>
      </c>
      <c r="Z531" s="60">
        <f t="shared" si="1721"/>
        <v>2045.9</v>
      </c>
      <c r="AA531" s="11">
        <f t="shared" si="1722"/>
        <v>409.18</v>
      </c>
      <c r="AB531" s="12">
        <f t="shared" si="1723"/>
        <v>2455.08</v>
      </c>
      <c r="AC531" s="2">
        <f t="shared" si="1724"/>
        <v>2310</v>
      </c>
      <c r="AD531" s="12">
        <f t="shared" si="1725"/>
        <v>145.08</v>
      </c>
      <c r="AE531" s="12">
        <f t="shared" si="1726"/>
        <v>5.909379735</v>
      </c>
      <c r="AG531" s="62">
        <f t="shared" si="1727"/>
        <v>-100</v>
      </c>
      <c r="AH531" s="63">
        <f t="shared" si="1728"/>
        <v>1490</v>
      </c>
      <c r="AI531" s="64">
        <f t="shared" si="1729"/>
        <v>2455.08</v>
      </c>
      <c r="AJ531" s="65">
        <v>1490.0</v>
      </c>
      <c r="AK531" s="66">
        <f t="shared" si="1730"/>
        <v>11.19402985</v>
      </c>
      <c r="AL531" s="66"/>
      <c r="AM531" s="14">
        <f t="shared" si="1731"/>
        <v>100</v>
      </c>
      <c r="AN531" s="67">
        <f t="shared" si="1732"/>
        <v>111.1940299</v>
      </c>
      <c r="AO531" s="68">
        <f t="shared" si="1733"/>
        <v>1.111940299</v>
      </c>
      <c r="AP531" s="69">
        <f t="shared" si="1734"/>
        <v>-9.6508</v>
      </c>
      <c r="AQ531" s="70">
        <f t="shared" si="1735"/>
        <v>-8.2</v>
      </c>
      <c r="AR531" s="71">
        <f t="shared" ref="AR531:AS531" si="1760">AI531/94</f>
        <v>26.11787234</v>
      </c>
      <c r="AS531" s="71">
        <f t="shared" si="1760"/>
        <v>15.85106383</v>
      </c>
      <c r="AT531" s="72">
        <f t="shared" ref="AT531:AU531" si="1761">AI531/24</f>
        <v>102.295</v>
      </c>
      <c r="AU531" s="72">
        <f t="shared" si="1761"/>
        <v>62.08333333</v>
      </c>
      <c r="AV531" s="73">
        <f t="shared" ref="AV531:AW531" si="1762">AI531/125</f>
        <v>19.64064</v>
      </c>
      <c r="AW531" s="73">
        <f t="shared" si="1762"/>
        <v>11.92</v>
      </c>
    </row>
    <row r="532" ht="15.75" customHeight="1">
      <c r="A532" s="2"/>
      <c r="B532" s="2" t="s">
        <v>259</v>
      </c>
      <c r="C532" s="75" t="s">
        <v>1051</v>
      </c>
      <c r="D532" s="10">
        <v>1100.0</v>
      </c>
      <c r="F532" s="1">
        <v>85.0</v>
      </c>
      <c r="G532" s="10">
        <v>5705.0</v>
      </c>
      <c r="H532" s="59">
        <v>0.05</v>
      </c>
      <c r="I532" s="2">
        <f t="shared" si="1707"/>
        <v>55</v>
      </c>
      <c r="K532" s="1">
        <v>100.0</v>
      </c>
      <c r="L532" s="4">
        <f t="shared" si="1708"/>
        <v>1340</v>
      </c>
      <c r="M532" s="2">
        <f t="shared" si="1709"/>
        <v>11</v>
      </c>
      <c r="N532" s="12">
        <f t="shared" si="1710"/>
        <v>107.2</v>
      </c>
      <c r="O532" s="12">
        <f t="shared" si="1711"/>
        <v>134</v>
      </c>
      <c r="P532" s="12">
        <f t="shared" si="1712"/>
        <v>67</v>
      </c>
      <c r="Q532" s="12">
        <f t="shared" si="1713"/>
        <v>26.8</v>
      </c>
      <c r="R532" s="12">
        <f t="shared" si="1714"/>
        <v>11.55</v>
      </c>
      <c r="S532" s="12">
        <f t="shared" si="1715"/>
        <v>13.4</v>
      </c>
      <c r="T532" s="60">
        <f t="shared" si="1716"/>
        <v>359.4</v>
      </c>
      <c r="U532" s="2">
        <f t="shared" si="1717"/>
        <v>23.1</v>
      </c>
      <c r="V532" s="42">
        <f t="shared" si="15"/>
        <v>115.5</v>
      </c>
      <c r="W532" s="2">
        <f t="shared" si="1718"/>
        <v>23.1</v>
      </c>
      <c r="X532" s="2">
        <f t="shared" si="1719"/>
        <v>184.8</v>
      </c>
      <c r="Y532" s="2">
        <f t="shared" si="1720"/>
        <v>346.5</v>
      </c>
      <c r="Z532" s="60">
        <f t="shared" si="1721"/>
        <v>2045.9</v>
      </c>
      <c r="AA532" s="11">
        <f t="shared" si="1722"/>
        <v>409.18</v>
      </c>
      <c r="AB532" s="12">
        <f t="shared" si="1723"/>
        <v>2455.08</v>
      </c>
      <c r="AC532" s="2">
        <f t="shared" si="1724"/>
        <v>2310</v>
      </c>
      <c r="AD532" s="12">
        <f t="shared" si="1725"/>
        <v>145.08</v>
      </c>
      <c r="AE532" s="12">
        <f t="shared" si="1726"/>
        <v>5.909379735</v>
      </c>
      <c r="AG532" s="62">
        <f t="shared" si="1727"/>
        <v>-100</v>
      </c>
      <c r="AH532" s="63">
        <f t="shared" si="1728"/>
        <v>1490</v>
      </c>
      <c r="AI532" s="64">
        <f t="shared" si="1729"/>
        <v>2455.08</v>
      </c>
      <c r="AJ532" s="65">
        <v>1490.0</v>
      </c>
      <c r="AK532" s="66">
        <f t="shared" si="1730"/>
        <v>11.19402985</v>
      </c>
      <c r="AL532" s="66"/>
      <c r="AM532" s="14">
        <f t="shared" si="1731"/>
        <v>100</v>
      </c>
      <c r="AN532" s="67">
        <f t="shared" si="1732"/>
        <v>111.1940299</v>
      </c>
      <c r="AO532" s="68">
        <f t="shared" si="1733"/>
        <v>1.111940299</v>
      </c>
      <c r="AP532" s="69">
        <f t="shared" si="1734"/>
        <v>-9.6508</v>
      </c>
      <c r="AQ532" s="70">
        <f t="shared" si="1735"/>
        <v>-8.2</v>
      </c>
      <c r="AR532" s="71">
        <f t="shared" ref="AR532:AS532" si="1763">AI532/94</f>
        <v>26.11787234</v>
      </c>
      <c r="AS532" s="71">
        <f t="shared" si="1763"/>
        <v>15.85106383</v>
      </c>
      <c r="AT532" s="72">
        <f t="shared" ref="AT532:AU532" si="1764">AI532/24</f>
        <v>102.295</v>
      </c>
      <c r="AU532" s="72">
        <f t="shared" si="1764"/>
        <v>62.08333333</v>
      </c>
      <c r="AV532" s="73">
        <f t="shared" ref="AV532:AW532" si="1765">AI532/125</f>
        <v>19.64064</v>
      </c>
      <c r="AW532" s="73">
        <f t="shared" si="1765"/>
        <v>11.92</v>
      </c>
    </row>
    <row r="533" ht="15.0" customHeight="1">
      <c r="A533" s="42" t="s">
        <v>1052</v>
      </c>
      <c r="B533" s="42" t="s">
        <v>1053</v>
      </c>
      <c r="C533" s="95" t="s">
        <v>1054</v>
      </c>
      <c r="D533" s="45">
        <v>1500.0</v>
      </c>
      <c r="E533" s="47"/>
      <c r="F533" s="44">
        <v>50.0</v>
      </c>
      <c r="G533" s="45">
        <v>9.303001E7</v>
      </c>
      <c r="H533" s="46">
        <v>0.0</v>
      </c>
      <c r="I533" s="42">
        <f t="shared" si="1707"/>
        <v>0</v>
      </c>
      <c r="J533" s="47"/>
      <c r="K533" s="42">
        <f t="shared" ref="K533:K536" si="1769">D533*4%</f>
        <v>60</v>
      </c>
      <c r="L533" s="48">
        <f t="shared" si="1708"/>
        <v>1610</v>
      </c>
      <c r="M533" s="42">
        <f t="shared" si="1709"/>
        <v>15</v>
      </c>
      <c r="N533" s="49">
        <f t="shared" si="1710"/>
        <v>128.8</v>
      </c>
      <c r="O533" s="49">
        <f t="shared" si="1711"/>
        <v>161</v>
      </c>
      <c r="P533" s="49">
        <f t="shared" si="1712"/>
        <v>80.5</v>
      </c>
      <c r="Q533" s="49">
        <f t="shared" si="1713"/>
        <v>32.2</v>
      </c>
      <c r="R533" s="49">
        <f t="shared" si="1714"/>
        <v>15.75</v>
      </c>
      <c r="S533" s="49">
        <f t="shared" si="1715"/>
        <v>16.1</v>
      </c>
      <c r="T533" s="50">
        <f t="shared" si="1716"/>
        <v>433.6</v>
      </c>
      <c r="U533" s="42">
        <f t="shared" si="1717"/>
        <v>31.5</v>
      </c>
      <c r="V533" s="42">
        <f t="shared" si="15"/>
        <v>157.5</v>
      </c>
      <c r="W533" s="42">
        <f t="shared" si="1718"/>
        <v>31.5</v>
      </c>
      <c r="X533" s="42">
        <f t="shared" si="1719"/>
        <v>252</v>
      </c>
      <c r="Y533" s="42">
        <f t="shared" si="1720"/>
        <v>472.5</v>
      </c>
      <c r="Z533" s="50">
        <f t="shared" si="1721"/>
        <v>2516.1</v>
      </c>
      <c r="AA533" s="51">
        <f t="shared" si="1722"/>
        <v>503.22</v>
      </c>
      <c r="AB533" s="49">
        <f t="shared" si="1723"/>
        <v>3019.32</v>
      </c>
      <c r="AC533" s="42">
        <f t="shared" si="1724"/>
        <v>3150</v>
      </c>
      <c r="AD533" s="49">
        <f t="shared" si="1725"/>
        <v>-130.68</v>
      </c>
      <c r="AE533" s="49">
        <f t="shared" si="1726"/>
        <v>-4.328126863</v>
      </c>
      <c r="AF533" s="47"/>
      <c r="AG533" s="52">
        <f t="shared" si="1727"/>
        <v>-100</v>
      </c>
      <c r="AH533" s="53">
        <f t="shared" si="1728"/>
        <v>3090</v>
      </c>
      <c r="AI533" s="54">
        <v>3290.0</v>
      </c>
      <c r="AJ533" s="54">
        <v>3090.0</v>
      </c>
      <c r="AK533" s="55">
        <f t="shared" si="1730"/>
        <v>91.92546584</v>
      </c>
      <c r="AL533" s="55"/>
      <c r="AM533" s="55">
        <f t="shared" si="1731"/>
        <v>100</v>
      </c>
      <c r="AN533" s="55">
        <f t="shared" si="1732"/>
        <v>191.9254658</v>
      </c>
      <c r="AO533" s="56">
        <f t="shared" si="1733"/>
        <v>1.919254658</v>
      </c>
      <c r="AP533" s="55">
        <f t="shared" si="1734"/>
        <v>0.7068</v>
      </c>
      <c r="AQ533" s="55">
        <f t="shared" si="1735"/>
        <v>-0.6</v>
      </c>
      <c r="AR533" s="57">
        <f t="shared" ref="AR533:AS533" si="1766">AI533/94</f>
        <v>35</v>
      </c>
      <c r="AS533" s="57">
        <f t="shared" si="1766"/>
        <v>32.87234043</v>
      </c>
      <c r="AT533" s="58">
        <f t="shared" ref="AT533:AU533" si="1767">AI533/24</f>
        <v>137.0833333</v>
      </c>
      <c r="AU533" s="58">
        <f t="shared" si="1767"/>
        <v>128.75</v>
      </c>
      <c r="AV533" s="58">
        <f t="shared" ref="AV533:AW533" si="1768">AI533/125</f>
        <v>26.32</v>
      </c>
      <c r="AW533" s="58">
        <f t="shared" si="1768"/>
        <v>24.72</v>
      </c>
      <c r="AX533" s="47"/>
      <c r="AY533" s="47"/>
    </row>
    <row r="534" ht="15.75" customHeight="1">
      <c r="A534" s="42"/>
      <c r="B534" s="42" t="s">
        <v>1055</v>
      </c>
      <c r="C534" s="95" t="s">
        <v>1056</v>
      </c>
      <c r="D534" s="45">
        <v>1500.0</v>
      </c>
      <c r="E534" s="47"/>
      <c r="F534" s="44">
        <v>50.0</v>
      </c>
      <c r="G534" s="45">
        <v>9.303001E7</v>
      </c>
      <c r="H534" s="46">
        <v>0.0</v>
      </c>
      <c r="I534" s="42">
        <f t="shared" si="1707"/>
        <v>0</v>
      </c>
      <c r="J534" s="47"/>
      <c r="K534" s="42">
        <f t="shared" si="1769"/>
        <v>60</v>
      </c>
      <c r="L534" s="48">
        <f t="shared" si="1708"/>
        <v>1610</v>
      </c>
      <c r="M534" s="42">
        <f t="shared" si="1709"/>
        <v>15</v>
      </c>
      <c r="N534" s="49">
        <f t="shared" si="1710"/>
        <v>128.8</v>
      </c>
      <c r="O534" s="49">
        <f t="shared" si="1711"/>
        <v>161</v>
      </c>
      <c r="P534" s="49">
        <f t="shared" si="1712"/>
        <v>80.5</v>
      </c>
      <c r="Q534" s="49">
        <f t="shared" si="1713"/>
        <v>32.2</v>
      </c>
      <c r="R534" s="49">
        <f t="shared" si="1714"/>
        <v>15.75</v>
      </c>
      <c r="S534" s="49">
        <f t="shared" si="1715"/>
        <v>16.1</v>
      </c>
      <c r="T534" s="50">
        <f t="shared" si="1716"/>
        <v>433.6</v>
      </c>
      <c r="U534" s="42">
        <f t="shared" si="1717"/>
        <v>31.5</v>
      </c>
      <c r="V534" s="42">
        <f t="shared" si="15"/>
        <v>157.5</v>
      </c>
      <c r="W534" s="42">
        <f t="shared" si="1718"/>
        <v>31.5</v>
      </c>
      <c r="X534" s="42">
        <f t="shared" si="1719"/>
        <v>252</v>
      </c>
      <c r="Y534" s="42">
        <f t="shared" si="1720"/>
        <v>472.5</v>
      </c>
      <c r="Z534" s="50">
        <f t="shared" si="1721"/>
        <v>2516.1</v>
      </c>
      <c r="AA534" s="51">
        <f t="shared" si="1722"/>
        <v>503.22</v>
      </c>
      <c r="AB534" s="49">
        <f t="shared" si="1723"/>
        <v>3019.32</v>
      </c>
      <c r="AC534" s="42">
        <f t="shared" si="1724"/>
        <v>3150</v>
      </c>
      <c r="AD534" s="49">
        <f t="shared" si="1725"/>
        <v>-130.68</v>
      </c>
      <c r="AE534" s="49">
        <f t="shared" si="1726"/>
        <v>-4.328126863</v>
      </c>
      <c r="AF534" s="47"/>
      <c r="AG534" s="52">
        <f t="shared" si="1727"/>
        <v>-100</v>
      </c>
      <c r="AH534" s="53">
        <f t="shared" si="1728"/>
        <v>3090</v>
      </c>
      <c r="AI534" s="54">
        <v>3290.0</v>
      </c>
      <c r="AJ534" s="54">
        <v>3090.0</v>
      </c>
      <c r="AK534" s="55">
        <f t="shared" si="1730"/>
        <v>91.92546584</v>
      </c>
      <c r="AL534" s="55"/>
      <c r="AM534" s="55">
        <f t="shared" si="1731"/>
        <v>100</v>
      </c>
      <c r="AN534" s="55">
        <f t="shared" si="1732"/>
        <v>191.9254658</v>
      </c>
      <c r="AO534" s="56">
        <f t="shared" si="1733"/>
        <v>1.919254658</v>
      </c>
      <c r="AP534" s="55">
        <f t="shared" si="1734"/>
        <v>0.7068</v>
      </c>
      <c r="AQ534" s="55">
        <f t="shared" si="1735"/>
        <v>-0.6</v>
      </c>
      <c r="AR534" s="57">
        <f t="shared" ref="AR534:AS534" si="1770">AI534/94</f>
        <v>35</v>
      </c>
      <c r="AS534" s="57">
        <f t="shared" si="1770"/>
        <v>32.87234043</v>
      </c>
      <c r="AT534" s="58">
        <f t="shared" ref="AT534:AU534" si="1771">AI534/24</f>
        <v>137.0833333</v>
      </c>
      <c r="AU534" s="58">
        <f t="shared" si="1771"/>
        <v>128.75</v>
      </c>
      <c r="AV534" s="58">
        <f t="shared" ref="AV534:AW534" si="1772">AI534/125</f>
        <v>26.32</v>
      </c>
      <c r="AW534" s="58">
        <f t="shared" si="1772"/>
        <v>24.72</v>
      </c>
      <c r="AX534" s="47"/>
      <c r="AY534" s="47"/>
    </row>
    <row r="535" ht="15.75" customHeight="1">
      <c r="A535" s="42"/>
      <c r="B535" s="42" t="s">
        <v>1057</v>
      </c>
      <c r="C535" s="95" t="s">
        <v>1058</v>
      </c>
      <c r="D535" s="45">
        <v>1500.0</v>
      </c>
      <c r="E535" s="47"/>
      <c r="F535" s="44">
        <v>50.0</v>
      </c>
      <c r="G535" s="45">
        <v>9.303001E7</v>
      </c>
      <c r="H535" s="46">
        <v>0.0</v>
      </c>
      <c r="I535" s="42">
        <f t="shared" si="1707"/>
        <v>0</v>
      </c>
      <c r="J535" s="47"/>
      <c r="K535" s="42">
        <f t="shared" si="1769"/>
        <v>60</v>
      </c>
      <c r="L535" s="48">
        <f t="shared" si="1708"/>
        <v>1610</v>
      </c>
      <c r="M535" s="42">
        <f t="shared" si="1709"/>
        <v>15</v>
      </c>
      <c r="N535" s="49">
        <f t="shared" si="1710"/>
        <v>128.8</v>
      </c>
      <c r="O535" s="49">
        <f t="shared" si="1711"/>
        <v>161</v>
      </c>
      <c r="P535" s="49">
        <f t="shared" si="1712"/>
        <v>80.5</v>
      </c>
      <c r="Q535" s="49">
        <f t="shared" si="1713"/>
        <v>32.2</v>
      </c>
      <c r="R535" s="49">
        <f t="shared" si="1714"/>
        <v>15.75</v>
      </c>
      <c r="S535" s="49">
        <f t="shared" si="1715"/>
        <v>16.1</v>
      </c>
      <c r="T535" s="50">
        <f t="shared" si="1716"/>
        <v>433.6</v>
      </c>
      <c r="U535" s="42">
        <f t="shared" si="1717"/>
        <v>31.5</v>
      </c>
      <c r="V535" s="42">
        <f t="shared" si="15"/>
        <v>157.5</v>
      </c>
      <c r="W535" s="42">
        <f t="shared" si="1718"/>
        <v>31.5</v>
      </c>
      <c r="X535" s="42">
        <f t="shared" si="1719"/>
        <v>252</v>
      </c>
      <c r="Y535" s="42">
        <f t="shared" si="1720"/>
        <v>472.5</v>
      </c>
      <c r="Z535" s="50">
        <f t="shared" si="1721"/>
        <v>2516.1</v>
      </c>
      <c r="AA535" s="51">
        <f t="shared" si="1722"/>
        <v>503.22</v>
      </c>
      <c r="AB535" s="49">
        <f t="shared" si="1723"/>
        <v>3019.32</v>
      </c>
      <c r="AC535" s="42">
        <f t="shared" si="1724"/>
        <v>3150</v>
      </c>
      <c r="AD535" s="49">
        <f t="shared" si="1725"/>
        <v>-130.68</v>
      </c>
      <c r="AE535" s="49">
        <f t="shared" si="1726"/>
        <v>-4.328126863</v>
      </c>
      <c r="AF535" s="47"/>
      <c r="AG535" s="52">
        <f t="shared" si="1727"/>
        <v>-100</v>
      </c>
      <c r="AH535" s="53">
        <f t="shared" si="1728"/>
        <v>3090</v>
      </c>
      <c r="AI535" s="54">
        <v>3290.0</v>
      </c>
      <c r="AJ535" s="54">
        <v>3090.0</v>
      </c>
      <c r="AK535" s="55">
        <f t="shared" si="1730"/>
        <v>91.92546584</v>
      </c>
      <c r="AL535" s="55"/>
      <c r="AM535" s="55">
        <f t="shared" si="1731"/>
        <v>100</v>
      </c>
      <c r="AN535" s="55">
        <f t="shared" si="1732"/>
        <v>191.9254658</v>
      </c>
      <c r="AO535" s="56">
        <f t="shared" si="1733"/>
        <v>1.919254658</v>
      </c>
      <c r="AP535" s="55">
        <f t="shared" si="1734"/>
        <v>0.7068</v>
      </c>
      <c r="AQ535" s="55">
        <f t="shared" si="1735"/>
        <v>-0.6</v>
      </c>
      <c r="AR535" s="57">
        <f t="shared" ref="AR535:AS535" si="1773">AI535/94</f>
        <v>35</v>
      </c>
      <c r="AS535" s="57">
        <f t="shared" si="1773"/>
        <v>32.87234043</v>
      </c>
      <c r="AT535" s="58">
        <f t="shared" ref="AT535:AU535" si="1774">AI535/24</f>
        <v>137.0833333</v>
      </c>
      <c r="AU535" s="58">
        <f t="shared" si="1774"/>
        <v>128.75</v>
      </c>
      <c r="AV535" s="58">
        <f t="shared" ref="AV535:AW535" si="1775">AI535/125</f>
        <v>26.32</v>
      </c>
      <c r="AW535" s="58">
        <f t="shared" si="1775"/>
        <v>24.72</v>
      </c>
      <c r="AX535" s="47"/>
      <c r="AY535" s="47"/>
    </row>
    <row r="536" ht="15.75" customHeight="1">
      <c r="A536" s="42"/>
      <c r="B536" s="42" t="s">
        <v>1059</v>
      </c>
      <c r="C536" s="95" t="s">
        <v>1060</v>
      </c>
      <c r="D536" s="45">
        <v>4500.0</v>
      </c>
      <c r="E536" s="47"/>
      <c r="F536" s="44">
        <v>100.0</v>
      </c>
      <c r="G536" s="45">
        <v>9.303001E7</v>
      </c>
      <c r="H536" s="46">
        <v>0.0</v>
      </c>
      <c r="I536" s="42">
        <f t="shared" si="1707"/>
        <v>0</v>
      </c>
      <c r="J536" s="47"/>
      <c r="K536" s="42">
        <f t="shared" si="1769"/>
        <v>180</v>
      </c>
      <c r="L536" s="48">
        <f t="shared" si="1708"/>
        <v>4780</v>
      </c>
      <c r="M536" s="42">
        <f t="shared" si="1709"/>
        <v>45</v>
      </c>
      <c r="N536" s="49">
        <f t="shared" si="1710"/>
        <v>382.4</v>
      </c>
      <c r="O536" s="49">
        <f t="shared" si="1711"/>
        <v>478</v>
      </c>
      <c r="P536" s="49">
        <f t="shared" si="1712"/>
        <v>239</v>
      </c>
      <c r="Q536" s="49">
        <f t="shared" si="1713"/>
        <v>95.6</v>
      </c>
      <c r="R536" s="49">
        <f t="shared" si="1714"/>
        <v>47.25</v>
      </c>
      <c r="S536" s="49">
        <f t="shared" si="1715"/>
        <v>47.8</v>
      </c>
      <c r="T536" s="50">
        <f t="shared" si="1716"/>
        <v>1287.8</v>
      </c>
      <c r="U536" s="42">
        <f t="shared" si="1717"/>
        <v>94.5</v>
      </c>
      <c r="V536" s="42">
        <f t="shared" si="15"/>
        <v>472.5</v>
      </c>
      <c r="W536" s="42">
        <f t="shared" si="1718"/>
        <v>94.5</v>
      </c>
      <c r="X536" s="42">
        <f t="shared" si="1719"/>
        <v>756</v>
      </c>
      <c r="Y536" s="42">
        <f t="shared" si="1720"/>
        <v>1417.5</v>
      </c>
      <c r="Z536" s="50">
        <f t="shared" si="1721"/>
        <v>7485.3</v>
      </c>
      <c r="AA536" s="51">
        <f t="shared" si="1722"/>
        <v>1497.06</v>
      </c>
      <c r="AB536" s="49">
        <f t="shared" si="1723"/>
        <v>8982.36</v>
      </c>
      <c r="AC536" s="42">
        <f t="shared" si="1724"/>
        <v>9450</v>
      </c>
      <c r="AD536" s="49">
        <f t="shared" si="1725"/>
        <v>-467.64</v>
      </c>
      <c r="AE536" s="49">
        <f t="shared" si="1726"/>
        <v>-5.20620416</v>
      </c>
      <c r="AF536" s="47"/>
      <c r="AG536" s="52">
        <f t="shared" si="1727"/>
        <v>-100</v>
      </c>
      <c r="AH536" s="53">
        <f t="shared" si="1728"/>
        <v>9490</v>
      </c>
      <c r="AI536" s="54">
        <v>9990.0</v>
      </c>
      <c r="AJ536" s="54">
        <v>9490.0</v>
      </c>
      <c r="AK536" s="55">
        <f t="shared" si="1730"/>
        <v>98.53556485</v>
      </c>
      <c r="AL536" s="55"/>
      <c r="AM536" s="55">
        <f t="shared" si="1731"/>
        <v>100</v>
      </c>
      <c r="AN536" s="55">
        <f t="shared" si="1732"/>
        <v>198.5355649</v>
      </c>
      <c r="AO536" s="56">
        <f t="shared" si="1733"/>
        <v>1.985355649</v>
      </c>
      <c r="AP536" s="55">
        <f t="shared" si="1734"/>
        <v>5.0764</v>
      </c>
      <c r="AQ536" s="55">
        <f t="shared" si="1735"/>
        <v>0.4</v>
      </c>
      <c r="AR536" s="57">
        <f t="shared" ref="AR536:AS536" si="1776">AI536/94</f>
        <v>106.2765957</v>
      </c>
      <c r="AS536" s="57">
        <f t="shared" si="1776"/>
        <v>100.9574468</v>
      </c>
      <c r="AT536" s="58">
        <f t="shared" ref="AT536:AU536" si="1777">AI536/24</f>
        <v>416.25</v>
      </c>
      <c r="AU536" s="58">
        <f t="shared" si="1777"/>
        <v>395.4166667</v>
      </c>
      <c r="AV536" s="58">
        <f t="shared" ref="AV536:AW536" si="1778">AI536/125</f>
        <v>79.92</v>
      </c>
      <c r="AW536" s="58">
        <f t="shared" si="1778"/>
        <v>75.92</v>
      </c>
      <c r="AX536" s="47"/>
      <c r="AY536" s="47"/>
    </row>
    <row r="537" ht="15.0" customHeight="1">
      <c r="A537" s="2" t="s">
        <v>1061</v>
      </c>
      <c r="B537" s="2" t="s">
        <v>1053</v>
      </c>
      <c r="C537" s="2" t="s">
        <v>1062</v>
      </c>
      <c r="D537" s="10">
        <v>1050.0</v>
      </c>
      <c r="F537" s="1">
        <v>50.0</v>
      </c>
      <c r="G537" s="10">
        <v>9.303001E7</v>
      </c>
      <c r="H537" s="10">
        <v>0.0</v>
      </c>
      <c r="I537" s="2">
        <v>0.0</v>
      </c>
      <c r="K537" s="1">
        <v>60.0</v>
      </c>
      <c r="L537" s="4">
        <f t="shared" si="1708"/>
        <v>1160</v>
      </c>
      <c r="M537" s="2">
        <f t="shared" si="1709"/>
        <v>10.5</v>
      </c>
      <c r="N537" s="12">
        <f t="shared" si="1710"/>
        <v>92.8</v>
      </c>
      <c r="O537" s="12">
        <f t="shared" si="1711"/>
        <v>116</v>
      </c>
      <c r="P537" s="12">
        <f t="shared" si="1712"/>
        <v>58</v>
      </c>
      <c r="Q537" s="12">
        <f t="shared" si="1713"/>
        <v>23.2</v>
      </c>
      <c r="R537" s="12">
        <f t="shared" si="1714"/>
        <v>11.025</v>
      </c>
      <c r="S537" s="12">
        <f t="shared" si="1715"/>
        <v>11.6</v>
      </c>
      <c r="T537" s="60">
        <f t="shared" si="1716"/>
        <v>312.1</v>
      </c>
      <c r="U537" s="2">
        <f t="shared" si="1717"/>
        <v>22.05</v>
      </c>
      <c r="V537" s="42">
        <f t="shared" si="15"/>
        <v>110.25</v>
      </c>
      <c r="W537" s="2">
        <f t="shared" si="1718"/>
        <v>22.05</v>
      </c>
      <c r="X537" s="2">
        <f t="shared" si="1719"/>
        <v>176.4</v>
      </c>
      <c r="Y537" s="2">
        <f t="shared" si="1720"/>
        <v>330.75</v>
      </c>
      <c r="Z537" s="60">
        <f t="shared" si="1721"/>
        <v>1802.85</v>
      </c>
      <c r="AA537" s="11">
        <f t="shared" si="1722"/>
        <v>360.57</v>
      </c>
      <c r="AB537" s="12">
        <f t="shared" si="1723"/>
        <v>2163.42</v>
      </c>
      <c r="AC537" s="2">
        <f t="shared" si="1724"/>
        <v>2205</v>
      </c>
      <c r="AD537" s="12">
        <f t="shared" si="1725"/>
        <v>-41.58</v>
      </c>
      <c r="AE537" s="12">
        <f t="shared" si="1726"/>
        <v>-1.921956902</v>
      </c>
      <c r="AF537" s="61">
        <v>2350.0</v>
      </c>
      <c r="AG537" s="62">
        <f t="shared" si="1727"/>
        <v>102.5862069</v>
      </c>
      <c r="AH537" s="63">
        <f t="shared" si="1728"/>
        <v>40</v>
      </c>
      <c r="AI537" s="64">
        <v>2490.0</v>
      </c>
      <c r="AJ537" s="64">
        <v>2390.0</v>
      </c>
      <c r="AK537" s="66">
        <f t="shared" si="1730"/>
        <v>106.0344828</v>
      </c>
      <c r="AL537" s="66"/>
      <c r="AM537" s="14">
        <f>(AH537/AJ537)*100</f>
        <v>1.673640167</v>
      </c>
      <c r="AN537" s="67">
        <f t="shared" si="1732"/>
        <v>3.448275862</v>
      </c>
      <c r="AO537" s="68">
        <f t="shared" si="1733"/>
        <v>2.060344828</v>
      </c>
      <c r="AP537" s="69">
        <f t="shared" si="1734"/>
        <v>2.2658</v>
      </c>
      <c r="AQ537" s="70">
        <f t="shared" si="1735"/>
        <v>1.85</v>
      </c>
      <c r="AR537" s="71">
        <f t="shared" ref="AR537:AS537" si="1779">AI537/94</f>
        <v>26.4893617</v>
      </c>
      <c r="AS537" s="71">
        <f t="shared" si="1779"/>
        <v>25.42553191</v>
      </c>
      <c r="AT537" s="72">
        <f t="shared" ref="AT537:AU537" si="1780">AI537/24</f>
        <v>103.75</v>
      </c>
      <c r="AU537" s="72">
        <f t="shared" si="1780"/>
        <v>99.58333333</v>
      </c>
      <c r="AV537" s="73">
        <f t="shared" ref="AV537:AW537" si="1781">AI537/125</f>
        <v>19.92</v>
      </c>
      <c r="AW537" s="73">
        <f t="shared" si="1781"/>
        <v>19.12</v>
      </c>
    </row>
    <row r="538" ht="15.75" customHeight="1">
      <c r="A538" s="2"/>
      <c r="B538" s="2" t="s">
        <v>1055</v>
      </c>
      <c r="C538" s="2" t="s">
        <v>1063</v>
      </c>
      <c r="D538" s="10">
        <v>1050.0</v>
      </c>
      <c r="F538" s="1">
        <v>50.0</v>
      </c>
      <c r="G538" s="10">
        <v>9.303001E7</v>
      </c>
      <c r="H538" s="10">
        <v>0.0</v>
      </c>
      <c r="I538" s="2">
        <v>0.0</v>
      </c>
      <c r="K538" s="1">
        <v>60.0</v>
      </c>
      <c r="L538" s="4">
        <f t="shared" si="1708"/>
        <v>1160</v>
      </c>
      <c r="M538" s="2">
        <f t="shared" si="1709"/>
        <v>10.5</v>
      </c>
      <c r="N538" s="12">
        <f t="shared" si="1710"/>
        <v>92.8</v>
      </c>
      <c r="O538" s="12">
        <f t="shared" si="1711"/>
        <v>116</v>
      </c>
      <c r="P538" s="12">
        <f t="shared" si="1712"/>
        <v>58</v>
      </c>
      <c r="Q538" s="12">
        <f t="shared" si="1713"/>
        <v>23.2</v>
      </c>
      <c r="R538" s="12">
        <f t="shared" si="1714"/>
        <v>11.025</v>
      </c>
      <c r="S538" s="12">
        <f t="shared" si="1715"/>
        <v>11.6</v>
      </c>
      <c r="T538" s="60">
        <f t="shared" si="1716"/>
        <v>312.1</v>
      </c>
      <c r="U538" s="2">
        <f t="shared" si="1717"/>
        <v>22.05</v>
      </c>
      <c r="V538" s="42">
        <f t="shared" si="15"/>
        <v>110.25</v>
      </c>
      <c r="W538" s="2">
        <f t="shared" si="1718"/>
        <v>22.05</v>
      </c>
      <c r="X538" s="2">
        <f t="shared" si="1719"/>
        <v>176.4</v>
      </c>
      <c r="Y538" s="2">
        <f t="shared" si="1720"/>
        <v>330.75</v>
      </c>
      <c r="Z538" s="60">
        <f t="shared" si="1721"/>
        <v>1802.85</v>
      </c>
      <c r="AA538" s="11">
        <f t="shared" si="1722"/>
        <v>360.57</v>
      </c>
      <c r="AB538" s="12">
        <f t="shared" si="1723"/>
        <v>2163.42</v>
      </c>
      <c r="AC538" s="2">
        <f t="shared" si="1724"/>
        <v>2205</v>
      </c>
      <c r="AD538" s="12">
        <f t="shared" si="1725"/>
        <v>-41.58</v>
      </c>
      <c r="AE538" s="12">
        <f t="shared" si="1726"/>
        <v>-1.921956902</v>
      </c>
      <c r="AF538" s="61">
        <v>2350.0</v>
      </c>
      <c r="AG538" s="62">
        <f t="shared" si="1727"/>
        <v>102.5862069</v>
      </c>
      <c r="AH538" s="63">
        <f t="shared" si="1728"/>
        <v>40</v>
      </c>
      <c r="AI538" s="64">
        <v>2490.0</v>
      </c>
      <c r="AJ538" s="64">
        <v>2390.0</v>
      </c>
      <c r="AK538" s="66">
        <f t="shared" si="1730"/>
        <v>106.0344828</v>
      </c>
      <c r="AL538" s="66"/>
      <c r="AM538" s="14">
        <f t="shared" ref="AM538:AM540" si="1785">AH538/AJ538%</f>
        <v>1.673640167</v>
      </c>
      <c r="AN538" s="67">
        <f t="shared" si="1732"/>
        <v>3.448275862</v>
      </c>
      <c r="AO538" s="68">
        <f t="shared" si="1733"/>
        <v>2.060344828</v>
      </c>
      <c r="AP538" s="69">
        <f t="shared" si="1734"/>
        <v>2.2658</v>
      </c>
      <c r="AQ538" s="70">
        <f t="shared" si="1735"/>
        <v>1.85</v>
      </c>
      <c r="AR538" s="71">
        <f t="shared" ref="AR538:AS538" si="1782">AI538/94</f>
        <v>26.4893617</v>
      </c>
      <c r="AS538" s="71">
        <f t="shared" si="1782"/>
        <v>25.42553191</v>
      </c>
      <c r="AT538" s="72">
        <f t="shared" ref="AT538:AU538" si="1783">AI538/24</f>
        <v>103.75</v>
      </c>
      <c r="AU538" s="72">
        <f t="shared" si="1783"/>
        <v>99.58333333</v>
      </c>
      <c r="AV538" s="73">
        <f t="shared" ref="AV538:AW538" si="1784">AI538/125</f>
        <v>19.92</v>
      </c>
      <c r="AW538" s="73">
        <f t="shared" si="1784"/>
        <v>19.12</v>
      </c>
    </row>
    <row r="539" ht="15.75" customHeight="1">
      <c r="A539" s="2"/>
      <c r="B539" s="2" t="s">
        <v>1057</v>
      </c>
      <c r="C539" s="2" t="s">
        <v>1064</v>
      </c>
      <c r="D539" s="10">
        <v>1050.0</v>
      </c>
      <c r="F539" s="1">
        <v>50.0</v>
      </c>
      <c r="G539" s="10">
        <v>9.303001E7</v>
      </c>
      <c r="H539" s="10">
        <v>0.0</v>
      </c>
      <c r="I539" s="2">
        <v>0.0</v>
      </c>
      <c r="K539" s="1">
        <v>60.0</v>
      </c>
      <c r="L539" s="4">
        <f t="shared" si="1708"/>
        <v>1160</v>
      </c>
      <c r="M539" s="2">
        <f t="shared" si="1709"/>
        <v>10.5</v>
      </c>
      <c r="N539" s="12">
        <f t="shared" si="1710"/>
        <v>92.8</v>
      </c>
      <c r="O539" s="12">
        <f t="shared" si="1711"/>
        <v>116</v>
      </c>
      <c r="P539" s="12">
        <f t="shared" si="1712"/>
        <v>58</v>
      </c>
      <c r="Q539" s="12">
        <f t="shared" si="1713"/>
        <v>23.2</v>
      </c>
      <c r="R539" s="12">
        <f t="shared" si="1714"/>
        <v>11.025</v>
      </c>
      <c r="S539" s="12">
        <f t="shared" si="1715"/>
        <v>11.6</v>
      </c>
      <c r="T539" s="60">
        <f t="shared" si="1716"/>
        <v>312.1</v>
      </c>
      <c r="U539" s="2">
        <f t="shared" si="1717"/>
        <v>22.05</v>
      </c>
      <c r="V539" s="42">
        <f t="shared" si="15"/>
        <v>110.25</v>
      </c>
      <c r="W539" s="2">
        <f t="shared" si="1718"/>
        <v>22.05</v>
      </c>
      <c r="X539" s="2">
        <f t="shared" si="1719"/>
        <v>176.4</v>
      </c>
      <c r="Y539" s="2">
        <f t="shared" si="1720"/>
        <v>330.75</v>
      </c>
      <c r="Z539" s="60">
        <f t="shared" si="1721"/>
        <v>1802.85</v>
      </c>
      <c r="AA539" s="11">
        <f t="shared" si="1722"/>
        <v>360.57</v>
      </c>
      <c r="AB539" s="12">
        <f t="shared" si="1723"/>
        <v>2163.42</v>
      </c>
      <c r="AC539" s="2">
        <f t="shared" si="1724"/>
        <v>2205</v>
      </c>
      <c r="AD539" s="12">
        <f t="shared" si="1725"/>
        <v>-41.58</v>
      </c>
      <c r="AE539" s="12">
        <f t="shared" si="1726"/>
        <v>-1.921956902</v>
      </c>
      <c r="AF539" s="61">
        <v>2350.0</v>
      </c>
      <c r="AG539" s="62">
        <f t="shared" si="1727"/>
        <v>102.5862069</v>
      </c>
      <c r="AH539" s="63">
        <f t="shared" si="1728"/>
        <v>40</v>
      </c>
      <c r="AI539" s="64">
        <v>2490.0</v>
      </c>
      <c r="AJ539" s="64">
        <v>2390.0</v>
      </c>
      <c r="AK539" s="66">
        <f t="shared" si="1730"/>
        <v>106.0344828</v>
      </c>
      <c r="AL539" s="66"/>
      <c r="AM539" s="14">
        <f t="shared" si="1785"/>
        <v>1.673640167</v>
      </c>
      <c r="AN539" s="67">
        <f t="shared" si="1732"/>
        <v>3.448275862</v>
      </c>
      <c r="AO539" s="68">
        <f t="shared" si="1733"/>
        <v>2.060344828</v>
      </c>
      <c r="AP539" s="69">
        <f t="shared" si="1734"/>
        <v>2.2658</v>
      </c>
      <c r="AQ539" s="70">
        <f t="shared" si="1735"/>
        <v>1.85</v>
      </c>
      <c r="AR539" s="71">
        <f t="shared" ref="AR539:AS539" si="1786">AI539/94</f>
        <v>26.4893617</v>
      </c>
      <c r="AS539" s="71">
        <f t="shared" si="1786"/>
        <v>25.42553191</v>
      </c>
      <c r="AT539" s="72">
        <f t="shared" ref="AT539:AU539" si="1787">AI539/24</f>
        <v>103.75</v>
      </c>
      <c r="AU539" s="72">
        <f t="shared" si="1787"/>
        <v>99.58333333</v>
      </c>
      <c r="AV539" s="73">
        <f t="shared" ref="AV539:AW539" si="1788">AI539/125</f>
        <v>19.92</v>
      </c>
      <c r="AW539" s="73">
        <f t="shared" si="1788"/>
        <v>19.12</v>
      </c>
    </row>
    <row r="540" ht="15.75" customHeight="1">
      <c r="A540" s="2"/>
      <c r="B540" s="2" t="s">
        <v>1059</v>
      </c>
      <c r="C540" s="2" t="s">
        <v>1065</v>
      </c>
      <c r="D540" s="10">
        <v>3150.0</v>
      </c>
      <c r="F540" s="1">
        <v>100.0</v>
      </c>
      <c r="G540" s="10">
        <v>9.303001E7</v>
      </c>
      <c r="H540" s="10">
        <v>0.0</v>
      </c>
      <c r="I540" s="2">
        <f t="shared" ref="I540:I764" si="1792">D540*H540</f>
        <v>0</v>
      </c>
      <c r="K540" s="1">
        <v>180.0</v>
      </c>
      <c r="L540" s="4">
        <f t="shared" si="1708"/>
        <v>3430</v>
      </c>
      <c r="M540" s="2">
        <f t="shared" si="1709"/>
        <v>31.5</v>
      </c>
      <c r="N540" s="12">
        <f t="shared" si="1710"/>
        <v>274.4</v>
      </c>
      <c r="O540" s="12">
        <f t="shared" si="1711"/>
        <v>343</v>
      </c>
      <c r="P540" s="12">
        <f t="shared" si="1712"/>
        <v>171.5</v>
      </c>
      <c r="Q540" s="12">
        <f t="shared" si="1713"/>
        <v>68.6</v>
      </c>
      <c r="R540" s="12">
        <f t="shared" si="1714"/>
        <v>33.075</v>
      </c>
      <c r="S540" s="12">
        <f t="shared" si="1715"/>
        <v>34.3</v>
      </c>
      <c r="T540" s="60">
        <f t="shared" si="1716"/>
        <v>923.3</v>
      </c>
      <c r="U540" s="2">
        <f t="shared" si="1717"/>
        <v>66.15</v>
      </c>
      <c r="V540" s="42">
        <f t="shared" si="15"/>
        <v>330.75</v>
      </c>
      <c r="W540" s="2">
        <f t="shared" si="1718"/>
        <v>66.15</v>
      </c>
      <c r="X540" s="2">
        <f t="shared" si="1719"/>
        <v>529.2</v>
      </c>
      <c r="Y540" s="2">
        <f t="shared" si="1720"/>
        <v>992.25</v>
      </c>
      <c r="Z540" s="60">
        <f t="shared" si="1721"/>
        <v>5345.55</v>
      </c>
      <c r="AA540" s="11">
        <f t="shared" si="1722"/>
        <v>1069.11</v>
      </c>
      <c r="AB540" s="12">
        <f t="shared" si="1723"/>
        <v>6414.66</v>
      </c>
      <c r="AC540" s="2">
        <f t="shared" si="1724"/>
        <v>6615</v>
      </c>
      <c r="AD540" s="12">
        <f t="shared" si="1725"/>
        <v>-200.34</v>
      </c>
      <c r="AE540" s="12">
        <f t="shared" si="1726"/>
        <v>-3.123158515</v>
      </c>
      <c r="AF540" s="61">
        <v>7000.0</v>
      </c>
      <c r="AG540" s="62">
        <f t="shared" si="1727"/>
        <v>104.0816327</v>
      </c>
      <c r="AH540" s="63">
        <f t="shared" si="1728"/>
        <v>-10</v>
      </c>
      <c r="AI540" s="64">
        <v>7490.0</v>
      </c>
      <c r="AJ540" s="64">
        <v>6990.0</v>
      </c>
      <c r="AK540" s="66">
        <f t="shared" si="1730"/>
        <v>103.7900875</v>
      </c>
      <c r="AL540" s="66"/>
      <c r="AM540" s="14">
        <f t="shared" si="1785"/>
        <v>-0.1430615165</v>
      </c>
      <c r="AN540" s="67">
        <f t="shared" si="1732"/>
        <v>-0.2915451895</v>
      </c>
      <c r="AO540" s="68">
        <f t="shared" si="1733"/>
        <v>2.037900875</v>
      </c>
      <c r="AP540" s="69">
        <f t="shared" si="1734"/>
        <v>5.7534</v>
      </c>
      <c r="AQ540" s="70">
        <f t="shared" si="1735"/>
        <v>3.75</v>
      </c>
      <c r="AR540" s="71">
        <f t="shared" ref="AR540:AS540" si="1789">AI540/94</f>
        <v>79.68085106</v>
      </c>
      <c r="AS540" s="71">
        <f t="shared" si="1789"/>
        <v>74.36170213</v>
      </c>
      <c r="AT540" s="72">
        <f t="shared" ref="AT540:AU540" si="1790">AI540/24</f>
        <v>312.0833333</v>
      </c>
      <c r="AU540" s="72">
        <f t="shared" si="1790"/>
        <v>291.25</v>
      </c>
      <c r="AV540" s="73">
        <f t="shared" ref="AV540:AW540" si="1791">AI540/125</f>
        <v>59.92</v>
      </c>
      <c r="AW540" s="73">
        <f t="shared" si="1791"/>
        <v>55.92</v>
      </c>
    </row>
    <row r="541" ht="15.0" customHeight="1">
      <c r="A541" s="2" t="s">
        <v>1066</v>
      </c>
      <c r="B541" s="2" t="s">
        <v>1067</v>
      </c>
      <c r="C541" s="2" t="s">
        <v>1068</v>
      </c>
      <c r="D541" s="10">
        <v>1500.0</v>
      </c>
      <c r="F541" s="1">
        <v>50.0</v>
      </c>
      <c r="G541" s="10">
        <v>9.303001E7</v>
      </c>
      <c r="H541" s="10">
        <v>0.0</v>
      </c>
      <c r="I541" s="2">
        <f t="shared" si="1792"/>
        <v>0</v>
      </c>
      <c r="K541" s="2">
        <f t="shared" ref="K541:K548" si="1796">D541*4%</f>
        <v>60</v>
      </c>
      <c r="L541" s="107">
        <f t="shared" si="1708"/>
        <v>1610</v>
      </c>
      <c r="M541" s="2">
        <f t="shared" si="1709"/>
        <v>15</v>
      </c>
      <c r="N541" s="12">
        <f t="shared" si="1710"/>
        <v>128.8</v>
      </c>
      <c r="O541" s="12">
        <f t="shared" si="1711"/>
        <v>161</v>
      </c>
      <c r="P541" s="12">
        <f t="shared" si="1712"/>
        <v>80.5</v>
      </c>
      <c r="Q541" s="12">
        <f t="shared" si="1713"/>
        <v>32.2</v>
      </c>
      <c r="R541" s="12">
        <f t="shared" si="1714"/>
        <v>15.75</v>
      </c>
      <c r="S541" s="12">
        <f t="shared" si="1715"/>
        <v>16.1</v>
      </c>
      <c r="T541" s="108">
        <f t="shared" si="1716"/>
        <v>433.6</v>
      </c>
      <c r="U541" s="2">
        <f t="shared" si="1717"/>
        <v>31.5</v>
      </c>
      <c r="V541" s="42">
        <f t="shared" si="15"/>
        <v>157.5</v>
      </c>
      <c r="W541" s="2">
        <f t="shared" si="1718"/>
        <v>31.5</v>
      </c>
      <c r="X541" s="2">
        <f t="shared" si="1719"/>
        <v>252</v>
      </c>
      <c r="Y541" s="2">
        <f t="shared" si="1720"/>
        <v>472.5</v>
      </c>
      <c r="Z541" s="108">
        <f t="shared" si="1721"/>
        <v>2516.1</v>
      </c>
      <c r="AA541" s="109">
        <f t="shared" si="1722"/>
        <v>503.22</v>
      </c>
      <c r="AB541" s="12">
        <f t="shared" si="1723"/>
        <v>3019.32</v>
      </c>
      <c r="AC541" s="2">
        <f t="shared" si="1724"/>
        <v>3150</v>
      </c>
      <c r="AD541" s="12">
        <f t="shared" si="1725"/>
        <v>-130.68</v>
      </c>
      <c r="AE541" s="12">
        <f t="shared" si="1726"/>
        <v>-4.328126863</v>
      </c>
      <c r="AF541" s="61">
        <v>2650.0</v>
      </c>
      <c r="AG541" s="110">
        <f t="shared" si="1727"/>
        <v>64.59627329</v>
      </c>
      <c r="AH541" s="111">
        <f t="shared" si="1728"/>
        <v>0</v>
      </c>
      <c r="AI541" s="116">
        <v>3290.0</v>
      </c>
      <c r="AJ541" s="61">
        <v>2650.0</v>
      </c>
      <c r="AK541" s="112">
        <f t="shared" si="1730"/>
        <v>64.59627329</v>
      </c>
      <c r="AL541" s="112"/>
      <c r="AM541" s="112">
        <f t="shared" ref="AM541:AM548" si="1797">(AH541/AJ541)*100</f>
        <v>0</v>
      </c>
      <c r="AN541" s="112">
        <f t="shared" si="1732"/>
        <v>0</v>
      </c>
      <c r="AO541" s="113">
        <f t="shared" si="1733"/>
        <v>1.645962733</v>
      </c>
      <c r="AP541" s="112">
        <f t="shared" si="1734"/>
        <v>-3.6932</v>
      </c>
      <c r="AQ541" s="112">
        <f t="shared" si="1735"/>
        <v>-5</v>
      </c>
      <c r="AR541" s="114">
        <f t="shared" ref="AR541:AS541" si="1793">AI541/94</f>
        <v>35</v>
      </c>
      <c r="AS541" s="114">
        <f t="shared" si="1793"/>
        <v>28.19148936</v>
      </c>
      <c r="AT541" s="115">
        <f t="shared" ref="AT541:AU541" si="1794">AI541/24</f>
        <v>137.0833333</v>
      </c>
      <c r="AU541" s="115">
        <f t="shared" si="1794"/>
        <v>110.4166667</v>
      </c>
      <c r="AV541" s="115">
        <f t="shared" ref="AV541:AW541" si="1795">AI541/125</f>
        <v>26.32</v>
      </c>
      <c r="AW541" s="115">
        <f t="shared" si="1795"/>
        <v>21.2</v>
      </c>
    </row>
    <row r="542">
      <c r="A542" s="2"/>
      <c r="B542" s="2" t="s">
        <v>1069</v>
      </c>
      <c r="C542" s="2" t="s">
        <v>1070</v>
      </c>
      <c r="D542" s="10">
        <v>1500.0</v>
      </c>
      <c r="F542" s="1">
        <v>50.0</v>
      </c>
      <c r="G542" s="10">
        <v>9.303001E7</v>
      </c>
      <c r="H542" s="10">
        <v>0.0</v>
      </c>
      <c r="I542" s="2">
        <f t="shared" si="1792"/>
        <v>0</v>
      </c>
      <c r="K542" s="2">
        <f t="shared" si="1796"/>
        <v>60</v>
      </c>
      <c r="L542" s="107">
        <f t="shared" si="1708"/>
        <v>1610</v>
      </c>
      <c r="M542" s="2">
        <f t="shared" si="1709"/>
        <v>15</v>
      </c>
      <c r="N542" s="12">
        <f t="shared" si="1710"/>
        <v>128.8</v>
      </c>
      <c r="O542" s="12">
        <f t="shared" si="1711"/>
        <v>161</v>
      </c>
      <c r="P542" s="12">
        <f t="shared" si="1712"/>
        <v>80.5</v>
      </c>
      <c r="Q542" s="12">
        <f t="shared" si="1713"/>
        <v>32.2</v>
      </c>
      <c r="R542" s="12">
        <f t="shared" si="1714"/>
        <v>15.75</v>
      </c>
      <c r="S542" s="12">
        <f t="shared" si="1715"/>
        <v>16.1</v>
      </c>
      <c r="T542" s="108">
        <f t="shared" si="1716"/>
        <v>433.6</v>
      </c>
      <c r="U542" s="2">
        <f t="shared" si="1717"/>
        <v>31.5</v>
      </c>
      <c r="V542" s="42">
        <f t="shared" si="15"/>
        <v>157.5</v>
      </c>
      <c r="W542" s="2">
        <f t="shared" si="1718"/>
        <v>31.5</v>
      </c>
      <c r="X542" s="2">
        <f t="shared" si="1719"/>
        <v>252</v>
      </c>
      <c r="Y542" s="2">
        <f t="shared" si="1720"/>
        <v>472.5</v>
      </c>
      <c r="Z542" s="108">
        <f t="shared" si="1721"/>
        <v>2516.1</v>
      </c>
      <c r="AA542" s="109">
        <f t="shared" si="1722"/>
        <v>503.22</v>
      </c>
      <c r="AB542" s="12">
        <f t="shared" si="1723"/>
        <v>3019.32</v>
      </c>
      <c r="AC542" s="2">
        <f t="shared" si="1724"/>
        <v>3150</v>
      </c>
      <c r="AD542" s="12">
        <f t="shared" si="1725"/>
        <v>-130.68</v>
      </c>
      <c r="AE542" s="12">
        <f t="shared" si="1726"/>
        <v>-4.328126863</v>
      </c>
      <c r="AF542" s="61">
        <v>2650.0</v>
      </c>
      <c r="AG542" s="110">
        <f t="shared" si="1727"/>
        <v>64.59627329</v>
      </c>
      <c r="AH542" s="111">
        <f t="shared" si="1728"/>
        <v>0</v>
      </c>
      <c r="AI542" s="116">
        <v>3190.0</v>
      </c>
      <c r="AJ542" s="61">
        <v>2650.0</v>
      </c>
      <c r="AK542" s="112">
        <f t="shared" si="1730"/>
        <v>64.59627329</v>
      </c>
      <c r="AL542" s="112"/>
      <c r="AM542" s="112">
        <f t="shared" si="1797"/>
        <v>0</v>
      </c>
      <c r="AN542" s="112">
        <f t="shared" si="1732"/>
        <v>0</v>
      </c>
      <c r="AO542" s="113">
        <f t="shared" si="1733"/>
        <v>1.645962733</v>
      </c>
      <c r="AP542" s="112">
        <f t="shared" si="1734"/>
        <v>-3.6932</v>
      </c>
      <c r="AQ542" s="112">
        <f t="shared" si="1735"/>
        <v>-5</v>
      </c>
      <c r="AR542" s="114">
        <f t="shared" ref="AR542:AS542" si="1798">AI542/94</f>
        <v>33.93617021</v>
      </c>
      <c r="AS542" s="114">
        <f t="shared" si="1798"/>
        <v>28.19148936</v>
      </c>
      <c r="AT542" s="115">
        <f t="shared" ref="AT542:AU542" si="1799">AI542/24</f>
        <v>132.9166667</v>
      </c>
      <c r="AU542" s="115">
        <f t="shared" si="1799"/>
        <v>110.4166667</v>
      </c>
      <c r="AV542" s="115">
        <f t="shared" ref="AV542:AW542" si="1800">AI542/125</f>
        <v>25.52</v>
      </c>
      <c r="AW542" s="115">
        <f t="shared" si="1800"/>
        <v>21.2</v>
      </c>
    </row>
    <row r="543">
      <c r="A543" s="2"/>
      <c r="B543" s="2" t="s">
        <v>1071</v>
      </c>
      <c r="C543" s="2" t="s">
        <v>1072</v>
      </c>
      <c r="D543" s="10">
        <v>1500.0</v>
      </c>
      <c r="F543" s="1">
        <v>50.0</v>
      </c>
      <c r="G543" s="10">
        <v>9.303001E7</v>
      </c>
      <c r="H543" s="10">
        <v>0.0</v>
      </c>
      <c r="I543" s="2">
        <f t="shared" si="1792"/>
        <v>0</v>
      </c>
      <c r="K543" s="2">
        <f t="shared" si="1796"/>
        <v>60</v>
      </c>
      <c r="L543" s="107">
        <f t="shared" si="1708"/>
        <v>1610</v>
      </c>
      <c r="M543" s="2">
        <f t="shared" si="1709"/>
        <v>15</v>
      </c>
      <c r="N543" s="12">
        <f t="shared" si="1710"/>
        <v>128.8</v>
      </c>
      <c r="O543" s="12">
        <f t="shared" si="1711"/>
        <v>161</v>
      </c>
      <c r="P543" s="12">
        <f t="shared" si="1712"/>
        <v>80.5</v>
      </c>
      <c r="Q543" s="12">
        <f t="shared" si="1713"/>
        <v>32.2</v>
      </c>
      <c r="R543" s="12">
        <f t="shared" si="1714"/>
        <v>15.75</v>
      </c>
      <c r="S543" s="12">
        <f t="shared" si="1715"/>
        <v>16.1</v>
      </c>
      <c r="T543" s="108">
        <f t="shared" si="1716"/>
        <v>433.6</v>
      </c>
      <c r="U543" s="2">
        <f t="shared" si="1717"/>
        <v>31.5</v>
      </c>
      <c r="V543" s="42">
        <f t="shared" si="15"/>
        <v>157.5</v>
      </c>
      <c r="W543" s="2">
        <f t="shared" si="1718"/>
        <v>31.5</v>
      </c>
      <c r="X543" s="2">
        <f t="shared" si="1719"/>
        <v>252</v>
      </c>
      <c r="Y543" s="2">
        <f t="shared" si="1720"/>
        <v>472.5</v>
      </c>
      <c r="Z543" s="108">
        <f t="shared" si="1721"/>
        <v>2516.1</v>
      </c>
      <c r="AA543" s="109">
        <f t="shared" si="1722"/>
        <v>503.22</v>
      </c>
      <c r="AB543" s="12">
        <f t="shared" si="1723"/>
        <v>3019.32</v>
      </c>
      <c r="AC543" s="2">
        <f t="shared" si="1724"/>
        <v>3150</v>
      </c>
      <c r="AD543" s="12">
        <f t="shared" si="1725"/>
        <v>-130.68</v>
      </c>
      <c r="AE543" s="12">
        <f t="shared" si="1726"/>
        <v>-4.328126863</v>
      </c>
      <c r="AF543" s="61">
        <v>2650.0</v>
      </c>
      <c r="AG543" s="110">
        <f t="shared" si="1727"/>
        <v>64.59627329</v>
      </c>
      <c r="AH543" s="111">
        <f t="shared" si="1728"/>
        <v>0</v>
      </c>
      <c r="AI543" s="116">
        <v>3190.0</v>
      </c>
      <c r="AJ543" s="61">
        <v>2650.0</v>
      </c>
      <c r="AK543" s="112">
        <f t="shared" si="1730"/>
        <v>64.59627329</v>
      </c>
      <c r="AL543" s="112"/>
      <c r="AM543" s="112">
        <f t="shared" si="1797"/>
        <v>0</v>
      </c>
      <c r="AN543" s="112">
        <f t="shared" si="1732"/>
        <v>0</v>
      </c>
      <c r="AO543" s="113">
        <f t="shared" si="1733"/>
        <v>1.645962733</v>
      </c>
      <c r="AP543" s="112">
        <f t="shared" si="1734"/>
        <v>-3.6932</v>
      </c>
      <c r="AQ543" s="112">
        <f t="shared" si="1735"/>
        <v>-5</v>
      </c>
      <c r="AR543" s="114">
        <f t="shared" ref="AR543:AS543" si="1801">AI543/94</f>
        <v>33.93617021</v>
      </c>
      <c r="AS543" s="114">
        <f t="shared" si="1801"/>
        <v>28.19148936</v>
      </c>
      <c r="AT543" s="115">
        <f t="shared" ref="AT543:AU543" si="1802">AI543/24</f>
        <v>132.9166667</v>
      </c>
      <c r="AU543" s="115">
        <f t="shared" si="1802"/>
        <v>110.4166667</v>
      </c>
      <c r="AV543" s="115">
        <f t="shared" ref="AV543:AW543" si="1803">AI543/125</f>
        <v>25.52</v>
      </c>
      <c r="AW543" s="115">
        <f t="shared" si="1803"/>
        <v>21.2</v>
      </c>
    </row>
    <row r="544">
      <c r="A544" s="2"/>
      <c r="B544" s="2" t="s">
        <v>1073</v>
      </c>
      <c r="C544" s="2" t="s">
        <v>1074</v>
      </c>
      <c r="D544" s="10">
        <v>1500.0</v>
      </c>
      <c r="F544" s="1">
        <v>50.0</v>
      </c>
      <c r="G544" s="10">
        <v>9.303001E7</v>
      </c>
      <c r="H544" s="10">
        <v>0.0</v>
      </c>
      <c r="I544" s="2">
        <f t="shared" si="1792"/>
        <v>0</v>
      </c>
      <c r="K544" s="2">
        <f t="shared" si="1796"/>
        <v>60</v>
      </c>
      <c r="L544" s="107">
        <f t="shared" si="1708"/>
        <v>1610</v>
      </c>
      <c r="M544" s="2">
        <f t="shared" si="1709"/>
        <v>15</v>
      </c>
      <c r="N544" s="12">
        <f t="shared" si="1710"/>
        <v>128.8</v>
      </c>
      <c r="O544" s="12">
        <f t="shared" si="1711"/>
        <v>161</v>
      </c>
      <c r="P544" s="12">
        <f t="shared" si="1712"/>
        <v>80.5</v>
      </c>
      <c r="Q544" s="12">
        <f t="shared" si="1713"/>
        <v>32.2</v>
      </c>
      <c r="R544" s="12">
        <f t="shared" si="1714"/>
        <v>15.75</v>
      </c>
      <c r="S544" s="12">
        <f t="shared" si="1715"/>
        <v>16.1</v>
      </c>
      <c r="T544" s="108">
        <f t="shared" si="1716"/>
        <v>433.6</v>
      </c>
      <c r="U544" s="2">
        <f t="shared" si="1717"/>
        <v>31.5</v>
      </c>
      <c r="V544" s="42">
        <f t="shared" si="15"/>
        <v>157.5</v>
      </c>
      <c r="W544" s="2">
        <f t="shared" si="1718"/>
        <v>31.5</v>
      </c>
      <c r="X544" s="2">
        <f t="shared" si="1719"/>
        <v>252</v>
      </c>
      <c r="Y544" s="2">
        <f t="shared" si="1720"/>
        <v>472.5</v>
      </c>
      <c r="Z544" s="108">
        <f t="shared" si="1721"/>
        <v>2516.1</v>
      </c>
      <c r="AA544" s="109">
        <f t="shared" si="1722"/>
        <v>503.22</v>
      </c>
      <c r="AB544" s="12">
        <f t="shared" si="1723"/>
        <v>3019.32</v>
      </c>
      <c r="AC544" s="2">
        <f t="shared" si="1724"/>
        <v>3150</v>
      </c>
      <c r="AD544" s="12">
        <f t="shared" si="1725"/>
        <v>-130.68</v>
      </c>
      <c r="AE544" s="12">
        <f t="shared" si="1726"/>
        <v>-4.328126863</v>
      </c>
      <c r="AF544" s="61">
        <v>2650.0</v>
      </c>
      <c r="AG544" s="110">
        <f t="shared" si="1727"/>
        <v>64.59627329</v>
      </c>
      <c r="AH544" s="111">
        <f t="shared" si="1728"/>
        <v>0</v>
      </c>
      <c r="AI544" s="116">
        <v>3190.0</v>
      </c>
      <c r="AJ544" s="61">
        <v>2650.0</v>
      </c>
      <c r="AK544" s="112">
        <f t="shared" si="1730"/>
        <v>64.59627329</v>
      </c>
      <c r="AL544" s="112"/>
      <c r="AM544" s="112">
        <f t="shared" si="1797"/>
        <v>0</v>
      </c>
      <c r="AN544" s="112">
        <f t="shared" si="1732"/>
        <v>0</v>
      </c>
      <c r="AO544" s="113">
        <f t="shared" si="1733"/>
        <v>1.645962733</v>
      </c>
      <c r="AP544" s="112">
        <f t="shared" si="1734"/>
        <v>-3.6932</v>
      </c>
      <c r="AQ544" s="112">
        <f t="shared" si="1735"/>
        <v>-5</v>
      </c>
      <c r="AR544" s="114">
        <f t="shared" ref="AR544:AS544" si="1804">AI544/94</f>
        <v>33.93617021</v>
      </c>
      <c r="AS544" s="114">
        <f t="shared" si="1804"/>
        <v>28.19148936</v>
      </c>
      <c r="AT544" s="115">
        <f t="shared" ref="AT544:AU544" si="1805">AI544/24</f>
        <v>132.9166667</v>
      </c>
      <c r="AU544" s="115">
        <f t="shared" si="1805"/>
        <v>110.4166667</v>
      </c>
      <c r="AV544" s="115">
        <f t="shared" ref="AV544:AW544" si="1806">AI544/125</f>
        <v>25.52</v>
      </c>
      <c r="AW544" s="115">
        <f t="shared" si="1806"/>
        <v>21.2</v>
      </c>
    </row>
    <row r="545">
      <c r="A545" s="2"/>
      <c r="B545" s="2" t="s">
        <v>1075</v>
      </c>
      <c r="C545" s="2" t="s">
        <v>1076</v>
      </c>
      <c r="D545" s="10">
        <v>1500.0</v>
      </c>
      <c r="F545" s="1">
        <v>50.0</v>
      </c>
      <c r="G545" s="10">
        <v>9.303001E7</v>
      </c>
      <c r="H545" s="10">
        <v>0.0</v>
      </c>
      <c r="I545" s="2">
        <f t="shared" si="1792"/>
        <v>0</v>
      </c>
      <c r="K545" s="2">
        <f t="shared" si="1796"/>
        <v>60</v>
      </c>
      <c r="L545" s="107">
        <f t="shared" si="1708"/>
        <v>1610</v>
      </c>
      <c r="M545" s="2">
        <f t="shared" si="1709"/>
        <v>15</v>
      </c>
      <c r="N545" s="12">
        <f t="shared" si="1710"/>
        <v>128.8</v>
      </c>
      <c r="O545" s="12">
        <f t="shared" si="1711"/>
        <v>161</v>
      </c>
      <c r="P545" s="12">
        <f t="shared" si="1712"/>
        <v>80.5</v>
      </c>
      <c r="Q545" s="12">
        <f t="shared" si="1713"/>
        <v>32.2</v>
      </c>
      <c r="R545" s="12">
        <f t="shared" si="1714"/>
        <v>15.75</v>
      </c>
      <c r="S545" s="12">
        <f t="shared" si="1715"/>
        <v>16.1</v>
      </c>
      <c r="T545" s="108">
        <f t="shared" si="1716"/>
        <v>433.6</v>
      </c>
      <c r="U545" s="2">
        <f t="shared" si="1717"/>
        <v>31.5</v>
      </c>
      <c r="V545" s="42">
        <f t="shared" si="15"/>
        <v>157.5</v>
      </c>
      <c r="W545" s="2">
        <f t="shared" si="1718"/>
        <v>31.5</v>
      </c>
      <c r="X545" s="2">
        <f t="shared" si="1719"/>
        <v>252</v>
      </c>
      <c r="Y545" s="2">
        <f t="shared" si="1720"/>
        <v>472.5</v>
      </c>
      <c r="Z545" s="108">
        <f t="shared" si="1721"/>
        <v>2516.1</v>
      </c>
      <c r="AA545" s="109">
        <f t="shared" si="1722"/>
        <v>503.22</v>
      </c>
      <c r="AB545" s="12">
        <f t="shared" si="1723"/>
        <v>3019.32</v>
      </c>
      <c r="AC545" s="2">
        <f t="shared" si="1724"/>
        <v>3150</v>
      </c>
      <c r="AD545" s="12">
        <f t="shared" si="1725"/>
        <v>-130.68</v>
      </c>
      <c r="AE545" s="12">
        <f t="shared" si="1726"/>
        <v>-4.328126863</v>
      </c>
      <c r="AF545" s="61">
        <v>2650.0</v>
      </c>
      <c r="AG545" s="110">
        <f t="shared" si="1727"/>
        <v>64.59627329</v>
      </c>
      <c r="AH545" s="111">
        <f t="shared" si="1728"/>
        <v>0</v>
      </c>
      <c r="AI545" s="116">
        <v>3190.0</v>
      </c>
      <c r="AJ545" s="61">
        <v>2650.0</v>
      </c>
      <c r="AK545" s="112">
        <f t="shared" si="1730"/>
        <v>64.59627329</v>
      </c>
      <c r="AL545" s="112"/>
      <c r="AM545" s="112">
        <f t="shared" si="1797"/>
        <v>0</v>
      </c>
      <c r="AN545" s="112">
        <f t="shared" si="1732"/>
        <v>0</v>
      </c>
      <c r="AO545" s="113">
        <f t="shared" si="1733"/>
        <v>1.645962733</v>
      </c>
      <c r="AP545" s="112">
        <f t="shared" si="1734"/>
        <v>-3.6932</v>
      </c>
      <c r="AQ545" s="112">
        <f t="shared" si="1735"/>
        <v>-5</v>
      </c>
      <c r="AR545" s="114">
        <f t="shared" ref="AR545:AS545" si="1807">AI545/94</f>
        <v>33.93617021</v>
      </c>
      <c r="AS545" s="114">
        <f t="shared" si="1807"/>
        <v>28.19148936</v>
      </c>
      <c r="AT545" s="115">
        <f t="shared" ref="AT545:AU545" si="1808">AI545/24</f>
        <v>132.9166667</v>
      </c>
      <c r="AU545" s="115">
        <f t="shared" si="1808"/>
        <v>110.4166667</v>
      </c>
      <c r="AV545" s="115">
        <f t="shared" ref="AV545:AW545" si="1809">AI545/125</f>
        <v>25.52</v>
      </c>
      <c r="AW545" s="115">
        <f t="shared" si="1809"/>
        <v>21.2</v>
      </c>
    </row>
    <row r="546">
      <c r="A546" s="2"/>
      <c r="B546" s="2" t="s">
        <v>1077</v>
      </c>
      <c r="C546" s="2" t="s">
        <v>1078</v>
      </c>
      <c r="D546" s="10">
        <v>1500.0</v>
      </c>
      <c r="F546" s="1">
        <v>50.0</v>
      </c>
      <c r="G546" s="10">
        <v>9.303001E7</v>
      </c>
      <c r="H546" s="10">
        <v>0.0</v>
      </c>
      <c r="I546" s="2">
        <f t="shared" si="1792"/>
        <v>0</v>
      </c>
      <c r="K546" s="2">
        <f t="shared" si="1796"/>
        <v>60</v>
      </c>
      <c r="L546" s="107">
        <f t="shared" si="1708"/>
        <v>1610</v>
      </c>
      <c r="M546" s="2">
        <f t="shared" si="1709"/>
        <v>15</v>
      </c>
      <c r="N546" s="12">
        <f t="shared" si="1710"/>
        <v>128.8</v>
      </c>
      <c r="O546" s="12">
        <f t="shared" si="1711"/>
        <v>161</v>
      </c>
      <c r="P546" s="12">
        <f t="shared" si="1712"/>
        <v>80.5</v>
      </c>
      <c r="Q546" s="12">
        <f t="shared" si="1713"/>
        <v>32.2</v>
      </c>
      <c r="R546" s="12">
        <f t="shared" si="1714"/>
        <v>15.75</v>
      </c>
      <c r="S546" s="12">
        <f t="shared" si="1715"/>
        <v>16.1</v>
      </c>
      <c r="T546" s="108">
        <f t="shared" si="1716"/>
        <v>433.6</v>
      </c>
      <c r="U546" s="2">
        <f t="shared" si="1717"/>
        <v>31.5</v>
      </c>
      <c r="V546" s="42">
        <f t="shared" si="15"/>
        <v>157.5</v>
      </c>
      <c r="W546" s="2">
        <f t="shared" si="1718"/>
        <v>31.5</v>
      </c>
      <c r="X546" s="2">
        <f t="shared" si="1719"/>
        <v>252</v>
      </c>
      <c r="Y546" s="2">
        <f t="shared" si="1720"/>
        <v>472.5</v>
      </c>
      <c r="Z546" s="108">
        <f t="shared" si="1721"/>
        <v>2516.1</v>
      </c>
      <c r="AA546" s="109">
        <f t="shared" si="1722"/>
        <v>503.22</v>
      </c>
      <c r="AB546" s="12">
        <f t="shared" si="1723"/>
        <v>3019.32</v>
      </c>
      <c r="AC546" s="2">
        <f t="shared" si="1724"/>
        <v>3150</v>
      </c>
      <c r="AD546" s="12">
        <f t="shared" si="1725"/>
        <v>-130.68</v>
      </c>
      <c r="AE546" s="12">
        <f t="shared" si="1726"/>
        <v>-4.328126863</v>
      </c>
      <c r="AF546" s="61">
        <v>2650.0</v>
      </c>
      <c r="AG546" s="110">
        <f t="shared" si="1727"/>
        <v>64.59627329</v>
      </c>
      <c r="AH546" s="111">
        <f t="shared" si="1728"/>
        <v>0</v>
      </c>
      <c r="AI546" s="116">
        <v>3190.0</v>
      </c>
      <c r="AJ546" s="61">
        <v>2650.0</v>
      </c>
      <c r="AK546" s="112">
        <f t="shared" si="1730"/>
        <v>64.59627329</v>
      </c>
      <c r="AL546" s="112"/>
      <c r="AM546" s="112">
        <f t="shared" si="1797"/>
        <v>0</v>
      </c>
      <c r="AN546" s="112">
        <f t="shared" si="1732"/>
        <v>0</v>
      </c>
      <c r="AO546" s="113">
        <f t="shared" si="1733"/>
        <v>1.645962733</v>
      </c>
      <c r="AP546" s="112">
        <f t="shared" si="1734"/>
        <v>-3.6932</v>
      </c>
      <c r="AQ546" s="112">
        <f t="shared" si="1735"/>
        <v>-5</v>
      </c>
      <c r="AR546" s="114">
        <f t="shared" ref="AR546:AS546" si="1810">AI546/94</f>
        <v>33.93617021</v>
      </c>
      <c r="AS546" s="114">
        <f t="shared" si="1810"/>
        <v>28.19148936</v>
      </c>
      <c r="AT546" s="115">
        <f t="shared" ref="AT546:AU546" si="1811">AI546/24</f>
        <v>132.9166667</v>
      </c>
      <c r="AU546" s="115">
        <f t="shared" si="1811"/>
        <v>110.4166667</v>
      </c>
      <c r="AV546" s="115">
        <f t="shared" ref="AV546:AW546" si="1812">AI546/125</f>
        <v>25.52</v>
      </c>
      <c r="AW546" s="115">
        <f t="shared" si="1812"/>
        <v>21.2</v>
      </c>
    </row>
    <row r="547">
      <c r="A547" s="2"/>
      <c r="B547" s="2" t="s">
        <v>1079</v>
      </c>
      <c r="C547" s="2" t="s">
        <v>1080</v>
      </c>
      <c r="D547" s="10">
        <v>1500.0</v>
      </c>
      <c r="F547" s="1">
        <v>50.0</v>
      </c>
      <c r="G547" s="10">
        <v>9.303001E7</v>
      </c>
      <c r="H547" s="10">
        <v>0.0</v>
      </c>
      <c r="I547" s="2">
        <f t="shared" si="1792"/>
        <v>0</v>
      </c>
      <c r="K547" s="2">
        <f t="shared" si="1796"/>
        <v>60</v>
      </c>
      <c r="L547" s="107">
        <f t="shared" si="1708"/>
        <v>1610</v>
      </c>
      <c r="M547" s="2">
        <f t="shared" si="1709"/>
        <v>15</v>
      </c>
      <c r="N547" s="12">
        <f t="shared" si="1710"/>
        <v>128.8</v>
      </c>
      <c r="O547" s="12">
        <f t="shared" si="1711"/>
        <v>161</v>
      </c>
      <c r="P547" s="12">
        <f t="shared" si="1712"/>
        <v>80.5</v>
      </c>
      <c r="Q547" s="12">
        <f t="shared" si="1713"/>
        <v>32.2</v>
      </c>
      <c r="R547" s="12">
        <f t="shared" si="1714"/>
        <v>15.75</v>
      </c>
      <c r="S547" s="12">
        <f t="shared" si="1715"/>
        <v>16.1</v>
      </c>
      <c r="T547" s="108">
        <f t="shared" si="1716"/>
        <v>433.6</v>
      </c>
      <c r="U547" s="2">
        <f t="shared" si="1717"/>
        <v>31.5</v>
      </c>
      <c r="V547" s="42">
        <f t="shared" si="15"/>
        <v>157.5</v>
      </c>
      <c r="W547" s="2">
        <f t="shared" si="1718"/>
        <v>31.5</v>
      </c>
      <c r="X547" s="2">
        <f t="shared" si="1719"/>
        <v>252</v>
      </c>
      <c r="Y547" s="2">
        <f t="shared" si="1720"/>
        <v>472.5</v>
      </c>
      <c r="Z547" s="108">
        <f t="shared" si="1721"/>
        <v>2516.1</v>
      </c>
      <c r="AA547" s="109">
        <f t="shared" si="1722"/>
        <v>503.22</v>
      </c>
      <c r="AB547" s="12">
        <f t="shared" si="1723"/>
        <v>3019.32</v>
      </c>
      <c r="AC547" s="2">
        <f t="shared" si="1724"/>
        <v>3150</v>
      </c>
      <c r="AD547" s="12">
        <f t="shared" si="1725"/>
        <v>-130.68</v>
      </c>
      <c r="AE547" s="12">
        <f t="shared" si="1726"/>
        <v>-4.328126863</v>
      </c>
      <c r="AF547" s="61">
        <v>2650.0</v>
      </c>
      <c r="AG547" s="110">
        <f t="shared" si="1727"/>
        <v>64.59627329</v>
      </c>
      <c r="AH547" s="111">
        <f t="shared" si="1728"/>
        <v>0</v>
      </c>
      <c r="AI547" s="116">
        <v>3190.0</v>
      </c>
      <c r="AJ547" s="61">
        <v>2650.0</v>
      </c>
      <c r="AK547" s="112">
        <f t="shared" si="1730"/>
        <v>64.59627329</v>
      </c>
      <c r="AL547" s="112"/>
      <c r="AM547" s="112">
        <f t="shared" si="1797"/>
        <v>0</v>
      </c>
      <c r="AN547" s="112">
        <f t="shared" si="1732"/>
        <v>0</v>
      </c>
      <c r="AO547" s="113">
        <f t="shared" si="1733"/>
        <v>1.645962733</v>
      </c>
      <c r="AP547" s="112">
        <f t="shared" si="1734"/>
        <v>-3.6932</v>
      </c>
      <c r="AQ547" s="112">
        <f t="shared" si="1735"/>
        <v>-5</v>
      </c>
      <c r="AR547" s="114">
        <f t="shared" ref="AR547:AS547" si="1813">AI547/94</f>
        <v>33.93617021</v>
      </c>
      <c r="AS547" s="114">
        <f t="shared" si="1813"/>
        <v>28.19148936</v>
      </c>
      <c r="AT547" s="115">
        <f t="shared" ref="AT547:AU547" si="1814">AI547/24</f>
        <v>132.9166667</v>
      </c>
      <c r="AU547" s="115">
        <f t="shared" si="1814"/>
        <v>110.4166667</v>
      </c>
      <c r="AV547" s="115">
        <f t="shared" ref="AV547:AW547" si="1815">AI547/125</f>
        <v>25.52</v>
      </c>
      <c r="AW547" s="115">
        <f t="shared" si="1815"/>
        <v>21.2</v>
      </c>
    </row>
    <row r="548">
      <c r="A548" s="2"/>
      <c r="B548" s="2" t="s">
        <v>1059</v>
      </c>
      <c r="C548" s="2" t="s">
        <v>1081</v>
      </c>
      <c r="D548" s="10">
        <v>10500.0</v>
      </c>
      <c r="F548" s="1">
        <v>75.0</v>
      </c>
      <c r="G548" s="10">
        <v>9.303001E7</v>
      </c>
      <c r="H548" s="10">
        <v>0.0</v>
      </c>
      <c r="I548" s="2">
        <f t="shared" si="1792"/>
        <v>0</v>
      </c>
      <c r="K548" s="2">
        <f t="shared" si="1796"/>
        <v>420</v>
      </c>
      <c r="L548" s="107">
        <f t="shared" si="1708"/>
        <v>10995</v>
      </c>
      <c r="M548" s="2">
        <f t="shared" si="1709"/>
        <v>105</v>
      </c>
      <c r="N548" s="12">
        <f t="shared" si="1710"/>
        <v>879.6</v>
      </c>
      <c r="O548" s="12">
        <f t="shared" si="1711"/>
        <v>1099.5</v>
      </c>
      <c r="P548" s="12">
        <f t="shared" si="1712"/>
        <v>549.75</v>
      </c>
      <c r="Q548" s="12">
        <f t="shared" si="1713"/>
        <v>219.9</v>
      </c>
      <c r="R548" s="12">
        <f t="shared" si="1714"/>
        <v>110.25</v>
      </c>
      <c r="S548" s="12">
        <f t="shared" si="1715"/>
        <v>109.95</v>
      </c>
      <c r="T548" s="108">
        <f t="shared" si="1716"/>
        <v>2963.7</v>
      </c>
      <c r="U548" s="2">
        <f t="shared" si="1717"/>
        <v>220.5</v>
      </c>
      <c r="V548" s="42">
        <f t="shared" si="15"/>
        <v>1102.5</v>
      </c>
      <c r="W548" s="2">
        <f t="shared" si="1718"/>
        <v>220.5</v>
      </c>
      <c r="X548" s="2">
        <f t="shared" si="1719"/>
        <v>1764</v>
      </c>
      <c r="Y548" s="2">
        <f t="shared" si="1720"/>
        <v>3307.5</v>
      </c>
      <c r="Z548" s="108">
        <f t="shared" si="1721"/>
        <v>17266.2</v>
      </c>
      <c r="AA548" s="109">
        <f t="shared" si="1722"/>
        <v>3453.24</v>
      </c>
      <c r="AB548" s="12">
        <f t="shared" si="1723"/>
        <v>20719.44</v>
      </c>
      <c r="AC548" s="2">
        <f t="shared" si="1724"/>
        <v>22050</v>
      </c>
      <c r="AD548" s="12">
        <f t="shared" si="1725"/>
        <v>-1330.56</v>
      </c>
      <c r="AE548" s="12">
        <f t="shared" si="1726"/>
        <v>-6.421795184</v>
      </c>
      <c r="AF548" s="61">
        <v>16500.0</v>
      </c>
      <c r="AG548" s="110">
        <f t="shared" si="1727"/>
        <v>50.06821282</v>
      </c>
      <c r="AH548" s="111">
        <f t="shared" si="1728"/>
        <v>0</v>
      </c>
      <c r="AI548" s="111">
        <v>19990.0</v>
      </c>
      <c r="AJ548" s="61">
        <v>16500.0</v>
      </c>
      <c r="AK548" s="112">
        <f t="shared" si="1730"/>
        <v>50.06821282</v>
      </c>
      <c r="AL548" s="112"/>
      <c r="AM548" s="112">
        <f t="shared" si="1797"/>
        <v>0</v>
      </c>
      <c r="AN548" s="112">
        <f t="shared" si="1732"/>
        <v>0</v>
      </c>
      <c r="AO548" s="113">
        <f t="shared" si="1733"/>
        <v>1.500682128</v>
      </c>
      <c r="AP548" s="112">
        <f t="shared" si="1734"/>
        <v>-42.1944</v>
      </c>
      <c r="AQ548" s="112">
        <f t="shared" si="1735"/>
        <v>-55.5</v>
      </c>
      <c r="AR548" s="114">
        <f t="shared" ref="AR548:AS548" si="1816">AI548/94</f>
        <v>212.6595745</v>
      </c>
      <c r="AS548" s="114">
        <f t="shared" si="1816"/>
        <v>175.5319149</v>
      </c>
      <c r="AT548" s="115">
        <f t="shared" ref="AT548:AU548" si="1817">AI548/24</f>
        <v>832.9166667</v>
      </c>
      <c r="AU548" s="115">
        <f t="shared" si="1817"/>
        <v>687.5</v>
      </c>
      <c r="AV548" s="115">
        <f t="shared" ref="AV548:AW548" si="1818">AI548/125</f>
        <v>159.92</v>
      </c>
      <c r="AW548" s="115">
        <f t="shared" si="1818"/>
        <v>132</v>
      </c>
    </row>
    <row r="549" ht="15.0" customHeight="1">
      <c r="A549" s="2" t="s">
        <v>1082</v>
      </c>
      <c r="B549" s="2" t="s">
        <v>1083</v>
      </c>
      <c r="C549" s="2" t="s">
        <v>1084</v>
      </c>
      <c r="D549" s="10">
        <v>250.0</v>
      </c>
      <c r="E549" s="2">
        <v>50.0</v>
      </c>
      <c r="F549" s="1">
        <v>50.0</v>
      </c>
      <c r="G549" s="10" t="s">
        <v>455</v>
      </c>
      <c r="H549" s="59">
        <v>0.18</v>
      </c>
      <c r="I549" s="2">
        <f t="shared" si="1792"/>
        <v>45</v>
      </c>
      <c r="K549" s="1">
        <v>40.0</v>
      </c>
      <c r="L549" s="107">
        <f t="shared" si="1708"/>
        <v>435</v>
      </c>
      <c r="M549" s="2">
        <f t="shared" si="1709"/>
        <v>2.5</v>
      </c>
      <c r="N549" s="12">
        <f t="shared" si="1710"/>
        <v>34.8</v>
      </c>
      <c r="O549" s="12">
        <f t="shared" si="1711"/>
        <v>43.5</v>
      </c>
      <c r="P549" s="12">
        <f t="shared" si="1712"/>
        <v>21.75</v>
      </c>
      <c r="Q549" s="12">
        <f t="shared" si="1713"/>
        <v>8.7</v>
      </c>
      <c r="R549" s="12">
        <f t="shared" si="1714"/>
        <v>2.625</v>
      </c>
      <c r="S549" s="12">
        <f t="shared" si="1715"/>
        <v>4.35</v>
      </c>
      <c r="T549" s="108">
        <f t="shared" si="1716"/>
        <v>115.6</v>
      </c>
      <c r="U549" s="2">
        <f t="shared" si="1717"/>
        <v>5.25</v>
      </c>
      <c r="V549" s="42">
        <f t="shared" si="15"/>
        <v>26.25</v>
      </c>
      <c r="W549" s="2">
        <f t="shared" si="1718"/>
        <v>5.25</v>
      </c>
      <c r="X549" s="2">
        <f t="shared" si="1719"/>
        <v>42</v>
      </c>
      <c r="Y549" s="2">
        <f t="shared" si="1720"/>
        <v>78.75</v>
      </c>
      <c r="Z549" s="108">
        <f t="shared" si="1721"/>
        <v>629.35</v>
      </c>
      <c r="AA549" s="109">
        <f t="shared" si="1722"/>
        <v>125.87</v>
      </c>
      <c r="AB549" s="12">
        <f t="shared" si="1723"/>
        <v>755.22</v>
      </c>
      <c r="AC549" s="2">
        <f t="shared" si="1724"/>
        <v>525</v>
      </c>
      <c r="AD549" s="12">
        <f t="shared" si="1725"/>
        <v>230.22</v>
      </c>
      <c r="AE549" s="12">
        <f t="shared" si="1726"/>
        <v>30.48383253</v>
      </c>
      <c r="AF549" s="61">
        <v>645.0</v>
      </c>
      <c r="AG549" s="110">
        <f t="shared" si="1727"/>
        <v>48.27586207</v>
      </c>
      <c r="AH549" s="111">
        <f t="shared" si="1728"/>
        <v>45</v>
      </c>
      <c r="AI549" s="116">
        <v>790.0</v>
      </c>
      <c r="AJ549" s="116">
        <v>690.0</v>
      </c>
      <c r="AK549" s="112">
        <f t="shared" si="1730"/>
        <v>58.62068966</v>
      </c>
      <c r="AL549" s="112"/>
      <c r="AM549" s="112">
        <f t="shared" ref="AM549:AM557" si="1822">AH549/AJ549%</f>
        <v>6.52173913</v>
      </c>
      <c r="AN549" s="112">
        <f t="shared" si="1732"/>
        <v>10.34482759</v>
      </c>
      <c r="AO549" s="113">
        <f t="shared" si="1733"/>
        <v>1.586206897</v>
      </c>
      <c r="AP549" s="112">
        <f t="shared" si="1734"/>
        <v>-0.6522</v>
      </c>
      <c r="AQ549" s="112">
        <f t="shared" si="1735"/>
        <v>1.65</v>
      </c>
      <c r="AR549" s="114">
        <f t="shared" ref="AR549:AS549" si="1819">AI549/94</f>
        <v>8.404255319</v>
      </c>
      <c r="AS549" s="114">
        <f t="shared" si="1819"/>
        <v>7.340425532</v>
      </c>
      <c r="AT549" s="115">
        <f t="shared" ref="AT549:AU549" si="1820">AI549/24</f>
        <v>32.91666667</v>
      </c>
      <c r="AU549" s="115">
        <f t="shared" si="1820"/>
        <v>28.75</v>
      </c>
      <c r="AV549" s="115">
        <f t="shared" ref="AV549:AW549" si="1821">AI549/125</f>
        <v>6.32</v>
      </c>
      <c r="AW549" s="115">
        <f t="shared" si="1821"/>
        <v>5.52</v>
      </c>
    </row>
    <row r="550" ht="15.75" customHeight="1">
      <c r="A550" s="2"/>
      <c r="B550" s="2" t="s">
        <v>1085</v>
      </c>
      <c r="C550" s="2" t="s">
        <v>1086</v>
      </c>
      <c r="D550" s="10">
        <v>830.0</v>
      </c>
      <c r="E550" s="2">
        <v>100.0</v>
      </c>
      <c r="F550" s="1">
        <v>70.0</v>
      </c>
      <c r="G550" s="10" t="s">
        <v>457</v>
      </c>
      <c r="H550" s="59">
        <v>0.18</v>
      </c>
      <c r="I550" s="2">
        <f t="shared" si="1792"/>
        <v>149.4</v>
      </c>
      <c r="K550" s="1">
        <v>120.0</v>
      </c>
      <c r="L550" s="107">
        <f t="shared" si="1708"/>
        <v>1269.4</v>
      </c>
      <c r="M550" s="2">
        <f t="shared" si="1709"/>
        <v>8.3</v>
      </c>
      <c r="N550" s="12">
        <f t="shared" si="1710"/>
        <v>101.552</v>
      </c>
      <c r="O550" s="12">
        <f t="shared" si="1711"/>
        <v>126.94</v>
      </c>
      <c r="P550" s="12">
        <f t="shared" si="1712"/>
        <v>63.47</v>
      </c>
      <c r="Q550" s="12">
        <f t="shared" si="1713"/>
        <v>25.388</v>
      </c>
      <c r="R550" s="12">
        <f t="shared" si="1714"/>
        <v>8.715</v>
      </c>
      <c r="S550" s="12">
        <f t="shared" si="1715"/>
        <v>12.694</v>
      </c>
      <c r="T550" s="108">
        <f t="shared" si="1716"/>
        <v>338.344</v>
      </c>
      <c r="U550" s="2">
        <f t="shared" si="1717"/>
        <v>17.43</v>
      </c>
      <c r="V550" s="42">
        <f t="shared" si="15"/>
        <v>87.15</v>
      </c>
      <c r="W550" s="2">
        <f t="shared" si="1718"/>
        <v>17.43</v>
      </c>
      <c r="X550" s="2">
        <f t="shared" si="1719"/>
        <v>139.44</v>
      </c>
      <c r="Y550" s="2">
        <f t="shared" si="1720"/>
        <v>261.45</v>
      </c>
      <c r="Z550" s="108">
        <f t="shared" si="1721"/>
        <v>1869.194</v>
      </c>
      <c r="AA550" s="109">
        <f t="shared" si="1722"/>
        <v>373.8388</v>
      </c>
      <c r="AB550" s="12">
        <f t="shared" si="1723"/>
        <v>2243.0328</v>
      </c>
      <c r="AC550" s="2">
        <f t="shared" si="1724"/>
        <v>1743</v>
      </c>
      <c r="AD550" s="12">
        <f t="shared" si="1725"/>
        <v>500.0328</v>
      </c>
      <c r="AE550" s="12">
        <f t="shared" si="1726"/>
        <v>22.29271012</v>
      </c>
      <c r="AF550" s="76">
        <v>1495.0</v>
      </c>
      <c r="AG550" s="110">
        <f t="shared" si="1727"/>
        <v>17.77217583</v>
      </c>
      <c r="AH550" s="111">
        <f t="shared" si="1728"/>
        <v>400</v>
      </c>
      <c r="AI550" s="111">
        <f>AB550</f>
        <v>2243.0328</v>
      </c>
      <c r="AJ550" s="116">
        <v>1895.0</v>
      </c>
      <c r="AK550" s="112">
        <f t="shared" si="1730"/>
        <v>49.28312589</v>
      </c>
      <c r="AL550" s="112"/>
      <c r="AM550" s="112">
        <f t="shared" si="1822"/>
        <v>21.10817942</v>
      </c>
      <c r="AN550" s="112">
        <f t="shared" si="1732"/>
        <v>31.51095006</v>
      </c>
      <c r="AO550" s="113">
        <f t="shared" si="1733"/>
        <v>1.492831259</v>
      </c>
      <c r="AP550" s="112">
        <f t="shared" si="1734"/>
        <v>-3.480328</v>
      </c>
      <c r="AQ550" s="112">
        <f t="shared" si="1735"/>
        <v>1.52</v>
      </c>
      <c r="AR550" s="114">
        <f t="shared" ref="AR550:AS550" si="1823">AI550/94</f>
        <v>23.86205106</v>
      </c>
      <c r="AS550" s="114">
        <f t="shared" si="1823"/>
        <v>20.15957447</v>
      </c>
      <c r="AT550" s="115">
        <f t="shared" ref="AT550:AU550" si="1824">AI550/24</f>
        <v>93.4597</v>
      </c>
      <c r="AU550" s="115">
        <f t="shared" si="1824"/>
        <v>78.95833333</v>
      </c>
      <c r="AV550" s="115">
        <f t="shared" ref="AV550:AW550" si="1825">AI550/125</f>
        <v>17.9442624</v>
      </c>
      <c r="AW550" s="115">
        <f t="shared" si="1825"/>
        <v>15.16</v>
      </c>
    </row>
    <row r="551" ht="15.75" customHeight="1">
      <c r="A551" s="2"/>
      <c r="B551" s="2" t="s">
        <v>1087</v>
      </c>
      <c r="C551" s="2" t="s">
        <v>1088</v>
      </c>
      <c r="D551" s="10">
        <v>300.0</v>
      </c>
      <c r="E551" s="2">
        <v>50.0</v>
      </c>
      <c r="F551" s="1">
        <v>50.0</v>
      </c>
      <c r="G551" s="10" t="s">
        <v>460</v>
      </c>
      <c r="H551" s="59">
        <v>0.18</v>
      </c>
      <c r="I551" s="2">
        <f t="shared" si="1792"/>
        <v>54</v>
      </c>
      <c r="K551" s="1">
        <v>40.0</v>
      </c>
      <c r="L551" s="107">
        <f t="shared" si="1708"/>
        <v>494</v>
      </c>
      <c r="M551" s="2">
        <f t="shared" si="1709"/>
        <v>3</v>
      </c>
      <c r="N551" s="12">
        <f t="shared" si="1710"/>
        <v>39.52</v>
      </c>
      <c r="O551" s="12">
        <f t="shared" si="1711"/>
        <v>49.4</v>
      </c>
      <c r="P551" s="12">
        <f t="shared" si="1712"/>
        <v>24.7</v>
      </c>
      <c r="Q551" s="12">
        <f t="shared" si="1713"/>
        <v>9.88</v>
      </c>
      <c r="R551" s="12">
        <f t="shared" si="1714"/>
        <v>3.15</v>
      </c>
      <c r="S551" s="12">
        <f t="shared" si="1715"/>
        <v>4.94</v>
      </c>
      <c r="T551" s="108">
        <f t="shared" si="1716"/>
        <v>131.44</v>
      </c>
      <c r="U551" s="2">
        <f t="shared" si="1717"/>
        <v>6.3</v>
      </c>
      <c r="V551" s="42">
        <f t="shared" si="15"/>
        <v>31.5</v>
      </c>
      <c r="W551" s="2">
        <f t="shared" si="1718"/>
        <v>6.3</v>
      </c>
      <c r="X551" s="2">
        <f t="shared" si="1719"/>
        <v>50.4</v>
      </c>
      <c r="Y551" s="2">
        <f t="shared" si="1720"/>
        <v>94.5</v>
      </c>
      <c r="Z551" s="108">
        <f t="shared" si="1721"/>
        <v>719.94</v>
      </c>
      <c r="AA551" s="109">
        <f t="shared" si="1722"/>
        <v>143.988</v>
      </c>
      <c r="AB551" s="12">
        <f t="shared" si="1723"/>
        <v>863.928</v>
      </c>
      <c r="AC551" s="2">
        <f t="shared" si="1724"/>
        <v>630</v>
      </c>
      <c r="AD551" s="12">
        <f t="shared" si="1725"/>
        <v>233.928</v>
      </c>
      <c r="AE551" s="12">
        <f t="shared" si="1726"/>
        <v>27.07725644</v>
      </c>
      <c r="AF551" s="61">
        <v>625.0</v>
      </c>
      <c r="AG551" s="110">
        <f t="shared" si="1727"/>
        <v>26.51821862</v>
      </c>
      <c r="AH551" s="111">
        <f t="shared" si="1728"/>
        <v>20</v>
      </c>
      <c r="AI551" s="116">
        <v>790.0</v>
      </c>
      <c r="AJ551" s="116">
        <v>645.0</v>
      </c>
      <c r="AK551" s="112">
        <f t="shared" si="1730"/>
        <v>30.56680162</v>
      </c>
      <c r="AL551" s="112"/>
      <c r="AM551" s="112">
        <f t="shared" si="1822"/>
        <v>3.100775194</v>
      </c>
      <c r="AN551" s="112">
        <f t="shared" si="1732"/>
        <v>4.048582996</v>
      </c>
      <c r="AO551" s="113">
        <f t="shared" si="1733"/>
        <v>1.305668016</v>
      </c>
      <c r="AP551" s="112">
        <f t="shared" si="1734"/>
        <v>-2.18928</v>
      </c>
      <c r="AQ551" s="112">
        <f t="shared" si="1735"/>
        <v>0.15</v>
      </c>
      <c r="AR551" s="114">
        <f t="shared" ref="AR551:AS551" si="1826">AI551/94</f>
        <v>8.404255319</v>
      </c>
      <c r="AS551" s="114">
        <f t="shared" si="1826"/>
        <v>6.861702128</v>
      </c>
      <c r="AT551" s="115">
        <f t="shared" ref="AT551:AU551" si="1827">AI551/24</f>
        <v>32.91666667</v>
      </c>
      <c r="AU551" s="115">
        <f t="shared" si="1827"/>
        <v>26.875</v>
      </c>
      <c r="AV551" s="115">
        <f t="shared" ref="AV551:AW551" si="1828">AI551/125</f>
        <v>6.32</v>
      </c>
      <c r="AW551" s="115">
        <f t="shared" si="1828"/>
        <v>5.16</v>
      </c>
    </row>
    <row r="552" ht="15.75" customHeight="1">
      <c r="A552" s="2"/>
      <c r="B552" s="2" t="s">
        <v>1089</v>
      </c>
      <c r="C552" s="2" t="s">
        <v>1090</v>
      </c>
      <c r="D552" s="10">
        <v>280.0</v>
      </c>
      <c r="E552" s="2">
        <v>50.0</v>
      </c>
      <c r="F552" s="1">
        <v>50.0</v>
      </c>
      <c r="G552" s="10" t="s">
        <v>1091</v>
      </c>
      <c r="H552" s="59">
        <v>0.18</v>
      </c>
      <c r="I552" s="2">
        <f t="shared" si="1792"/>
        <v>50.4</v>
      </c>
      <c r="K552" s="1">
        <v>40.0</v>
      </c>
      <c r="L552" s="107">
        <f t="shared" si="1708"/>
        <v>470.4</v>
      </c>
      <c r="M552" s="2">
        <f t="shared" si="1709"/>
        <v>2.8</v>
      </c>
      <c r="N552" s="12">
        <f t="shared" si="1710"/>
        <v>37.632</v>
      </c>
      <c r="O552" s="12">
        <f t="shared" si="1711"/>
        <v>47.04</v>
      </c>
      <c r="P552" s="12">
        <f t="shared" si="1712"/>
        <v>23.52</v>
      </c>
      <c r="Q552" s="12">
        <f t="shared" si="1713"/>
        <v>9.408</v>
      </c>
      <c r="R552" s="12">
        <f t="shared" si="1714"/>
        <v>2.94</v>
      </c>
      <c r="S552" s="12">
        <f t="shared" si="1715"/>
        <v>4.704</v>
      </c>
      <c r="T552" s="108">
        <f t="shared" si="1716"/>
        <v>125.104</v>
      </c>
      <c r="U552" s="2">
        <f t="shared" si="1717"/>
        <v>5.88</v>
      </c>
      <c r="V552" s="42">
        <f t="shared" si="15"/>
        <v>29.4</v>
      </c>
      <c r="W552" s="2">
        <f t="shared" si="1718"/>
        <v>5.88</v>
      </c>
      <c r="X552" s="2">
        <f t="shared" si="1719"/>
        <v>47.04</v>
      </c>
      <c r="Y552" s="2">
        <f t="shared" si="1720"/>
        <v>88.2</v>
      </c>
      <c r="Z552" s="108">
        <f t="shared" si="1721"/>
        <v>683.704</v>
      </c>
      <c r="AA552" s="109">
        <f t="shared" si="1722"/>
        <v>136.7408</v>
      </c>
      <c r="AB552" s="12">
        <f t="shared" si="1723"/>
        <v>820.4448</v>
      </c>
      <c r="AC552" s="2">
        <f t="shared" si="1724"/>
        <v>588</v>
      </c>
      <c r="AD552" s="12">
        <f t="shared" si="1725"/>
        <v>232.4448</v>
      </c>
      <c r="AE552" s="12">
        <f t="shared" si="1726"/>
        <v>28.33155869</v>
      </c>
      <c r="AF552" s="61">
        <v>645.0</v>
      </c>
      <c r="AG552" s="110">
        <f t="shared" si="1727"/>
        <v>37.11734694</v>
      </c>
      <c r="AH552" s="111">
        <f t="shared" si="1728"/>
        <v>45</v>
      </c>
      <c r="AI552" s="116">
        <v>790.0</v>
      </c>
      <c r="AJ552" s="116">
        <v>690.0</v>
      </c>
      <c r="AK552" s="112">
        <f t="shared" si="1730"/>
        <v>46.68367347</v>
      </c>
      <c r="AL552" s="112"/>
      <c r="AM552" s="112">
        <f t="shared" si="1822"/>
        <v>6.52173913</v>
      </c>
      <c r="AN552" s="112">
        <f t="shared" si="1732"/>
        <v>9.566326531</v>
      </c>
      <c r="AO552" s="113">
        <f t="shared" si="1733"/>
        <v>1.466836735</v>
      </c>
      <c r="AP552" s="112">
        <f t="shared" si="1734"/>
        <v>-1.304448</v>
      </c>
      <c r="AQ552" s="112">
        <f t="shared" si="1735"/>
        <v>1.02</v>
      </c>
      <c r="AR552" s="114">
        <f t="shared" ref="AR552:AS552" si="1829">AI552/94</f>
        <v>8.404255319</v>
      </c>
      <c r="AS552" s="114">
        <f t="shared" si="1829"/>
        <v>7.340425532</v>
      </c>
      <c r="AT552" s="115">
        <f t="shared" ref="AT552:AU552" si="1830">AI552/24</f>
        <v>32.91666667</v>
      </c>
      <c r="AU552" s="115">
        <f t="shared" si="1830"/>
        <v>28.75</v>
      </c>
      <c r="AV552" s="115">
        <f t="shared" ref="AV552:AW552" si="1831">AI552/125</f>
        <v>6.32</v>
      </c>
      <c r="AW552" s="115">
        <f t="shared" si="1831"/>
        <v>5.52</v>
      </c>
    </row>
    <row r="553" ht="15.0" customHeight="1">
      <c r="A553" s="2" t="s">
        <v>1092</v>
      </c>
      <c r="B553" s="2" t="s">
        <v>218</v>
      </c>
      <c r="C553" s="2" t="s">
        <v>1093</v>
      </c>
      <c r="D553" s="102">
        <v>400.0</v>
      </c>
      <c r="E553" s="1">
        <v>50.0</v>
      </c>
      <c r="F553" s="1">
        <v>50.0</v>
      </c>
      <c r="G553" s="10">
        <v>9.2061E7</v>
      </c>
      <c r="H553" s="59">
        <v>0.18</v>
      </c>
      <c r="I553" s="2">
        <f t="shared" si="1792"/>
        <v>72</v>
      </c>
      <c r="K553" s="94">
        <v>50.0</v>
      </c>
      <c r="L553" s="4">
        <f t="shared" si="1708"/>
        <v>622</v>
      </c>
      <c r="M553" s="2">
        <f t="shared" si="1709"/>
        <v>4</v>
      </c>
      <c r="N553" s="12">
        <f t="shared" si="1710"/>
        <v>49.76</v>
      </c>
      <c r="O553" s="12">
        <f t="shared" si="1711"/>
        <v>62.2</v>
      </c>
      <c r="P553" s="12">
        <f t="shared" si="1712"/>
        <v>31.1</v>
      </c>
      <c r="Q553" s="12">
        <f t="shared" si="1713"/>
        <v>12.44</v>
      </c>
      <c r="R553" s="12">
        <f t="shared" si="1714"/>
        <v>4.2</v>
      </c>
      <c r="S553" s="12">
        <f t="shared" si="1715"/>
        <v>6.22</v>
      </c>
      <c r="T553" s="60">
        <f t="shared" si="1716"/>
        <v>165.72</v>
      </c>
      <c r="U553" s="2">
        <f t="shared" si="1717"/>
        <v>8.4</v>
      </c>
      <c r="V553" s="42">
        <f t="shared" si="15"/>
        <v>42</v>
      </c>
      <c r="W553" s="2">
        <f t="shared" si="1718"/>
        <v>8.4</v>
      </c>
      <c r="X553" s="2">
        <f t="shared" si="1719"/>
        <v>67.2</v>
      </c>
      <c r="Y553" s="2">
        <f t="shared" si="1720"/>
        <v>126</v>
      </c>
      <c r="Z553" s="60">
        <f t="shared" si="1721"/>
        <v>913.72</v>
      </c>
      <c r="AA553" s="11">
        <f t="shared" si="1722"/>
        <v>182.744</v>
      </c>
      <c r="AB553" s="12">
        <f t="shared" si="1723"/>
        <v>1096.464</v>
      </c>
      <c r="AC553" s="2">
        <f t="shared" si="1724"/>
        <v>840</v>
      </c>
      <c r="AD553" s="12">
        <f t="shared" si="1725"/>
        <v>256.464</v>
      </c>
      <c r="AE553" s="12">
        <f t="shared" si="1726"/>
        <v>23.39009762</v>
      </c>
      <c r="AF553" s="61">
        <v>950.0</v>
      </c>
      <c r="AG553" s="62">
        <f t="shared" si="1727"/>
        <v>52.73311897</v>
      </c>
      <c r="AH553" s="63">
        <f t="shared" si="1728"/>
        <v>69.71152</v>
      </c>
      <c r="AI553" s="64">
        <f t="shared" ref="AI553:AI557" si="1835">AB553</f>
        <v>1096.464</v>
      </c>
      <c r="AJ553" s="64">
        <f t="shared" ref="AJ553:AJ554" si="1836">AI553-(AI553*7%)</f>
        <v>1019.71152</v>
      </c>
      <c r="AK553" s="66">
        <f t="shared" si="1730"/>
        <v>63.94075884</v>
      </c>
      <c r="AL553" s="66"/>
      <c r="AM553" s="14">
        <f t="shared" si="1822"/>
        <v>6.836396239</v>
      </c>
      <c r="AN553" s="67">
        <f t="shared" si="1732"/>
        <v>11.20763987</v>
      </c>
      <c r="AO553" s="68">
        <f t="shared" si="1733"/>
        <v>1.639407588</v>
      </c>
      <c r="AP553" s="69">
        <f t="shared" si="1734"/>
        <v>-0.7675248</v>
      </c>
      <c r="AQ553" s="70">
        <f t="shared" si="1735"/>
        <v>1.7971152</v>
      </c>
      <c r="AR553" s="71">
        <f t="shared" ref="AR553:AS553" si="1832">AI553/94</f>
        <v>11.66451064</v>
      </c>
      <c r="AS553" s="71">
        <f t="shared" si="1832"/>
        <v>10.84799489</v>
      </c>
      <c r="AT553" s="72">
        <f t="shared" ref="AT553:AU553" si="1833">AI553/24</f>
        <v>45.686</v>
      </c>
      <c r="AU553" s="72">
        <f t="shared" si="1833"/>
        <v>42.48798</v>
      </c>
      <c r="AV553" s="73">
        <f t="shared" ref="AV553:AW553" si="1834">AI553/125</f>
        <v>8.771712</v>
      </c>
      <c r="AW553" s="73">
        <f t="shared" si="1834"/>
        <v>8.15769216</v>
      </c>
    </row>
    <row r="554" ht="15.75" customHeight="1">
      <c r="A554" s="2"/>
      <c r="B554" s="2" t="s">
        <v>367</v>
      </c>
      <c r="C554" s="2" t="s">
        <v>1094</v>
      </c>
      <c r="D554" s="102">
        <v>525.0</v>
      </c>
      <c r="E554" s="76">
        <v>50.0</v>
      </c>
      <c r="F554" s="1">
        <v>50.0</v>
      </c>
      <c r="G554" s="10" t="s">
        <v>1095</v>
      </c>
      <c r="H554" s="59">
        <v>0.18</v>
      </c>
      <c r="I554" s="2">
        <f t="shared" si="1792"/>
        <v>94.5</v>
      </c>
      <c r="J554" s="2">
        <f>D554*5%</f>
        <v>26.25</v>
      </c>
      <c r="K554" s="94">
        <v>50.0</v>
      </c>
      <c r="L554" s="4">
        <f t="shared" si="1708"/>
        <v>795.75</v>
      </c>
      <c r="M554" s="2">
        <f t="shared" si="1709"/>
        <v>5.25</v>
      </c>
      <c r="N554" s="12">
        <f t="shared" si="1710"/>
        <v>63.66</v>
      </c>
      <c r="O554" s="12">
        <f t="shared" si="1711"/>
        <v>79.575</v>
      </c>
      <c r="P554" s="12">
        <f t="shared" si="1712"/>
        <v>39.7875</v>
      </c>
      <c r="Q554" s="12">
        <f t="shared" si="1713"/>
        <v>15.915</v>
      </c>
      <c r="R554" s="12">
        <f t="shared" si="1714"/>
        <v>5.5125</v>
      </c>
      <c r="S554" s="12">
        <f t="shared" si="1715"/>
        <v>7.9575</v>
      </c>
      <c r="T554" s="60">
        <f t="shared" si="1716"/>
        <v>212.145</v>
      </c>
      <c r="U554" s="2">
        <f t="shared" si="1717"/>
        <v>11.025</v>
      </c>
      <c r="V554" s="42">
        <f t="shared" si="15"/>
        <v>55.125</v>
      </c>
      <c r="W554" s="2">
        <f t="shared" si="1718"/>
        <v>11.025</v>
      </c>
      <c r="X554" s="2">
        <f t="shared" si="1719"/>
        <v>88.2</v>
      </c>
      <c r="Y554" s="2">
        <f t="shared" si="1720"/>
        <v>165.375</v>
      </c>
      <c r="Z554" s="60">
        <f t="shared" si="1721"/>
        <v>1173.27</v>
      </c>
      <c r="AA554" s="11">
        <f t="shared" si="1722"/>
        <v>234.654</v>
      </c>
      <c r="AB554" s="12">
        <f t="shared" si="1723"/>
        <v>1407.924</v>
      </c>
      <c r="AC554" s="2">
        <f t="shared" si="1724"/>
        <v>1102.5</v>
      </c>
      <c r="AD554" s="12">
        <f t="shared" si="1725"/>
        <v>305.424</v>
      </c>
      <c r="AE554" s="12">
        <f t="shared" si="1726"/>
        <v>21.6932164</v>
      </c>
      <c r="AF554" s="61">
        <v>1350.0</v>
      </c>
      <c r="AG554" s="62">
        <f t="shared" si="1727"/>
        <v>69.65127238</v>
      </c>
      <c r="AH554" s="63">
        <f t="shared" si="1728"/>
        <v>-40.63068</v>
      </c>
      <c r="AI554" s="64">
        <f t="shared" si="1835"/>
        <v>1407.924</v>
      </c>
      <c r="AJ554" s="64">
        <f t="shared" si="1836"/>
        <v>1309.36932</v>
      </c>
      <c r="AK554" s="66">
        <f t="shared" si="1730"/>
        <v>64.54531197</v>
      </c>
      <c r="AL554" s="66"/>
      <c r="AM554" s="14">
        <f t="shared" si="1822"/>
        <v>-3.103072554</v>
      </c>
      <c r="AN554" s="67">
        <f t="shared" si="1732"/>
        <v>-5.105960415</v>
      </c>
      <c r="AO554" s="68">
        <f t="shared" si="1733"/>
        <v>1.64545312</v>
      </c>
      <c r="AP554" s="69">
        <f t="shared" si="1734"/>
        <v>-0.9855468</v>
      </c>
      <c r="AQ554" s="70">
        <f t="shared" si="1735"/>
        <v>2.0686932</v>
      </c>
      <c r="AR554" s="71">
        <f t="shared" ref="AR554:AS554" si="1837">AI554/94</f>
        <v>14.97791489</v>
      </c>
      <c r="AS554" s="71">
        <f t="shared" si="1837"/>
        <v>13.92946085</v>
      </c>
      <c r="AT554" s="72">
        <f t="shared" ref="AT554:AU554" si="1838">AI554/24</f>
        <v>58.6635</v>
      </c>
      <c r="AU554" s="72">
        <f t="shared" si="1838"/>
        <v>54.557055</v>
      </c>
      <c r="AV554" s="73">
        <f t="shared" ref="AV554:AW554" si="1839">AI554/125</f>
        <v>11.263392</v>
      </c>
      <c r="AW554" s="73">
        <f t="shared" si="1839"/>
        <v>10.47495456</v>
      </c>
    </row>
    <row r="555" ht="15.75" customHeight="1">
      <c r="A555" s="212" t="s">
        <v>1096</v>
      </c>
      <c r="B555" s="212" t="s">
        <v>1097</v>
      </c>
      <c r="C555" s="213" t="s">
        <v>1098</v>
      </c>
      <c r="D555" s="214">
        <v>14500.0</v>
      </c>
      <c r="E555" s="215"/>
      <c r="F555" s="212">
        <v>145.0</v>
      </c>
      <c r="G555" s="216"/>
      <c r="H555" s="217">
        <v>0.0</v>
      </c>
      <c r="I555" s="218">
        <f t="shared" si="1792"/>
        <v>0</v>
      </c>
      <c r="J555" s="215"/>
      <c r="K555" s="212">
        <v>100.0</v>
      </c>
      <c r="L555" s="219">
        <f t="shared" si="1708"/>
        <v>14745</v>
      </c>
      <c r="M555" s="218">
        <f t="shared" si="1709"/>
        <v>145</v>
      </c>
      <c r="N555" s="220">
        <f t="shared" si="1710"/>
        <v>1179.6</v>
      </c>
      <c r="O555" s="220">
        <f t="shared" si="1711"/>
        <v>1474.5</v>
      </c>
      <c r="P555" s="220">
        <f t="shared" si="1712"/>
        <v>737.25</v>
      </c>
      <c r="Q555" s="220">
        <f t="shared" si="1713"/>
        <v>294.9</v>
      </c>
      <c r="R555" s="220">
        <f t="shared" si="1714"/>
        <v>0</v>
      </c>
      <c r="S555" s="220">
        <f t="shared" si="1715"/>
        <v>147.45</v>
      </c>
      <c r="T555" s="221">
        <f t="shared" si="1716"/>
        <v>3978.7</v>
      </c>
      <c r="U555" s="218">
        <f t="shared" si="1717"/>
        <v>0</v>
      </c>
      <c r="V555" s="42">
        <f t="shared" si="15"/>
        <v>0</v>
      </c>
      <c r="W555" s="218">
        <f t="shared" si="1718"/>
        <v>0</v>
      </c>
      <c r="X555" s="218">
        <f t="shared" si="1719"/>
        <v>0</v>
      </c>
      <c r="Y555" s="218">
        <f t="shared" si="1720"/>
        <v>0</v>
      </c>
      <c r="Z555" s="221">
        <f t="shared" si="1721"/>
        <v>18723.7</v>
      </c>
      <c r="AA555" s="222">
        <f t="shared" si="1722"/>
        <v>3744.74</v>
      </c>
      <c r="AB555" s="223">
        <v>22500.0</v>
      </c>
      <c r="AC555" s="218"/>
      <c r="AD555" s="220">
        <f t="shared" si="1725"/>
        <v>22500</v>
      </c>
      <c r="AE555" s="220">
        <f t="shared" si="1726"/>
        <v>100</v>
      </c>
      <c r="AF555" s="215"/>
      <c r="AG555" s="224">
        <f t="shared" si="1727"/>
        <v>-100</v>
      </c>
      <c r="AH555" s="225">
        <f t="shared" si="1728"/>
        <v>22500</v>
      </c>
      <c r="AI555" s="225">
        <f t="shared" si="1835"/>
        <v>22500</v>
      </c>
      <c r="AJ555" s="223">
        <v>22500.0</v>
      </c>
      <c r="AK555" s="226">
        <f t="shared" si="1730"/>
        <v>52.59409969</v>
      </c>
      <c r="AL555" s="226"/>
      <c r="AM555" s="226">
        <f t="shared" si="1822"/>
        <v>100</v>
      </c>
      <c r="AN555" s="226">
        <f t="shared" si="1732"/>
        <v>152.5940997</v>
      </c>
      <c r="AO555" s="227">
        <f t="shared" si="1733"/>
        <v>1.525940997</v>
      </c>
      <c r="AP555" s="226">
        <f t="shared" si="1734"/>
        <v>0</v>
      </c>
      <c r="AQ555" s="226">
        <f t="shared" si="1735"/>
        <v>225</v>
      </c>
      <c r="AR555" s="228">
        <f t="shared" ref="AR555:AS555" si="1840">AI555/94</f>
        <v>239.3617021</v>
      </c>
      <c r="AS555" s="228">
        <f t="shared" si="1840"/>
        <v>239.3617021</v>
      </c>
      <c r="AT555" s="72">
        <f t="shared" ref="AT555:AU555" si="1841">AI555/24</f>
        <v>937.5</v>
      </c>
      <c r="AU555" s="72">
        <f t="shared" si="1841"/>
        <v>937.5</v>
      </c>
      <c r="AV555" s="72">
        <f t="shared" ref="AV555:AW555" si="1842">AI555/125</f>
        <v>180</v>
      </c>
      <c r="AW555" s="72">
        <f t="shared" si="1842"/>
        <v>180</v>
      </c>
      <c r="AX555" s="215"/>
      <c r="AY555" s="215"/>
    </row>
    <row r="556" ht="15.75" customHeight="1">
      <c r="A556" s="212" t="s">
        <v>1099</v>
      </c>
      <c r="B556" s="212" t="s">
        <v>1100</v>
      </c>
      <c r="C556" s="213" t="s">
        <v>1101</v>
      </c>
      <c r="D556" s="214">
        <v>11500.0</v>
      </c>
      <c r="E556" s="215"/>
      <c r="F556" s="212">
        <v>145.0</v>
      </c>
      <c r="G556" s="216"/>
      <c r="H556" s="217">
        <v>0.0</v>
      </c>
      <c r="I556" s="218">
        <f t="shared" si="1792"/>
        <v>0</v>
      </c>
      <c r="J556" s="215"/>
      <c r="K556" s="212">
        <v>100.0</v>
      </c>
      <c r="L556" s="219">
        <f t="shared" si="1708"/>
        <v>11745</v>
      </c>
      <c r="M556" s="218">
        <f t="shared" si="1709"/>
        <v>115</v>
      </c>
      <c r="N556" s="220">
        <f t="shared" si="1710"/>
        <v>939.6</v>
      </c>
      <c r="O556" s="220">
        <f t="shared" si="1711"/>
        <v>1174.5</v>
      </c>
      <c r="P556" s="220">
        <f t="shared" si="1712"/>
        <v>587.25</v>
      </c>
      <c r="Q556" s="220">
        <f t="shared" si="1713"/>
        <v>234.9</v>
      </c>
      <c r="R556" s="220">
        <f t="shared" si="1714"/>
        <v>120.75</v>
      </c>
      <c r="S556" s="220">
        <f t="shared" si="1715"/>
        <v>117.45</v>
      </c>
      <c r="T556" s="221">
        <f t="shared" si="1716"/>
        <v>3168.7</v>
      </c>
      <c r="U556" s="218">
        <f t="shared" si="1717"/>
        <v>241.5</v>
      </c>
      <c r="V556" s="42">
        <f t="shared" si="15"/>
        <v>1207.5</v>
      </c>
      <c r="W556" s="218">
        <f t="shared" si="1718"/>
        <v>241.5</v>
      </c>
      <c r="X556" s="218">
        <f t="shared" si="1719"/>
        <v>1932</v>
      </c>
      <c r="Y556" s="218">
        <f t="shared" si="1720"/>
        <v>3622.5</v>
      </c>
      <c r="Z556" s="221">
        <f t="shared" si="1721"/>
        <v>18536.2</v>
      </c>
      <c r="AA556" s="222">
        <f t="shared" si="1722"/>
        <v>3707.24</v>
      </c>
      <c r="AB556" s="223">
        <v>18500.0</v>
      </c>
      <c r="AC556" s="218">
        <f t="shared" ref="AC556:AC557" si="1846">D556*2.1</f>
        <v>24150</v>
      </c>
      <c r="AD556" s="220">
        <f t="shared" si="1725"/>
        <v>-5650</v>
      </c>
      <c r="AE556" s="220">
        <f t="shared" si="1726"/>
        <v>-30.54054054</v>
      </c>
      <c r="AF556" s="215"/>
      <c r="AG556" s="224">
        <f t="shared" si="1727"/>
        <v>-100</v>
      </c>
      <c r="AH556" s="225">
        <f t="shared" si="1728"/>
        <v>18500</v>
      </c>
      <c r="AI556" s="225">
        <f t="shared" si="1835"/>
        <v>18500</v>
      </c>
      <c r="AJ556" s="223">
        <v>18500.0</v>
      </c>
      <c r="AK556" s="226">
        <f t="shared" si="1730"/>
        <v>57.51383567</v>
      </c>
      <c r="AL556" s="226"/>
      <c r="AM556" s="226">
        <f t="shared" si="1822"/>
        <v>100</v>
      </c>
      <c r="AN556" s="226">
        <f t="shared" si="1732"/>
        <v>157.5138357</v>
      </c>
      <c r="AO556" s="227">
        <f t="shared" si="1733"/>
        <v>1.575138357</v>
      </c>
      <c r="AP556" s="226">
        <f t="shared" si="1734"/>
        <v>0</v>
      </c>
      <c r="AQ556" s="226">
        <f t="shared" si="1735"/>
        <v>-56.5</v>
      </c>
      <c r="AR556" s="228">
        <f t="shared" ref="AR556:AS556" si="1843">AI556/94</f>
        <v>196.8085106</v>
      </c>
      <c r="AS556" s="228">
        <f t="shared" si="1843"/>
        <v>196.8085106</v>
      </c>
      <c r="AT556" s="72">
        <f t="shared" ref="AT556:AU556" si="1844">AI556/24</f>
        <v>770.8333333</v>
      </c>
      <c r="AU556" s="72">
        <f t="shared" si="1844"/>
        <v>770.8333333</v>
      </c>
      <c r="AV556" s="72">
        <f t="shared" ref="AV556:AW556" si="1845">AI556/125</f>
        <v>148</v>
      </c>
      <c r="AW556" s="72">
        <f t="shared" si="1845"/>
        <v>148</v>
      </c>
      <c r="AX556" s="215"/>
      <c r="AY556" s="215"/>
    </row>
    <row r="557" ht="15.75" customHeight="1">
      <c r="A557" s="212" t="s">
        <v>1102</v>
      </c>
      <c r="B557" s="212" t="s">
        <v>1103</v>
      </c>
      <c r="C557" s="213" t="s">
        <v>1104</v>
      </c>
      <c r="D557" s="214">
        <v>7000.0</v>
      </c>
      <c r="E557" s="215"/>
      <c r="F557" s="212">
        <v>145.0</v>
      </c>
      <c r="G557" s="216"/>
      <c r="H557" s="217">
        <v>0.0</v>
      </c>
      <c r="I557" s="218">
        <f t="shared" si="1792"/>
        <v>0</v>
      </c>
      <c r="J557" s="215"/>
      <c r="K557" s="212">
        <v>100.0</v>
      </c>
      <c r="L557" s="219">
        <f t="shared" si="1708"/>
        <v>7245</v>
      </c>
      <c r="M557" s="218">
        <f t="shared" si="1709"/>
        <v>70</v>
      </c>
      <c r="N557" s="220">
        <f t="shared" si="1710"/>
        <v>579.6</v>
      </c>
      <c r="O557" s="220">
        <f t="shared" si="1711"/>
        <v>724.5</v>
      </c>
      <c r="P557" s="220">
        <f t="shared" si="1712"/>
        <v>362.25</v>
      </c>
      <c r="Q557" s="220">
        <f t="shared" si="1713"/>
        <v>144.9</v>
      </c>
      <c r="R557" s="220">
        <f t="shared" si="1714"/>
        <v>73.5</v>
      </c>
      <c r="S557" s="220">
        <f t="shared" si="1715"/>
        <v>72.45</v>
      </c>
      <c r="T557" s="221">
        <f t="shared" si="1716"/>
        <v>1953.7</v>
      </c>
      <c r="U557" s="218">
        <f t="shared" si="1717"/>
        <v>147</v>
      </c>
      <c r="V557" s="42">
        <f t="shared" si="15"/>
        <v>735</v>
      </c>
      <c r="W557" s="218">
        <f t="shared" si="1718"/>
        <v>147</v>
      </c>
      <c r="X557" s="218">
        <f t="shared" si="1719"/>
        <v>1176</v>
      </c>
      <c r="Y557" s="218">
        <f t="shared" si="1720"/>
        <v>2205</v>
      </c>
      <c r="Z557" s="221">
        <f t="shared" si="1721"/>
        <v>11403.7</v>
      </c>
      <c r="AA557" s="222">
        <f t="shared" si="1722"/>
        <v>2280.74</v>
      </c>
      <c r="AB557" s="223">
        <v>12500.0</v>
      </c>
      <c r="AC557" s="218">
        <f t="shared" si="1846"/>
        <v>14700</v>
      </c>
      <c r="AD557" s="220">
        <f t="shared" si="1725"/>
        <v>-2200</v>
      </c>
      <c r="AE557" s="220">
        <f t="shared" si="1726"/>
        <v>-17.6</v>
      </c>
      <c r="AF557" s="215"/>
      <c r="AG557" s="224">
        <f t="shared" si="1727"/>
        <v>-100</v>
      </c>
      <c r="AH557" s="225">
        <f t="shared" si="1728"/>
        <v>11950</v>
      </c>
      <c r="AI557" s="225">
        <f t="shared" si="1835"/>
        <v>12500</v>
      </c>
      <c r="AJ557" s="223">
        <v>11950.0</v>
      </c>
      <c r="AK557" s="226">
        <f t="shared" si="1730"/>
        <v>64.94133885</v>
      </c>
      <c r="AL557" s="226"/>
      <c r="AM557" s="226">
        <f t="shared" si="1822"/>
        <v>100</v>
      </c>
      <c r="AN557" s="226">
        <f t="shared" si="1732"/>
        <v>164.9413389</v>
      </c>
      <c r="AO557" s="227">
        <f t="shared" si="1733"/>
        <v>1.649413389</v>
      </c>
      <c r="AP557" s="226">
        <f t="shared" si="1734"/>
        <v>-5.5</v>
      </c>
      <c r="AQ557" s="226">
        <f t="shared" si="1735"/>
        <v>-27.5</v>
      </c>
      <c r="AR557" s="228">
        <f t="shared" ref="AR557:AS557" si="1847">AI557/94</f>
        <v>132.9787234</v>
      </c>
      <c r="AS557" s="228">
        <f t="shared" si="1847"/>
        <v>127.1276596</v>
      </c>
      <c r="AT557" s="72">
        <f t="shared" ref="AT557:AU557" si="1848">AI557/24</f>
        <v>520.8333333</v>
      </c>
      <c r="AU557" s="72">
        <f t="shared" si="1848"/>
        <v>497.9166667</v>
      </c>
      <c r="AV557" s="72">
        <f t="shared" ref="AV557:AW557" si="1849">AI557/125</f>
        <v>100</v>
      </c>
      <c r="AW557" s="72">
        <f t="shared" si="1849"/>
        <v>95.6</v>
      </c>
      <c r="AX557" s="215"/>
      <c r="AY557" s="215"/>
    </row>
    <row r="558" ht="15.75" customHeight="1">
      <c r="A558" s="212" t="s">
        <v>1105</v>
      </c>
      <c r="B558" s="212" t="s">
        <v>1106</v>
      </c>
      <c r="C558" s="213" t="s">
        <v>1107</v>
      </c>
      <c r="D558" s="214">
        <v>5000.0</v>
      </c>
      <c r="E558" s="215"/>
      <c r="F558" s="212">
        <v>145.0</v>
      </c>
      <c r="G558" s="216"/>
      <c r="H558" s="217">
        <v>0.0</v>
      </c>
      <c r="I558" s="218">
        <f t="shared" si="1792"/>
        <v>0</v>
      </c>
      <c r="J558" s="215"/>
      <c r="K558" s="212">
        <v>100.0</v>
      </c>
      <c r="L558" s="219">
        <f t="shared" si="1708"/>
        <v>5245</v>
      </c>
      <c r="M558" s="218"/>
      <c r="N558" s="220"/>
      <c r="O558" s="220"/>
      <c r="P558" s="220"/>
      <c r="Q558" s="220"/>
      <c r="R558" s="220"/>
      <c r="S558" s="220"/>
      <c r="T558" s="221"/>
      <c r="U558" s="218"/>
      <c r="V558" s="42">
        <f t="shared" si="15"/>
        <v>0</v>
      </c>
      <c r="W558" s="218"/>
      <c r="X558" s="218"/>
      <c r="Y558" s="218"/>
      <c r="Z558" s="221"/>
      <c r="AA558" s="222"/>
      <c r="AB558" s="223"/>
      <c r="AC558" s="218"/>
      <c r="AD558" s="220"/>
      <c r="AE558" s="220"/>
      <c r="AF558" s="215"/>
      <c r="AG558" s="224"/>
      <c r="AH558" s="225"/>
      <c r="AI558" s="225"/>
      <c r="AJ558" s="223">
        <v>9500.0</v>
      </c>
      <c r="AK558" s="226">
        <f t="shared" si="1730"/>
        <v>81.12488084</v>
      </c>
      <c r="AL558" s="226"/>
      <c r="AM558" s="226"/>
      <c r="AN558" s="226"/>
      <c r="AO558" s="227"/>
      <c r="AP558" s="226"/>
      <c r="AQ558" s="226"/>
      <c r="AR558" s="228"/>
      <c r="AS558" s="228"/>
      <c r="AT558" s="72"/>
      <c r="AU558" s="72"/>
      <c r="AV558" s="72"/>
      <c r="AW558" s="72"/>
      <c r="AX558" s="215"/>
      <c r="AY558" s="215"/>
    </row>
    <row r="559" ht="15.75" customHeight="1">
      <c r="A559" s="212" t="s">
        <v>1108</v>
      </c>
      <c r="B559" s="212" t="s">
        <v>1109</v>
      </c>
      <c r="C559" s="213" t="s">
        <v>1110</v>
      </c>
      <c r="D559" s="214">
        <v>4000.0</v>
      </c>
      <c r="E559" s="215"/>
      <c r="F559" s="212">
        <v>145.0</v>
      </c>
      <c r="G559" s="216"/>
      <c r="H559" s="217">
        <v>0.0</v>
      </c>
      <c r="I559" s="218">
        <f t="shared" si="1792"/>
        <v>0</v>
      </c>
      <c r="J559" s="215"/>
      <c r="K559" s="212">
        <v>100.0</v>
      </c>
      <c r="L559" s="219">
        <f t="shared" si="1708"/>
        <v>4245</v>
      </c>
      <c r="M559" s="218"/>
      <c r="N559" s="220"/>
      <c r="O559" s="220"/>
      <c r="P559" s="220"/>
      <c r="Q559" s="220"/>
      <c r="R559" s="220"/>
      <c r="S559" s="220"/>
      <c r="T559" s="221"/>
      <c r="U559" s="218"/>
      <c r="V559" s="42">
        <f t="shared" si="15"/>
        <v>0</v>
      </c>
      <c r="W559" s="218"/>
      <c r="X559" s="218"/>
      <c r="Y559" s="218"/>
      <c r="Z559" s="221"/>
      <c r="AA559" s="222"/>
      <c r="AB559" s="223">
        <v>9500.0</v>
      </c>
      <c r="AC559" s="218"/>
      <c r="AD559" s="220"/>
      <c r="AE559" s="220"/>
      <c r="AF559" s="215"/>
      <c r="AG559" s="224"/>
      <c r="AH559" s="225"/>
      <c r="AI559" s="225"/>
      <c r="AJ559" s="229">
        <v>8250.0</v>
      </c>
      <c r="AK559" s="226">
        <f t="shared" si="1730"/>
        <v>94.34628975</v>
      </c>
      <c r="AL559" s="226"/>
      <c r="AM559" s="226"/>
      <c r="AN559" s="226"/>
      <c r="AO559" s="227"/>
      <c r="AP559" s="226"/>
      <c r="AQ559" s="226"/>
      <c r="AR559" s="228"/>
      <c r="AS559" s="228"/>
      <c r="AT559" s="72"/>
      <c r="AU559" s="72"/>
      <c r="AV559" s="72"/>
      <c r="AW559" s="72"/>
      <c r="AX559" s="215"/>
      <c r="AY559" s="215"/>
    </row>
    <row r="560" ht="15.75" customHeight="1">
      <c r="A560" s="212" t="s">
        <v>1111</v>
      </c>
      <c r="B560" s="212" t="s">
        <v>363</v>
      </c>
      <c r="C560" s="213" t="s">
        <v>1112</v>
      </c>
      <c r="D560" s="214">
        <v>1200.0</v>
      </c>
      <c r="E560" s="215"/>
      <c r="F560" s="212">
        <v>145.0</v>
      </c>
      <c r="G560" s="216"/>
      <c r="H560" s="217">
        <v>0.0</v>
      </c>
      <c r="I560" s="218">
        <f t="shared" si="1792"/>
        <v>0</v>
      </c>
      <c r="J560" s="215"/>
      <c r="K560" s="212">
        <v>100.0</v>
      </c>
      <c r="L560" s="219">
        <f t="shared" si="1708"/>
        <v>1445</v>
      </c>
      <c r="M560" s="218"/>
      <c r="N560" s="220"/>
      <c r="O560" s="220"/>
      <c r="P560" s="220"/>
      <c r="Q560" s="220"/>
      <c r="R560" s="220"/>
      <c r="S560" s="220"/>
      <c r="T560" s="221"/>
      <c r="U560" s="218"/>
      <c r="V560" s="42">
        <f t="shared" si="15"/>
        <v>0</v>
      </c>
      <c r="W560" s="218"/>
      <c r="X560" s="218"/>
      <c r="Y560" s="218"/>
      <c r="Z560" s="221"/>
      <c r="AA560" s="222"/>
      <c r="AB560" s="223">
        <v>2450.0</v>
      </c>
      <c r="AC560" s="218"/>
      <c r="AD560" s="220"/>
      <c r="AE560" s="220"/>
      <c r="AF560" s="215"/>
      <c r="AG560" s="224"/>
      <c r="AH560" s="225"/>
      <c r="AI560" s="225"/>
      <c r="AJ560" s="229">
        <v>2450.0</v>
      </c>
      <c r="AK560" s="226">
        <f t="shared" si="1730"/>
        <v>69.55017301</v>
      </c>
      <c r="AL560" s="226"/>
      <c r="AM560" s="226"/>
      <c r="AN560" s="226"/>
      <c r="AO560" s="227"/>
      <c r="AP560" s="226"/>
      <c r="AQ560" s="226"/>
      <c r="AR560" s="228"/>
      <c r="AS560" s="228"/>
      <c r="AT560" s="72"/>
      <c r="AU560" s="72"/>
      <c r="AV560" s="72"/>
      <c r="AW560" s="72"/>
      <c r="AX560" s="215"/>
      <c r="AY560" s="215"/>
    </row>
    <row r="561" ht="15.75" customHeight="1">
      <c r="A561" s="212" t="s">
        <v>1113</v>
      </c>
      <c r="B561" s="212" t="s">
        <v>1114</v>
      </c>
      <c r="C561" s="213" t="s">
        <v>1115</v>
      </c>
      <c r="D561" s="214">
        <v>1600.0</v>
      </c>
      <c r="E561" s="215"/>
      <c r="F561" s="212">
        <v>145.0</v>
      </c>
      <c r="G561" s="216"/>
      <c r="H561" s="217">
        <v>0.0</v>
      </c>
      <c r="I561" s="218">
        <f t="shared" si="1792"/>
        <v>0</v>
      </c>
      <c r="J561" s="215"/>
      <c r="K561" s="212">
        <v>100.0</v>
      </c>
      <c r="L561" s="219">
        <f t="shared" si="1708"/>
        <v>1845</v>
      </c>
      <c r="M561" s="218"/>
      <c r="N561" s="220"/>
      <c r="O561" s="220"/>
      <c r="P561" s="220"/>
      <c r="Q561" s="220"/>
      <c r="R561" s="220"/>
      <c r="S561" s="220"/>
      <c r="T561" s="221"/>
      <c r="U561" s="218"/>
      <c r="V561" s="42">
        <f t="shared" si="15"/>
        <v>0</v>
      </c>
      <c r="W561" s="218"/>
      <c r="X561" s="218"/>
      <c r="Y561" s="218"/>
      <c r="Z561" s="221"/>
      <c r="AA561" s="222"/>
      <c r="AB561" s="223">
        <v>3450.0</v>
      </c>
      <c r="AC561" s="218"/>
      <c r="AD561" s="220"/>
      <c r="AE561" s="220"/>
      <c r="AF561" s="215"/>
      <c r="AG561" s="224"/>
      <c r="AH561" s="225"/>
      <c r="AI561" s="225"/>
      <c r="AJ561" s="229">
        <v>3450.0</v>
      </c>
      <c r="AK561" s="226">
        <f t="shared" si="1730"/>
        <v>86.99186992</v>
      </c>
      <c r="AL561" s="226"/>
      <c r="AM561" s="226"/>
      <c r="AN561" s="226"/>
      <c r="AO561" s="227"/>
      <c r="AP561" s="226"/>
      <c r="AQ561" s="226"/>
      <c r="AR561" s="228"/>
      <c r="AS561" s="228"/>
      <c r="AT561" s="72"/>
      <c r="AU561" s="72"/>
      <c r="AV561" s="72"/>
      <c r="AW561" s="72"/>
      <c r="AX561" s="215"/>
      <c r="AY561" s="215"/>
    </row>
    <row r="562" ht="15.75" customHeight="1">
      <c r="A562" s="212" t="s">
        <v>1116</v>
      </c>
      <c r="B562" s="218"/>
      <c r="C562" s="213" t="s">
        <v>1117</v>
      </c>
      <c r="D562" s="214">
        <v>1000.0</v>
      </c>
      <c r="E562" s="215"/>
      <c r="F562" s="212">
        <v>145.0</v>
      </c>
      <c r="G562" s="216"/>
      <c r="H562" s="217">
        <v>0.0</v>
      </c>
      <c r="I562" s="218">
        <f t="shared" si="1792"/>
        <v>0</v>
      </c>
      <c r="J562" s="215"/>
      <c r="K562" s="212">
        <v>100.0</v>
      </c>
      <c r="L562" s="219">
        <f t="shared" si="1708"/>
        <v>1245</v>
      </c>
      <c r="M562" s="218"/>
      <c r="N562" s="220"/>
      <c r="O562" s="220"/>
      <c r="P562" s="220"/>
      <c r="Q562" s="220"/>
      <c r="R562" s="220"/>
      <c r="S562" s="220"/>
      <c r="T562" s="221"/>
      <c r="U562" s="218"/>
      <c r="V562" s="42">
        <f t="shared" si="15"/>
        <v>0</v>
      </c>
      <c r="W562" s="218"/>
      <c r="X562" s="218"/>
      <c r="Y562" s="218"/>
      <c r="Z562" s="221"/>
      <c r="AA562" s="222"/>
      <c r="AB562" s="220"/>
      <c r="AC562" s="218"/>
      <c r="AD562" s="220"/>
      <c r="AE562" s="220"/>
      <c r="AF562" s="215"/>
      <c r="AG562" s="224"/>
      <c r="AH562" s="225"/>
      <c r="AI562" s="225"/>
      <c r="AJ562" s="229">
        <v>2250.0</v>
      </c>
      <c r="AK562" s="226">
        <f t="shared" si="1730"/>
        <v>80.72289157</v>
      </c>
      <c r="AL562" s="226"/>
      <c r="AM562" s="226"/>
      <c r="AN562" s="226"/>
      <c r="AO562" s="227"/>
      <c r="AP562" s="226"/>
      <c r="AQ562" s="226"/>
      <c r="AR562" s="228"/>
      <c r="AS562" s="228"/>
      <c r="AT562" s="72"/>
      <c r="AU562" s="72"/>
      <c r="AV562" s="72"/>
      <c r="AW562" s="72"/>
      <c r="AX562" s="215"/>
      <c r="AY562" s="215"/>
    </row>
    <row r="563" ht="15.75" customHeight="1">
      <c r="A563" s="212" t="s">
        <v>1118</v>
      </c>
      <c r="B563" s="218"/>
      <c r="C563" s="213" t="s">
        <v>1119</v>
      </c>
      <c r="D563" s="214">
        <v>340.0</v>
      </c>
      <c r="E563" s="215"/>
      <c r="F563" s="212">
        <v>40.0</v>
      </c>
      <c r="G563" s="216"/>
      <c r="H563" s="217">
        <v>0.0</v>
      </c>
      <c r="I563" s="218">
        <f t="shared" si="1792"/>
        <v>0</v>
      </c>
      <c r="J563" s="215"/>
      <c r="K563" s="212">
        <v>50.0</v>
      </c>
      <c r="L563" s="219">
        <f t="shared" si="1708"/>
        <v>430</v>
      </c>
      <c r="M563" s="218"/>
      <c r="N563" s="220"/>
      <c r="O563" s="220"/>
      <c r="P563" s="220"/>
      <c r="Q563" s="220"/>
      <c r="R563" s="220"/>
      <c r="S563" s="220"/>
      <c r="T563" s="221"/>
      <c r="U563" s="218"/>
      <c r="V563" s="42">
        <f t="shared" si="15"/>
        <v>0</v>
      </c>
      <c r="W563" s="218"/>
      <c r="X563" s="218"/>
      <c r="Y563" s="218"/>
      <c r="Z563" s="221"/>
      <c r="AA563" s="222"/>
      <c r="AB563" s="220"/>
      <c r="AC563" s="218"/>
      <c r="AD563" s="220"/>
      <c r="AE563" s="220"/>
      <c r="AF563" s="215"/>
      <c r="AG563" s="224"/>
      <c r="AH563" s="225"/>
      <c r="AI563" s="225"/>
      <c r="AJ563" s="229">
        <v>850.0</v>
      </c>
      <c r="AK563" s="226">
        <f t="shared" si="1730"/>
        <v>97.6744186</v>
      </c>
      <c r="AL563" s="226"/>
      <c r="AM563" s="226"/>
      <c r="AN563" s="226"/>
      <c r="AO563" s="227"/>
      <c r="AP563" s="226"/>
      <c r="AQ563" s="226"/>
      <c r="AR563" s="228"/>
      <c r="AS563" s="228"/>
      <c r="AT563" s="72"/>
      <c r="AU563" s="72"/>
      <c r="AV563" s="72"/>
      <c r="AW563" s="72"/>
      <c r="AX563" s="215"/>
      <c r="AY563" s="215"/>
    </row>
    <row r="564" ht="15.75" customHeight="1">
      <c r="A564" s="212" t="s">
        <v>1120</v>
      </c>
      <c r="B564" s="218"/>
      <c r="C564" s="213" t="s">
        <v>1121</v>
      </c>
      <c r="D564" s="214">
        <v>750.0</v>
      </c>
      <c r="E564" s="215"/>
      <c r="F564" s="212">
        <v>145.0</v>
      </c>
      <c r="G564" s="216"/>
      <c r="H564" s="217">
        <v>0.0</v>
      </c>
      <c r="I564" s="218">
        <f t="shared" si="1792"/>
        <v>0</v>
      </c>
      <c r="J564" s="215"/>
      <c r="K564" s="212">
        <v>100.0</v>
      </c>
      <c r="L564" s="219">
        <f t="shared" si="1708"/>
        <v>995</v>
      </c>
      <c r="M564" s="218"/>
      <c r="N564" s="220"/>
      <c r="O564" s="220"/>
      <c r="P564" s="220"/>
      <c r="Q564" s="220"/>
      <c r="R564" s="220"/>
      <c r="S564" s="220"/>
      <c r="T564" s="221"/>
      <c r="U564" s="218"/>
      <c r="V564" s="42">
        <f t="shared" si="15"/>
        <v>0</v>
      </c>
      <c r="W564" s="218"/>
      <c r="X564" s="218"/>
      <c r="Y564" s="218"/>
      <c r="Z564" s="221"/>
      <c r="AA564" s="222"/>
      <c r="AB564" s="220"/>
      <c r="AC564" s="218"/>
      <c r="AD564" s="220"/>
      <c r="AE564" s="220"/>
      <c r="AF564" s="215"/>
      <c r="AG564" s="224"/>
      <c r="AH564" s="225"/>
      <c r="AI564" s="225"/>
      <c r="AJ564" s="229">
        <v>1750.0</v>
      </c>
      <c r="AK564" s="226">
        <f t="shared" si="1730"/>
        <v>75.87939698</v>
      </c>
      <c r="AL564" s="226"/>
      <c r="AM564" s="226"/>
      <c r="AN564" s="226"/>
      <c r="AO564" s="227"/>
      <c r="AP564" s="226"/>
      <c r="AQ564" s="226"/>
      <c r="AR564" s="228"/>
      <c r="AS564" s="228"/>
      <c r="AT564" s="72"/>
      <c r="AU564" s="72"/>
      <c r="AV564" s="72"/>
      <c r="AW564" s="72"/>
      <c r="AX564" s="215"/>
      <c r="AY564" s="215"/>
    </row>
    <row r="565" ht="15.0" customHeight="1">
      <c r="A565" s="42" t="s">
        <v>1122</v>
      </c>
      <c r="B565" s="42" t="s">
        <v>285</v>
      </c>
      <c r="C565" s="42" t="s">
        <v>1123</v>
      </c>
      <c r="D565" s="45">
        <v>175.0</v>
      </c>
      <c r="E565" s="47"/>
      <c r="F565" s="44">
        <v>40.0</v>
      </c>
      <c r="G565" s="45">
        <v>9.4041E7</v>
      </c>
      <c r="H565" s="46">
        <v>0.18</v>
      </c>
      <c r="I565" s="42">
        <f t="shared" si="1792"/>
        <v>31.5</v>
      </c>
      <c r="J565" s="47"/>
      <c r="K565" s="44">
        <v>20.0</v>
      </c>
      <c r="L565" s="48">
        <f t="shared" si="1708"/>
        <v>266.5</v>
      </c>
      <c r="M565" s="42">
        <f t="shared" ref="M565:M764" si="1853">D565*1%</f>
        <v>1.75</v>
      </c>
      <c r="N565" s="49">
        <f t="shared" ref="N565:N764" si="1854">L565*8%</f>
        <v>21.32</v>
      </c>
      <c r="O565" s="49">
        <f t="shared" ref="O565:O764" si="1855">L565*10%</f>
        <v>26.65</v>
      </c>
      <c r="P565" s="49">
        <f t="shared" ref="P565:P764" si="1856">L565*5%</f>
        <v>13.325</v>
      </c>
      <c r="Q565" s="49">
        <f t="shared" ref="Q565:Q764" si="1857">L565*2%</f>
        <v>5.33</v>
      </c>
      <c r="R565" s="49">
        <f t="shared" ref="R565:R764" si="1858">AC565*0.5%</f>
        <v>1.8375</v>
      </c>
      <c r="S565" s="49">
        <f t="shared" ref="S565:S764" si="1859">L565*1%</f>
        <v>2.665</v>
      </c>
      <c r="T565" s="50">
        <f t="shared" ref="T565:T764" si="1860">S565+Q565+P565+O565+N565+M565</f>
        <v>71.04</v>
      </c>
      <c r="U565" s="42">
        <f t="shared" ref="U565:U764" si="1861">AC565*1%</f>
        <v>3.675</v>
      </c>
      <c r="V565" s="42">
        <f t="shared" si="15"/>
        <v>18.375</v>
      </c>
      <c r="W565" s="42">
        <f t="shared" ref="W565:W764" si="1862">AC565*1%</f>
        <v>3.675</v>
      </c>
      <c r="X565" s="42">
        <f t="shared" ref="X565:X764" si="1863">AC565*8%</f>
        <v>29.4</v>
      </c>
      <c r="Y565" s="42">
        <f t="shared" ref="Y565:Y764" si="1864">U565+V565+W565+X565</f>
        <v>55.125</v>
      </c>
      <c r="Z565" s="50">
        <f t="shared" ref="Z565:Z764" si="1865">Y565+T565+L565</f>
        <v>392.665</v>
      </c>
      <c r="AA565" s="51">
        <f t="shared" ref="AA565:AA764" si="1866">Z565*20%</f>
        <v>78.533</v>
      </c>
      <c r="AB565" s="49">
        <f t="shared" ref="AB565:AB764" si="1867">Z565+AA565</f>
        <v>471.198</v>
      </c>
      <c r="AC565" s="42">
        <f t="shared" ref="AC565:AC764" si="1868">D565*2.1</f>
        <v>367.5</v>
      </c>
      <c r="AD565" s="49">
        <f t="shared" ref="AD565:AD764" si="1869">AB565-AC565</f>
        <v>103.698</v>
      </c>
      <c r="AE565" s="49">
        <f t="shared" ref="AE565:AE764" si="1870">AD565/AB565*100</f>
        <v>22.00730903</v>
      </c>
      <c r="AF565" s="47">
        <v>395.0</v>
      </c>
      <c r="AG565" s="52">
        <f t="shared" ref="AG565:AG764" si="1871">((AF565-L565)/L565)*100</f>
        <v>48.21763602</v>
      </c>
      <c r="AH565" s="53">
        <f t="shared" ref="AH565:AH764" si="1872">AJ565-AF565</f>
        <v>43.21414</v>
      </c>
      <c r="AI565" s="53">
        <f t="shared" ref="AI565:AI569" si="1873">AB565</f>
        <v>471.198</v>
      </c>
      <c r="AJ565" s="53">
        <f t="shared" ref="AJ565:AJ569" si="1874">AI565-(AI565*7%)</f>
        <v>438.21414</v>
      </c>
      <c r="AK565" s="55">
        <f t="shared" si="1730"/>
        <v>64.43307317</v>
      </c>
      <c r="AL565" s="55"/>
      <c r="AM565" s="55">
        <f t="shared" ref="AM565:AM761" si="1875">AH565/AJ565%</f>
        <v>9.86142072</v>
      </c>
      <c r="AN565" s="55">
        <f t="shared" ref="AN565:AN764" si="1876">AK565-AG565</f>
        <v>16.21543715</v>
      </c>
      <c r="AO565" s="56">
        <f t="shared" ref="AO565:AO764" si="1877">AJ565/L565</f>
        <v>1.644330732</v>
      </c>
      <c r="AP565" s="55">
        <f t="shared" ref="AP565:AP764" si="1878">(AJ565-AB565)/100</f>
        <v>-0.3298386</v>
      </c>
      <c r="AQ565" s="55">
        <f t="shared" ref="AQ565:AQ764" si="1879">(AJ565-AC565)/100</f>
        <v>0.7071414</v>
      </c>
      <c r="AR565" s="57">
        <f t="shared" ref="AR565:AS565" si="1850">AI565/94</f>
        <v>5.012744681</v>
      </c>
      <c r="AS565" s="57">
        <f t="shared" si="1850"/>
        <v>4.661852553</v>
      </c>
      <c r="AT565" s="58">
        <f t="shared" ref="AT565:AU565" si="1851">AI565/24</f>
        <v>19.63325</v>
      </c>
      <c r="AU565" s="58">
        <f t="shared" si="1851"/>
        <v>18.2589225</v>
      </c>
      <c r="AV565" s="58">
        <f t="shared" ref="AV565:AW565" si="1852">AI565/125</f>
        <v>3.769584</v>
      </c>
      <c r="AW565" s="58">
        <f t="shared" si="1852"/>
        <v>3.50571312</v>
      </c>
      <c r="AX565" s="47"/>
      <c r="AY565" s="47"/>
    </row>
    <row r="566" ht="15.75" customHeight="1">
      <c r="A566" s="42"/>
      <c r="B566" s="42" t="s">
        <v>278</v>
      </c>
      <c r="C566" s="42" t="s">
        <v>1124</v>
      </c>
      <c r="D566" s="45">
        <v>175.0</v>
      </c>
      <c r="E566" s="47"/>
      <c r="F566" s="44">
        <v>40.0</v>
      </c>
      <c r="G566" s="45">
        <v>9.4041E7</v>
      </c>
      <c r="H566" s="46">
        <v>0.18</v>
      </c>
      <c r="I566" s="42">
        <f t="shared" si="1792"/>
        <v>31.5</v>
      </c>
      <c r="J566" s="47"/>
      <c r="K566" s="44">
        <v>20.0</v>
      </c>
      <c r="L566" s="48">
        <f t="shared" si="1708"/>
        <v>266.5</v>
      </c>
      <c r="M566" s="42">
        <f t="shared" si="1853"/>
        <v>1.75</v>
      </c>
      <c r="N566" s="49">
        <f t="shared" si="1854"/>
        <v>21.32</v>
      </c>
      <c r="O566" s="49">
        <f t="shared" si="1855"/>
        <v>26.65</v>
      </c>
      <c r="P566" s="49">
        <f t="shared" si="1856"/>
        <v>13.325</v>
      </c>
      <c r="Q566" s="49">
        <f t="shared" si="1857"/>
        <v>5.33</v>
      </c>
      <c r="R566" s="49">
        <f t="shared" si="1858"/>
        <v>1.8375</v>
      </c>
      <c r="S566" s="49">
        <f t="shared" si="1859"/>
        <v>2.665</v>
      </c>
      <c r="T566" s="50">
        <f t="shared" si="1860"/>
        <v>71.04</v>
      </c>
      <c r="U566" s="42">
        <f t="shared" si="1861"/>
        <v>3.675</v>
      </c>
      <c r="V566" s="42">
        <f t="shared" si="15"/>
        <v>18.375</v>
      </c>
      <c r="W566" s="42">
        <f t="shared" si="1862"/>
        <v>3.675</v>
      </c>
      <c r="X566" s="42">
        <f t="shared" si="1863"/>
        <v>29.4</v>
      </c>
      <c r="Y566" s="42">
        <f t="shared" si="1864"/>
        <v>55.125</v>
      </c>
      <c r="Z566" s="50">
        <f t="shared" si="1865"/>
        <v>392.665</v>
      </c>
      <c r="AA566" s="51">
        <f t="shared" si="1866"/>
        <v>78.533</v>
      </c>
      <c r="AB566" s="49">
        <f t="shared" si="1867"/>
        <v>471.198</v>
      </c>
      <c r="AC566" s="42">
        <f t="shared" si="1868"/>
        <v>367.5</v>
      </c>
      <c r="AD566" s="49">
        <f t="shared" si="1869"/>
        <v>103.698</v>
      </c>
      <c r="AE566" s="49">
        <f t="shared" si="1870"/>
        <v>22.00730903</v>
      </c>
      <c r="AF566" s="47">
        <v>395.0</v>
      </c>
      <c r="AG566" s="52">
        <f t="shared" si="1871"/>
        <v>48.21763602</v>
      </c>
      <c r="AH566" s="53">
        <f t="shared" si="1872"/>
        <v>43.21414</v>
      </c>
      <c r="AI566" s="53">
        <f t="shared" si="1873"/>
        <v>471.198</v>
      </c>
      <c r="AJ566" s="53">
        <f t="shared" si="1874"/>
        <v>438.21414</v>
      </c>
      <c r="AK566" s="55">
        <f t="shared" si="1730"/>
        <v>64.43307317</v>
      </c>
      <c r="AL566" s="55"/>
      <c r="AM566" s="55">
        <f t="shared" si="1875"/>
        <v>9.86142072</v>
      </c>
      <c r="AN566" s="55">
        <f t="shared" si="1876"/>
        <v>16.21543715</v>
      </c>
      <c r="AO566" s="56">
        <f t="shared" si="1877"/>
        <v>1.644330732</v>
      </c>
      <c r="AP566" s="55">
        <f t="shared" si="1878"/>
        <v>-0.3298386</v>
      </c>
      <c r="AQ566" s="55">
        <f t="shared" si="1879"/>
        <v>0.7071414</v>
      </c>
      <c r="AR566" s="57">
        <f t="shared" ref="AR566:AS566" si="1880">AI566/94</f>
        <v>5.012744681</v>
      </c>
      <c r="AS566" s="57">
        <f t="shared" si="1880"/>
        <v>4.661852553</v>
      </c>
      <c r="AT566" s="58">
        <f t="shared" ref="AT566:AU566" si="1881">AI566/24</f>
        <v>19.63325</v>
      </c>
      <c r="AU566" s="58">
        <f t="shared" si="1881"/>
        <v>18.2589225</v>
      </c>
      <c r="AV566" s="58">
        <f t="shared" ref="AV566:AW566" si="1882">AI566/125</f>
        <v>3.769584</v>
      </c>
      <c r="AW566" s="58">
        <f t="shared" si="1882"/>
        <v>3.50571312</v>
      </c>
      <c r="AX566" s="47"/>
      <c r="AY566" s="47"/>
    </row>
    <row r="567" ht="15.75" customHeight="1">
      <c r="A567" s="42"/>
      <c r="B567" s="42" t="s">
        <v>293</v>
      </c>
      <c r="C567" s="42" t="s">
        <v>1125</v>
      </c>
      <c r="D567" s="45">
        <v>175.0</v>
      </c>
      <c r="E567" s="47"/>
      <c r="F567" s="44">
        <v>40.0</v>
      </c>
      <c r="G567" s="45">
        <v>9.4041E7</v>
      </c>
      <c r="H567" s="46">
        <v>0.18</v>
      </c>
      <c r="I567" s="42">
        <f t="shared" si="1792"/>
        <v>31.5</v>
      </c>
      <c r="J567" s="47"/>
      <c r="K567" s="44">
        <v>20.0</v>
      </c>
      <c r="L567" s="48">
        <f t="shared" si="1708"/>
        <v>266.5</v>
      </c>
      <c r="M567" s="42">
        <f t="shared" si="1853"/>
        <v>1.75</v>
      </c>
      <c r="N567" s="49">
        <f t="shared" si="1854"/>
        <v>21.32</v>
      </c>
      <c r="O567" s="49">
        <f t="shared" si="1855"/>
        <v>26.65</v>
      </c>
      <c r="P567" s="49">
        <f t="shared" si="1856"/>
        <v>13.325</v>
      </c>
      <c r="Q567" s="49">
        <f t="shared" si="1857"/>
        <v>5.33</v>
      </c>
      <c r="R567" s="49">
        <f t="shared" si="1858"/>
        <v>1.8375</v>
      </c>
      <c r="S567" s="49">
        <f t="shared" si="1859"/>
        <v>2.665</v>
      </c>
      <c r="T567" s="50">
        <f t="shared" si="1860"/>
        <v>71.04</v>
      </c>
      <c r="U567" s="42">
        <f t="shared" si="1861"/>
        <v>3.675</v>
      </c>
      <c r="V567" s="42">
        <f t="shared" si="15"/>
        <v>18.375</v>
      </c>
      <c r="W567" s="42">
        <f t="shared" si="1862"/>
        <v>3.675</v>
      </c>
      <c r="X567" s="42">
        <f t="shared" si="1863"/>
        <v>29.4</v>
      </c>
      <c r="Y567" s="42">
        <f t="shared" si="1864"/>
        <v>55.125</v>
      </c>
      <c r="Z567" s="50">
        <f t="shared" si="1865"/>
        <v>392.665</v>
      </c>
      <c r="AA567" s="51">
        <f t="shared" si="1866"/>
        <v>78.533</v>
      </c>
      <c r="AB567" s="49">
        <f t="shared" si="1867"/>
        <v>471.198</v>
      </c>
      <c r="AC567" s="42">
        <f t="shared" si="1868"/>
        <v>367.5</v>
      </c>
      <c r="AD567" s="49">
        <f t="shared" si="1869"/>
        <v>103.698</v>
      </c>
      <c r="AE567" s="49">
        <f t="shared" si="1870"/>
        <v>22.00730903</v>
      </c>
      <c r="AF567" s="47">
        <v>395.0</v>
      </c>
      <c r="AG567" s="52">
        <f t="shared" si="1871"/>
        <v>48.21763602</v>
      </c>
      <c r="AH567" s="53">
        <f t="shared" si="1872"/>
        <v>43.21414</v>
      </c>
      <c r="AI567" s="53">
        <f t="shared" si="1873"/>
        <v>471.198</v>
      </c>
      <c r="AJ567" s="53">
        <f t="shared" si="1874"/>
        <v>438.21414</v>
      </c>
      <c r="AK567" s="55">
        <f t="shared" si="1730"/>
        <v>64.43307317</v>
      </c>
      <c r="AL567" s="55"/>
      <c r="AM567" s="55">
        <f t="shared" si="1875"/>
        <v>9.86142072</v>
      </c>
      <c r="AN567" s="55">
        <f t="shared" si="1876"/>
        <v>16.21543715</v>
      </c>
      <c r="AO567" s="56">
        <f t="shared" si="1877"/>
        <v>1.644330732</v>
      </c>
      <c r="AP567" s="55">
        <f t="shared" si="1878"/>
        <v>-0.3298386</v>
      </c>
      <c r="AQ567" s="55">
        <f t="shared" si="1879"/>
        <v>0.7071414</v>
      </c>
      <c r="AR567" s="57">
        <f t="shared" ref="AR567:AS567" si="1883">AI567/94</f>
        <v>5.012744681</v>
      </c>
      <c r="AS567" s="57">
        <f t="shared" si="1883"/>
        <v>4.661852553</v>
      </c>
      <c r="AT567" s="58">
        <f t="shared" ref="AT567:AU567" si="1884">AI567/24</f>
        <v>19.63325</v>
      </c>
      <c r="AU567" s="58">
        <f t="shared" si="1884"/>
        <v>18.2589225</v>
      </c>
      <c r="AV567" s="58">
        <f t="shared" ref="AV567:AW567" si="1885">AI567/125</f>
        <v>3.769584</v>
      </c>
      <c r="AW567" s="58">
        <f t="shared" si="1885"/>
        <v>3.50571312</v>
      </c>
      <c r="AX567" s="47"/>
      <c r="AY567" s="47"/>
    </row>
    <row r="568" ht="15.75" customHeight="1">
      <c r="A568" s="42"/>
      <c r="B568" s="42" t="s">
        <v>283</v>
      </c>
      <c r="C568" s="42" t="s">
        <v>1126</v>
      </c>
      <c r="D568" s="45">
        <v>175.0</v>
      </c>
      <c r="E568" s="47"/>
      <c r="F568" s="44">
        <v>40.0</v>
      </c>
      <c r="G568" s="45">
        <v>9.4041E7</v>
      </c>
      <c r="H568" s="46">
        <v>0.18</v>
      </c>
      <c r="I568" s="42">
        <f t="shared" si="1792"/>
        <v>31.5</v>
      </c>
      <c r="J568" s="47"/>
      <c r="K568" s="44">
        <v>20.0</v>
      </c>
      <c r="L568" s="48">
        <f t="shared" si="1708"/>
        <v>266.5</v>
      </c>
      <c r="M568" s="42">
        <f t="shared" si="1853"/>
        <v>1.75</v>
      </c>
      <c r="N568" s="49">
        <f t="shared" si="1854"/>
        <v>21.32</v>
      </c>
      <c r="O568" s="49">
        <f t="shared" si="1855"/>
        <v>26.65</v>
      </c>
      <c r="P568" s="49">
        <f t="shared" si="1856"/>
        <v>13.325</v>
      </c>
      <c r="Q568" s="49">
        <f t="shared" si="1857"/>
        <v>5.33</v>
      </c>
      <c r="R568" s="49">
        <f t="shared" si="1858"/>
        <v>1.8375</v>
      </c>
      <c r="S568" s="49">
        <f t="shared" si="1859"/>
        <v>2.665</v>
      </c>
      <c r="T568" s="50">
        <f t="shared" si="1860"/>
        <v>71.04</v>
      </c>
      <c r="U568" s="42">
        <f t="shared" si="1861"/>
        <v>3.675</v>
      </c>
      <c r="V568" s="42">
        <f t="shared" si="15"/>
        <v>18.375</v>
      </c>
      <c r="W568" s="42">
        <f t="shared" si="1862"/>
        <v>3.675</v>
      </c>
      <c r="X568" s="42">
        <f t="shared" si="1863"/>
        <v>29.4</v>
      </c>
      <c r="Y568" s="42">
        <f t="shared" si="1864"/>
        <v>55.125</v>
      </c>
      <c r="Z568" s="50">
        <f t="shared" si="1865"/>
        <v>392.665</v>
      </c>
      <c r="AA568" s="51">
        <f t="shared" si="1866"/>
        <v>78.533</v>
      </c>
      <c r="AB568" s="49">
        <f t="shared" si="1867"/>
        <v>471.198</v>
      </c>
      <c r="AC568" s="42">
        <f t="shared" si="1868"/>
        <v>367.5</v>
      </c>
      <c r="AD568" s="49">
        <f t="shared" si="1869"/>
        <v>103.698</v>
      </c>
      <c r="AE568" s="49">
        <f t="shared" si="1870"/>
        <v>22.00730903</v>
      </c>
      <c r="AF568" s="47">
        <v>395.0</v>
      </c>
      <c r="AG568" s="52">
        <f t="shared" si="1871"/>
        <v>48.21763602</v>
      </c>
      <c r="AH568" s="53">
        <f t="shared" si="1872"/>
        <v>43.21414</v>
      </c>
      <c r="AI568" s="53">
        <f t="shared" si="1873"/>
        <v>471.198</v>
      </c>
      <c r="AJ568" s="53">
        <f t="shared" si="1874"/>
        <v>438.21414</v>
      </c>
      <c r="AK568" s="55">
        <f t="shared" si="1730"/>
        <v>64.43307317</v>
      </c>
      <c r="AL568" s="55"/>
      <c r="AM568" s="55">
        <f t="shared" si="1875"/>
        <v>9.86142072</v>
      </c>
      <c r="AN568" s="55">
        <f t="shared" si="1876"/>
        <v>16.21543715</v>
      </c>
      <c r="AO568" s="56">
        <f t="shared" si="1877"/>
        <v>1.644330732</v>
      </c>
      <c r="AP568" s="55">
        <f t="shared" si="1878"/>
        <v>-0.3298386</v>
      </c>
      <c r="AQ568" s="55">
        <f t="shared" si="1879"/>
        <v>0.7071414</v>
      </c>
      <c r="AR568" s="57">
        <f t="shared" ref="AR568:AS568" si="1886">AI568/94</f>
        <v>5.012744681</v>
      </c>
      <c r="AS568" s="57">
        <f t="shared" si="1886"/>
        <v>4.661852553</v>
      </c>
      <c r="AT568" s="58">
        <f t="shared" ref="AT568:AU568" si="1887">AI568/24</f>
        <v>19.63325</v>
      </c>
      <c r="AU568" s="58">
        <f t="shared" si="1887"/>
        <v>18.2589225</v>
      </c>
      <c r="AV568" s="58">
        <f t="shared" ref="AV568:AW568" si="1888">AI568/125</f>
        <v>3.769584</v>
      </c>
      <c r="AW568" s="58">
        <f t="shared" si="1888"/>
        <v>3.50571312</v>
      </c>
      <c r="AX568" s="47"/>
      <c r="AY568" s="47"/>
    </row>
    <row r="569" ht="15.75" customHeight="1">
      <c r="A569" s="42"/>
      <c r="B569" s="42" t="s">
        <v>289</v>
      </c>
      <c r="C569" s="42" t="s">
        <v>1127</v>
      </c>
      <c r="D569" s="45">
        <v>175.0</v>
      </c>
      <c r="E569" s="47"/>
      <c r="F569" s="44">
        <v>40.0</v>
      </c>
      <c r="G569" s="45">
        <v>9.4041E7</v>
      </c>
      <c r="H569" s="46">
        <v>0.18</v>
      </c>
      <c r="I569" s="42">
        <f t="shared" si="1792"/>
        <v>31.5</v>
      </c>
      <c r="J569" s="47"/>
      <c r="K569" s="44">
        <v>20.0</v>
      </c>
      <c r="L569" s="48">
        <f t="shared" si="1708"/>
        <v>266.5</v>
      </c>
      <c r="M569" s="42">
        <f t="shared" si="1853"/>
        <v>1.75</v>
      </c>
      <c r="N569" s="49">
        <f t="shared" si="1854"/>
        <v>21.32</v>
      </c>
      <c r="O569" s="49">
        <f t="shared" si="1855"/>
        <v>26.65</v>
      </c>
      <c r="P569" s="49">
        <f t="shared" si="1856"/>
        <v>13.325</v>
      </c>
      <c r="Q569" s="49">
        <f t="shared" si="1857"/>
        <v>5.33</v>
      </c>
      <c r="R569" s="49">
        <f t="shared" si="1858"/>
        <v>1.8375</v>
      </c>
      <c r="S569" s="49">
        <f t="shared" si="1859"/>
        <v>2.665</v>
      </c>
      <c r="T569" s="50">
        <f t="shared" si="1860"/>
        <v>71.04</v>
      </c>
      <c r="U569" s="42">
        <f t="shared" si="1861"/>
        <v>3.675</v>
      </c>
      <c r="V569" s="42">
        <f t="shared" si="15"/>
        <v>18.375</v>
      </c>
      <c r="W569" s="42">
        <f t="shared" si="1862"/>
        <v>3.675</v>
      </c>
      <c r="X569" s="42">
        <f t="shared" si="1863"/>
        <v>29.4</v>
      </c>
      <c r="Y569" s="42">
        <f t="shared" si="1864"/>
        <v>55.125</v>
      </c>
      <c r="Z569" s="50">
        <f t="shared" si="1865"/>
        <v>392.665</v>
      </c>
      <c r="AA569" s="51">
        <f t="shared" si="1866"/>
        <v>78.533</v>
      </c>
      <c r="AB569" s="49">
        <f t="shared" si="1867"/>
        <v>471.198</v>
      </c>
      <c r="AC569" s="42">
        <f t="shared" si="1868"/>
        <v>367.5</v>
      </c>
      <c r="AD569" s="49">
        <f t="shared" si="1869"/>
        <v>103.698</v>
      </c>
      <c r="AE569" s="49">
        <f t="shared" si="1870"/>
        <v>22.00730903</v>
      </c>
      <c r="AF569" s="47">
        <v>395.0</v>
      </c>
      <c r="AG569" s="52">
        <f t="shared" si="1871"/>
        <v>48.21763602</v>
      </c>
      <c r="AH569" s="53">
        <f t="shared" si="1872"/>
        <v>43.21414</v>
      </c>
      <c r="AI569" s="53">
        <f t="shared" si="1873"/>
        <v>471.198</v>
      </c>
      <c r="AJ569" s="53">
        <f t="shared" si="1874"/>
        <v>438.21414</v>
      </c>
      <c r="AK569" s="55">
        <f t="shared" si="1730"/>
        <v>64.43307317</v>
      </c>
      <c r="AL569" s="55"/>
      <c r="AM569" s="55">
        <f t="shared" si="1875"/>
        <v>9.86142072</v>
      </c>
      <c r="AN569" s="55">
        <f t="shared" si="1876"/>
        <v>16.21543715</v>
      </c>
      <c r="AO569" s="56">
        <f t="shared" si="1877"/>
        <v>1.644330732</v>
      </c>
      <c r="AP569" s="55">
        <f t="shared" si="1878"/>
        <v>-0.3298386</v>
      </c>
      <c r="AQ569" s="55">
        <f t="shared" si="1879"/>
        <v>0.7071414</v>
      </c>
      <c r="AR569" s="57">
        <f t="shared" ref="AR569:AS569" si="1889">AI569/94</f>
        <v>5.012744681</v>
      </c>
      <c r="AS569" s="57">
        <f t="shared" si="1889"/>
        <v>4.661852553</v>
      </c>
      <c r="AT569" s="58">
        <f t="shared" ref="AT569:AU569" si="1890">AI569/24</f>
        <v>19.63325</v>
      </c>
      <c r="AU569" s="58">
        <f t="shared" si="1890"/>
        <v>18.2589225</v>
      </c>
      <c r="AV569" s="58">
        <f t="shared" ref="AV569:AW569" si="1891">AI569/125</f>
        <v>3.769584</v>
      </c>
      <c r="AW569" s="58">
        <f t="shared" si="1891"/>
        <v>3.50571312</v>
      </c>
      <c r="AX569" s="47"/>
      <c r="AY569" s="47"/>
    </row>
    <row r="570" ht="15.0" customHeight="1">
      <c r="A570" s="42" t="s">
        <v>1128</v>
      </c>
      <c r="B570" s="42" t="s">
        <v>1129</v>
      </c>
      <c r="C570" s="42" t="s">
        <v>1130</v>
      </c>
      <c r="D570" s="230">
        <v>500.0</v>
      </c>
      <c r="E570" s="42">
        <v>105.0</v>
      </c>
      <c r="F570" s="44">
        <v>90.0</v>
      </c>
      <c r="G570" s="45">
        <v>4.42019E7</v>
      </c>
      <c r="H570" s="46">
        <v>0.05</v>
      </c>
      <c r="I570" s="42">
        <f t="shared" si="1792"/>
        <v>25</v>
      </c>
      <c r="J570" s="47"/>
      <c r="K570" s="44">
        <v>400.0</v>
      </c>
      <c r="L570" s="48">
        <f t="shared" si="1708"/>
        <v>1120</v>
      </c>
      <c r="M570" s="42">
        <f t="shared" si="1853"/>
        <v>5</v>
      </c>
      <c r="N570" s="49">
        <f t="shared" si="1854"/>
        <v>89.6</v>
      </c>
      <c r="O570" s="49">
        <f t="shared" si="1855"/>
        <v>112</v>
      </c>
      <c r="P570" s="49">
        <f t="shared" si="1856"/>
        <v>56</v>
      </c>
      <c r="Q570" s="49">
        <f t="shared" si="1857"/>
        <v>22.4</v>
      </c>
      <c r="R570" s="49">
        <f t="shared" si="1858"/>
        <v>5.25</v>
      </c>
      <c r="S570" s="49">
        <f t="shared" si="1859"/>
        <v>11.2</v>
      </c>
      <c r="T570" s="50">
        <f t="shared" si="1860"/>
        <v>296.2</v>
      </c>
      <c r="U570" s="42">
        <f t="shared" si="1861"/>
        <v>10.5</v>
      </c>
      <c r="V570" s="42">
        <f t="shared" si="15"/>
        <v>52.5</v>
      </c>
      <c r="W570" s="42">
        <f t="shared" si="1862"/>
        <v>10.5</v>
      </c>
      <c r="X570" s="42">
        <f t="shared" si="1863"/>
        <v>84</v>
      </c>
      <c r="Y570" s="42">
        <f t="shared" si="1864"/>
        <v>157.5</v>
      </c>
      <c r="Z570" s="50">
        <f t="shared" si="1865"/>
        <v>1573.7</v>
      </c>
      <c r="AA570" s="51">
        <f t="shared" si="1866"/>
        <v>314.74</v>
      </c>
      <c r="AB570" s="49">
        <f t="shared" si="1867"/>
        <v>1888.44</v>
      </c>
      <c r="AC570" s="42">
        <f t="shared" si="1868"/>
        <v>1050</v>
      </c>
      <c r="AD570" s="49">
        <f t="shared" si="1869"/>
        <v>838.44</v>
      </c>
      <c r="AE570" s="49">
        <f t="shared" si="1870"/>
        <v>44.39855119</v>
      </c>
      <c r="AF570" s="47">
        <v>2450.0</v>
      </c>
      <c r="AG570" s="52">
        <f t="shared" si="1871"/>
        <v>118.75</v>
      </c>
      <c r="AH570" s="53">
        <f t="shared" si="1872"/>
        <v>340</v>
      </c>
      <c r="AI570" s="53">
        <v>2990.0</v>
      </c>
      <c r="AJ570" s="53">
        <v>2790.0</v>
      </c>
      <c r="AK570" s="55">
        <f t="shared" si="1730"/>
        <v>149.1071429</v>
      </c>
      <c r="AL570" s="55"/>
      <c r="AM570" s="55">
        <f t="shared" si="1875"/>
        <v>12.18637993</v>
      </c>
      <c r="AN570" s="55">
        <f t="shared" si="1876"/>
        <v>30.35714286</v>
      </c>
      <c r="AO570" s="56">
        <f t="shared" si="1877"/>
        <v>2.491071429</v>
      </c>
      <c r="AP570" s="55">
        <f t="shared" si="1878"/>
        <v>9.0156</v>
      </c>
      <c r="AQ570" s="55">
        <f t="shared" si="1879"/>
        <v>17.4</v>
      </c>
      <c r="AR570" s="57">
        <f t="shared" ref="AR570:AS570" si="1892">AI570/94</f>
        <v>31.80851064</v>
      </c>
      <c r="AS570" s="57">
        <f t="shared" si="1892"/>
        <v>29.68085106</v>
      </c>
      <c r="AT570" s="58">
        <f t="shared" ref="AT570:AU570" si="1893">AI570/24</f>
        <v>124.5833333</v>
      </c>
      <c r="AU570" s="58">
        <f t="shared" si="1893"/>
        <v>116.25</v>
      </c>
      <c r="AV570" s="58">
        <f t="shared" ref="AV570:AW570" si="1894">AI570/125</f>
        <v>23.92</v>
      </c>
      <c r="AW570" s="58">
        <f t="shared" si="1894"/>
        <v>22.32</v>
      </c>
      <c r="AX570" s="47"/>
      <c r="AY570" s="47"/>
    </row>
    <row r="571" ht="15.75" customHeight="1">
      <c r="A571" s="42"/>
      <c r="B571" s="42" t="s">
        <v>1131</v>
      </c>
      <c r="C571" s="42" t="s">
        <v>1132</v>
      </c>
      <c r="D571" s="230">
        <v>550.0</v>
      </c>
      <c r="E571" s="42">
        <v>105.0</v>
      </c>
      <c r="F571" s="44">
        <v>90.0</v>
      </c>
      <c r="G571" s="45">
        <v>4.42019E7</v>
      </c>
      <c r="H571" s="46">
        <v>0.05</v>
      </c>
      <c r="I571" s="42">
        <f t="shared" si="1792"/>
        <v>27.5</v>
      </c>
      <c r="J571" s="47"/>
      <c r="K571" s="44">
        <v>400.0</v>
      </c>
      <c r="L571" s="48">
        <f t="shared" si="1708"/>
        <v>1172.5</v>
      </c>
      <c r="M571" s="42">
        <f t="shared" si="1853"/>
        <v>5.5</v>
      </c>
      <c r="N571" s="49">
        <f t="shared" si="1854"/>
        <v>93.8</v>
      </c>
      <c r="O571" s="49">
        <f t="shared" si="1855"/>
        <v>117.25</v>
      </c>
      <c r="P571" s="49">
        <f t="shared" si="1856"/>
        <v>58.625</v>
      </c>
      <c r="Q571" s="49">
        <f t="shared" si="1857"/>
        <v>23.45</v>
      </c>
      <c r="R571" s="49">
        <f t="shared" si="1858"/>
        <v>5.775</v>
      </c>
      <c r="S571" s="49">
        <f t="shared" si="1859"/>
        <v>11.725</v>
      </c>
      <c r="T571" s="50">
        <f t="shared" si="1860"/>
        <v>310.35</v>
      </c>
      <c r="U571" s="42">
        <f t="shared" si="1861"/>
        <v>11.55</v>
      </c>
      <c r="V571" s="42">
        <f t="shared" si="15"/>
        <v>57.75</v>
      </c>
      <c r="W571" s="42">
        <f t="shared" si="1862"/>
        <v>11.55</v>
      </c>
      <c r="X571" s="42">
        <f t="shared" si="1863"/>
        <v>92.4</v>
      </c>
      <c r="Y571" s="42">
        <f t="shared" si="1864"/>
        <v>173.25</v>
      </c>
      <c r="Z571" s="50">
        <f t="shared" si="1865"/>
        <v>1656.1</v>
      </c>
      <c r="AA571" s="51">
        <f t="shared" si="1866"/>
        <v>331.22</v>
      </c>
      <c r="AB571" s="49">
        <f t="shared" si="1867"/>
        <v>1987.32</v>
      </c>
      <c r="AC571" s="42">
        <f t="shared" si="1868"/>
        <v>1155</v>
      </c>
      <c r="AD571" s="49">
        <f t="shared" si="1869"/>
        <v>832.32</v>
      </c>
      <c r="AE571" s="49">
        <f t="shared" si="1870"/>
        <v>41.88152889</v>
      </c>
      <c r="AF571" s="47"/>
      <c r="AG571" s="52">
        <f t="shared" si="1871"/>
        <v>-100</v>
      </c>
      <c r="AH571" s="53">
        <f t="shared" si="1872"/>
        <v>2036.7</v>
      </c>
      <c r="AI571" s="53">
        <v>2190.0</v>
      </c>
      <c r="AJ571" s="53">
        <f t="shared" ref="AJ571:AJ578" si="1898">AI571-(AI571*7%)</f>
        <v>2036.7</v>
      </c>
      <c r="AK571" s="55">
        <f t="shared" si="1730"/>
        <v>73.70575693</v>
      </c>
      <c r="AL571" s="55"/>
      <c r="AM571" s="55">
        <f t="shared" si="1875"/>
        <v>100</v>
      </c>
      <c r="AN571" s="55">
        <f t="shared" si="1876"/>
        <v>173.7057569</v>
      </c>
      <c r="AO571" s="56">
        <f t="shared" si="1877"/>
        <v>1.737057569</v>
      </c>
      <c r="AP571" s="55">
        <f t="shared" si="1878"/>
        <v>0.4938</v>
      </c>
      <c r="AQ571" s="55">
        <f t="shared" si="1879"/>
        <v>8.817</v>
      </c>
      <c r="AR571" s="57">
        <f t="shared" ref="AR571:AS571" si="1895">AI571/94</f>
        <v>23.29787234</v>
      </c>
      <c r="AS571" s="57">
        <f t="shared" si="1895"/>
        <v>21.66702128</v>
      </c>
      <c r="AT571" s="58">
        <f t="shared" ref="AT571:AU571" si="1896">AI571/24</f>
        <v>91.25</v>
      </c>
      <c r="AU571" s="58">
        <f t="shared" si="1896"/>
        <v>84.8625</v>
      </c>
      <c r="AV571" s="58">
        <f t="shared" ref="AV571:AW571" si="1897">AI571/125</f>
        <v>17.52</v>
      </c>
      <c r="AW571" s="58">
        <f t="shared" si="1897"/>
        <v>16.2936</v>
      </c>
      <c r="AX571" s="47"/>
      <c r="AY571" s="47"/>
    </row>
    <row r="572" ht="15.75" customHeight="1">
      <c r="A572" s="42"/>
      <c r="B572" s="42" t="s">
        <v>1133</v>
      </c>
      <c r="C572" s="42" t="s">
        <v>1134</v>
      </c>
      <c r="D572" s="230">
        <v>600.0</v>
      </c>
      <c r="E572" s="42">
        <v>115.0</v>
      </c>
      <c r="F572" s="44">
        <v>90.0</v>
      </c>
      <c r="G572" s="45">
        <v>4.42019E7</v>
      </c>
      <c r="H572" s="46">
        <v>0.05</v>
      </c>
      <c r="I572" s="42">
        <f t="shared" si="1792"/>
        <v>30</v>
      </c>
      <c r="J572" s="47"/>
      <c r="K572" s="44">
        <v>400.0</v>
      </c>
      <c r="L572" s="48">
        <f t="shared" si="1708"/>
        <v>1235</v>
      </c>
      <c r="M572" s="42">
        <f t="shared" si="1853"/>
        <v>6</v>
      </c>
      <c r="N572" s="49">
        <f t="shared" si="1854"/>
        <v>98.8</v>
      </c>
      <c r="O572" s="49">
        <f t="shared" si="1855"/>
        <v>123.5</v>
      </c>
      <c r="P572" s="49">
        <f t="shared" si="1856"/>
        <v>61.75</v>
      </c>
      <c r="Q572" s="49">
        <f t="shared" si="1857"/>
        <v>24.7</v>
      </c>
      <c r="R572" s="49">
        <f t="shared" si="1858"/>
        <v>6.3</v>
      </c>
      <c r="S572" s="49">
        <f t="shared" si="1859"/>
        <v>12.35</v>
      </c>
      <c r="T572" s="50">
        <f t="shared" si="1860"/>
        <v>327.1</v>
      </c>
      <c r="U572" s="42">
        <f t="shared" si="1861"/>
        <v>12.6</v>
      </c>
      <c r="V572" s="42">
        <f t="shared" si="15"/>
        <v>63</v>
      </c>
      <c r="W572" s="42">
        <f t="shared" si="1862"/>
        <v>12.6</v>
      </c>
      <c r="X572" s="42">
        <f t="shared" si="1863"/>
        <v>100.8</v>
      </c>
      <c r="Y572" s="42">
        <f t="shared" si="1864"/>
        <v>189</v>
      </c>
      <c r="Z572" s="50">
        <f t="shared" si="1865"/>
        <v>1751.1</v>
      </c>
      <c r="AA572" s="51">
        <f t="shared" si="1866"/>
        <v>350.22</v>
      </c>
      <c r="AB572" s="49">
        <f t="shared" si="1867"/>
        <v>2101.32</v>
      </c>
      <c r="AC572" s="42">
        <f t="shared" si="1868"/>
        <v>1260</v>
      </c>
      <c r="AD572" s="49">
        <f t="shared" si="1869"/>
        <v>841.32</v>
      </c>
      <c r="AE572" s="49">
        <f t="shared" si="1870"/>
        <v>40.03769059</v>
      </c>
      <c r="AF572" s="47"/>
      <c r="AG572" s="52">
        <f t="shared" si="1871"/>
        <v>-100</v>
      </c>
      <c r="AH572" s="53">
        <f t="shared" si="1872"/>
        <v>1954.2276</v>
      </c>
      <c r="AI572" s="53">
        <f t="shared" ref="AI572:AI573" si="1902">AB572</f>
        <v>2101.32</v>
      </c>
      <c r="AJ572" s="53">
        <f t="shared" si="1898"/>
        <v>1954.2276</v>
      </c>
      <c r="AK572" s="55">
        <f t="shared" si="1730"/>
        <v>58.23705263</v>
      </c>
      <c r="AL572" s="55"/>
      <c r="AM572" s="55">
        <f t="shared" si="1875"/>
        <v>100</v>
      </c>
      <c r="AN572" s="55">
        <f t="shared" si="1876"/>
        <v>158.2370526</v>
      </c>
      <c r="AO572" s="56">
        <f t="shared" si="1877"/>
        <v>1.582370526</v>
      </c>
      <c r="AP572" s="55">
        <f t="shared" si="1878"/>
        <v>-1.470924</v>
      </c>
      <c r="AQ572" s="55">
        <f t="shared" si="1879"/>
        <v>6.942276</v>
      </c>
      <c r="AR572" s="57">
        <f t="shared" ref="AR572:AS572" si="1899">AI572/94</f>
        <v>22.35446809</v>
      </c>
      <c r="AS572" s="57">
        <f t="shared" si="1899"/>
        <v>20.78965532</v>
      </c>
      <c r="AT572" s="58">
        <f t="shared" ref="AT572:AU572" si="1900">AI572/24</f>
        <v>87.555</v>
      </c>
      <c r="AU572" s="58">
        <f t="shared" si="1900"/>
        <v>81.42615</v>
      </c>
      <c r="AV572" s="58">
        <f t="shared" ref="AV572:AW572" si="1901">AI572/125</f>
        <v>16.81056</v>
      </c>
      <c r="AW572" s="58">
        <f t="shared" si="1901"/>
        <v>15.6338208</v>
      </c>
      <c r="AX572" s="47"/>
      <c r="AY572" s="47"/>
    </row>
    <row r="573" ht="15.75" customHeight="1">
      <c r="A573" s="42"/>
      <c r="B573" s="42" t="s">
        <v>1135</v>
      </c>
      <c r="C573" s="42" t="s">
        <v>1136</v>
      </c>
      <c r="D573" s="230">
        <v>650.0</v>
      </c>
      <c r="E573" s="42">
        <v>120.0</v>
      </c>
      <c r="F573" s="44">
        <v>90.0</v>
      </c>
      <c r="G573" s="45">
        <v>4.42019E7</v>
      </c>
      <c r="H573" s="46">
        <v>0.05</v>
      </c>
      <c r="I573" s="42">
        <f t="shared" si="1792"/>
        <v>32.5</v>
      </c>
      <c r="J573" s="47"/>
      <c r="K573" s="44">
        <v>400.0</v>
      </c>
      <c r="L573" s="48">
        <f t="shared" si="1708"/>
        <v>1292.5</v>
      </c>
      <c r="M573" s="42">
        <f t="shared" si="1853"/>
        <v>6.5</v>
      </c>
      <c r="N573" s="49">
        <f t="shared" si="1854"/>
        <v>103.4</v>
      </c>
      <c r="O573" s="49">
        <f t="shared" si="1855"/>
        <v>129.25</v>
      </c>
      <c r="P573" s="49">
        <f t="shared" si="1856"/>
        <v>64.625</v>
      </c>
      <c r="Q573" s="49">
        <f t="shared" si="1857"/>
        <v>25.85</v>
      </c>
      <c r="R573" s="49">
        <f t="shared" si="1858"/>
        <v>6.825</v>
      </c>
      <c r="S573" s="49">
        <f t="shared" si="1859"/>
        <v>12.925</v>
      </c>
      <c r="T573" s="50">
        <f t="shared" si="1860"/>
        <v>342.55</v>
      </c>
      <c r="U573" s="42">
        <f t="shared" si="1861"/>
        <v>13.65</v>
      </c>
      <c r="V573" s="42">
        <f t="shared" si="15"/>
        <v>68.25</v>
      </c>
      <c r="W573" s="42">
        <f t="shared" si="1862"/>
        <v>13.65</v>
      </c>
      <c r="X573" s="42">
        <f t="shared" si="1863"/>
        <v>109.2</v>
      </c>
      <c r="Y573" s="42">
        <f t="shared" si="1864"/>
        <v>204.75</v>
      </c>
      <c r="Z573" s="50">
        <f t="shared" si="1865"/>
        <v>1839.8</v>
      </c>
      <c r="AA573" s="51">
        <f t="shared" si="1866"/>
        <v>367.96</v>
      </c>
      <c r="AB573" s="49">
        <f t="shared" si="1867"/>
        <v>2207.76</v>
      </c>
      <c r="AC573" s="42">
        <f t="shared" si="1868"/>
        <v>1365</v>
      </c>
      <c r="AD573" s="49">
        <f t="shared" si="1869"/>
        <v>842.76</v>
      </c>
      <c r="AE573" s="49">
        <f t="shared" si="1870"/>
        <v>38.17262746</v>
      </c>
      <c r="AF573" s="47"/>
      <c r="AG573" s="52">
        <f t="shared" si="1871"/>
        <v>-100</v>
      </c>
      <c r="AH573" s="53">
        <f t="shared" si="1872"/>
        <v>2053.2168</v>
      </c>
      <c r="AI573" s="53">
        <f t="shared" si="1902"/>
        <v>2207.76</v>
      </c>
      <c r="AJ573" s="53">
        <f t="shared" si="1898"/>
        <v>2053.2168</v>
      </c>
      <c r="AK573" s="55">
        <f t="shared" si="1730"/>
        <v>58.85623211</v>
      </c>
      <c r="AL573" s="55"/>
      <c r="AM573" s="55">
        <f t="shared" si="1875"/>
        <v>100</v>
      </c>
      <c r="AN573" s="55">
        <f t="shared" si="1876"/>
        <v>158.8562321</v>
      </c>
      <c r="AO573" s="56">
        <f t="shared" si="1877"/>
        <v>1.588562321</v>
      </c>
      <c r="AP573" s="55">
        <f t="shared" si="1878"/>
        <v>-1.545432</v>
      </c>
      <c r="AQ573" s="55">
        <f t="shared" si="1879"/>
        <v>6.882168</v>
      </c>
      <c r="AR573" s="57">
        <f t="shared" ref="AR573:AS573" si="1903">AI573/94</f>
        <v>23.48680851</v>
      </c>
      <c r="AS573" s="57">
        <f t="shared" si="1903"/>
        <v>21.84273191</v>
      </c>
      <c r="AT573" s="58">
        <f t="shared" ref="AT573:AU573" si="1904">AI573/24</f>
        <v>91.99</v>
      </c>
      <c r="AU573" s="58">
        <f t="shared" si="1904"/>
        <v>85.5507</v>
      </c>
      <c r="AV573" s="58">
        <f t="shared" ref="AV573:AW573" si="1905">AI573/125</f>
        <v>17.66208</v>
      </c>
      <c r="AW573" s="58">
        <f t="shared" si="1905"/>
        <v>16.4257344</v>
      </c>
      <c r="AX573" s="47"/>
      <c r="AY573" s="47"/>
    </row>
    <row r="574" ht="15.75" customHeight="1">
      <c r="A574" s="42"/>
      <c r="B574" s="42" t="s">
        <v>1137</v>
      </c>
      <c r="C574" s="42" t="s">
        <v>1138</v>
      </c>
      <c r="D574" s="230">
        <v>600.0</v>
      </c>
      <c r="E574" s="42">
        <v>115.0</v>
      </c>
      <c r="F574" s="44">
        <v>90.0</v>
      </c>
      <c r="G574" s="45">
        <v>4.42019E7</v>
      </c>
      <c r="H574" s="46">
        <v>0.05</v>
      </c>
      <c r="I574" s="42">
        <f t="shared" si="1792"/>
        <v>30</v>
      </c>
      <c r="J574" s="47"/>
      <c r="K574" s="44">
        <v>400.0</v>
      </c>
      <c r="L574" s="48">
        <f t="shared" si="1708"/>
        <v>1235</v>
      </c>
      <c r="M574" s="42">
        <f t="shared" si="1853"/>
        <v>6</v>
      </c>
      <c r="N574" s="49">
        <f t="shared" si="1854"/>
        <v>98.8</v>
      </c>
      <c r="O574" s="49">
        <f t="shared" si="1855"/>
        <v>123.5</v>
      </c>
      <c r="P574" s="49">
        <f t="shared" si="1856"/>
        <v>61.75</v>
      </c>
      <c r="Q574" s="49">
        <f t="shared" si="1857"/>
        <v>24.7</v>
      </c>
      <c r="R574" s="49">
        <f t="shared" si="1858"/>
        <v>6.3</v>
      </c>
      <c r="S574" s="49">
        <f t="shared" si="1859"/>
        <v>12.35</v>
      </c>
      <c r="T574" s="50">
        <f t="shared" si="1860"/>
        <v>327.1</v>
      </c>
      <c r="U574" s="42">
        <f t="shared" si="1861"/>
        <v>12.6</v>
      </c>
      <c r="V574" s="42">
        <f t="shared" si="15"/>
        <v>63</v>
      </c>
      <c r="W574" s="42">
        <f t="shared" si="1862"/>
        <v>12.6</v>
      </c>
      <c r="X574" s="42">
        <f t="shared" si="1863"/>
        <v>100.8</v>
      </c>
      <c r="Y574" s="42">
        <f t="shared" si="1864"/>
        <v>189</v>
      </c>
      <c r="Z574" s="50">
        <f t="shared" si="1865"/>
        <v>1751.1</v>
      </c>
      <c r="AA574" s="51">
        <f t="shared" si="1866"/>
        <v>350.22</v>
      </c>
      <c r="AB574" s="49">
        <f t="shared" si="1867"/>
        <v>2101.32</v>
      </c>
      <c r="AC574" s="42">
        <f t="shared" si="1868"/>
        <v>1260</v>
      </c>
      <c r="AD574" s="49">
        <f t="shared" si="1869"/>
        <v>841.32</v>
      </c>
      <c r="AE574" s="49">
        <f t="shared" si="1870"/>
        <v>40.03769059</v>
      </c>
      <c r="AF574" s="47">
        <v>2750.0</v>
      </c>
      <c r="AG574" s="52">
        <f t="shared" si="1871"/>
        <v>122.6720648</v>
      </c>
      <c r="AH574" s="53">
        <f t="shared" si="1872"/>
        <v>216.7</v>
      </c>
      <c r="AI574" s="53">
        <v>3190.0</v>
      </c>
      <c r="AJ574" s="53">
        <f t="shared" si="1898"/>
        <v>2966.7</v>
      </c>
      <c r="AK574" s="55">
        <f t="shared" si="1730"/>
        <v>140.2186235</v>
      </c>
      <c r="AL574" s="55"/>
      <c r="AM574" s="55">
        <f t="shared" si="1875"/>
        <v>7.30441231</v>
      </c>
      <c r="AN574" s="55">
        <f t="shared" si="1876"/>
        <v>17.5465587</v>
      </c>
      <c r="AO574" s="56">
        <f t="shared" si="1877"/>
        <v>2.402186235</v>
      </c>
      <c r="AP574" s="55">
        <f t="shared" si="1878"/>
        <v>8.6538</v>
      </c>
      <c r="AQ574" s="55">
        <f t="shared" si="1879"/>
        <v>17.067</v>
      </c>
      <c r="AR574" s="57">
        <f t="shared" ref="AR574:AS574" si="1906">AI574/94</f>
        <v>33.93617021</v>
      </c>
      <c r="AS574" s="57">
        <f t="shared" si="1906"/>
        <v>31.5606383</v>
      </c>
      <c r="AT574" s="58">
        <f t="shared" ref="AT574:AU574" si="1907">AI574/24</f>
        <v>132.9166667</v>
      </c>
      <c r="AU574" s="58">
        <f t="shared" si="1907"/>
        <v>123.6125</v>
      </c>
      <c r="AV574" s="58">
        <f t="shared" ref="AV574:AW574" si="1908">AI574/125</f>
        <v>25.52</v>
      </c>
      <c r="AW574" s="58">
        <f t="shared" si="1908"/>
        <v>23.7336</v>
      </c>
      <c r="AX574" s="47"/>
      <c r="AY574" s="47"/>
    </row>
    <row r="575" ht="15.75" customHeight="1">
      <c r="A575" s="42"/>
      <c r="B575" s="42" t="s">
        <v>1139</v>
      </c>
      <c r="C575" s="42" t="s">
        <v>1140</v>
      </c>
      <c r="D575" s="230">
        <v>650.0</v>
      </c>
      <c r="E575" s="42">
        <v>120.0</v>
      </c>
      <c r="F575" s="44">
        <v>90.0</v>
      </c>
      <c r="G575" s="45">
        <v>4.42019E7</v>
      </c>
      <c r="H575" s="46">
        <v>0.05</v>
      </c>
      <c r="I575" s="42">
        <f t="shared" si="1792"/>
        <v>32.5</v>
      </c>
      <c r="J575" s="47"/>
      <c r="K575" s="44">
        <v>400.0</v>
      </c>
      <c r="L575" s="48">
        <f t="shared" si="1708"/>
        <v>1292.5</v>
      </c>
      <c r="M575" s="42">
        <f t="shared" si="1853"/>
        <v>6.5</v>
      </c>
      <c r="N575" s="49">
        <f t="shared" si="1854"/>
        <v>103.4</v>
      </c>
      <c r="O575" s="49">
        <f t="shared" si="1855"/>
        <v>129.25</v>
      </c>
      <c r="P575" s="49">
        <f t="shared" si="1856"/>
        <v>64.625</v>
      </c>
      <c r="Q575" s="49">
        <f t="shared" si="1857"/>
        <v>25.85</v>
      </c>
      <c r="R575" s="49">
        <f t="shared" si="1858"/>
        <v>6.825</v>
      </c>
      <c r="S575" s="49">
        <f t="shared" si="1859"/>
        <v>12.925</v>
      </c>
      <c r="T575" s="50">
        <f t="shared" si="1860"/>
        <v>342.55</v>
      </c>
      <c r="U575" s="42">
        <f t="shared" si="1861"/>
        <v>13.65</v>
      </c>
      <c r="V575" s="42">
        <f t="shared" si="15"/>
        <v>68.25</v>
      </c>
      <c r="W575" s="42">
        <f t="shared" si="1862"/>
        <v>13.65</v>
      </c>
      <c r="X575" s="42">
        <f t="shared" si="1863"/>
        <v>109.2</v>
      </c>
      <c r="Y575" s="42">
        <f t="shared" si="1864"/>
        <v>204.75</v>
      </c>
      <c r="Z575" s="50">
        <f t="shared" si="1865"/>
        <v>1839.8</v>
      </c>
      <c r="AA575" s="51">
        <f t="shared" si="1866"/>
        <v>367.96</v>
      </c>
      <c r="AB575" s="49">
        <f t="shared" si="1867"/>
        <v>2207.76</v>
      </c>
      <c r="AC575" s="42">
        <f t="shared" si="1868"/>
        <v>1365</v>
      </c>
      <c r="AD575" s="49">
        <f t="shared" si="1869"/>
        <v>842.76</v>
      </c>
      <c r="AE575" s="49">
        <f t="shared" si="1870"/>
        <v>38.17262746</v>
      </c>
      <c r="AF575" s="47">
        <v>3250.0</v>
      </c>
      <c r="AG575" s="52">
        <f t="shared" si="1871"/>
        <v>151.450677</v>
      </c>
      <c r="AH575" s="53">
        <f t="shared" si="1872"/>
        <v>-4.3</v>
      </c>
      <c r="AI575" s="53">
        <v>3490.0</v>
      </c>
      <c r="AJ575" s="53">
        <f t="shared" si="1898"/>
        <v>3245.7</v>
      </c>
      <c r="AK575" s="55">
        <f t="shared" si="1730"/>
        <v>151.1179884</v>
      </c>
      <c r="AL575" s="55"/>
      <c r="AM575" s="55">
        <f t="shared" si="1875"/>
        <v>-0.1324829775</v>
      </c>
      <c r="AN575" s="55">
        <f t="shared" si="1876"/>
        <v>-0.332688588</v>
      </c>
      <c r="AO575" s="56">
        <f t="shared" si="1877"/>
        <v>2.511179884</v>
      </c>
      <c r="AP575" s="55">
        <f t="shared" si="1878"/>
        <v>10.3794</v>
      </c>
      <c r="AQ575" s="55">
        <f t="shared" si="1879"/>
        <v>18.807</v>
      </c>
      <c r="AR575" s="57">
        <f t="shared" ref="AR575:AS575" si="1909">AI575/94</f>
        <v>37.12765957</v>
      </c>
      <c r="AS575" s="57">
        <f t="shared" si="1909"/>
        <v>34.5287234</v>
      </c>
      <c r="AT575" s="58">
        <f t="shared" ref="AT575:AU575" si="1910">AI575/24</f>
        <v>145.4166667</v>
      </c>
      <c r="AU575" s="58">
        <f t="shared" si="1910"/>
        <v>135.2375</v>
      </c>
      <c r="AV575" s="58">
        <f t="shared" ref="AV575:AW575" si="1911">AI575/125</f>
        <v>27.92</v>
      </c>
      <c r="AW575" s="58">
        <f t="shared" si="1911"/>
        <v>25.9656</v>
      </c>
      <c r="AX575" s="47"/>
      <c r="AY575" s="47"/>
    </row>
    <row r="576" ht="15.75" customHeight="1">
      <c r="A576" s="2"/>
      <c r="B576" s="2" t="s">
        <v>1141</v>
      </c>
      <c r="C576" s="75" t="s">
        <v>1142</v>
      </c>
      <c r="D576" s="103">
        <v>500.0</v>
      </c>
      <c r="E576" s="2">
        <v>105.0</v>
      </c>
      <c r="F576" s="1">
        <v>90.0</v>
      </c>
      <c r="G576" s="10">
        <v>4.42019E7</v>
      </c>
      <c r="H576" s="59">
        <v>0.05</v>
      </c>
      <c r="I576" s="2">
        <f t="shared" si="1792"/>
        <v>25</v>
      </c>
      <c r="K576" s="1">
        <v>400.0</v>
      </c>
      <c r="L576" s="4">
        <f t="shared" si="1708"/>
        <v>1120</v>
      </c>
      <c r="M576" s="2">
        <f t="shared" si="1853"/>
        <v>5</v>
      </c>
      <c r="N576" s="12">
        <f t="shared" si="1854"/>
        <v>89.6</v>
      </c>
      <c r="O576" s="12">
        <f t="shared" si="1855"/>
        <v>112</v>
      </c>
      <c r="P576" s="12">
        <f t="shared" si="1856"/>
        <v>56</v>
      </c>
      <c r="Q576" s="12">
        <f t="shared" si="1857"/>
        <v>22.4</v>
      </c>
      <c r="R576" s="12">
        <f t="shared" si="1858"/>
        <v>5.25</v>
      </c>
      <c r="S576" s="12">
        <f t="shared" si="1859"/>
        <v>11.2</v>
      </c>
      <c r="T576" s="60">
        <f t="shared" si="1860"/>
        <v>296.2</v>
      </c>
      <c r="U576" s="2">
        <f t="shared" si="1861"/>
        <v>10.5</v>
      </c>
      <c r="V576" s="42">
        <f t="shared" si="15"/>
        <v>52.5</v>
      </c>
      <c r="W576" s="2">
        <f t="shared" si="1862"/>
        <v>10.5</v>
      </c>
      <c r="X576" s="2">
        <f t="shared" si="1863"/>
        <v>84</v>
      </c>
      <c r="Y576" s="2">
        <f t="shared" si="1864"/>
        <v>157.5</v>
      </c>
      <c r="Z576" s="60">
        <f t="shared" si="1865"/>
        <v>1573.7</v>
      </c>
      <c r="AA576" s="11">
        <f t="shared" si="1866"/>
        <v>314.74</v>
      </c>
      <c r="AB576" s="12">
        <f t="shared" si="1867"/>
        <v>1888.44</v>
      </c>
      <c r="AC576" s="2">
        <f t="shared" si="1868"/>
        <v>1050</v>
      </c>
      <c r="AD576" s="12">
        <f t="shared" si="1869"/>
        <v>838.44</v>
      </c>
      <c r="AE576" s="12">
        <f t="shared" si="1870"/>
        <v>44.39855119</v>
      </c>
      <c r="AG576" s="62">
        <f t="shared" si="1871"/>
        <v>-100</v>
      </c>
      <c r="AH576" s="63">
        <f t="shared" si="1872"/>
        <v>1756.2492</v>
      </c>
      <c r="AI576" s="64">
        <f t="shared" ref="AI576:AI578" si="1915">AB576</f>
        <v>1888.44</v>
      </c>
      <c r="AJ576" s="64">
        <f t="shared" si="1898"/>
        <v>1756.2492</v>
      </c>
      <c r="AK576" s="66">
        <f t="shared" si="1730"/>
        <v>56.80796429</v>
      </c>
      <c r="AL576" s="66"/>
      <c r="AM576" s="14">
        <f t="shared" si="1875"/>
        <v>100</v>
      </c>
      <c r="AN576" s="67">
        <f t="shared" si="1876"/>
        <v>156.8079643</v>
      </c>
      <c r="AO576" s="68">
        <f t="shared" si="1877"/>
        <v>1.568079643</v>
      </c>
      <c r="AP576" s="69">
        <f t="shared" si="1878"/>
        <v>-1.321908</v>
      </c>
      <c r="AQ576" s="70">
        <f t="shared" si="1879"/>
        <v>7.062492</v>
      </c>
      <c r="AR576" s="71">
        <f t="shared" ref="AR576:AS576" si="1912">AI576/94</f>
        <v>20.08978723</v>
      </c>
      <c r="AS576" s="71">
        <f t="shared" si="1912"/>
        <v>18.68350213</v>
      </c>
      <c r="AT576" s="72">
        <f t="shared" ref="AT576:AU576" si="1913">AI576/24</f>
        <v>78.685</v>
      </c>
      <c r="AU576" s="72">
        <f t="shared" si="1913"/>
        <v>73.17705</v>
      </c>
      <c r="AV576" s="73">
        <f t="shared" ref="AV576:AW576" si="1914">AI576/125</f>
        <v>15.10752</v>
      </c>
      <c r="AW576" s="73">
        <f t="shared" si="1914"/>
        <v>14.0499936</v>
      </c>
    </row>
    <row r="577" ht="15.75" customHeight="1">
      <c r="A577" s="2"/>
      <c r="B577" s="2" t="s">
        <v>1143</v>
      </c>
      <c r="C577" s="75" t="s">
        <v>1144</v>
      </c>
      <c r="D577" s="103">
        <v>600.0</v>
      </c>
      <c r="E577" s="2">
        <v>115.0</v>
      </c>
      <c r="F577" s="1">
        <v>90.0</v>
      </c>
      <c r="G577" s="10">
        <v>4.42019E7</v>
      </c>
      <c r="H577" s="59">
        <v>0.05</v>
      </c>
      <c r="I577" s="2">
        <f t="shared" si="1792"/>
        <v>30</v>
      </c>
      <c r="K577" s="1">
        <v>400.0</v>
      </c>
      <c r="L577" s="4">
        <f t="shared" si="1708"/>
        <v>1235</v>
      </c>
      <c r="M577" s="2">
        <f t="shared" si="1853"/>
        <v>6</v>
      </c>
      <c r="N577" s="12">
        <f t="shared" si="1854"/>
        <v>98.8</v>
      </c>
      <c r="O577" s="12">
        <f t="shared" si="1855"/>
        <v>123.5</v>
      </c>
      <c r="P577" s="12">
        <f t="shared" si="1856"/>
        <v>61.75</v>
      </c>
      <c r="Q577" s="12">
        <f t="shared" si="1857"/>
        <v>24.7</v>
      </c>
      <c r="R577" s="12">
        <f t="shared" si="1858"/>
        <v>6.3</v>
      </c>
      <c r="S577" s="12">
        <f t="shared" si="1859"/>
        <v>12.35</v>
      </c>
      <c r="T577" s="60">
        <f t="shared" si="1860"/>
        <v>327.1</v>
      </c>
      <c r="U577" s="2">
        <f t="shared" si="1861"/>
        <v>12.6</v>
      </c>
      <c r="V577" s="42">
        <f t="shared" si="15"/>
        <v>63</v>
      </c>
      <c r="W577" s="2">
        <f t="shared" si="1862"/>
        <v>12.6</v>
      </c>
      <c r="X577" s="2">
        <f t="shared" si="1863"/>
        <v>100.8</v>
      </c>
      <c r="Y577" s="2">
        <f t="shared" si="1864"/>
        <v>189</v>
      </c>
      <c r="Z577" s="60">
        <f t="shared" si="1865"/>
        <v>1751.1</v>
      </c>
      <c r="AA577" s="11">
        <f t="shared" si="1866"/>
        <v>350.22</v>
      </c>
      <c r="AB577" s="12">
        <f t="shared" si="1867"/>
        <v>2101.32</v>
      </c>
      <c r="AC577" s="2">
        <f t="shared" si="1868"/>
        <v>1260</v>
      </c>
      <c r="AD577" s="12">
        <f t="shared" si="1869"/>
        <v>841.32</v>
      </c>
      <c r="AE577" s="12">
        <f t="shared" si="1870"/>
        <v>40.03769059</v>
      </c>
      <c r="AG577" s="62">
        <f t="shared" si="1871"/>
        <v>-100</v>
      </c>
      <c r="AH577" s="63">
        <f t="shared" si="1872"/>
        <v>1954.2276</v>
      </c>
      <c r="AI577" s="64">
        <f t="shared" si="1915"/>
        <v>2101.32</v>
      </c>
      <c r="AJ577" s="64">
        <f t="shared" si="1898"/>
        <v>1954.2276</v>
      </c>
      <c r="AK577" s="66">
        <f t="shared" si="1730"/>
        <v>58.23705263</v>
      </c>
      <c r="AL577" s="66"/>
      <c r="AM577" s="14">
        <f t="shared" si="1875"/>
        <v>100</v>
      </c>
      <c r="AN577" s="67">
        <f t="shared" si="1876"/>
        <v>158.2370526</v>
      </c>
      <c r="AO577" s="68">
        <f t="shared" si="1877"/>
        <v>1.582370526</v>
      </c>
      <c r="AP577" s="69">
        <f t="shared" si="1878"/>
        <v>-1.470924</v>
      </c>
      <c r="AQ577" s="70">
        <f t="shared" si="1879"/>
        <v>6.942276</v>
      </c>
      <c r="AR577" s="71">
        <f t="shared" ref="AR577:AS577" si="1916">AI577/94</f>
        <v>22.35446809</v>
      </c>
      <c r="AS577" s="71">
        <f t="shared" si="1916"/>
        <v>20.78965532</v>
      </c>
      <c r="AT577" s="72">
        <f t="shared" ref="AT577:AU577" si="1917">AI577/24</f>
        <v>87.555</v>
      </c>
      <c r="AU577" s="72">
        <f t="shared" si="1917"/>
        <v>81.42615</v>
      </c>
      <c r="AV577" s="73">
        <f t="shared" ref="AV577:AW577" si="1918">AI577/125</f>
        <v>16.81056</v>
      </c>
      <c r="AW577" s="73">
        <f t="shared" si="1918"/>
        <v>15.6338208</v>
      </c>
    </row>
    <row r="578" ht="15.75" customHeight="1">
      <c r="A578" s="2"/>
      <c r="B578" s="2" t="s">
        <v>1145</v>
      </c>
      <c r="C578" s="75" t="s">
        <v>1146</v>
      </c>
      <c r="D578" s="103">
        <v>650.0</v>
      </c>
      <c r="E578" s="2">
        <v>120.0</v>
      </c>
      <c r="F578" s="1">
        <v>90.0</v>
      </c>
      <c r="G578" s="10">
        <v>4.42019E7</v>
      </c>
      <c r="H578" s="59">
        <v>0.05</v>
      </c>
      <c r="I578" s="2">
        <f t="shared" si="1792"/>
        <v>32.5</v>
      </c>
      <c r="K578" s="1">
        <v>400.0</v>
      </c>
      <c r="L578" s="4">
        <f t="shared" si="1708"/>
        <v>1292.5</v>
      </c>
      <c r="M578" s="2">
        <f t="shared" si="1853"/>
        <v>6.5</v>
      </c>
      <c r="N578" s="12">
        <f t="shared" si="1854"/>
        <v>103.4</v>
      </c>
      <c r="O578" s="12">
        <f t="shared" si="1855"/>
        <v>129.25</v>
      </c>
      <c r="P578" s="12">
        <f t="shared" si="1856"/>
        <v>64.625</v>
      </c>
      <c r="Q578" s="12">
        <f t="shared" si="1857"/>
        <v>25.85</v>
      </c>
      <c r="R578" s="12">
        <f t="shared" si="1858"/>
        <v>6.825</v>
      </c>
      <c r="S578" s="12">
        <f t="shared" si="1859"/>
        <v>12.925</v>
      </c>
      <c r="T578" s="60">
        <f t="shared" si="1860"/>
        <v>342.55</v>
      </c>
      <c r="U578" s="2">
        <f t="shared" si="1861"/>
        <v>13.65</v>
      </c>
      <c r="V578" s="42">
        <f t="shared" si="15"/>
        <v>68.25</v>
      </c>
      <c r="W578" s="2">
        <f t="shared" si="1862"/>
        <v>13.65</v>
      </c>
      <c r="X578" s="2">
        <f t="shared" si="1863"/>
        <v>109.2</v>
      </c>
      <c r="Y578" s="2">
        <f t="shared" si="1864"/>
        <v>204.75</v>
      </c>
      <c r="Z578" s="60">
        <f t="shared" si="1865"/>
        <v>1839.8</v>
      </c>
      <c r="AA578" s="11">
        <f t="shared" si="1866"/>
        <v>367.96</v>
      </c>
      <c r="AB578" s="12">
        <f t="shared" si="1867"/>
        <v>2207.76</v>
      </c>
      <c r="AC578" s="2">
        <f t="shared" si="1868"/>
        <v>1365</v>
      </c>
      <c r="AD578" s="12">
        <f t="shared" si="1869"/>
        <v>842.76</v>
      </c>
      <c r="AE578" s="12">
        <f t="shared" si="1870"/>
        <v>38.17262746</v>
      </c>
      <c r="AG578" s="62">
        <f t="shared" si="1871"/>
        <v>-100</v>
      </c>
      <c r="AH578" s="63">
        <f t="shared" si="1872"/>
        <v>2053.2168</v>
      </c>
      <c r="AI578" s="64">
        <f t="shared" si="1915"/>
        <v>2207.76</v>
      </c>
      <c r="AJ578" s="64">
        <f t="shared" si="1898"/>
        <v>2053.2168</v>
      </c>
      <c r="AK578" s="66">
        <f t="shared" si="1730"/>
        <v>58.85623211</v>
      </c>
      <c r="AL578" s="66"/>
      <c r="AM578" s="14">
        <f t="shared" si="1875"/>
        <v>100</v>
      </c>
      <c r="AN578" s="67">
        <f t="shared" si="1876"/>
        <v>158.8562321</v>
      </c>
      <c r="AO578" s="68">
        <f t="shared" si="1877"/>
        <v>1.588562321</v>
      </c>
      <c r="AP578" s="69">
        <f t="shared" si="1878"/>
        <v>-1.545432</v>
      </c>
      <c r="AQ578" s="70">
        <f t="shared" si="1879"/>
        <v>6.882168</v>
      </c>
      <c r="AR578" s="71">
        <f t="shared" ref="AR578:AS578" si="1919">AI578/94</f>
        <v>23.48680851</v>
      </c>
      <c r="AS578" s="71">
        <f t="shared" si="1919"/>
        <v>21.84273191</v>
      </c>
      <c r="AT578" s="72">
        <f t="shared" ref="AT578:AU578" si="1920">AI578/24</f>
        <v>91.99</v>
      </c>
      <c r="AU578" s="72">
        <f t="shared" si="1920"/>
        <v>85.5507</v>
      </c>
      <c r="AV578" s="73">
        <f t="shared" ref="AV578:AW578" si="1921">AI578/125</f>
        <v>17.66208</v>
      </c>
      <c r="AW578" s="73">
        <f t="shared" si="1921"/>
        <v>16.4257344</v>
      </c>
    </row>
    <row r="579" ht="15.0" customHeight="1">
      <c r="A579" s="2" t="s">
        <v>1147</v>
      </c>
      <c r="B579" s="2" t="s">
        <v>1148</v>
      </c>
      <c r="C579" s="2" t="s">
        <v>1149</v>
      </c>
      <c r="D579" s="10">
        <v>150.0</v>
      </c>
      <c r="E579" s="76">
        <v>50.0</v>
      </c>
      <c r="F579" s="1">
        <v>50.0</v>
      </c>
      <c r="G579" s="10">
        <v>4.42019E7</v>
      </c>
      <c r="H579" s="59">
        <v>0.05</v>
      </c>
      <c r="I579" s="2">
        <f t="shared" si="1792"/>
        <v>7.5</v>
      </c>
      <c r="J579" s="2">
        <f t="shared" ref="J579:J581" si="1925">D579*5%</f>
        <v>7.5</v>
      </c>
      <c r="K579" s="102">
        <v>200.0</v>
      </c>
      <c r="L579" s="4">
        <f t="shared" si="1708"/>
        <v>465</v>
      </c>
      <c r="M579" s="2">
        <f t="shared" si="1853"/>
        <v>1.5</v>
      </c>
      <c r="N579" s="12">
        <f t="shared" si="1854"/>
        <v>37.2</v>
      </c>
      <c r="O579" s="12">
        <f t="shared" si="1855"/>
        <v>46.5</v>
      </c>
      <c r="P579" s="12">
        <f t="shared" si="1856"/>
        <v>23.25</v>
      </c>
      <c r="Q579" s="12">
        <f t="shared" si="1857"/>
        <v>9.3</v>
      </c>
      <c r="R579" s="12">
        <f t="shared" si="1858"/>
        <v>1.575</v>
      </c>
      <c r="S579" s="12">
        <f t="shared" si="1859"/>
        <v>4.65</v>
      </c>
      <c r="T579" s="60">
        <f t="shared" si="1860"/>
        <v>122.4</v>
      </c>
      <c r="U579" s="2">
        <f t="shared" si="1861"/>
        <v>3.15</v>
      </c>
      <c r="V579" s="42">
        <f t="shared" si="15"/>
        <v>15.75</v>
      </c>
      <c r="W579" s="2">
        <f t="shared" si="1862"/>
        <v>3.15</v>
      </c>
      <c r="X579" s="2">
        <f t="shared" si="1863"/>
        <v>25.2</v>
      </c>
      <c r="Y579" s="2">
        <f t="shared" si="1864"/>
        <v>47.25</v>
      </c>
      <c r="Z579" s="60">
        <f t="shared" si="1865"/>
        <v>634.65</v>
      </c>
      <c r="AA579" s="11">
        <f t="shared" si="1866"/>
        <v>126.93</v>
      </c>
      <c r="AB579" s="12">
        <f t="shared" si="1867"/>
        <v>761.58</v>
      </c>
      <c r="AC579" s="2">
        <f t="shared" si="1868"/>
        <v>315</v>
      </c>
      <c r="AD579" s="12">
        <f t="shared" si="1869"/>
        <v>446.58</v>
      </c>
      <c r="AE579" s="12">
        <f t="shared" si="1870"/>
        <v>58.63861971</v>
      </c>
      <c r="AF579" s="61">
        <v>925.0</v>
      </c>
      <c r="AG579" s="62">
        <f t="shared" si="1871"/>
        <v>98.92473118</v>
      </c>
      <c r="AH579" s="63">
        <f t="shared" si="1872"/>
        <v>65</v>
      </c>
      <c r="AI579" s="64">
        <v>1090.0</v>
      </c>
      <c r="AJ579" s="64">
        <v>990.0</v>
      </c>
      <c r="AK579" s="66">
        <f t="shared" si="1730"/>
        <v>112.9032258</v>
      </c>
      <c r="AL579" s="66"/>
      <c r="AM579" s="14">
        <f t="shared" si="1875"/>
        <v>6.565656566</v>
      </c>
      <c r="AN579" s="67">
        <f t="shared" si="1876"/>
        <v>13.97849462</v>
      </c>
      <c r="AO579" s="68">
        <f t="shared" si="1877"/>
        <v>2.129032258</v>
      </c>
      <c r="AP579" s="69">
        <f t="shared" si="1878"/>
        <v>2.2842</v>
      </c>
      <c r="AQ579" s="70">
        <f t="shared" si="1879"/>
        <v>6.75</v>
      </c>
      <c r="AR579" s="71">
        <f t="shared" ref="AR579:AS579" si="1922">AI579/94</f>
        <v>11.59574468</v>
      </c>
      <c r="AS579" s="71">
        <f t="shared" si="1922"/>
        <v>10.53191489</v>
      </c>
      <c r="AT579" s="72">
        <f t="shared" ref="AT579:AU579" si="1923">AI579/24</f>
        <v>45.41666667</v>
      </c>
      <c r="AU579" s="72">
        <f t="shared" si="1923"/>
        <v>41.25</v>
      </c>
      <c r="AV579" s="73">
        <f t="shared" ref="AV579:AW579" si="1924">AI579/125</f>
        <v>8.72</v>
      </c>
      <c r="AW579" s="73">
        <f t="shared" si="1924"/>
        <v>7.92</v>
      </c>
    </row>
    <row r="580" ht="15.75" customHeight="1">
      <c r="A580" s="2"/>
      <c r="B580" s="2" t="s">
        <v>1150</v>
      </c>
      <c r="C580" s="2" t="s">
        <v>1151</v>
      </c>
      <c r="D580" s="10">
        <v>150.0</v>
      </c>
      <c r="E580" s="76">
        <v>50.0</v>
      </c>
      <c r="F580" s="1">
        <v>50.0</v>
      </c>
      <c r="G580" s="10">
        <v>4.42019E7</v>
      </c>
      <c r="H580" s="59">
        <v>0.05</v>
      </c>
      <c r="I580" s="2">
        <f t="shared" si="1792"/>
        <v>7.5</v>
      </c>
      <c r="J580" s="2">
        <f t="shared" si="1925"/>
        <v>7.5</v>
      </c>
      <c r="K580" s="102">
        <v>200.0</v>
      </c>
      <c r="L580" s="4">
        <f t="shared" si="1708"/>
        <v>465</v>
      </c>
      <c r="M580" s="2">
        <f t="shared" si="1853"/>
        <v>1.5</v>
      </c>
      <c r="N580" s="12">
        <f t="shared" si="1854"/>
        <v>37.2</v>
      </c>
      <c r="O580" s="12">
        <f t="shared" si="1855"/>
        <v>46.5</v>
      </c>
      <c r="P580" s="12">
        <f t="shared" si="1856"/>
        <v>23.25</v>
      </c>
      <c r="Q580" s="12">
        <f t="shared" si="1857"/>
        <v>9.3</v>
      </c>
      <c r="R580" s="12">
        <f t="shared" si="1858"/>
        <v>1.575</v>
      </c>
      <c r="S580" s="12">
        <f t="shared" si="1859"/>
        <v>4.65</v>
      </c>
      <c r="T580" s="60">
        <f t="shared" si="1860"/>
        <v>122.4</v>
      </c>
      <c r="U580" s="2">
        <f t="shared" si="1861"/>
        <v>3.15</v>
      </c>
      <c r="V580" s="42">
        <f t="shared" si="15"/>
        <v>15.75</v>
      </c>
      <c r="W580" s="2">
        <f t="shared" si="1862"/>
        <v>3.15</v>
      </c>
      <c r="X580" s="2">
        <f t="shared" si="1863"/>
        <v>25.2</v>
      </c>
      <c r="Y580" s="2">
        <f t="shared" si="1864"/>
        <v>47.25</v>
      </c>
      <c r="Z580" s="60">
        <f t="shared" si="1865"/>
        <v>634.65</v>
      </c>
      <c r="AA580" s="11">
        <f t="shared" si="1866"/>
        <v>126.93</v>
      </c>
      <c r="AB580" s="12">
        <f t="shared" si="1867"/>
        <v>761.58</v>
      </c>
      <c r="AC580" s="2">
        <f t="shared" si="1868"/>
        <v>315</v>
      </c>
      <c r="AD580" s="12">
        <f t="shared" si="1869"/>
        <v>446.58</v>
      </c>
      <c r="AE580" s="12">
        <f t="shared" si="1870"/>
        <v>58.63861971</v>
      </c>
      <c r="AF580" s="61">
        <v>925.0</v>
      </c>
      <c r="AG580" s="62">
        <f t="shared" si="1871"/>
        <v>98.92473118</v>
      </c>
      <c r="AH580" s="63">
        <f t="shared" si="1872"/>
        <v>65</v>
      </c>
      <c r="AI580" s="64">
        <v>1090.0</v>
      </c>
      <c r="AJ580" s="64">
        <v>990.0</v>
      </c>
      <c r="AK580" s="66">
        <f t="shared" si="1730"/>
        <v>112.9032258</v>
      </c>
      <c r="AL580" s="66"/>
      <c r="AM580" s="14">
        <f t="shared" si="1875"/>
        <v>6.565656566</v>
      </c>
      <c r="AN580" s="67">
        <f t="shared" si="1876"/>
        <v>13.97849462</v>
      </c>
      <c r="AO580" s="68">
        <f t="shared" si="1877"/>
        <v>2.129032258</v>
      </c>
      <c r="AP580" s="69">
        <f t="shared" si="1878"/>
        <v>2.2842</v>
      </c>
      <c r="AQ580" s="70">
        <f t="shared" si="1879"/>
        <v>6.75</v>
      </c>
      <c r="AR580" s="71">
        <f t="shared" ref="AR580:AS580" si="1926">AI580/94</f>
        <v>11.59574468</v>
      </c>
      <c r="AS580" s="71">
        <f t="shared" si="1926"/>
        <v>10.53191489</v>
      </c>
      <c r="AT580" s="72">
        <f t="shared" ref="AT580:AU580" si="1927">AI580/24</f>
        <v>45.41666667</v>
      </c>
      <c r="AU580" s="72">
        <f t="shared" si="1927"/>
        <v>41.25</v>
      </c>
      <c r="AV580" s="73">
        <f t="shared" ref="AV580:AW580" si="1928">AI580/125</f>
        <v>8.72</v>
      </c>
      <c r="AW580" s="73">
        <f t="shared" si="1928"/>
        <v>7.92</v>
      </c>
    </row>
    <row r="581" ht="15.75" customHeight="1">
      <c r="A581" s="2"/>
      <c r="B581" s="2" t="s">
        <v>1152</v>
      </c>
      <c r="C581" s="2" t="s">
        <v>1153</v>
      </c>
      <c r="D581" s="10">
        <v>150.0</v>
      </c>
      <c r="E581" s="76">
        <v>50.0</v>
      </c>
      <c r="F581" s="1">
        <v>50.0</v>
      </c>
      <c r="G581" s="10">
        <v>4.42019E7</v>
      </c>
      <c r="H581" s="59">
        <v>0.05</v>
      </c>
      <c r="I581" s="2">
        <f t="shared" si="1792"/>
        <v>7.5</v>
      </c>
      <c r="J581" s="2">
        <f t="shared" si="1925"/>
        <v>7.5</v>
      </c>
      <c r="K581" s="102">
        <v>200.0</v>
      </c>
      <c r="L581" s="4">
        <f t="shared" si="1708"/>
        <v>465</v>
      </c>
      <c r="M581" s="2">
        <f t="shared" si="1853"/>
        <v>1.5</v>
      </c>
      <c r="N581" s="12">
        <f t="shared" si="1854"/>
        <v>37.2</v>
      </c>
      <c r="O581" s="12">
        <f t="shared" si="1855"/>
        <v>46.5</v>
      </c>
      <c r="P581" s="12">
        <f t="shared" si="1856"/>
        <v>23.25</v>
      </c>
      <c r="Q581" s="12">
        <f t="shared" si="1857"/>
        <v>9.3</v>
      </c>
      <c r="R581" s="12">
        <f t="shared" si="1858"/>
        <v>1.575</v>
      </c>
      <c r="S581" s="12">
        <f t="shared" si="1859"/>
        <v>4.65</v>
      </c>
      <c r="T581" s="60">
        <f t="shared" si="1860"/>
        <v>122.4</v>
      </c>
      <c r="U581" s="2">
        <f t="shared" si="1861"/>
        <v>3.15</v>
      </c>
      <c r="V581" s="42">
        <f t="shared" si="15"/>
        <v>15.75</v>
      </c>
      <c r="W581" s="2">
        <f t="shared" si="1862"/>
        <v>3.15</v>
      </c>
      <c r="X581" s="2">
        <f t="shared" si="1863"/>
        <v>25.2</v>
      </c>
      <c r="Y581" s="2">
        <f t="shared" si="1864"/>
        <v>47.25</v>
      </c>
      <c r="Z581" s="60">
        <f t="shared" si="1865"/>
        <v>634.65</v>
      </c>
      <c r="AA581" s="11">
        <f t="shared" si="1866"/>
        <v>126.93</v>
      </c>
      <c r="AB581" s="12">
        <f t="shared" si="1867"/>
        <v>761.58</v>
      </c>
      <c r="AC581" s="2">
        <f t="shared" si="1868"/>
        <v>315</v>
      </c>
      <c r="AD581" s="12">
        <f t="shared" si="1869"/>
        <v>446.58</v>
      </c>
      <c r="AE581" s="12">
        <f t="shared" si="1870"/>
        <v>58.63861971</v>
      </c>
      <c r="AF581" s="61">
        <v>925.0</v>
      </c>
      <c r="AG581" s="62">
        <f t="shared" si="1871"/>
        <v>98.92473118</v>
      </c>
      <c r="AH581" s="63">
        <f t="shared" si="1872"/>
        <v>65</v>
      </c>
      <c r="AI581" s="64">
        <v>1090.0</v>
      </c>
      <c r="AJ581" s="64">
        <v>990.0</v>
      </c>
      <c r="AK581" s="66">
        <f t="shared" si="1730"/>
        <v>112.9032258</v>
      </c>
      <c r="AL581" s="66"/>
      <c r="AM581" s="14">
        <f t="shared" si="1875"/>
        <v>6.565656566</v>
      </c>
      <c r="AN581" s="67">
        <f t="shared" si="1876"/>
        <v>13.97849462</v>
      </c>
      <c r="AO581" s="68">
        <f t="shared" si="1877"/>
        <v>2.129032258</v>
      </c>
      <c r="AP581" s="69">
        <f t="shared" si="1878"/>
        <v>2.2842</v>
      </c>
      <c r="AQ581" s="70">
        <f t="shared" si="1879"/>
        <v>6.75</v>
      </c>
      <c r="AR581" s="71">
        <f t="shared" ref="AR581:AS581" si="1929">AI581/94</f>
        <v>11.59574468</v>
      </c>
      <c r="AS581" s="71">
        <f t="shared" si="1929"/>
        <v>10.53191489</v>
      </c>
      <c r="AT581" s="72">
        <f t="shared" ref="AT581:AU581" si="1930">AI581/24</f>
        <v>45.41666667</v>
      </c>
      <c r="AU581" s="72">
        <f t="shared" si="1930"/>
        <v>41.25</v>
      </c>
      <c r="AV581" s="73">
        <f t="shared" ref="AV581:AW581" si="1931">AI581/125</f>
        <v>8.72</v>
      </c>
      <c r="AW581" s="73">
        <f t="shared" si="1931"/>
        <v>7.92</v>
      </c>
    </row>
    <row r="582" ht="15.75" customHeight="1">
      <c r="A582" s="2" t="s">
        <v>1154</v>
      </c>
      <c r="B582" s="2" t="s">
        <v>218</v>
      </c>
      <c r="C582" s="2" t="s">
        <v>1155</v>
      </c>
      <c r="D582" s="10">
        <v>1000.0</v>
      </c>
      <c r="E582" s="2">
        <v>100.0</v>
      </c>
      <c r="F582" s="1">
        <v>70.0</v>
      </c>
      <c r="G582" s="10">
        <v>4.42019E7</v>
      </c>
      <c r="H582" s="59">
        <v>0.05</v>
      </c>
      <c r="I582" s="2">
        <f t="shared" si="1792"/>
        <v>50</v>
      </c>
      <c r="K582" s="10">
        <v>150.0</v>
      </c>
      <c r="L582" s="4">
        <f t="shared" si="1708"/>
        <v>1370</v>
      </c>
      <c r="M582" s="2">
        <f t="shared" si="1853"/>
        <v>10</v>
      </c>
      <c r="N582" s="12">
        <f t="shared" si="1854"/>
        <v>109.6</v>
      </c>
      <c r="O582" s="12">
        <f t="shared" si="1855"/>
        <v>137</v>
      </c>
      <c r="P582" s="12">
        <f t="shared" si="1856"/>
        <v>68.5</v>
      </c>
      <c r="Q582" s="12">
        <f t="shared" si="1857"/>
        <v>27.4</v>
      </c>
      <c r="R582" s="12">
        <f t="shared" si="1858"/>
        <v>10.5</v>
      </c>
      <c r="S582" s="12">
        <f t="shared" si="1859"/>
        <v>13.7</v>
      </c>
      <c r="T582" s="60">
        <f t="shared" si="1860"/>
        <v>366.2</v>
      </c>
      <c r="U582" s="2">
        <f t="shared" si="1861"/>
        <v>21</v>
      </c>
      <c r="V582" s="42">
        <f t="shared" si="15"/>
        <v>105</v>
      </c>
      <c r="W582" s="2">
        <f t="shared" si="1862"/>
        <v>21</v>
      </c>
      <c r="X582" s="2">
        <f t="shared" si="1863"/>
        <v>168</v>
      </c>
      <c r="Y582" s="2">
        <f t="shared" si="1864"/>
        <v>315</v>
      </c>
      <c r="Z582" s="60">
        <f t="shared" si="1865"/>
        <v>2051.2</v>
      </c>
      <c r="AA582" s="11">
        <f t="shared" si="1866"/>
        <v>410.24</v>
      </c>
      <c r="AB582" s="12">
        <f t="shared" si="1867"/>
        <v>2461.44</v>
      </c>
      <c r="AC582" s="2">
        <f t="shared" si="1868"/>
        <v>2100</v>
      </c>
      <c r="AD582" s="12">
        <f t="shared" si="1869"/>
        <v>361.44</v>
      </c>
      <c r="AE582" s="12">
        <f t="shared" si="1870"/>
        <v>14.68408736</v>
      </c>
      <c r="AF582" s="61">
        <v>2450.0</v>
      </c>
      <c r="AG582" s="62">
        <f t="shared" si="1871"/>
        <v>78.83211679</v>
      </c>
      <c r="AH582" s="63">
        <f t="shared" si="1872"/>
        <v>40</v>
      </c>
      <c r="AI582" s="64">
        <v>2690.0</v>
      </c>
      <c r="AJ582" s="64">
        <v>2490.0</v>
      </c>
      <c r="AK582" s="66">
        <f t="shared" si="1730"/>
        <v>81.75182482</v>
      </c>
      <c r="AL582" s="66"/>
      <c r="AM582" s="14">
        <f t="shared" si="1875"/>
        <v>1.606425703</v>
      </c>
      <c r="AN582" s="67">
        <f t="shared" si="1876"/>
        <v>2.919708029</v>
      </c>
      <c r="AO582" s="68">
        <f t="shared" si="1877"/>
        <v>1.817518248</v>
      </c>
      <c r="AP582" s="69">
        <f t="shared" si="1878"/>
        <v>0.2856</v>
      </c>
      <c r="AQ582" s="70">
        <f t="shared" si="1879"/>
        <v>3.9</v>
      </c>
      <c r="AR582" s="71">
        <f t="shared" ref="AR582:AS582" si="1932">AI582/94</f>
        <v>28.61702128</v>
      </c>
      <c r="AS582" s="71">
        <f t="shared" si="1932"/>
        <v>26.4893617</v>
      </c>
      <c r="AT582" s="72">
        <f t="shared" ref="AT582:AU582" si="1933">AI582/24</f>
        <v>112.0833333</v>
      </c>
      <c r="AU582" s="72">
        <f t="shared" si="1933"/>
        <v>103.75</v>
      </c>
      <c r="AV582" s="73">
        <f t="shared" ref="AV582:AW582" si="1934">AI582/125</f>
        <v>21.52</v>
      </c>
      <c r="AW582" s="73">
        <f t="shared" si="1934"/>
        <v>19.92</v>
      </c>
    </row>
    <row r="583" ht="15.0" customHeight="1">
      <c r="A583" s="42" t="s">
        <v>1156</v>
      </c>
      <c r="B583" s="42" t="s">
        <v>1114</v>
      </c>
      <c r="C583" s="95" t="s">
        <v>1157</v>
      </c>
      <c r="D583" s="45">
        <v>900.0</v>
      </c>
      <c r="E583" s="42">
        <v>120.0</v>
      </c>
      <c r="F583" s="44">
        <v>60.0</v>
      </c>
      <c r="G583" s="45">
        <v>8.3061E7</v>
      </c>
      <c r="H583" s="46">
        <v>0.05</v>
      </c>
      <c r="I583" s="42">
        <f t="shared" si="1792"/>
        <v>45</v>
      </c>
      <c r="J583" s="47"/>
      <c r="K583" s="44">
        <v>50.0</v>
      </c>
      <c r="L583" s="48">
        <f t="shared" si="1708"/>
        <v>1175</v>
      </c>
      <c r="M583" s="42">
        <f t="shared" si="1853"/>
        <v>9</v>
      </c>
      <c r="N583" s="49">
        <f t="shared" si="1854"/>
        <v>94</v>
      </c>
      <c r="O583" s="49">
        <f t="shared" si="1855"/>
        <v>117.5</v>
      </c>
      <c r="P583" s="49">
        <f t="shared" si="1856"/>
        <v>58.75</v>
      </c>
      <c r="Q583" s="49">
        <f t="shared" si="1857"/>
        <v>23.5</v>
      </c>
      <c r="R583" s="49">
        <f t="shared" si="1858"/>
        <v>9.45</v>
      </c>
      <c r="S583" s="49">
        <f t="shared" si="1859"/>
        <v>11.75</v>
      </c>
      <c r="T583" s="50">
        <f t="shared" si="1860"/>
        <v>314.5</v>
      </c>
      <c r="U583" s="42">
        <f t="shared" si="1861"/>
        <v>18.9</v>
      </c>
      <c r="V583" s="42">
        <f t="shared" si="15"/>
        <v>94.5</v>
      </c>
      <c r="W583" s="42">
        <f t="shared" si="1862"/>
        <v>18.9</v>
      </c>
      <c r="X583" s="42">
        <f t="shared" si="1863"/>
        <v>151.2</v>
      </c>
      <c r="Y583" s="42">
        <f t="shared" si="1864"/>
        <v>283.5</v>
      </c>
      <c r="Z583" s="50">
        <f t="shared" si="1865"/>
        <v>1773</v>
      </c>
      <c r="AA583" s="51">
        <f t="shared" si="1866"/>
        <v>354.6</v>
      </c>
      <c r="AB583" s="49">
        <f t="shared" si="1867"/>
        <v>2127.6</v>
      </c>
      <c r="AC583" s="42">
        <f t="shared" si="1868"/>
        <v>1890</v>
      </c>
      <c r="AD583" s="49">
        <f t="shared" si="1869"/>
        <v>237.6</v>
      </c>
      <c r="AE583" s="49">
        <f t="shared" si="1870"/>
        <v>11.16751269</v>
      </c>
      <c r="AF583" s="47"/>
      <c r="AG583" s="52">
        <f t="shared" si="1871"/>
        <v>-100</v>
      </c>
      <c r="AH583" s="53">
        <f t="shared" si="1872"/>
        <v>2690</v>
      </c>
      <c r="AI583" s="53">
        <f t="shared" ref="AI583:AI586" si="1938">AB583</f>
        <v>2127.6</v>
      </c>
      <c r="AJ583" s="54">
        <v>2690.0</v>
      </c>
      <c r="AK583" s="55">
        <f t="shared" si="1730"/>
        <v>128.9361702</v>
      </c>
      <c r="AL583" s="55"/>
      <c r="AM583" s="55">
        <f t="shared" si="1875"/>
        <v>100</v>
      </c>
      <c r="AN583" s="55">
        <f t="shared" si="1876"/>
        <v>228.9361702</v>
      </c>
      <c r="AO583" s="56">
        <f t="shared" si="1877"/>
        <v>2.289361702</v>
      </c>
      <c r="AP583" s="55">
        <f t="shared" si="1878"/>
        <v>5.624</v>
      </c>
      <c r="AQ583" s="55">
        <f t="shared" si="1879"/>
        <v>8</v>
      </c>
      <c r="AR583" s="57">
        <f t="shared" ref="AR583:AS583" si="1935">AI583/94</f>
        <v>22.63404255</v>
      </c>
      <c r="AS583" s="57">
        <f t="shared" si="1935"/>
        <v>28.61702128</v>
      </c>
      <c r="AT583" s="58">
        <f t="shared" ref="AT583:AU583" si="1936">AI583/24</f>
        <v>88.65</v>
      </c>
      <c r="AU583" s="58">
        <f t="shared" si="1936"/>
        <v>112.0833333</v>
      </c>
      <c r="AV583" s="58">
        <f t="shared" ref="AV583:AW583" si="1937">AI583/125</f>
        <v>17.0208</v>
      </c>
      <c r="AW583" s="58">
        <f t="shared" si="1937"/>
        <v>21.52</v>
      </c>
      <c r="AX583" s="47"/>
      <c r="AY583" s="47"/>
    </row>
    <row r="584" ht="15.75" customHeight="1">
      <c r="A584" s="42"/>
      <c r="B584" s="42" t="s">
        <v>365</v>
      </c>
      <c r="C584" s="95" t="s">
        <v>1158</v>
      </c>
      <c r="D584" s="45">
        <v>800.0</v>
      </c>
      <c r="E584" s="42">
        <v>100.0</v>
      </c>
      <c r="F584" s="44">
        <v>60.0</v>
      </c>
      <c r="G584" s="45">
        <v>8.3061E7</v>
      </c>
      <c r="H584" s="46">
        <v>0.05</v>
      </c>
      <c r="I584" s="42">
        <f t="shared" si="1792"/>
        <v>40</v>
      </c>
      <c r="J584" s="47"/>
      <c r="K584" s="44">
        <v>50.0</v>
      </c>
      <c r="L584" s="48">
        <f t="shared" si="1708"/>
        <v>1050</v>
      </c>
      <c r="M584" s="42">
        <f t="shared" si="1853"/>
        <v>8</v>
      </c>
      <c r="N584" s="49">
        <f t="shared" si="1854"/>
        <v>84</v>
      </c>
      <c r="O584" s="49">
        <f t="shared" si="1855"/>
        <v>105</v>
      </c>
      <c r="P584" s="49">
        <f t="shared" si="1856"/>
        <v>52.5</v>
      </c>
      <c r="Q584" s="49">
        <f t="shared" si="1857"/>
        <v>21</v>
      </c>
      <c r="R584" s="49">
        <f t="shared" si="1858"/>
        <v>8.4</v>
      </c>
      <c r="S584" s="49">
        <f t="shared" si="1859"/>
        <v>10.5</v>
      </c>
      <c r="T584" s="50">
        <f t="shared" si="1860"/>
        <v>281</v>
      </c>
      <c r="U584" s="42">
        <f t="shared" si="1861"/>
        <v>16.8</v>
      </c>
      <c r="V584" s="42">
        <f t="shared" si="15"/>
        <v>84</v>
      </c>
      <c r="W584" s="42">
        <f t="shared" si="1862"/>
        <v>16.8</v>
      </c>
      <c r="X584" s="42">
        <f t="shared" si="1863"/>
        <v>134.4</v>
      </c>
      <c r="Y584" s="42">
        <f t="shared" si="1864"/>
        <v>252</v>
      </c>
      <c r="Z584" s="50">
        <f t="shared" si="1865"/>
        <v>1583</v>
      </c>
      <c r="AA584" s="51">
        <f t="shared" si="1866"/>
        <v>316.6</v>
      </c>
      <c r="AB584" s="49">
        <f t="shared" si="1867"/>
        <v>1899.6</v>
      </c>
      <c r="AC584" s="42">
        <f t="shared" si="1868"/>
        <v>1680</v>
      </c>
      <c r="AD584" s="49">
        <f t="shared" si="1869"/>
        <v>219.6</v>
      </c>
      <c r="AE584" s="49">
        <f t="shared" si="1870"/>
        <v>11.56032849</v>
      </c>
      <c r="AF584" s="47"/>
      <c r="AG584" s="52">
        <f t="shared" si="1871"/>
        <v>-100</v>
      </c>
      <c r="AH584" s="53">
        <f t="shared" si="1872"/>
        <v>2490</v>
      </c>
      <c r="AI584" s="53">
        <f t="shared" si="1938"/>
        <v>1899.6</v>
      </c>
      <c r="AJ584" s="54">
        <v>2490.0</v>
      </c>
      <c r="AK584" s="55">
        <f t="shared" si="1730"/>
        <v>137.1428571</v>
      </c>
      <c r="AL584" s="55"/>
      <c r="AM584" s="55">
        <f t="shared" si="1875"/>
        <v>100</v>
      </c>
      <c r="AN584" s="55">
        <f t="shared" si="1876"/>
        <v>237.1428571</v>
      </c>
      <c r="AO584" s="56">
        <f t="shared" si="1877"/>
        <v>2.371428571</v>
      </c>
      <c r="AP584" s="55">
        <f t="shared" si="1878"/>
        <v>5.904</v>
      </c>
      <c r="AQ584" s="55">
        <f t="shared" si="1879"/>
        <v>8.1</v>
      </c>
      <c r="AR584" s="57">
        <f t="shared" ref="AR584:AS584" si="1939">AI584/94</f>
        <v>20.20851064</v>
      </c>
      <c r="AS584" s="57">
        <f t="shared" si="1939"/>
        <v>26.4893617</v>
      </c>
      <c r="AT584" s="58">
        <f t="shared" ref="AT584:AU584" si="1940">AI584/24</f>
        <v>79.15</v>
      </c>
      <c r="AU584" s="58">
        <f t="shared" si="1940"/>
        <v>103.75</v>
      </c>
      <c r="AV584" s="58">
        <f t="shared" ref="AV584:AW584" si="1941">AI584/125</f>
        <v>15.1968</v>
      </c>
      <c r="AW584" s="58">
        <f t="shared" si="1941"/>
        <v>19.92</v>
      </c>
      <c r="AX584" s="47"/>
      <c r="AY584" s="47"/>
    </row>
    <row r="585" ht="15.75" customHeight="1">
      <c r="A585" s="42"/>
      <c r="B585" s="42" t="s">
        <v>363</v>
      </c>
      <c r="C585" s="95" t="s">
        <v>1159</v>
      </c>
      <c r="D585" s="45">
        <v>700.0</v>
      </c>
      <c r="E585" s="42">
        <v>80.0</v>
      </c>
      <c r="F585" s="44">
        <v>60.0</v>
      </c>
      <c r="G585" s="45">
        <v>8.3061E7</v>
      </c>
      <c r="H585" s="46">
        <v>0.05</v>
      </c>
      <c r="I585" s="42">
        <f t="shared" si="1792"/>
        <v>35</v>
      </c>
      <c r="J585" s="47"/>
      <c r="K585" s="44">
        <v>50.0</v>
      </c>
      <c r="L585" s="48">
        <f t="shared" si="1708"/>
        <v>925</v>
      </c>
      <c r="M585" s="42">
        <f t="shared" si="1853"/>
        <v>7</v>
      </c>
      <c r="N585" s="49">
        <f t="shared" si="1854"/>
        <v>74</v>
      </c>
      <c r="O585" s="49">
        <f t="shared" si="1855"/>
        <v>92.5</v>
      </c>
      <c r="P585" s="49">
        <f t="shared" si="1856"/>
        <v>46.25</v>
      </c>
      <c r="Q585" s="49">
        <f t="shared" si="1857"/>
        <v>18.5</v>
      </c>
      <c r="R585" s="49">
        <f t="shared" si="1858"/>
        <v>7.35</v>
      </c>
      <c r="S585" s="49">
        <f t="shared" si="1859"/>
        <v>9.25</v>
      </c>
      <c r="T585" s="50">
        <f t="shared" si="1860"/>
        <v>247.5</v>
      </c>
      <c r="U585" s="42">
        <f t="shared" si="1861"/>
        <v>14.7</v>
      </c>
      <c r="V585" s="42">
        <f t="shared" si="15"/>
        <v>73.5</v>
      </c>
      <c r="W585" s="42">
        <f t="shared" si="1862"/>
        <v>14.7</v>
      </c>
      <c r="X585" s="42">
        <f t="shared" si="1863"/>
        <v>117.6</v>
      </c>
      <c r="Y585" s="42">
        <f t="shared" si="1864"/>
        <v>220.5</v>
      </c>
      <c r="Z585" s="50">
        <f t="shared" si="1865"/>
        <v>1393</v>
      </c>
      <c r="AA585" s="51">
        <f t="shared" si="1866"/>
        <v>278.6</v>
      </c>
      <c r="AB585" s="49">
        <f t="shared" si="1867"/>
        <v>1671.6</v>
      </c>
      <c r="AC585" s="42">
        <f t="shared" si="1868"/>
        <v>1470</v>
      </c>
      <c r="AD585" s="49">
        <f t="shared" si="1869"/>
        <v>201.6</v>
      </c>
      <c r="AE585" s="49">
        <f t="shared" si="1870"/>
        <v>12.06030151</v>
      </c>
      <c r="AF585" s="47"/>
      <c r="AG585" s="52">
        <f t="shared" si="1871"/>
        <v>-100</v>
      </c>
      <c r="AH585" s="53">
        <f t="shared" si="1872"/>
        <v>2290</v>
      </c>
      <c r="AI585" s="53">
        <f t="shared" si="1938"/>
        <v>1671.6</v>
      </c>
      <c r="AJ585" s="54">
        <v>2290.0</v>
      </c>
      <c r="AK585" s="55">
        <f t="shared" si="1730"/>
        <v>147.5675676</v>
      </c>
      <c r="AL585" s="55"/>
      <c r="AM585" s="55">
        <f t="shared" si="1875"/>
        <v>100</v>
      </c>
      <c r="AN585" s="55">
        <f t="shared" si="1876"/>
        <v>247.5675676</v>
      </c>
      <c r="AO585" s="56">
        <f t="shared" si="1877"/>
        <v>2.475675676</v>
      </c>
      <c r="AP585" s="55">
        <f t="shared" si="1878"/>
        <v>6.184</v>
      </c>
      <c r="AQ585" s="55">
        <f t="shared" si="1879"/>
        <v>8.2</v>
      </c>
      <c r="AR585" s="57">
        <f t="shared" ref="AR585:AS585" si="1942">AI585/94</f>
        <v>17.78297872</v>
      </c>
      <c r="AS585" s="57">
        <f t="shared" si="1942"/>
        <v>24.36170213</v>
      </c>
      <c r="AT585" s="58">
        <f t="shared" ref="AT585:AU585" si="1943">AI585/24</f>
        <v>69.65</v>
      </c>
      <c r="AU585" s="58">
        <f t="shared" si="1943"/>
        <v>95.41666667</v>
      </c>
      <c r="AV585" s="58">
        <f t="shared" ref="AV585:AW585" si="1944">AI585/125</f>
        <v>13.3728</v>
      </c>
      <c r="AW585" s="58">
        <f t="shared" si="1944"/>
        <v>18.32</v>
      </c>
      <c r="AX585" s="47"/>
      <c r="AY585" s="47"/>
    </row>
    <row r="586" ht="15.75" customHeight="1">
      <c r="A586" s="2" t="s">
        <v>1160</v>
      </c>
      <c r="B586" s="2" t="s">
        <v>218</v>
      </c>
      <c r="C586" s="75" t="s">
        <v>1161</v>
      </c>
      <c r="D586" s="141">
        <v>9000.0</v>
      </c>
      <c r="E586" s="76">
        <v>200.0</v>
      </c>
      <c r="F586" s="1">
        <v>125.0</v>
      </c>
      <c r="G586" s="10">
        <v>8.3061E7</v>
      </c>
      <c r="H586" s="59">
        <v>0.05</v>
      </c>
      <c r="I586" s="2">
        <f t="shared" si="1792"/>
        <v>450</v>
      </c>
      <c r="K586" s="94">
        <v>200.0</v>
      </c>
      <c r="L586" s="4">
        <f t="shared" si="1708"/>
        <v>9975</v>
      </c>
      <c r="M586" s="2">
        <f t="shared" si="1853"/>
        <v>90</v>
      </c>
      <c r="N586" s="12">
        <f t="shared" si="1854"/>
        <v>798</v>
      </c>
      <c r="O586" s="12">
        <f t="shared" si="1855"/>
        <v>997.5</v>
      </c>
      <c r="P586" s="12">
        <f t="shared" si="1856"/>
        <v>498.75</v>
      </c>
      <c r="Q586" s="12">
        <f t="shared" si="1857"/>
        <v>199.5</v>
      </c>
      <c r="R586" s="12">
        <f t="shared" si="1858"/>
        <v>94.5</v>
      </c>
      <c r="S586" s="12">
        <f t="shared" si="1859"/>
        <v>99.75</v>
      </c>
      <c r="T586" s="60">
        <f t="shared" si="1860"/>
        <v>2683.5</v>
      </c>
      <c r="U586" s="2">
        <f t="shared" si="1861"/>
        <v>189</v>
      </c>
      <c r="V586" s="42">
        <f t="shared" si="15"/>
        <v>945</v>
      </c>
      <c r="W586" s="2">
        <f t="shared" si="1862"/>
        <v>189</v>
      </c>
      <c r="X586" s="2">
        <f t="shared" si="1863"/>
        <v>1512</v>
      </c>
      <c r="Y586" s="2">
        <f t="shared" si="1864"/>
        <v>2835</v>
      </c>
      <c r="Z586" s="60">
        <f t="shared" si="1865"/>
        <v>15493.5</v>
      </c>
      <c r="AA586" s="11">
        <f t="shared" si="1866"/>
        <v>3098.7</v>
      </c>
      <c r="AB586" s="12">
        <f t="shared" si="1867"/>
        <v>18592.2</v>
      </c>
      <c r="AC586" s="2">
        <f t="shared" si="1868"/>
        <v>18900</v>
      </c>
      <c r="AD586" s="12">
        <f t="shared" si="1869"/>
        <v>-307.8</v>
      </c>
      <c r="AE586" s="12">
        <f t="shared" si="1870"/>
        <v>-1.655532965</v>
      </c>
      <c r="AF586" s="76">
        <v>15490.0</v>
      </c>
      <c r="AG586" s="62">
        <f t="shared" si="1871"/>
        <v>55.28822055</v>
      </c>
      <c r="AH586" s="63">
        <f t="shared" si="1872"/>
        <v>0</v>
      </c>
      <c r="AI586" s="64">
        <f t="shared" si="1938"/>
        <v>18592.2</v>
      </c>
      <c r="AJ586" s="65">
        <v>15490.0</v>
      </c>
      <c r="AK586" s="66">
        <f t="shared" si="1730"/>
        <v>55.28822055</v>
      </c>
      <c r="AL586" s="66"/>
      <c r="AM586" s="14">
        <f t="shared" si="1875"/>
        <v>0</v>
      </c>
      <c r="AN586" s="67">
        <f t="shared" si="1876"/>
        <v>0</v>
      </c>
      <c r="AO586" s="68">
        <f t="shared" si="1877"/>
        <v>1.552882206</v>
      </c>
      <c r="AP586" s="69">
        <f t="shared" si="1878"/>
        <v>-31.022</v>
      </c>
      <c r="AQ586" s="70">
        <f t="shared" si="1879"/>
        <v>-34.1</v>
      </c>
      <c r="AR586" s="71">
        <f t="shared" ref="AR586:AS586" si="1945">AI586/94</f>
        <v>197.7893617</v>
      </c>
      <c r="AS586" s="71">
        <f t="shared" si="1945"/>
        <v>164.787234</v>
      </c>
      <c r="AT586" s="72">
        <f t="shared" ref="AT586:AU586" si="1946">AI586/24</f>
        <v>774.675</v>
      </c>
      <c r="AU586" s="72">
        <f t="shared" si="1946"/>
        <v>645.4166667</v>
      </c>
      <c r="AV586" s="73">
        <f t="shared" ref="AV586:AW586" si="1947">AI586/125</f>
        <v>148.7376</v>
      </c>
      <c r="AW586" s="73">
        <f t="shared" si="1947"/>
        <v>123.92</v>
      </c>
    </row>
    <row r="587" ht="15.0" customHeight="1">
      <c r="A587" s="2" t="s">
        <v>1162</v>
      </c>
      <c r="B587" s="2" t="s">
        <v>274</v>
      </c>
      <c r="C587" s="2" t="s">
        <v>1163</v>
      </c>
      <c r="D587" s="105">
        <v>2000.0</v>
      </c>
      <c r="F587" s="1">
        <v>125.0</v>
      </c>
      <c r="G587" s="10">
        <v>4.60211E7</v>
      </c>
      <c r="H587" s="231">
        <v>0.05</v>
      </c>
      <c r="I587" s="2">
        <f t="shared" si="1792"/>
        <v>100</v>
      </c>
      <c r="K587" s="94">
        <v>500.0</v>
      </c>
      <c r="L587" s="4">
        <f t="shared" si="1708"/>
        <v>2725</v>
      </c>
      <c r="M587" s="2">
        <f t="shared" si="1853"/>
        <v>20</v>
      </c>
      <c r="N587" s="12">
        <f t="shared" si="1854"/>
        <v>218</v>
      </c>
      <c r="O587" s="12">
        <f t="shared" si="1855"/>
        <v>272.5</v>
      </c>
      <c r="P587" s="12">
        <f t="shared" si="1856"/>
        <v>136.25</v>
      </c>
      <c r="Q587" s="12">
        <f t="shared" si="1857"/>
        <v>54.5</v>
      </c>
      <c r="R587" s="12">
        <f t="shared" si="1858"/>
        <v>21</v>
      </c>
      <c r="S587" s="12">
        <f t="shared" si="1859"/>
        <v>27.25</v>
      </c>
      <c r="T587" s="60">
        <f t="shared" si="1860"/>
        <v>728.5</v>
      </c>
      <c r="U587" s="2">
        <f t="shared" si="1861"/>
        <v>42</v>
      </c>
      <c r="V587" s="42">
        <f t="shared" si="15"/>
        <v>210</v>
      </c>
      <c r="W587" s="2">
        <f t="shared" si="1862"/>
        <v>42</v>
      </c>
      <c r="X587" s="2">
        <f t="shared" si="1863"/>
        <v>336</v>
      </c>
      <c r="Y587" s="2">
        <f t="shared" si="1864"/>
        <v>630</v>
      </c>
      <c r="Z587" s="60">
        <f t="shared" si="1865"/>
        <v>4083.5</v>
      </c>
      <c r="AA587" s="11">
        <f t="shared" si="1866"/>
        <v>816.7</v>
      </c>
      <c r="AB587" s="12">
        <f t="shared" si="1867"/>
        <v>4900.2</v>
      </c>
      <c r="AC587" s="2">
        <f t="shared" si="1868"/>
        <v>4200</v>
      </c>
      <c r="AD587" s="12">
        <f t="shared" si="1869"/>
        <v>700.2</v>
      </c>
      <c r="AE587" s="12">
        <f t="shared" si="1870"/>
        <v>14.28921269</v>
      </c>
      <c r="AF587" s="61">
        <v>7750.0</v>
      </c>
      <c r="AG587" s="62">
        <f t="shared" si="1871"/>
        <v>184.4036697</v>
      </c>
      <c r="AH587" s="63">
        <f t="shared" si="1872"/>
        <v>540</v>
      </c>
      <c r="AI587" s="64">
        <v>8990.0</v>
      </c>
      <c r="AJ587" s="64">
        <v>8290.0</v>
      </c>
      <c r="AK587" s="66">
        <f t="shared" si="1730"/>
        <v>204.2201835</v>
      </c>
      <c r="AL587" s="66"/>
      <c r="AM587" s="14">
        <f t="shared" si="1875"/>
        <v>6.513872135</v>
      </c>
      <c r="AN587" s="67">
        <f t="shared" si="1876"/>
        <v>19.81651376</v>
      </c>
      <c r="AO587" s="68">
        <f t="shared" si="1877"/>
        <v>3.042201835</v>
      </c>
      <c r="AP587" s="69">
        <f t="shared" si="1878"/>
        <v>33.898</v>
      </c>
      <c r="AQ587" s="70">
        <f t="shared" si="1879"/>
        <v>40.9</v>
      </c>
      <c r="AR587" s="71">
        <f t="shared" ref="AR587:AS587" si="1948">AI587/94</f>
        <v>95.63829787</v>
      </c>
      <c r="AS587" s="71">
        <f t="shared" si="1948"/>
        <v>88.19148936</v>
      </c>
      <c r="AT587" s="72">
        <f t="shared" ref="AT587:AU587" si="1949">AI587/24</f>
        <v>374.5833333</v>
      </c>
      <c r="AU587" s="72">
        <f t="shared" si="1949"/>
        <v>345.4166667</v>
      </c>
      <c r="AV587" s="73">
        <f t="shared" ref="AV587:AW587" si="1950">AI587/125</f>
        <v>71.92</v>
      </c>
      <c r="AW587" s="73">
        <f t="shared" si="1950"/>
        <v>66.32</v>
      </c>
    </row>
    <row r="588" ht="15.75" customHeight="1">
      <c r="A588" s="2"/>
      <c r="B588" s="2" t="s">
        <v>74</v>
      </c>
      <c r="C588" s="2" t="s">
        <v>1164</v>
      </c>
      <c r="D588" s="105">
        <v>2000.0</v>
      </c>
      <c r="F588" s="1">
        <v>125.0</v>
      </c>
      <c r="G588" s="10">
        <v>4.60211E7</v>
      </c>
      <c r="H588" s="231">
        <v>0.05</v>
      </c>
      <c r="I588" s="2">
        <f t="shared" si="1792"/>
        <v>100</v>
      </c>
      <c r="K588" s="94">
        <v>500.0</v>
      </c>
      <c r="L588" s="4">
        <f t="shared" si="1708"/>
        <v>2725</v>
      </c>
      <c r="M588" s="2">
        <f t="shared" si="1853"/>
        <v>20</v>
      </c>
      <c r="N588" s="12">
        <f t="shared" si="1854"/>
        <v>218</v>
      </c>
      <c r="O588" s="12">
        <f t="shared" si="1855"/>
        <v>272.5</v>
      </c>
      <c r="P588" s="12">
        <f t="shared" si="1856"/>
        <v>136.25</v>
      </c>
      <c r="Q588" s="12">
        <f t="shared" si="1857"/>
        <v>54.5</v>
      </c>
      <c r="R588" s="12">
        <f t="shared" si="1858"/>
        <v>21</v>
      </c>
      <c r="S588" s="12">
        <f t="shared" si="1859"/>
        <v>27.25</v>
      </c>
      <c r="T588" s="60">
        <f t="shared" si="1860"/>
        <v>728.5</v>
      </c>
      <c r="U588" s="2">
        <f t="shared" si="1861"/>
        <v>42</v>
      </c>
      <c r="V588" s="42">
        <f t="shared" si="15"/>
        <v>210</v>
      </c>
      <c r="W588" s="2">
        <f t="shared" si="1862"/>
        <v>42</v>
      </c>
      <c r="X588" s="2">
        <f t="shared" si="1863"/>
        <v>336</v>
      </c>
      <c r="Y588" s="2">
        <f t="shared" si="1864"/>
        <v>630</v>
      </c>
      <c r="Z588" s="60">
        <f t="shared" si="1865"/>
        <v>4083.5</v>
      </c>
      <c r="AA588" s="11">
        <f t="shared" si="1866"/>
        <v>816.7</v>
      </c>
      <c r="AB588" s="12">
        <f t="shared" si="1867"/>
        <v>4900.2</v>
      </c>
      <c r="AC588" s="2">
        <f t="shared" si="1868"/>
        <v>4200</v>
      </c>
      <c r="AD588" s="12">
        <f t="shared" si="1869"/>
        <v>700.2</v>
      </c>
      <c r="AE588" s="12">
        <f t="shared" si="1870"/>
        <v>14.28921269</v>
      </c>
      <c r="AF588" s="61">
        <v>7750.0</v>
      </c>
      <c r="AG588" s="62">
        <f t="shared" si="1871"/>
        <v>184.4036697</v>
      </c>
      <c r="AH588" s="63">
        <f t="shared" si="1872"/>
        <v>540</v>
      </c>
      <c r="AI588" s="64">
        <v>8990.0</v>
      </c>
      <c r="AJ588" s="64">
        <v>8290.0</v>
      </c>
      <c r="AK588" s="66">
        <f t="shared" si="1730"/>
        <v>204.2201835</v>
      </c>
      <c r="AL588" s="66"/>
      <c r="AM588" s="14">
        <f t="shared" si="1875"/>
        <v>6.513872135</v>
      </c>
      <c r="AN588" s="67">
        <f t="shared" si="1876"/>
        <v>19.81651376</v>
      </c>
      <c r="AO588" s="68">
        <f t="shared" si="1877"/>
        <v>3.042201835</v>
      </c>
      <c r="AP588" s="69">
        <f t="shared" si="1878"/>
        <v>33.898</v>
      </c>
      <c r="AQ588" s="70">
        <f t="shared" si="1879"/>
        <v>40.9</v>
      </c>
      <c r="AR588" s="71">
        <f t="shared" ref="AR588:AS588" si="1951">AI588/94</f>
        <v>95.63829787</v>
      </c>
      <c r="AS588" s="71">
        <f t="shared" si="1951"/>
        <v>88.19148936</v>
      </c>
      <c r="AT588" s="72">
        <f t="shared" ref="AT588:AU588" si="1952">AI588/24</f>
        <v>374.5833333</v>
      </c>
      <c r="AU588" s="72">
        <f t="shared" si="1952"/>
        <v>345.4166667</v>
      </c>
      <c r="AV588" s="73">
        <f t="shared" ref="AV588:AW588" si="1953">AI588/125</f>
        <v>71.92</v>
      </c>
      <c r="AW588" s="73">
        <f t="shared" si="1953"/>
        <v>66.32</v>
      </c>
    </row>
    <row r="589" ht="15.75" customHeight="1">
      <c r="A589" s="2"/>
      <c r="B589" s="2" t="s">
        <v>72</v>
      </c>
      <c r="C589" s="2" t="s">
        <v>1165</v>
      </c>
      <c r="D589" s="105">
        <v>2000.0</v>
      </c>
      <c r="F589" s="1">
        <v>125.0</v>
      </c>
      <c r="G589" s="10">
        <v>4.60211E7</v>
      </c>
      <c r="H589" s="231">
        <v>0.05</v>
      </c>
      <c r="I589" s="2">
        <f t="shared" si="1792"/>
        <v>100</v>
      </c>
      <c r="K589" s="94">
        <v>500.0</v>
      </c>
      <c r="L589" s="4">
        <f t="shared" si="1708"/>
        <v>2725</v>
      </c>
      <c r="M589" s="2">
        <f t="shared" si="1853"/>
        <v>20</v>
      </c>
      <c r="N589" s="12">
        <f t="shared" si="1854"/>
        <v>218</v>
      </c>
      <c r="O589" s="12">
        <f t="shared" si="1855"/>
        <v>272.5</v>
      </c>
      <c r="P589" s="12">
        <f t="shared" si="1856"/>
        <v>136.25</v>
      </c>
      <c r="Q589" s="12">
        <f t="shared" si="1857"/>
        <v>54.5</v>
      </c>
      <c r="R589" s="12">
        <f t="shared" si="1858"/>
        <v>21</v>
      </c>
      <c r="S589" s="12">
        <f t="shared" si="1859"/>
        <v>27.25</v>
      </c>
      <c r="T589" s="60">
        <f t="shared" si="1860"/>
        <v>728.5</v>
      </c>
      <c r="U589" s="2">
        <f t="shared" si="1861"/>
        <v>42</v>
      </c>
      <c r="V589" s="42">
        <f t="shared" si="15"/>
        <v>210</v>
      </c>
      <c r="W589" s="2">
        <f t="shared" si="1862"/>
        <v>42</v>
      </c>
      <c r="X589" s="2">
        <f t="shared" si="1863"/>
        <v>336</v>
      </c>
      <c r="Y589" s="2">
        <f t="shared" si="1864"/>
        <v>630</v>
      </c>
      <c r="Z589" s="60">
        <f t="shared" si="1865"/>
        <v>4083.5</v>
      </c>
      <c r="AA589" s="11">
        <f t="shared" si="1866"/>
        <v>816.7</v>
      </c>
      <c r="AB589" s="12">
        <f t="shared" si="1867"/>
        <v>4900.2</v>
      </c>
      <c r="AC589" s="2">
        <f t="shared" si="1868"/>
        <v>4200</v>
      </c>
      <c r="AD589" s="12">
        <f t="shared" si="1869"/>
        <v>700.2</v>
      </c>
      <c r="AE589" s="12">
        <f t="shared" si="1870"/>
        <v>14.28921269</v>
      </c>
      <c r="AF589" s="61">
        <v>7750.0</v>
      </c>
      <c r="AG589" s="62">
        <f t="shared" si="1871"/>
        <v>184.4036697</v>
      </c>
      <c r="AH589" s="63">
        <f t="shared" si="1872"/>
        <v>540</v>
      </c>
      <c r="AI589" s="64">
        <f t="shared" ref="AI589:AI602" si="1957">AB589</f>
        <v>4900.2</v>
      </c>
      <c r="AJ589" s="65">
        <v>8290.0</v>
      </c>
      <c r="AK589" s="66">
        <f t="shared" si="1730"/>
        <v>204.2201835</v>
      </c>
      <c r="AL589" s="66"/>
      <c r="AM589" s="14">
        <f t="shared" si="1875"/>
        <v>6.513872135</v>
      </c>
      <c r="AN589" s="67">
        <f t="shared" si="1876"/>
        <v>19.81651376</v>
      </c>
      <c r="AO589" s="68">
        <f t="shared" si="1877"/>
        <v>3.042201835</v>
      </c>
      <c r="AP589" s="69">
        <f t="shared" si="1878"/>
        <v>33.898</v>
      </c>
      <c r="AQ589" s="70">
        <f t="shared" si="1879"/>
        <v>40.9</v>
      </c>
      <c r="AR589" s="71">
        <f t="shared" ref="AR589:AS589" si="1954">AI589/94</f>
        <v>52.12978723</v>
      </c>
      <c r="AS589" s="71">
        <f t="shared" si="1954"/>
        <v>88.19148936</v>
      </c>
      <c r="AT589" s="72">
        <f t="shared" ref="AT589:AU589" si="1955">AI589/24</f>
        <v>204.175</v>
      </c>
      <c r="AU589" s="72">
        <f t="shared" si="1955"/>
        <v>345.4166667</v>
      </c>
      <c r="AV589" s="73">
        <f t="shared" ref="AV589:AW589" si="1956">AI589/125</f>
        <v>39.2016</v>
      </c>
      <c r="AW589" s="73">
        <f t="shared" si="1956"/>
        <v>66.32</v>
      </c>
    </row>
    <row r="590" ht="15.0" customHeight="1">
      <c r="A590" s="2" t="s">
        <v>1166</v>
      </c>
      <c r="B590" s="2" t="s">
        <v>1167</v>
      </c>
      <c r="C590" s="2" t="s">
        <v>1168</v>
      </c>
      <c r="D590" s="10">
        <v>350.0</v>
      </c>
      <c r="E590" s="1">
        <v>110.0</v>
      </c>
      <c r="F590" s="1">
        <v>85.0</v>
      </c>
      <c r="G590" s="10">
        <v>8.3061E7</v>
      </c>
      <c r="H590" s="59">
        <v>0.05</v>
      </c>
      <c r="I590" s="2">
        <f t="shared" si="1792"/>
        <v>17.5</v>
      </c>
      <c r="K590" s="2">
        <v>50.0</v>
      </c>
      <c r="L590" s="4">
        <f t="shared" si="1708"/>
        <v>612.5</v>
      </c>
      <c r="M590" s="2">
        <f t="shared" si="1853"/>
        <v>3.5</v>
      </c>
      <c r="N590" s="12">
        <f t="shared" si="1854"/>
        <v>49</v>
      </c>
      <c r="O590" s="12">
        <f t="shared" si="1855"/>
        <v>61.25</v>
      </c>
      <c r="P590" s="12">
        <f t="shared" si="1856"/>
        <v>30.625</v>
      </c>
      <c r="Q590" s="12">
        <f t="shared" si="1857"/>
        <v>12.25</v>
      </c>
      <c r="R590" s="12">
        <f t="shared" si="1858"/>
        <v>3.675</v>
      </c>
      <c r="S590" s="12">
        <f t="shared" si="1859"/>
        <v>6.125</v>
      </c>
      <c r="T590" s="60">
        <f t="shared" si="1860"/>
        <v>162.75</v>
      </c>
      <c r="U590" s="2">
        <f t="shared" si="1861"/>
        <v>7.35</v>
      </c>
      <c r="V590" s="42">
        <f t="shared" si="15"/>
        <v>36.75</v>
      </c>
      <c r="W590" s="2">
        <f t="shared" si="1862"/>
        <v>7.35</v>
      </c>
      <c r="X590" s="2">
        <f t="shared" si="1863"/>
        <v>58.8</v>
      </c>
      <c r="Y590" s="2">
        <f t="shared" si="1864"/>
        <v>110.25</v>
      </c>
      <c r="Z590" s="60">
        <f t="shared" si="1865"/>
        <v>885.5</v>
      </c>
      <c r="AA590" s="11">
        <f t="shared" si="1866"/>
        <v>177.1</v>
      </c>
      <c r="AB590" s="12">
        <f t="shared" si="1867"/>
        <v>1062.6</v>
      </c>
      <c r="AC590" s="2">
        <f t="shared" si="1868"/>
        <v>735</v>
      </c>
      <c r="AD590" s="12">
        <f t="shared" si="1869"/>
        <v>327.6</v>
      </c>
      <c r="AE590" s="12">
        <f t="shared" si="1870"/>
        <v>30.83003953</v>
      </c>
      <c r="AF590" s="61">
        <v>1295.0</v>
      </c>
      <c r="AG590" s="62">
        <f t="shared" si="1871"/>
        <v>111.4285714</v>
      </c>
      <c r="AH590" s="63">
        <f t="shared" si="1872"/>
        <v>95</v>
      </c>
      <c r="AI590" s="64">
        <f t="shared" si="1957"/>
        <v>1062.6</v>
      </c>
      <c r="AJ590" s="65">
        <v>1390.0</v>
      </c>
      <c r="AK590" s="66">
        <f t="shared" si="1730"/>
        <v>126.9387755</v>
      </c>
      <c r="AL590" s="66"/>
      <c r="AM590" s="14">
        <f t="shared" si="1875"/>
        <v>6.834532374</v>
      </c>
      <c r="AN590" s="67">
        <f t="shared" si="1876"/>
        <v>15.51020408</v>
      </c>
      <c r="AO590" s="68">
        <f t="shared" si="1877"/>
        <v>2.269387755</v>
      </c>
      <c r="AP590" s="69">
        <f t="shared" si="1878"/>
        <v>3.274</v>
      </c>
      <c r="AQ590" s="70">
        <f t="shared" si="1879"/>
        <v>6.55</v>
      </c>
      <c r="AR590" s="71">
        <f t="shared" ref="AR590:AS590" si="1958">AI590/94</f>
        <v>11.30425532</v>
      </c>
      <c r="AS590" s="71">
        <f t="shared" si="1958"/>
        <v>14.78723404</v>
      </c>
      <c r="AT590" s="72">
        <f t="shared" ref="AT590:AU590" si="1959">AI590/24</f>
        <v>44.275</v>
      </c>
      <c r="AU590" s="72">
        <f t="shared" si="1959"/>
        <v>57.91666667</v>
      </c>
      <c r="AV590" s="73">
        <f t="shared" ref="AV590:AW590" si="1960">AI590/125</f>
        <v>8.5008</v>
      </c>
      <c r="AW590" s="73">
        <f t="shared" si="1960"/>
        <v>11.12</v>
      </c>
    </row>
    <row r="591" ht="15.75" customHeight="1">
      <c r="A591" s="2"/>
      <c r="B591" s="2" t="s">
        <v>1169</v>
      </c>
      <c r="C591" s="2" t="s">
        <v>1170</v>
      </c>
      <c r="D591" s="10">
        <v>350.0</v>
      </c>
      <c r="E591" s="1">
        <v>110.0</v>
      </c>
      <c r="F591" s="1">
        <v>85.0</v>
      </c>
      <c r="G591" s="10">
        <v>8.3061E7</v>
      </c>
      <c r="H591" s="59">
        <v>0.05</v>
      </c>
      <c r="I591" s="2">
        <f t="shared" si="1792"/>
        <v>17.5</v>
      </c>
      <c r="K591" s="2">
        <v>50.0</v>
      </c>
      <c r="L591" s="4">
        <f t="shared" si="1708"/>
        <v>612.5</v>
      </c>
      <c r="M591" s="2">
        <f t="shared" si="1853"/>
        <v>3.5</v>
      </c>
      <c r="N591" s="12">
        <f t="shared" si="1854"/>
        <v>49</v>
      </c>
      <c r="O591" s="12">
        <f t="shared" si="1855"/>
        <v>61.25</v>
      </c>
      <c r="P591" s="12">
        <f t="shared" si="1856"/>
        <v>30.625</v>
      </c>
      <c r="Q591" s="12">
        <f t="shared" si="1857"/>
        <v>12.25</v>
      </c>
      <c r="R591" s="12">
        <f t="shared" si="1858"/>
        <v>3.675</v>
      </c>
      <c r="S591" s="12">
        <f t="shared" si="1859"/>
        <v>6.125</v>
      </c>
      <c r="T591" s="60">
        <f t="shared" si="1860"/>
        <v>162.75</v>
      </c>
      <c r="U591" s="2">
        <f t="shared" si="1861"/>
        <v>7.35</v>
      </c>
      <c r="V591" s="42">
        <f t="shared" si="15"/>
        <v>36.75</v>
      </c>
      <c r="W591" s="2">
        <f t="shared" si="1862"/>
        <v>7.35</v>
      </c>
      <c r="X591" s="2">
        <f t="shared" si="1863"/>
        <v>58.8</v>
      </c>
      <c r="Y591" s="2">
        <f t="shared" si="1864"/>
        <v>110.25</v>
      </c>
      <c r="Z591" s="60">
        <f t="shared" si="1865"/>
        <v>885.5</v>
      </c>
      <c r="AA591" s="11">
        <f t="shared" si="1866"/>
        <v>177.1</v>
      </c>
      <c r="AB591" s="12">
        <f t="shared" si="1867"/>
        <v>1062.6</v>
      </c>
      <c r="AC591" s="2">
        <f t="shared" si="1868"/>
        <v>735</v>
      </c>
      <c r="AD591" s="12">
        <f t="shared" si="1869"/>
        <v>327.6</v>
      </c>
      <c r="AE591" s="12">
        <f t="shared" si="1870"/>
        <v>30.83003953</v>
      </c>
      <c r="AF591" s="61">
        <v>1295.0</v>
      </c>
      <c r="AG591" s="62">
        <f t="shared" si="1871"/>
        <v>111.4285714</v>
      </c>
      <c r="AH591" s="63">
        <f t="shared" si="1872"/>
        <v>95</v>
      </c>
      <c r="AI591" s="64">
        <f t="shared" si="1957"/>
        <v>1062.6</v>
      </c>
      <c r="AJ591" s="65">
        <v>1390.0</v>
      </c>
      <c r="AK591" s="66">
        <f t="shared" si="1730"/>
        <v>126.9387755</v>
      </c>
      <c r="AL591" s="66"/>
      <c r="AM591" s="14">
        <f t="shared" si="1875"/>
        <v>6.834532374</v>
      </c>
      <c r="AN591" s="67">
        <f t="shared" si="1876"/>
        <v>15.51020408</v>
      </c>
      <c r="AO591" s="68">
        <f t="shared" si="1877"/>
        <v>2.269387755</v>
      </c>
      <c r="AP591" s="69">
        <f t="shared" si="1878"/>
        <v>3.274</v>
      </c>
      <c r="AQ591" s="70">
        <f t="shared" si="1879"/>
        <v>6.55</v>
      </c>
      <c r="AR591" s="71">
        <f t="shared" ref="AR591:AS591" si="1961">AI591/94</f>
        <v>11.30425532</v>
      </c>
      <c r="AS591" s="71">
        <f t="shared" si="1961"/>
        <v>14.78723404</v>
      </c>
      <c r="AT591" s="72">
        <f t="shared" ref="AT591:AU591" si="1962">AI591/24</f>
        <v>44.275</v>
      </c>
      <c r="AU591" s="72">
        <f t="shared" si="1962"/>
        <v>57.91666667</v>
      </c>
      <c r="AV591" s="73">
        <f t="shared" ref="AV591:AW591" si="1963">AI591/125</f>
        <v>8.5008</v>
      </c>
      <c r="AW591" s="73">
        <f t="shared" si="1963"/>
        <v>11.12</v>
      </c>
    </row>
    <row r="592" ht="15.75" customHeight="1">
      <c r="A592" s="2"/>
      <c r="B592" s="2" t="s">
        <v>1171</v>
      </c>
      <c r="C592" s="2" t="s">
        <v>1172</v>
      </c>
      <c r="D592" s="10">
        <v>575.0</v>
      </c>
      <c r="E592" s="1">
        <v>110.0</v>
      </c>
      <c r="F592" s="1">
        <v>85.0</v>
      </c>
      <c r="G592" s="10">
        <v>8.3061E7</v>
      </c>
      <c r="H592" s="59">
        <v>0.05</v>
      </c>
      <c r="I592" s="2">
        <f t="shared" si="1792"/>
        <v>28.75</v>
      </c>
      <c r="K592" s="2">
        <v>50.0</v>
      </c>
      <c r="L592" s="4">
        <f t="shared" si="1708"/>
        <v>848.75</v>
      </c>
      <c r="M592" s="2">
        <f t="shared" si="1853"/>
        <v>5.75</v>
      </c>
      <c r="N592" s="12">
        <f t="shared" si="1854"/>
        <v>67.9</v>
      </c>
      <c r="O592" s="12">
        <f t="shared" si="1855"/>
        <v>84.875</v>
      </c>
      <c r="P592" s="12">
        <f t="shared" si="1856"/>
        <v>42.4375</v>
      </c>
      <c r="Q592" s="12">
        <f t="shared" si="1857"/>
        <v>16.975</v>
      </c>
      <c r="R592" s="12">
        <f t="shared" si="1858"/>
        <v>6.0375</v>
      </c>
      <c r="S592" s="12">
        <f t="shared" si="1859"/>
        <v>8.4875</v>
      </c>
      <c r="T592" s="60">
        <f t="shared" si="1860"/>
        <v>226.425</v>
      </c>
      <c r="U592" s="2">
        <f t="shared" si="1861"/>
        <v>12.075</v>
      </c>
      <c r="V592" s="42">
        <f t="shared" si="15"/>
        <v>60.375</v>
      </c>
      <c r="W592" s="2">
        <f t="shared" si="1862"/>
        <v>12.075</v>
      </c>
      <c r="X592" s="2">
        <f t="shared" si="1863"/>
        <v>96.6</v>
      </c>
      <c r="Y592" s="2">
        <f t="shared" si="1864"/>
        <v>181.125</v>
      </c>
      <c r="Z592" s="60">
        <f t="shared" si="1865"/>
        <v>1256.3</v>
      </c>
      <c r="AA592" s="11">
        <f t="shared" si="1866"/>
        <v>251.26</v>
      </c>
      <c r="AB592" s="12">
        <f t="shared" si="1867"/>
        <v>1507.56</v>
      </c>
      <c r="AC592" s="2">
        <f t="shared" si="1868"/>
        <v>1207.5</v>
      </c>
      <c r="AD592" s="12">
        <f t="shared" si="1869"/>
        <v>300.06</v>
      </c>
      <c r="AE592" s="12">
        <f t="shared" si="1870"/>
        <v>19.90368543</v>
      </c>
      <c r="AF592" s="61">
        <v>1545.0</v>
      </c>
      <c r="AG592" s="62">
        <f t="shared" si="1871"/>
        <v>82.03240059</v>
      </c>
      <c r="AH592" s="63">
        <f t="shared" si="1872"/>
        <v>145</v>
      </c>
      <c r="AI592" s="64">
        <f t="shared" si="1957"/>
        <v>1507.56</v>
      </c>
      <c r="AJ592" s="65">
        <v>1690.0</v>
      </c>
      <c r="AK592" s="66">
        <f t="shared" si="1730"/>
        <v>99.11634757</v>
      </c>
      <c r="AL592" s="66"/>
      <c r="AM592" s="14">
        <f t="shared" si="1875"/>
        <v>8.579881657</v>
      </c>
      <c r="AN592" s="67">
        <f t="shared" si="1876"/>
        <v>17.08394698</v>
      </c>
      <c r="AO592" s="68">
        <f t="shared" si="1877"/>
        <v>1.991163476</v>
      </c>
      <c r="AP592" s="69">
        <f t="shared" si="1878"/>
        <v>1.8244</v>
      </c>
      <c r="AQ592" s="70">
        <f t="shared" si="1879"/>
        <v>4.825</v>
      </c>
      <c r="AR592" s="71">
        <f t="shared" ref="AR592:AS592" si="1964">AI592/94</f>
        <v>16.03787234</v>
      </c>
      <c r="AS592" s="71">
        <f t="shared" si="1964"/>
        <v>17.9787234</v>
      </c>
      <c r="AT592" s="72">
        <f t="shared" ref="AT592:AU592" si="1965">AI592/24</f>
        <v>62.815</v>
      </c>
      <c r="AU592" s="72">
        <f t="shared" si="1965"/>
        <v>70.41666667</v>
      </c>
      <c r="AV592" s="73">
        <f t="shared" ref="AV592:AW592" si="1966">AI592/125</f>
        <v>12.06048</v>
      </c>
      <c r="AW592" s="73">
        <f t="shared" si="1966"/>
        <v>13.52</v>
      </c>
    </row>
    <row r="593" ht="15.75" customHeight="1">
      <c r="A593" s="2"/>
      <c r="B593" s="2" t="s">
        <v>1173</v>
      </c>
      <c r="C593" s="2" t="s">
        <v>1174</v>
      </c>
      <c r="D593" s="10">
        <v>1150.0</v>
      </c>
      <c r="E593" s="1">
        <v>110.0</v>
      </c>
      <c r="F593" s="1">
        <v>85.0</v>
      </c>
      <c r="G593" s="10">
        <v>8.3061E7</v>
      </c>
      <c r="H593" s="59">
        <v>0.05</v>
      </c>
      <c r="I593" s="2">
        <f t="shared" si="1792"/>
        <v>57.5</v>
      </c>
      <c r="K593" s="2">
        <v>50.0</v>
      </c>
      <c r="L593" s="4">
        <f t="shared" si="1708"/>
        <v>1452.5</v>
      </c>
      <c r="M593" s="2">
        <f t="shared" si="1853"/>
        <v>11.5</v>
      </c>
      <c r="N593" s="12">
        <f t="shared" si="1854"/>
        <v>116.2</v>
      </c>
      <c r="O593" s="12">
        <f t="shared" si="1855"/>
        <v>145.25</v>
      </c>
      <c r="P593" s="12">
        <f t="shared" si="1856"/>
        <v>72.625</v>
      </c>
      <c r="Q593" s="12">
        <f t="shared" si="1857"/>
        <v>29.05</v>
      </c>
      <c r="R593" s="12">
        <f t="shared" si="1858"/>
        <v>12.075</v>
      </c>
      <c r="S593" s="12">
        <f t="shared" si="1859"/>
        <v>14.525</v>
      </c>
      <c r="T593" s="60">
        <f t="shared" si="1860"/>
        <v>389.15</v>
      </c>
      <c r="U593" s="2">
        <f t="shared" si="1861"/>
        <v>24.15</v>
      </c>
      <c r="V593" s="42">
        <f t="shared" si="15"/>
        <v>120.75</v>
      </c>
      <c r="W593" s="2">
        <f t="shared" si="1862"/>
        <v>24.15</v>
      </c>
      <c r="X593" s="2">
        <f t="shared" si="1863"/>
        <v>193.2</v>
      </c>
      <c r="Y593" s="2">
        <f t="shared" si="1864"/>
        <v>362.25</v>
      </c>
      <c r="Z593" s="60">
        <f t="shared" si="1865"/>
        <v>2203.9</v>
      </c>
      <c r="AA593" s="11">
        <f t="shared" si="1866"/>
        <v>440.78</v>
      </c>
      <c r="AB593" s="12">
        <f t="shared" si="1867"/>
        <v>2644.68</v>
      </c>
      <c r="AC593" s="2">
        <f t="shared" si="1868"/>
        <v>2415</v>
      </c>
      <c r="AD593" s="12">
        <f t="shared" si="1869"/>
        <v>229.68</v>
      </c>
      <c r="AE593" s="12">
        <f t="shared" si="1870"/>
        <v>8.684604565</v>
      </c>
      <c r="AF593" s="61">
        <v>1995.0</v>
      </c>
      <c r="AG593" s="62">
        <f t="shared" si="1871"/>
        <v>37.34939759</v>
      </c>
      <c r="AH593" s="63">
        <f t="shared" si="1872"/>
        <v>95</v>
      </c>
      <c r="AI593" s="64">
        <f t="shared" si="1957"/>
        <v>2644.68</v>
      </c>
      <c r="AJ593" s="65">
        <v>2090.0</v>
      </c>
      <c r="AK593" s="66">
        <f t="shared" si="1730"/>
        <v>43.88984509</v>
      </c>
      <c r="AL593" s="66"/>
      <c r="AM593" s="14">
        <f t="shared" si="1875"/>
        <v>4.545454545</v>
      </c>
      <c r="AN593" s="67">
        <f t="shared" si="1876"/>
        <v>6.540447504</v>
      </c>
      <c r="AO593" s="68">
        <f t="shared" si="1877"/>
        <v>1.438898451</v>
      </c>
      <c r="AP593" s="69">
        <f t="shared" si="1878"/>
        <v>-5.5468</v>
      </c>
      <c r="AQ593" s="70">
        <f t="shared" si="1879"/>
        <v>-3.25</v>
      </c>
      <c r="AR593" s="71">
        <f t="shared" ref="AR593:AS593" si="1967">AI593/94</f>
        <v>28.13489362</v>
      </c>
      <c r="AS593" s="71">
        <f t="shared" si="1967"/>
        <v>22.23404255</v>
      </c>
      <c r="AT593" s="72">
        <f t="shared" ref="AT593:AU593" si="1968">AI593/24</f>
        <v>110.195</v>
      </c>
      <c r="AU593" s="72">
        <f t="shared" si="1968"/>
        <v>87.08333333</v>
      </c>
      <c r="AV593" s="73">
        <f t="shared" ref="AV593:AW593" si="1969">AI593/125</f>
        <v>21.15744</v>
      </c>
      <c r="AW593" s="73">
        <f t="shared" si="1969"/>
        <v>16.72</v>
      </c>
    </row>
    <row r="594" ht="15.75" customHeight="1">
      <c r="A594" s="2"/>
      <c r="B594" s="2" t="s">
        <v>1175</v>
      </c>
      <c r="C594" s="2" t="s">
        <v>1176</v>
      </c>
      <c r="D594" s="10">
        <v>350.0</v>
      </c>
      <c r="E594" s="1">
        <v>110.0</v>
      </c>
      <c r="F594" s="1">
        <v>85.0</v>
      </c>
      <c r="G594" s="10">
        <v>8.3061E7</v>
      </c>
      <c r="H594" s="59">
        <v>0.05</v>
      </c>
      <c r="I594" s="2">
        <f t="shared" si="1792"/>
        <v>17.5</v>
      </c>
      <c r="K594" s="2">
        <v>50.0</v>
      </c>
      <c r="L594" s="4">
        <f t="shared" si="1708"/>
        <v>612.5</v>
      </c>
      <c r="M594" s="2">
        <f t="shared" si="1853"/>
        <v>3.5</v>
      </c>
      <c r="N594" s="12">
        <f t="shared" si="1854"/>
        <v>49</v>
      </c>
      <c r="O594" s="12">
        <f t="shared" si="1855"/>
        <v>61.25</v>
      </c>
      <c r="P594" s="12">
        <f t="shared" si="1856"/>
        <v>30.625</v>
      </c>
      <c r="Q594" s="12">
        <f t="shared" si="1857"/>
        <v>12.25</v>
      </c>
      <c r="R594" s="12">
        <f t="shared" si="1858"/>
        <v>3.675</v>
      </c>
      <c r="S594" s="12">
        <f t="shared" si="1859"/>
        <v>6.125</v>
      </c>
      <c r="T594" s="60">
        <f t="shared" si="1860"/>
        <v>162.75</v>
      </c>
      <c r="U594" s="2">
        <f t="shared" si="1861"/>
        <v>7.35</v>
      </c>
      <c r="V594" s="42">
        <f t="shared" si="15"/>
        <v>36.75</v>
      </c>
      <c r="W594" s="2">
        <f t="shared" si="1862"/>
        <v>7.35</v>
      </c>
      <c r="X594" s="2">
        <f t="shared" si="1863"/>
        <v>58.8</v>
      </c>
      <c r="Y594" s="2">
        <f t="shared" si="1864"/>
        <v>110.25</v>
      </c>
      <c r="Z594" s="60">
        <f t="shared" si="1865"/>
        <v>885.5</v>
      </c>
      <c r="AA594" s="11">
        <f t="shared" si="1866"/>
        <v>177.1</v>
      </c>
      <c r="AB594" s="12">
        <f t="shared" si="1867"/>
        <v>1062.6</v>
      </c>
      <c r="AC594" s="2">
        <f t="shared" si="1868"/>
        <v>735</v>
      </c>
      <c r="AD594" s="12">
        <f t="shared" si="1869"/>
        <v>327.6</v>
      </c>
      <c r="AE594" s="12">
        <f t="shared" si="1870"/>
        <v>30.83003953</v>
      </c>
      <c r="AF594" s="61">
        <v>1295.0</v>
      </c>
      <c r="AG594" s="62">
        <f t="shared" si="1871"/>
        <v>111.4285714</v>
      </c>
      <c r="AH594" s="63">
        <f t="shared" si="1872"/>
        <v>95</v>
      </c>
      <c r="AI594" s="64">
        <f t="shared" si="1957"/>
        <v>1062.6</v>
      </c>
      <c r="AJ594" s="65">
        <v>1390.0</v>
      </c>
      <c r="AK594" s="66">
        <f t="shared" si="1730"/>
        <v>126.9387755</v>
      </c>
      <c r="AL594" s="66"/>
      <c r="AM594" s="14">
        <f t="shared" si="1875"/>
        <v>6.834532374</v>
      </c>
      <c r="AN594" s="67">
        <f t="shared" si="1876"/>
        <v>15.51020408</v>
      </c>
      <c r="AO594" s="68">
        <f t="shared" si="1877"/>
        <v>2.269387755</v>
      </c>
      <c r="AP594" s="69">
        <f t="shared" si="1878"/>
        <v>3.274</v>
      </c>
      <c r="AQ594" s="70">
        <f t="shared" si="1879"/>
        <v>6.55</v>
      </c>
      <c r="AR594" s="71">
        <f t="shared" ref="AR594:AS594" si="1970">AI594/94</f>
        <v>11.30425532</v>
      </c>
      <c r="AS594" s="71">
        <f t="shared" si="1970"/>
        <v>14.78723404</v>
      </c>
      <c r="AT594" s="72">
        <f t="shared" ref="AT594:AU594" si="1971">AI594/24</f>
        <v>44.275</v>
      </c>
      <c r="AU594" s="72">
        <f t="shared" si="1971"/>
        <v>57.91666667</v>
      </c>
      <c r="AV594" s="73">
        <f t="shared" ref="AV594:AW594" si="1972">AI594/125</f>
        <v>8.5008</v>
      </c>
      <c r="AW594" s="73">
        <f t="shared" si="1972"/>
        <v>11.12</v>
      </c>
    </row>
    <row r="595" ht="15.75" customHeight="1">
      <c r="A595" s="2"/>
      <c r="B595" s="2" t="s">
        <v>1177</v>
      </c>
      <c r="C595" s="2" t="s">
        <v>1178</v>
      </c>
      <c r="D595" s="10">
        <v>575.0</v>
      </c>
      <c r="E595" s="1">
        <v>110.0</v>
      </c>
      <c r="F595" s="1">
        <v>85.0</v>
      </c>
      <c r="G595" s="10">
        <v>8.3061E7</v>
      </c>
      <c r="H595" s="59">
        <v>0.05</v>
      </c>
      <c r="I595" s="2">
        <f t="shared" si="1792"/>
        <v>28.75</v>
      </c>
      <c r="K595" s="2">
        <v>50.0</v>
      </c>
      <c r="L595" s="4">
        <f t="shared" si="1708"/>
        <v>848.75</v>
      </c>
      <c r="M595" s="2">
        <f t="shared" si="1853"/>
        <v>5.75</v>
      </c>
      <c r="N595" s="12">
        <f t="shared" si="1854"/>
        <v>67.9</v>
      </c>
      <c r="O595" s="12">
        <f t="shared" si="1855"/>
        <v>84.875</v>
      </c>
      <c r="P595" s="12">
        <f t="shared" si="1856"/>
        <v>42.4375</v>
      </c>
      <c r="Q595" s="12">
        <f t="shared" si="1857"/>
        <v>16.975</v>
      </c>
      <c r="R595" s="12">
        <f t="shared" si="1858"/>
        <v>6.0375</v>
      </c>
      <c r="S595" s="12">
        <f t="shared" si="1859"/>
        <v>8.4875</v>
      </c>
      <c r="T595" s="60">
        <f t="shared" si="1860"/>
        <v>226.425</v>
      </c>
      <c r="U595" s="2">
        <f t="shared" si="1861"/>
        <v>12.075</v>
      </c>
      <c r="V595" s="42">
        <f t="shared" si="15"/>
        <v>60.375</v>
      </c>
      <c r="W595" s="2">
        <f t="shared" si="1862"/>
        <v>12.075</v>
      </c>
      <c r="X595" s="2">
        <f t="shared" si="1863"/>
        <v>96.6</v>
      </c>
      <c r="Y595" s="2">
        <f t="shared" si="1864"/>
        <v>181.125</v>
      </c>
      <c r="Z595" s="60">
        <f t="shared" si="1865"/>
        <v>1256.3</v>
      </c>
      <c r="AA595" s="11">
        <f t="shared" si="1866"/>
        <v>251.26</v>
      </c>
      <c r="AB595" s="12">
        <f t="shared" si="1867"/>
        <v>1507.56</v>
      </c>
      <c r="AC595" s="2">
        <f t="shared" si="1868"/>
        <v>1207.5</v>
      </c>
      <c r="AD595" s="12">
        <f t="shared" si="1869"/>
        <v>300.06</v>
      </c>
      <c r="AE595" s="12">
        <f t="shared" si="1870"/>
        <v>19.90368543</v>
      </c>
      <c r="AF595" s="61">
        <v>1545.0</v>
      </c>
      <c r="AG595" s="62">
        <f t="shared" si="1871"/>
        <v>82.03240059</v>
      </c>
      <c r="AH595" s="63">
        <f t="shared" si="1872"/>
        <v>145</v>
      </c>
      <c r="AI595" s="64">
        <f t="shared" si="1957"/>
        <v>1507.56</v>
      </c>
      <c r="AJ595" s="65">
        <v>1690.0</v>
      </c>
      <c r="AK595" s="66">
        <f t="shared" si="1730"/>
        <v>99.11634757</v>
      </c>
      <c r="AL595" s="66"/>
      <c r="AM595" s="14">
        <f t="shared" si="1875"/>
        <v>8.579881657</v>
      </c>
      <c r="AN595" s="67">
        <f t="shared" si="1876"/>
        <v>17.08394698</v>
      </c>
      <c r="AO595" s="68">
        <f t="shared" si="1877"/>
        <v>1.991163476</v>
      </c>
      <c r="AP595" s="69">
        <f t="shared" si="1878"/>
        <v>1.8244</v>
      </c>
      <c r="AQ595" s="70">
        <f t="shared" si="1879"/>
        <v>4.825</v>
      </c>
      <c r="AR595" s="71">
        <f t="shared" ref="AR595:AS595" si="1973">AI595/94</f>
        <v>16.03787234</v>
      </c>
      <c r="AS595" s="71">
        <f t="shared" si="1973"/>
        <v>17.9787234</v>
      </c>
      <c r="AT595" s="72">
        <f t="shared" ref="AT595:AU595" si="1974">AI595/24</f>
        <v>62.815</v>
      </c>
      <c r="AU595" s="72">
        <f t="shared" si="1974"/>
        <v>70.41666667</v>
      </c>
      <c r="AV595" s="73">
        <f t="shared" ref="AV595:AW595" si="1975">AI595/125</f>
        <v>12.06048</v>
      </c>
      <c r="AW595" s="73">
        <f t="shared" si="1975"/>
        <v>13.52</v>
      </c>
    </row>
    <row r="596" ht="15.75" customHeight="1">
      <c r="A596" s="2"/>
      <c r="B596" s="2" t="s">
        <v>1179</v>
      </c>
      <c r="C596" s="2" t="s">
        <v>1180</v>
      </c>
      <c r="D596" s="10">
        <v>1150.0</v>
      </c>
      <c r="E596" s="1">
        <v>110.0</v>
      </c>
      <c r="F596" s="1">
        <v>85.0</v>
      </c>
      <c r="G596" s="10">
        <v>8.3061E7</v>
      </c>
      <c r="H596" s="59">
        <v>0.05</v>
      </c>
      <c r="I596" s="2">
        <f t="shared" si="1792"/>
        <v>57.5</v>
      </c>
      <c r="K596" s="2">
        <v>50.0</v>
      </c>
      <c r="L596" s="4">
        <f t="shared" si="1708"/>
        <v>1452.5</v>
      </c>
      <c r="M596" s="2">
        <f t="shared" si="1853"/>
        <v>11.5</v>
      </c>
      <c r="N596" s="12">
        <f t="shared" si="1854"/>
        <v>116.2</v>
      </c>
      <c r="O596" s="12">
        <f t="shared" si="1855"/>
        <v>145.25</v>
      </c>
      <c r="P596" s="12">
        <f t="shared" si="1856"/>
        <v>72.625</v>
      </c>
      <c r="Q596" s="12">
        <f t="shared" si="1857"/>
        <v>29.05</v>
      </c>
      <c r="R596" s="12">
        <f t="shared" si="1858"/>
        <v>12.075</v>
      </c>
      <c r="S596" s="12">
        <f t="shared" si="1859"/>
        <v>14.525</v>
      </c>
      <c r="T596" s="60">
        <f t="shared" si="1860"/>
        <v>389.15</v>
      </c>
      <c r="U596" s="2">
        <f t="shared" si="1861"/>
        <v>24.15</v>
      </c>
      <c r="V596" s="42">
        <f t="shared" si="15"/>
        <v>120.75</v>
      </c>
      <c r="W596" s="2">
        <f t="shared" si="1862"/>
        <v>24.15</v>
      </c>
      <c r="X596" s="2">
        <f t="shared" si="1863"/>
        <v>193.2</v>
      </c>
      <c r="Y596" s="2">
        <f t="shared" si="1864"/>
        <v>362.25</v>
      </c>
      <c r="Z596" s="60">
        <f t="shared" si="1865"/>
        <v>2203.9</v>
      </c>
      <c r="AA596" s="11">
        <f t="shared" si="1866"/>
        <v>440.78</v>
      </c>
      <c r="AB596" s="12">
        <f t="shared" si="1867"/>
        <v>2644.68</v>
      </c>
      <c r="AC596" s="2">
        <f t="shared" si="1868"/>
        <v>2415</v>
      </c>
      <c r="AD596" s="12">
        <f t="shared" si="1869"/>
        <v>229.68</v>
      </c>
      <c r="AE596" s="12">
        <f t="shared" si="1870"/>
        <v>8.684604565</v>
      </c>
      <c r="AF596" s="61">
        <v>1995.0</v>
      </c>
      <c r="AG596" s="62">
        <f t="shared" si="1871"/>
        <v>37.34939759</v>
      </c>
      <c r="AH596" s="63">
        <f t="shared" si="1872"/>
        <v>95</v>
      </c>
      <c r="AI596" s="64">
        <f t="shared" si="1957"/>
        <v>2644.68</v>
      </c>
      <c r="AJ596" s="65">
        <v>2090.0</v>
      </c>
      <c r="AK596" s="66">
        <f t="shared" si="1730"/>
        <v>43.88984509</v>
      </c>
      <c r="AL596" s="66"/>
      <c r="AM596" s="14">
        <f t="shared" si="1875"/>
        <v>4.545454545</v>
      </c>
      <c r="AN596" s="67">
        <f t="shared" si="1876"/>
        <v>6.540447504</v>
      </c>
      <c r="AO596" s="68">
        <f t="shared" si="1877"/>
        <v>1.438898451</v>
      </c>
      <c r="AP596" s="69">
        <f t="shared" si="1878"/>
        <v>-5.5468</v>
      </c>
      <c r="AQ596" s="70">
        <f t="shared" si="1879"/>
        <v>-3.25</v>
      </c>
      <c r="AR596" s="71">
        <f t="shared" ref="AR596:AS596" si="1976">AI596/94</f>
        <v>28.13489362</v>
      </c>
      <c r="AS596" s="71">
        <f t="shared" si="1976"/>
        <v>22.23404255</v>
      </c>
      <c r="AT596" s="72">
        <f t="shared" ref="AT596:AU596" si="1977">AI596/24</f>
        <v>110.195</v>
      </c>
      <c r="AU596" s="72">
        <f t="shared" si="1977"/>
        <v>87.08333333</v>
      </c>
      <c r="AV596" s="73">
        <f t="shared" ref="AV596:AW596" si="1978">AI596/125</f>
        <v>21.15744</v>
      </c>
      <c r="AW596" s="73">
        <f t="shared" si="1978"/>
        <v>16.72</v>
      </c>
    </row>
    <row r="597" ht="15.75" customHeight="1">
      <c r="A597" s="2"/>
      <c r="B597" s="1" t="s">
        <v>1167</v>
      </c>
      <c r="C597" s="1" t="s">
        <v>1168</v>
      </c>
      <c r="D597" s="10">
        <v>575.0</v>
      </c>
      <c r="E597" s="1">
        <v>110.0</v>
      </c>
      <c r="F597" s="1">
        <v>85.0</v>
      </c>
      <c r="G597" s="10">
        <v>8.3061E7</v>
      </c>
      <c r="H597" s="59">
        <v>0.05</v>
      </c>
      <c r="I597" s="2">
        <f t="shared" si="1792"/>
        <v>28.75</v>
      </c>
      <c r="K597" s="2">
        <v>50.0</v>
      </c>
      <c r="L597" s="4">
        <f t="shared" si="1708"/>
        <v>848.75</v>
      </c>
      <c r="M597" s="2">
        <f t="shared" si="1853"/>
        <v>5.75</v>
      </c>
      <c r="N597" s="12">
        <f t="shared" si="1854"/>
        <v>67.9</v>
      </c>
      <c r="O597" s="12">
        <f t="shared" si="1855"/>
        <v>84.875</v>
      </c>
      <c r="P597" s="12">
        <f t="shared" si="1856"/>
        <v>42.4375</v>
      </c>
      <c r="Q597" s="12">
        <f t="shared" si="1857"/>
        <v>16.975</v>
      </c>
      <c r="R597" s="12">
        <f t="shared" si="1858"/>
        <v>6.0375</v>
      </c>
      <c r="S597" s="12">
        <f t="shared" si="1859"/>
        <v>8.4875</v>
      </c>
      <c r="T597" s="60">
        <f t="shared" si="1860"/>
        <v>226.425</v>
      </c>
      <c r="U597" s="2">
        <f t="shared" si="1861"/>
        <v>12.075</v>
      </c>
      <c r="V597" s="42">
        <f t="shared" si="15"/>
        <v>60.375</v>
      </c>
      <c r="W597" s="2">
        <f t="shared" si="1862"/>
        <v>12.075</v>
      </c>
      <c r="X597" s="2">
        <f t="shared" si="1863"/>
        <v>96.6</v>
      </c>
      <c r="Y597" s="2">
        <f t="shared" si="1864"/>
        <v>181.125</v>
      </c>
      <c r="Z597" s="60">
        <f t="shared" si="1865"/>
        <v>1256.3</v>
      </c>
      <c r="AA597" s="11">
        <f t="shared" si="1866"/>
        <v>251.26</v>
      </c>
      <c r="AB597" s="12">
        <f t="shared" si="1867"/>
        <v>1507.56</v>
      </c>
      <c r="AC597" s="2">
        <f t="shared" si="1868"/>
        <v>1207.5</v>
      </c>
      <c r="AD597" s="12">
        <f t="shared" si="1869"/>
        <v>300.06</v>
      </c>
      <c r="AE597" s="12">
        <f t="shared" si="1870"/>
        <v>19.90368543</v>
      </c>
      <c r="AF597" s="61">
        <v>1545.0</v>
      </c>
      <c r="AG597" s="62">
        <f t="shared" si="1871"/>
        <v>82.03240059</v>
      </c>
      <c r="AH597" s="63">
        <f t="shared" si="1872"/>
        <v>145</v>
      </c>
      <c r="AI597" s="64">
        <f t="shared" si="1957"/>
        <v>1507.56</v>
      </c>
      <c r="AJ597" s="65">
        <v>1690.0</v>
      </c>
      <c r="AK597" s="66">
        <f t="shared" si="1730"/>
        <v>99.11634757</v>
      </c>
      <c r="AL597" s="66"/>
      <c r="AM597" s="14">
        <f t="shared" si="1875"/>
        <v>8.579881657</v>
      </c>
      <c r="AN597" s="67">
        <f t="shared" si="1876"/>
        <v>17.08394698</v>
      </c>
      <c r="AO597" s="68">
        <f t="shared" si="1877"/>
        <v>1.991163476</v>
      </c>
      <c r="AP597" s="69">
        <f t="shared" si="1878"/>
        <v>1.8244</v>
      </c>
      <c r="AQ597" s="70">
        <f t="shared" si="1879"/>
        <v>4.825</v>
      </c>
      <c r="AR597" s="71">
        <f t="shared" ref="AR597:AS597" si="1979">AI597/94</f>
        <v>16.03787234</v>
      </c>
      <c r="AS597" s="71">
        <f t="shared" si="1979"/>
        <v>17.9787234</v>
      </c>
      <c r="AT597" s="72">
        <f t="shared" ref="AT597:AU597" si="1980">AI597/24</f>
        <v>62.815</v>
      </c>
      <c r="AU597" s="72">
        <f t="shared" si="1980"/>
        <v>70.41666667</v>
      </c>
      <c r="AV597" s="73">
        <f t="shared" ref="AV597:AW597" si="1981">AI597/125</f>
        <v>12.06048</v>
      </c>
      <c r="AW597" s="73">
        <f t="shared" si="1981"/>
        <v>13.52</v>
      </c>
    </row>
    <row r="598" ht="15.75" customHeight="1">
      <c r="A598" s="2"/>
      <c r="B598" s="2" t="s">
        <v>1181</v>
      </c>
      <c r="C598" s="2" t="s">
        <v>1182</v>
      </c>
      <c r="D598" s="10">
        <v>575.0</v>
      </c>
      <c r="E598" s="1">
        <v>110.0</v>
      </c>
      <c r="F598" s="1">
        <v>85.0</v>
      </c>
      <c r="G598" s="10">
        <v>8.3061E7</v>
      </c>
      <c r="H598" s="59">
        <v>0.05</v>
      </c>
      <c r="I598" s="2">
        <f t="shared" si="1792"/>
        <v>28.75</v>
      </c>
      <c r="K598" s="2">
        <v>50.0</v>
      </c>
      <c r="L598" s="4">
        <f t="shared" si="1708"/>
        <v>848.75</v>
      </c>
      <c r="M598" s="2">
        <f t="shared" si="1853"/>
        <v>5.75</v>
      </c>
      <c r="N598" s="12">
        <f t="shared" si="1854"/>
        <v>67.9</v>
      </c>
      <c r="O598" s="12">
        <f t="shared" si="1855"/>
        <v>84.875</v>
      </c>
      <c r="P598" s="12">
        <f t="shared" si="1856"/>
        <v>42.4375</v>
      </c>
      <c r="Q598" s="12">
        <f t="shared" si="1857"/>
        <v>16.975</v>
      </c>
      <c r="R598" s="12">
        <f t="shared" si="1858"/>
        <v>6.0375</v>
      </c>
      <c r="S598" s="12">
        <f t="shared" si="1859"/>
        <v>8.4875</v>
      </c>
      <c r="T598" s="60">
        <f t="shared" si="1860"/>
        <v>226.425</v>
      </c>
      <c r="U598" s="2">
        <f t="shared" si="1861"/>
        <v>12.075</v>
      </c>
      <c r="V598" s="42">
        <f t="shared" si="15"/>
        <v>60.375</v>
      </c>
      <c r="W598" s="2">
        <f t="shared" si="1862"/>
        <v>12.075</v>
      </c>
      <c r="X598" s="2">
        <f t="shared" si="1863"/>
        <v>96.6</v>
      </c>
      <c r="Y598" s="2">
        <f t="shared" si="1864"/>
        <v>181.125</v>
      </c>
      <c r="Z598" s="60">
        <f t="shared" si="1865"/>
        <v>1256.3</v>
      </c>
      <c r="AA598" s="11">
        <f t="shared" si="1866"/>
        <v>251.26</v>
      </c>
      <c r="AB598" s="12">
        <f t="shared" si="1867"/>
        <v>1507.56</v>
      </c>
      <c r="AC598" s="2">
        <f t="shared" si="1868"/>
        <v>1207.5</v>
      </c>
      <c r="AD598" s="12">
        <f t="shared" si="1869"/>
        <v>300.06</v>
      </c>
      <c r="AE598" s="12">
        <f t="shared" si="1870"/>
        <v>19.90368543</v>
      </c>
      <c r="AF598" s="61">
        <v>1545.0</v>
      </c>
      <c r="AG598" s="62">
        <f t="shared" si="1871"/>
        <v>82.03240059</v>
      </c>
      <c r="AH598" s="63">
        <f t="shared" si="1872"/>
        <v>145</v>
      </c>
      <c r="AI598" s="64">
        <f t="shared" si="1957"/>
        <v>1507.56</v>
      </c>
      <c r="AJ598" s="65">
        <v>1690.0</v>
      </c>
      <c r="AK598" s="66">
        <f t="shared" si="1730"/>
        <v>99.11634757</v>
      </c>
      <c r="AL598" s="66"/>
      <c r="AM598" s="14">
        <f t="shared" si="1875"/>
        <v>8.579881657</v>
      </c>
      <c r="AN598" s="67">
        <f t="shared" si="1876"/>
        <v>17.08394698</v>
      </c>
      <c r="AO598" s="68">
        <f t="shared" si="1877"/>
        <v>1.991163476</v>
      </c>
      <c r="AP598" s="69">
        <f t="shared" si="1878"/>
        <v>1.8244</v>
      </c>
      <c r="AQ598" s="70">
        <f t="shared" si="1879"/>
        <v>4.825</v>
      </c>
      <c r="AR598" s="71">
        <f t="shared" ref="AR598:AS598" si="1982">AI598/94</f>
        <v>16.03787234</v>
      </c>
      <c r="AS598" s="71">
        <f t="shared" si="1982"/>
        <v>17.9787234</v>
      </c>
      <c r="AT598" s="72">
        <f t="shared" ref="AT598:AU598" si="1983">AI598/24</f>
        <v>62.815</v>
      </c>
      <c r="AU598" s="72">
        <f t="shared" si="1983"/>
        <v>70.41666667</v>
      </c>
      <c r="AV598" s="73">
        <f t="shared" ref="AV598:AW598" si="1984">AI598/125</f>
        <v>12.06048</v>
      </c>
      <c r="AW598" s="73">
        <f t="shared" si="1984"/>
        <v>13.52</v>
      </c>
    </row>
    <row r="599" ht="15.75" customHeight="1">
      <c r="A599" s="2"/>
      <c r="B599" s="2" t="s">
        <v>1183</v>
      </c>
      <c r="C599" s="2" t="s">
        <v>1184</v>
      </c>
      <c r="D599" s="10">
        <v>1150.0</v>
      </c>
      <c r="E599" s="1">
        <v>110.0</v>
      </c>
      <c r="F599" s="1">
        <v>85.0</v>
      </c>
      <c r="G599" s="10">
        <v>8.3061E7</v>
      </c>
      <c r="H599" s="59">
        <v>0.05</v>
      </c>
      <c r="I599" s="2">
        <f t="shared" si="1792"/>
        <v>57.5</v>
      </c>
      <c r="K599" s="2">
        <v>50.0</v>
      </c>
      <c r="L599" s="4">
        <f t="shared" si="1708"/>
        <v>1452.5</v>
      </c>
      <c r="M599" s="2">
        <f t="shared" si="1853"/>
        <v>11.5</v>
      </c>
      <c r="N599" s="12">
        <f t="shared" si="1854"/>
        <v>116.2</v>
      </c>
      <c r="O599" s="12">
        <f t="shared" si="1855"/>
        <v>145.25</v>
      </c>
      <c r="P599" s="12">
        <f t="shared" si="1856"/>
        <v>72.625</v>
      </c>
      <c r="Q599" s="12">
        <f t="shared" si="1857"/>
        <v>29.05</v>
      </c>
      <c r="R599" s="12">
        <f t="shared" si="1858"/>
        <v>12.075</v>
      </c>
      <c r="S599" s="12">
        <f t="shared" si="1859"/>
        <v>14.525</v>
      </c>
      <c r="T599" s="60">
        <f t="shared" si="1860"/>
        <v>389.15</v>
      </c>
      <c r="U599" s="2">
        <f t="shared" si="1861"/>
        <v>24.15</v>
      </c>
      <c r="V599" s="42">
        <f t="shared" si="15"/>
        <v>120.75</v>
      </c>
      <c r="W599" s="2">
        <f t="shared" si="1862"/>
        <v>24.15</v>
      </c>
      <c r="X599" s="2">
        <f t="shared" si="1863"/>
        <v>193.2</v>
      </c>
      <c r="Y599" s="2">
        <f t="shared" si="1864"/>
        <v>362.25</v>
      </c>
      <c r="Z599" s="60">
        <f t="shared" si="1865"/>
        <v>2203.9</v>
      </c>
      <c r="AA599" s="11">
        <f t="shared" si="1866"/>
        <v>440.78</v>
      </c>
      <c r="AB599" s="12">
        <f t="shared" si="1867"/>
        <v>2644.68</v>
      </c>
      <c r="AC599" s="2">
        <f t="shared" si="1868"/>
        <v>2415</v>
      </c>
      <c r="AD599" s="12">
        <f t="shared" si="1869"/>
        <v>229.68</v>
      </c>
      <c r="AE599" s="12">
        <f t="shared" si="1870"/>
        <v>8.684604565</v>
      </c>
      <c r="AF599" s="61">
        <v>1995.0</v>
      </c>
      <c r="AG599" s="62">
        <f t="shared" si="1871"/>
        <v>37.34939759</v>
      </c>
      <c r="AH599" s="63">
        <f t="shared" si="1872"/>
        <v>95</v>
      </c>
      <c r="AI599" s="64">
        <f t="shared" si="1957"/>
        <v>2644.68</v>
      </c>
      <c r="AJ599" s="65">
        <v>2090.0</v>
      </c>
      <c r="AK599" s="66">
        <f t="shared" si="1730"/>
        <v>43.88984509</v>
      </c>
      <c r="AL599" s="66"/>
      <c r="AM599" s="14">
        <f t="shared" si="1875"/>
        <v>4.545454545</v>
      </c>
      <c r="AN599" s="67">
        <f t="shared" si="1876"/>
        <v>6.540447504</v>
      </c>
      <c r="AO599" s="68">
        <f t="shared" si="1877"/>
        <v>1.438898451</v>
      </c>
      <c r="AP599" s="69">
        <f t="shared" si="1878"/>
        <v>-5.5468</v>
      </c>
      <c r="AQ599" s="70">
        <f t="shared" si="1879"/>
        <v>-3.25</v>
      </c>
      <c r="AR599" s="71">
        <f t="shared" ref="AR599:AS599" si="1985">AI599/94</f>
        <v>28.13489362</v>
      </c>
      <c r="AS599" s="71">
        <f t="shared" si="1985"/>
        <v>22.23404255</v>
      </c>
      <c r="AT599" s="72">
        <f t="shared" ref="AT599:AU599" si="1986">AI599/24</f>
        <v>110.195</v>
      </c>
      <c r="AU599" s="72">
        <f t="shared" si="1986"/>
        <v>87.08333333</v>
      </c>
      <c r="AV599" s="73">
        <f t="shared" ref="AV599:AW599" si="1987">AI599/125</f>
        <v>21.15744</v>
      </c>
      <c r="AW599" s="73">
        <f t="shared" si="1987"/>
        <v>16.72</v>
      </c>
    </row>
    <row r="600" ht="15.75" customHeight="1">
      <c r="A600" s="2"/>
      <c r="B600" s="2" t="s">
        <v>1185</v>
      </c>
      <c r="C600" s="2" t="s">
        <v>1186</v>
      </c>
      <c r="D600" s="10">
        <v>350.0</v>
      </c>
      <c r="E600" s="1">
        <v>110.0</v>
      </c>
      <c r="F600" s="1">
        <v>85.0</v>
      </c>
      <c r="G600" s="10">
        <v>8.3061E7</v>
      </c>
      <c r="H600" s="59">
        <v>0.05</v>
      </c>
      <c r="I600" s="2">
        <f t="shared" si="1792"/>
        <v>17.5</v>
      </c>
      <c r="K600" s="2">
        <v>50.0</v>
      </c>
      <c r="L600" s="4">
        <f t="shared" si="1708"/>
        <v>612.5</v>
      </c>
      <c r="M600" s="2">
        <f t="shared" si="1853"/>
        <v>3.5</v>
      </c>
      <c r="N600" s="12">
        <f t="shared" si="1854"/>
        <v>49</v>
      </c>
      <c r="O600" s="12">
        <f t="shared" si="1855"/>
        <v>61.25</v>
      </c>
      <c r="P600" s="12">
        <f t="shared" si="1856"/>
        <v>30.625</v>
      </c>
      <c r="Q600" s="12">
        <f t="shared" si="1857"/>
        <v>12.25</v>
      </c>
      <c r="R600" s="12">
        <f t="shared" si="1858"/>
        <v>3.675</v>
      </c>
      <c r="S600" s="12">
        <f t="shared" si="1859"/>
        <v>6.125</v>
      </c>
      <c r="T600" s="60">
        <f t="shared" si="1860"/>
        <v>162.75</v>
      </c>
      <c r="U600" s="2">
        <f t="shared" si="1861"/>
        <v>7.35</v>
      </c>
      <c r="V600" s="42">
        <f t="shared" si="15"/>
        <v>36.75</v>
      </c>
      <c r="W600" s="2">
        <f t="shared" si="1862"/>
        <v>7.35</v>
      </c>
      <c r="X600" s="2">
        <f t="shared" si="1863"/>
        <v>58.8</v>
      </c>
      <c r="Y600" s="2">
        <f t="shared" si="1864"/>
        <v>110.25</v>
      </c>
      <c r="Z600" s="60">
        <f t="shared" si="1865"/>
        <v>885.5</v>
      </c>
      <c r="AA600" s="11">
        <f t="shared" si="1866"/>
        <v>177.1</v>
      </c>
      <c r="AB600" s="12">
        <f t="shared" si="1867"/>
        <v>1062.6</v>
      </c>
      <c r="AC600" s="2">
        <f t="shared" si="1868"/>
        <v>735</v>
      </c>
      <c r="AD600" s="12">
        <f t="shared" si="1869"/>
        <v>327.6</v>
      </c>
      <c r="AE600" s="12">
        <f t="shared" si="1870"/>
        <v>30.83003953</v>
      </c>
      <c r="AF600" s="61">
        <v>1295.0</v>
      </c>
      <c r="AG600" s="62">
        <f t="shared" si="1871"/>
        <v>111.4285714</v>
      </c>
      <c r="AH600" s="63">
        <f t="shared" si="1872"/>
        <v>95</v>
      </c>
      <c r="AI600" s="64">
        <f t="shared" si="1957"/>
        <v>1062.6</v>
      </c>
      <c r="AJ600" s="65">
        <v>1390.0</v>
      </c>
      <c r="AK600" s="66">
        <f t="shared" si="1730"/>
        <v>126.9387755</v>
      </c>
      <c r="AL600" s="66"/>
      <c r="AM600" s="14">
        <f t="shared" si="1875"/>
        <v>6.834532374</v>
      </c>
      <c r="AN600" s="67">
        <f t="shared" si="1876"/>
        <v>15.51020408</v>
      </c>
      <c r="AO600" s="68">
        <f t="shared" si="1877"/>
        <v>2.269387755</v>
      </c>
      <c r="AP600" s="69">
        <f t="shared" si="1878"/>
        <v>3.274</v>
      </c>
      <c r="AQ600" s="70">
        <f t="shared" si="1879"/>
        <v>6.55</v>
      </c>
      <c r="AR600" s="71">
        <f t="shared" ref="AR600:AS600" si="1988">AI600/94</f>
        <v>11.30425532</v>
      </c>
      <c r="AS600" s="71">
        <f t="shared" si="1988"/>
        <v>14.78723404</v>
      </c>
      <c r="AT600" s="72">
        <f t="shared" ref="AT600:AU600" si="1989">AI600/24</f>
        <v>44.275</v>
      </c>
      <c r="AU600" s="72">
        <f t="shared" si="1989"/>
        <v>57.91666667</v>
      </c>
      <c r="AV600" s="73">
        <f t="shared" ref="AV600:AW600" si="1990">AI600/125</f>
        <v>8.5008</v>
      </c>
      <c r="AW600" s="73">
        <f t="shared" si="1990"/>
        <v>11.12</v>
      </c>
    </row>
    <row r="601" ht="15.75" customHeight="1">
      <c r="A601" s="2"/>
      <c r="B601" s="2" t="s">
        <v>1187</v>
      </c>
      <c r="C601" s="2" t="s">
        <v>1188</v>
      </c>
      <c r="D601" s="10">
        <v>575.0</v>
      </c>
      <c r="E601" s="1">
        <v>110.0</v>
      </c>
      <c r="F601" s="1">
        <v>85.0</v>
      </c>
      <c r="G601" s="10">
        <v>8.3061E7</v>
      </c>
      <c r="H601" s="59">
        <v>0.05</v>
      </c>
      <c r="I601" s="2">
        <f t="shared" si="1792"/>
        <v>28.75</v>
      </c>
      <c r="K601" s="2">
        <v>50.0</v>
      </c>
      <c r="L601" s="4">
        <f t="shared" si="1708"/>
        <v>848.75</v>
      </c>
      <c r="M601" s="2">
        <f t="shared" si="1853"/>
        <v>5.75</v>
      </c>
      <c r="N601" s="12">
        <f t="shared" si="1854"/>
        <v>67.9</v>
      </c>
      <c r="O601" s="12">
        <f t="shared" si="1855"/>
        <v>84.875</v>
      </c>
      <c r="P601" s="12">
        <f t="shared" si="1856"/>
        <v>42.4375</v>
      </c>
      <c r="Q601" s="12">
        <f t="shared" si="1857"/>
        <v>16.975</v>
      </c>
      <c r="R601" s="12">
        <f t="shared" si="1858"/>
        <v>6.0375</v>
      </c>
      <c r="S601" s="12">
        <f t="shared" si="1859"/>
        <v>8.4875</v>
      </c>
      <c r="T601" s="60">
        <f t="shared" si="1860"/>
        <v>226.425</v>
      </c>
      <c r="U601" s="2">
        <f t="shared" si="1861"/>
        <v>12.075</v>
      </c>
      <c r="V601" s="42">
        <f t="shared" si="15"/>
        <v>60.375</v>
      </c>
      <c r="W601" s="2">
        <f t="shared" si="1862"/>
        <v>12.075</v>
      </c>
      <c r="X601" s="2">
        <f t="shared" si="1863"/>
        <v>96.6</v>
      </c>
      <c r="Y601" s="2">
        <f t="shared" si="1864"/>
        <v>181.125</v>
      </c>
      <c r="Z601" s="60">
        <f t="shared" si="1865"/>
        <v>1256.3</v>
      </c>
      <c r="AA601" s="11">
        <f t="shared" si="1866"/>
        <v>251.26</v>
      </c>
      <c r="AB601" s="12">
        <f t="shared" si="1867"/>
        <v>1507.56</v>
      </c>
      <c r="AC601" s="2">
        <f t="shared" si="1868"/>
        <v>1207.5</v>
      </c>
      <c r="AD601" s="12">
        <f t="shared" si="1869"/>
        <v>300.06</v>
      </c>
      <c r="AE601" s="12">
        <f t="shared" si="1870"/>
        <v>19.90368543</v>
      </c>
      <c r="AF601" s="61">
        <v>1545.0</v>
      </c>
      <c r="AG601" s="62">
        <f t="shared" si="1871"/>
        <v>82.03240059</v>
      </c>
      <c r="AH601" s="63">
        <f t="shared" si="1872"/>
        <v>145</v>
      </c>
      <c r="AI601" s="64">
        <f t="shared" si="1957"/>
        <v>1507.56</v>
      </c>
      <c r="AJ601" s="65">
        <v>1690.0</v>
      </c>
      <c r="AK601" s="66">
        <f t="shared" si="1730"/>
        <v>99.11634757</v>
      </c>
      <c r="AL601" s="66"/>
      <c r="AM601" s="14">
        <f t="shared" si="1875"/>
        <v>8.579881657</v>
      </c>
      <c r="AN601" s="67">
        <f t="shared" si="1876"/>
        <v>17.08394698</v>
      </c>
      <c r="AO601" s="68">
        <f t="shared" si="1877"/>
        <v>1.991163476</v>
      </c>
      <c r="AP601" s="69">
        <f t="shared" si="1878"/>
        <v>1.8244</v>
      </c>
      <c r="AQ601" s="70">
        <f t="shared" si="1879"/>
        <v>4.825</v>
      </c>
      <c r="AR601" s="71">
        <f t="shared" ref="AR601:AS601" si="1991">AI601/94</f>
        <v>16.03787234</v>
      </c>
      <c r="AS601" s="71">
        <f t="shared" si="1991"/>
        <v>17.9787234</v>
      </c>
      <c r="AT601" s="72">
        <f t="shared" ref="AT601:AU601" si="1992">AI601/24</f>
        <v>62.815</v>
      </c>
      <c r="AU601" s="72">
        <f t="shared" si="1992"/>
        <v>70.41666667</v>
      </c>
      <c r="AV601" s="73">
        <f t="shared" ref="AV601:AW601" si="1993">AI601/125</f>
        <v>12.06048</v>
      </c>
      <c r="AW601" s="73">
        <f t="shared" si="1993"/>
        <v>13.52</v>
      </c>
    </row>
    <row r="602" ht="15.75" customHeight="1">
      <c r="A602" s="2"/>
      <c r="B602" s="2" t="s">
        <v>1189</v>
      </c>
      <c r="C602" s="2" t="s">
        <v>1190</v>
      </c>
      <c r="D602" s="10">
        <v>1150.0</v>
      </c>
      <c r="E602" s="1">
        <v>110.0</v>
      </c>
      <c r="F602" s="1">
        <v>85.0</v>
      </c>
      <c r="G602" s="10">
        <v>8.3061E7</v>
      </c>
      <c r="H602" s="59">
        <v>0.05</v>
      </c>
      <c r="I602" s="2">
        <f t="shared" si="1792"/>
        <v>57.5</v>
      </c>
      <c r="K602" s="2">
        <v>50.0</v>
      </c>
      <c r="L602" s="4">
        <f t="shared" si="1708"/>
        <v>1452.5</v>
      </c>
      <c r="M602" s="2">
        <f t="shared" si="1853"/>
        <v>11.5</v>
      </c>
      <c r="N602" s="12">
        <f t="shared" si="1854"/>
        <v>116.2</v>
      </c>
      <c r="O602" s="12">
        <f t="shared" si="1855"/>
        <v>145.25</v>
      </c>
      <c r="P602" s="12">
        <f t="shared" si="1856"/>
        <v>72.625</v>
      </c>
      <c r="Q602" s="12">
        <f t="shared" si="1857"/>
        <v>29.05</v>
      </c>
      <c r="R602" s="12">
        <f t="shared" si="1858"/>
        <v>12.075</v>
      </c>
      <c r="S602" s="12">
        <f t="shared" si="1859"/>
        <v>14.525</v>
      </c>
      <c r="T602" s="60">
        <f t="shared" si="1860"/>
        <v>389.15</v>
      </c>
      <c r="U602" s="2">
        <f t="shared" si="1861"/>
        <v>24.15</v>
      </c>
      <c r="V602" s="42">
        <f t="shared" si="15"/>
        <v>120.75</v>
      </c>
      <c r="W602" s="2">
        <f t="shared" si="1862"/>
        <v>24.15</v>
      </c>
      <c r="X602" s="2">
        <f t="shared" si="1863"/>
        <v>193.2</v>
      </c>
      <c r="Y602" s="2">
        <f t="shared" si="1864"/>
        <v>362.25</v>
      </c>
      <c r="Z602" s="60">
        <f t="shared" si="1865"/>
        <v>2203.9</v>
      </c>
      <c r="AA602" s="11">
        <f t="shared" si="1866"/>
        <v>440.78</v>
      </c>
      <c r="AB602" s="12">
        <f t="shared" si="1867"/>
        <v>2644.68</v>
      </c>
      <c r="AC602" s="2">
        <f t="shared" si="1868"/>
        <v>2415</v>
      </c>
      <c r="AD602" s="12">
        <f t="shared" si="1869"/>
        <v>229.68</v>
      </c>
      <c r="AE602" s="12">
        <f t="shared" si="1870"/>
        <v>8.684604565</v>
      </c>
      <c r="AF602" s="61">
        <v>1995.0</v>
      </c>
      <c r="AG602" s="62">
        <f t="shared" si="1871"/>
        <v>37.34939759</v>
      </c>
      <c r="AH602" s="63">
        <f t="shared" si="1872"/>
        <v>95</v>
      </c>
      <c r="AI602" s="64">
        <f t="shared" si="1957"/>
        <v>2644.68</v>
      </c>
      <c r="AJ602" s="65">
        <v>2090.0</v>
      </c>
      <c r="AK602" s="66">
        <f t="shared" si="1730"/>
        <v>43.88984509</v>
      </c>
      <c r="AL602" s="66"/>
      <c r="AM602" s="14">
        <f t="shared" si="1875"/>
        <v>4.545454545</v>
      </c>
      <c r="AN602" s="67">
        <f t="shared" si="1876"/>
        <v>6.540447504</v>
      </c>
      <c r="AO602" s="68">
        <f t="shared" si="1877"/>
        <v>1.438898451</v>
      </c>
      <c r="AP602" s="69">
        <f t="shared" si="1878"/>
        <v>-5.5468</v>
      </c>
      <c r="AQ602" s="70">
        <f t="shared" si="1879"/>
        <v>-3.25</v>
      </c>
      <c r="AR602" s="71">
        <f t="shared" ref="AR602:AS602" si="1994">AI602/94</f>
        <v>28.13489362</v>
      </c>
      <c r="AS602" s="71">
        <f t="shared" si="1994"/>
        <v>22.23404255</v>
      </c>
      <c r="AT602" s="72">
        <f t="shared" ref="AT602:AU602" si="1995">AI602/24</f>
        <v>110.195</v>
      </c>
      <c r="AU602" s="72">
        <f t="shared" si="1995"/>
        <v>87.08333333</v>
      </c>
      <c r="AV602" s="73">
        <f t="shared" ref="AV602:AW602" si="1996">AI602/125</f>
        <v>21.15744</v>
      </c>
      <c r="AW602" s="73">
        <f t="shared" si="1996"/>
        <v>16.72</v>
      </c>
    </row>
    <row r="603" ht="15.75" customHeight="1">
      <c r="A603" s="2"/>
      <c r="B603" s="2" t="s">
        <v>1191</v>
      </c>
      <c r="C603" s="2" t="s">
        <v>1192</v>
      </c>
      <c r="D603" s="10">
        <v>350.0</v>
      </c>
      <c r="E603" s="1">
        <v>110.0</v>
      </c>
      <c r="F603" s="1">
        <v>85.0</v>
      </c>
      <c r="G603" s="10">
        <v>8.3061E7</v>
      </c>
      <c r="H603" s="59">
        <v>0.05</v>
      </c>
      <c r="I603" s="2">
        <f t="shared" si="1792"/>
        <v>17.5</v>
      </c>
      <c r="K603" s="2">
        <v>50.0</v>
      </c>
      <c r="L603" s="4">
        <f t="shared" si="1708"/>
        <v>612.5</v>
      </c>
      <c r="M603" s="2">
        <f t="shared" si="1853"/>
        <v>3.5</v>
      </c>
      <c r="N603" s="12">
        <f t="shared" si="1854"/>
        <v>49</v>
      </c>
      <c r="O603" s="12">
        <f t="shared" si="1855"/>
        <v>61.25</v>
      </c>
      <c r="P603" s="12">
        <f t="shared" si="1856"/>
        <v>30.625</v>
      </c>
      <c r="Q603" s="12">
        <f t="shared" si="1857"/>
        <v>12.25</v>
      </c>
      <c r="R603" s="12">
        <f t="shared" si="1858"/>
        <v>3.675</v>
      </c>
      <c r="S603" s="12">
        <f t="shared" si="1859"/>
        <v>6.125</v>
      </c>
      <c r="T603" s="60">
        <f t="shared" si="1860"/>
        <v>162.75</v>
      </c>
      <c r="U603" s="2">
        <f t="shared" si="1861"/>
        <v>7.35</v>
      </c>
      <c r="V603" s="42">
        <f t="shared" si="15"/>
        <v>36.75</v>
      </c>
      <c r="W603" s="2">
        <f t="shared" si="1862"/>
        <v>7.35</v>
      </c>
      <c r="X603" s="2">
        <f t="shared" si="1863"/>
        <v>58.8</v>
      </c>
      <c r="Y603" s="2">
        <f t="shared" si="1864"/>
        <v>110.25</v>
      </c>
      <c r="Z603" s="60">
        <f t="shared" si="1865"/>
        <v>885.5</v>
      </c>
      <c r="AA603" s="11">
        <f t="shared" si="1866"/>
        <v>177.1</v>
      </c>
      <c r="AB603" s="12">
        <f t="shared" si="1867"/>
        <v>1062.6</v>
      </c>
      <c r="AC603" s="2">
        <f t="shared" si="1868"/>
        <v>735</v>
      </c>
      <c r="AD603" s="12">
        <f t="shared" si="1869"/>
        <v>327.6</v>
      </c>
      <c r="AE603" s="12">
        <f t="shared" si="1870"/>
        <v>30.83003953</v>
      </c>
      <c r="AF603" s="61">
        <v>1295.0</v>
      </c>
      <c r="AG603" s="62">
        <f t="shared" si="1871"/>
        <v>111.4285714</v>
      </c>
      <c r="AH603" s="63">
        <f t="shared" si="1872"/>
        <v>95</v>
      </c>
      <c r="AI603" s="64">
        <v>1390.0</v>
      </c>
      <c r="AJ603" s="65">
        <v>1390.0</v>
      </c>
      <c r="AK603" s="66">
        <f t="shared" si="1730"/>
        <v>126.9387755</v>
      </c>
      <c r="AL603" s="66"/>
      <c r="AM603" s="14">
        <f t="shared" si="1875"/>
        <v>6.834532374</v>
      </c>
      <c r="AN603" s="67">
        <f t="shared" si="1876"/>
        <v>15.51020408</v>
      </c>
      <c r="AO603" s="68">
        <f t="shared" si="1877"/>
        <v>2.269387755</v>
      </c>
      <c r="AP603" s="69">
        <f t="shared" si="1878"/>
        <v>3.274</v>
      </c>
      <c r="AQ603" s="70">
        <f t="shared" si="1879"/>
        <v>6.55</v>
      </c>
      <c r="AR603" s="71">
        <f t="shared" ref="AR603:AS603" si="1997">AI603/94</f>
        <v>14.78723404</v>
      </c>
      <c r="AS603" s="71">
        <f t="shared" si="1997"/>
        <v>14.78723404</v>
      </c>
      <c r="AT603" s="72">
        <f t="shared" ref="AT603:AU603" si="1998">AI603/24</f>
        <v>57.91666667</v>
      </c>
      <c r="AU603" s="72">
        <f t="shared" si="1998"/>
        <v>57.91666667</v>
      </c>
      <c r="AV603" s="73">
        <f t="shared" ref="AV603:AW603" si="1999">AI603/125</f>
        <v>11.12</v>
      </c>
      <c r="AW603" s="73">
        <f t="shared" si="1999"/>
        <v>11.12</v>
      </c>
    </row>
    <row r="604" ht="15.75" customHeight="1">
      <c r="A604" s="2"/>
      <c r="B604" s="2" t="s">
        <v>1193</v>
      </c>
      <c r="C604" s="2" t="s">
        <v>1194</v>
      </c>
      <c r="D604" s="10">
        <v>575.0</v>
      </c>
      <c r="E604" s="1">
        <v>110.0</v>
      </c>
      <c r="F604" s="1">
        <v>85.0</v>
      </c>
      <c r="G604" s="10">
        <v>8.3061E7</v>
      </c>
      <c r="H604" s="59">
        <v>0.05</v>
      </c>
      <c r="I604" s="2">
        <f t="shared" si="1792"/>
        <v>28.75</v>
      </c>
      <c r="K604" s="2">
        <v>50.0</v>
      </c>
      <c r="L604" s="4">
        <f t="shared" si="1708"/>
        <v>848.75</v>
      </c>
      <c r="M604" s="2">
        <f t="shared" si="1853"/>
        <v>5.75</v>
      </c>
      <c r="N604" s="12">
        <f t="shared" si="1854"/>
        <v>67.9</v>
      </c>
      <c r="O604" s="12">
        <f t="shared" si="1855"/>
        <v>84.875</v>
      </c>
      <c r="P604" s="12">
        <f t="shared" si="1856"/>
        <v>42.4375</v>
      </c>
      <c r="Q604" s="12">
        <f t="shared" si="1857"/>
        <v>16.975</v>
      </c>
      <c r="R604" s="12">
        <f t="shared" si="1858"/>
        <v>6.0375</v>
      </c>
      <c r="S604" s="12">
        <f t="shared" si="1859"/>
        <v>8.4875</v>
      </c>
      <c r="T604" s="60">
        <f t="shared" si="1860"/>
        <v>226.425</v>
      </c>
      <c r="U604" s="2">
        <f t="shared" si="1861"/>
        <v>12.075</v>
      </c>
      <c r="V604" s="42">
        <f t="shared" si="15"/>
        <v>60.375</v>
      </c>
      <c r="W604" s="2">
        <f t="shared" si="1862"/>
        <v>12.075</v>
      </c>
      <c r="X604" s="2">
        <f t="shared" si="1863"/>
        <v>96.6</v>
      </c>
      <c r="Y604" s="2">
        <f t="shared" si="1864"/>
        <v>181.125</v>
      </c>
      <c r="Z604" s="60">
        <f t="shared" si="1865"/>
        <v>1256.3</v>
      </c>
      <c r="AA604" s="11">
        <f t="shared" si="1866"/>
        <v>251.26</v>
      </c>
      <c r="AB604" s="12">
        <f t="shared" si="1867"/>
        <v>1507.56</v>
      </c>
      <c r="AC604" s="2">
        <f t="shared" si="1868"/>
        <v>1207.5</v>
      </c>
      <c r="AD604" s="12">
        <f t="shared" si="1869"/>
        <v>300.06</v>
      </c>
      <c r="AE604" s="12">
        <f t="shared" si="1870"/>
        <v>19.90368543</v>
      </c>
      <c r="AF604" s="61">
        <v>1545.0</v>
      </c>
      <c r="AG604" s="62">
        <f t="shared" si="1871"/>
        <v>82.03240059</v>
      </c>
      <c r="AH604" s="63">
        <f t="shared" si="1872"/>
        <v>145</v>
      </c>
      <c r="AI604" s="64">
        <v>1790.0</v>
      </c>
      <c r="AJ604" s="65">
        <v>1690.0</v>
      </c>
      <c r="AK604" s="66">
        <f t="shared" si="1730"/>
        <v>99.11634757</v>
      </c>
      <c r="AL604" s="66"/>
      <c r="AM604" s="14">
        <f t="shared" si="1875"/>
        <v>8.579881657</v>
      </c>
      <c r="AN604" s="67">
        <f t="shared" si="1876"/>
        <v>17.08394698</v>
      </c>
      <c r="AO604" s="68">
        <f t="shared" si="1877"/>
        <v>1.991163476</v>
      </c>
      <c r="AP604" s="69">
        <f t="shared" si="1878"/>
        <v>1.8244</v>
      </c>
      <c r="AQ604" s="70">
        <f t="shared" si="1879"/>
        <v>4.825</v>
      </c>
      <c r="AR604" s="71">
        <f t="shared" ref="AR604:AS604" si="2000">AI604/94</f>
        <v>19.04255319</v>
      </c>
      <c r="AS604" s="71">
        <f t="shared" si="2000"/>
        <v>17.9787234</v>
      </c>
      <c r="AT604" s="72">
        <f t="shared" ref="AT604:AU604" si="2001">AI604/24</f>
        <v>74.58333333</v>
      </c>
      <c r="AU604" s="72">
        <f t="shared" si="2001"/>
        <v>70.41666667</v>
      </c>
      <c r="AV604" s="73">
        <f t="shared" ref="AV604:AW604" si="2002">AI604/125</f>
        <v>14.32</v>
      </c>
      <c r="AW604" s="73">
        <f t="shared" si="2002"/>
        <v>13.52</v>
      </c>
    </row>
    <row r="605" ht="15.75" customHeight="1">
      <c r="A605" s="2"/>
      <c r="B605" s="2" t="s">
        <v>1195</v>
      </c>
      <c r="C605" s="2" t="s">
        <v>1196</v>
      </c>
      <c r="D605" s="10">
        <v>1150.0</v>
      </c>
      <c r="E605" s="1">
        <v>110.0</v>
      </c>
      <c r="F605" s="1">
        <v>85.0</v>
      </c>
      <c r="G605" s="10">
        <v>8.3061E7</v>
      </c>
      <c r="H605" s="59">
        <v>0.05</v>
      </c>
      <c r="I605" s="2">
        <f t="shared" si="1792"/>
        <v>57.5</v>
      </c>
      <c r="K605" s="2">
        <v>50.0</v>
      </c>
      <c r="L605" s="4">
        <f t="shared" si="1708"/>
        <v>1452.5</v>
      </c>
      <c r="M605" s="2">
        <f t="shared" si="1853"/>
        <v>11.5</v>
      </c>
      <c r="N605" s="12">
        <f t="shared" si="1854"/>
        <v>116.2</v>
      </c>
      <c r="O605" s="12">
        <f t="shared" si="1855"/>
        <v>145.25</v>
      </c>
      <c r="P605" s="12">
        <f t="shared" si="1856"/>
        <v>72.625</v>
      </c>
      <c r="Q605" s="12">
        <f t="shared" si="1857"/>
        <v>29.05</v>
      </c>
      <c r="R605" s="12">
        <f t="shared" si="1858"/>
        <v>12.075</v>
      </c>
      <c r="S605" s="12">
        <f t="shared" si="1859"/>
        <v>14.525</v>
      </c>
      <c r="T605" s="60">
        <f t="shared" si="1860"/>
        <v>389.15</v>
      </c>
      <c r="U605" s="2">
        <f t="shared" si="1861"/>
        <v>24.15</v>
      </c>
      <c r="V605" s="42">
        <f t="shared" si="15"/>
        <v>120.75</v>
      </c>
      <c r="W605" s="2">
        <f t="shared" si="1862"/>
        <v>24.15</v>
      </c>
      <c r="X605" s="2">
        <f t="shared" si="1863"/>
        <v>193.2</v>
      </c>
      <c r="Y605" s="2">
        <f t="shared" si="1864"/>
        <v>362.25</v>
      </c>
      <c r="Z605" s="60">
        <f t="shared" si="1865"/>
        <v>2203.9</v>
      </c>
      <c r="AA605" s="11">
        <f t="shared" si="1866"/>
        <v>440.78</v>
      </c>
      <c r="AB605" s="12">
        <f t="shared" si="1867"/>
        <v>2644.68</v>
      </c>
      <c r="AC605" s="2">
        <f t="shared" si="1868"/>
        <v>2415</v>
      </c>
      <c r="AD605" s="12">
        <f t="shared" si="1869"/>
        <v>229.68</v>
      </c>
      <c r="AE605" s="12">
        <f t="shared" si="1870"/>
        <v>8.684604565</v>
      </c>
      <c r="AF605" s="61">
        <v>1995.0</v>
      </c>
      <c r="AG605" s="62">
        <f t="shared" si="1871"/>
        <v>37.34939759</v>
      </c>
      <c r="AH605" s="63">
        <f t="shared" si="1872"/>
        <v>95</v>
      </c>
      <c r="AI605" s="64">
        <f>AB605</f>
        <v>2644.68</v>
      </c>
      <c r="AJ605" s="65">
        <v>2090.0</v>
      </c>
      <c r="AK605" s="66">
        <f t="shared" si="1730"/>
        <v>43.88984509</v>
      </c>
      <c r="AL605" s="66"/>
      <c r="AM605" s="14">
        <f t="shared" si="1875"/>
        <v>4.545454545</v>
      </c>
      <c r="AN605" s="67">
        <f t="shared" si="1876"/>
        <v>6.540447504</v>
      </c>
      <c r="AO605" s="68">
        <f t="shared" si="1877"/>
        <v>1.438898451</v>
      </c>
      <c r="AP605" s="69">
        <f t="shared" si="1878"/>
        <v>-5.5468</v>
      </c>
      <c r="AQ605" s="70">
        <f t="shared" si="1879"/>
        <v>-3.25</v>
      </c>
      <c r="AR605" s="71">
        <f t="shared" ref="AR605:AS605" si="2003">AI605/94</f>
        <v>28.13489362</v>
      </c>
      <c r="AS605" s="71">
        <f t="shared" si="2003"/>
        <v>22.23404255</v>
      </c>
      <c r="AT605" s="72">
        <f t="shared" ref="AT605:AU605" si="2004">AI605/24</f>
        <v>110.195</v>
      </c>
      <c r="AU605" s="72">
        <f t="shared" si="2004"/>
        <v>87.08333333</v>
      </c>
      <c r="AV605" s="73">
        <f t="shared" ref="AV605:AW605" si="2005">AI605/125</f>
        <v>21.15744</v>
      </c>
      <c r="AW605" s="73">
        <f t="shared" si="2005"/>
        <v>16.72</v>
      </c>
    </row>
    <row r="606" ht="15.0" customHeight="1">
      <c r="A606" s="2" t="s">
        <v>1197</v>
      </c>
      <c r="B606" s="2" t="s">
        <v>1129</v>
      </c>
      <c r="C606" s="2" t="s">
        <v>1198</v>
      </c>
      <c r="D606" s="105">
        <v>1200.0</v>
      </c>
      <c r="E606" s="76">
        <v>105.0</v>
      </c>
      <c r="F606" s="1">
        <v>145.0</v>
      </c>
      <c r="G606" s="10">
        <v>4.42019E7</v>
      </c>
      <c r="H606" s="59">
        <v>0.05</v>
      </c>
      <c r="I606" s="2">
        <f t="shared" si="1792"/>
        <v>60</v>
      </c>
      <c r="J606" s="2">
        <f t="shared" ref="J606:J614" si="2009">D606*5%</f>
        <v>60</v>
      </c>
      <c r="K606" s="1">
        <v>500.0</v>
      </c>
      <c r="L606" s="4">
        <f t="shared" si="1708"/>
        <v>2070</v>
      </c>
      <c r="M606" s="2">
        <f t="shared" si="1853"/>
        <v>12</v>
      </c>
      <c r="N606" s="12">
        <f t="shared" si="1854"/>
        <v>165.6</v>
      </c>
      <c r="O606" s="12">
        <f t="shared" si="1855"/>
        <v>207</v>
      </c>
      <c r="P606" s="12">
        <f t="shared" si="1856"/>
        <v>103.5</v>
      </c>
      <c r="Q606" s="12">
        <f t="shared" si="1857"/>
        <v>41.4</v>
      </c>
      <c r="R606" s="12">
        <f t="shared" si="1858"/>
        <v>12.6</v>
      </c>
      <c r="S606" s="12">
        <f t="shared" si="1859"/>
        <v>20.7</v>
      </c>
      <c r="T606" s="60">
        <f t="shared" si="1860"/>
        <v>550.2</v>
      </c>
      <c r="U606" s="2">
        <f t="shared" si="1861"/>
        <v>25.2</v>
      </c>
      <c r="V606" s="42">
        <f t="shared" si="15"/>
        <v>126</v>
      </c>
      <c r="W606" s="2">
        <f t="shared" si="1862"/>
        <v>25.2</v>
      </c>
      <c r="X606" s="2">
        <f t="shared" si="1863"/>
        <v>201.6</v>
      </c>
      <c r="Y606" s="2">
        <f t="shared" si="1864"/>
        <v>378</v>
      </c>
      <c r="Z606" s="60">
        <f t="shared" si="1865"/>
        <v>2998.2</v>
      </c>
      <c r="AA606" s="11">
        <f t="shared" si="1866"/>
        <v>599.64</v>
      </c>
      <c r="AB606" s="12">
        <f t="shared" si="1867"/>
        <v>3597.84</v>
      </c>
      <c r="AC606" s="2">
        <f t="shared" si="1868"/>
        <v>2520</v>
      </c>
      <c r="AD606" s="12">
        <f t="shared" si="1869"/>
        <v>1077.84</v>
      </c>
      <c r="AE606" s="12">
        <f t="shared" si="1870"/>
        <v>29.95797478</v>
      </c>
      <c r="AF606" s="61">
        <v>4650.0</v>
      </c>
      <c r="AG606" s="62">
        <f t="shared" si="1871"/>
        <v>124.6376812</v>
      </c>
      <c r="AH606" s="63">
        <f t="shared" si="1872"/>
        <v>640</v>
      </c>
      <c r="AI606" s="64">
        <v>5190.0</v>
      </c>
      <c r="AJ606" s="65">
        <v>5290.0</v>
      </c>
      <c r="AK606" s="66">
        <f t="shared" si="1730"/>
        <v>155.5555556</v>
      </c>
      <c r="AL606" s="66"/>
      <c r="AM606" s="14">
        <f t="shared" si="1875"/>
        <v>12.09829868</v>
      </c>
      <c r="AN606" s="67">
        <f t="shared" si="1876"/>
        <v>30.9178744</v>
      </c>
      <c r="AO606" s="68">
        <f t="shared" si="1877"/>
        <v>2.555555556</v>
      </c>
      <c r="AP606" s="69">
        <f t="shared" si="1878"/>
        <v>16.9216</v>
      </c>
      <c r="AQ606" s="70">
        <f t="shared" si="1879"/>
        <v>27.7</v>
      </c>
      <c r="AR606" s="71">
        <f t="shared" ref="AR606:AS606" si="2006">AI606/94</f>
        <v>55.21276596</v>
      </c>
      <c r="AS606" s="71">
        <f t="shared" si="2006"/>
        <v>56.27659574</v>
      </c>
      <c r="AT606" s="72">
        <f t="shared" ref="AT606:AU606" si="2007">AI606/24</f>
        <v>216.25</v>
      </c>
      <c r="AU606" s="72">
        <f t="shared" si="2007"/>
        <v>220.4166667</v>
      </c>
      <c r="AV606" s="73">
        <f t="shared" ref="AV606:AW606" si="2008">AI606/125</f>
        <v>41.52</v>
      </c>
      <c r="AW606" s="73">
        <f t="shared" si="2008"/>
        <v>42.32</v>
      </c>
    </row>
    <row r="607" ht="15.75" customHeight="1">
      <c r="A607" s="2"/>
      <c r="B607" s="2" t="s">
        <v>1199</v>
      </c>
      <c r="C607" s="2" t="s">
        <v>1200</v>
      </c>
      <c r="D607" s="105">
        <v>1400.0</v>
      </c>
      <c r="E607" s="76">
        <v>105.0</v>
      </c>
      <c r="F607" s="1">
        <v>145.0</v>
      </c>
      <c r="G607" s="10">
        <v>4.42019E7</v>
      </c>
      <c r="H607" s="59">
        <v>0.05</v>
      </c>
      <c r="I607" s="2">
        <f t="shared" si="1792"/>
        <v>70</v>
      </c>
      <c r="J607" s="2">
        <f t="shared" si="2009"/>
        <v>70</v>
      </c>
      <c r="K607" s="1">
        <v>500.0</v>
      </c>
      <c r="L607" s="4">
        <f t="shared" si="1708"/>
        <v>2290</v>
      </c>
      <c r="M607" s="2">
        <f t="shared" si="1853"/>
        <v>14</v>
      </c>
      <c r="N607" s="12">
        <f t="shared" si="1854"/>
        <v>183.2</v>
      </c>
      <c r="O607" s="12">
        <f t="shared" si="1855"/>
        <v>229</v>
      </c>
      <c r="P607" s="12">
        <f t="shared" si="1856"/>
        <v>114.5</v>
      </c>
      <c r="Q607" s="12">
        <f t="shared" si="1857"/>
        <v>45.8</v>
      </c>
      <c r="R607" s="12">
        <f t="shared" si="1858"/>
        <v>14.7</v>
      </c>
      <c r="S607" s="12">
        <f t="shared" si="1859"/>
        <v>22.9</v>
      </c>
      <c r="T607" s="60">
        <f t="shared" si="1860"/>
        <v>609.4</v>
      </c>
      <c r="U607" s="2">
        <f t="shared" si="1861"/>
        <v>29.4</v>
      </c>
      <c r="V607" s="42">
        <f t="shared" si="15"/>
        <v>147</v>
      </c>
      <c r="W607" s="2">
        <f t="shared" si="1862"/>
        <v>29.4</v>
      </c>
      <c r="X607" s="2">
        <f t="shared" si="1863"/>
        <v>235.2</v>
      </c>
      <c r="Y607" s="2">
        <f t="shared" si="1864"/>
        <v>441</v>
      </c>
      <c r="Z607" s="60">
        <f t="shared" si="1865"/>
        <v>3340.4</v>
      </c>
      <c r="AA607" s="11">
        <f t="shared" si="1866"/>
        <v>668.08</v>
      </c>
      <c r="AB607" s="12">
        <f t="shared" si="1867"/>
        <v>4008.48</v>
      </c>
      <c r="AC607" s="2">
        <f t="shared" si="1868"/>
        <v>2940</v>
      </c>
      <c r="AD607" s="12">
        <f t="shared" si="1869"/>
        <v>1068.48</v>
      </c>
      <c r="AE607" s="12">
        <f t="shared" si="1870"/>
        <v>26.65549036</v>
      </c>
      <c r="AF607" s="61">
        <v>4950.0</v>
      </c>
      <c r="AG607" s="62">
        <f t="shared" si="1871"/>
        <v>116.1572052</v>
      </c>
      <c r="AH607" s="63">
        <f t="shared" si="1872"/>
        <v>340</v>
      </c>
      <c r="AI607" s="64">
        <v>5490.0</v>
      </c>
      <c r="AJ607" s="65">
        <v>5290.0</v>
      </c>
      <c r="AK607" s="66">
        <f t="shared" si="1730"/>
        <v>131.0043668</v>
      </c>
      <c r="AL607" s="66"/>
      <c r="AM607" s="14">
        <f t="shared" si="1875"/>
        <v>6.427221172</v>
      </c>
      <c r="AN607" s="67">
        <f t="shared" si="1876"/>
        <v>14.84716157</v>
      </c>
      <c r="AO607" s="68">
        <f t="shared" si="1877"/>
        <v>2.310043668</v>
      </c>
      <c r="AP607" s="69">
        <f t="shared" si="1878"/>
        <v>12.8152</v>
      </c>
      <c r="AQ607" s="70">
        <f t="shared" si="1879"/>
        <v>23.5</v>
      </c>
      <c r="AR607" s="71">
        <f t="shared" ref="AR607:AS607" si="2010">AI607/94</f>
        <v>58.40425532</v>
      </c>
      <c r="AS607" s="71">
        <f t="shared" si="2010"/>
        <v>56.27659574</v>
      </c>
      <c r="AT607" s="72">
        <f t="shared" ref="AT607:AU607" si="2011">AI607/24</f>
        <v>228.75</v>
      </c>
      <c r="AU607" s="72">
        <f t="shared" si="2011"/>
        <v>220.4166667</v>
      </c>
      <c r="AV607" s="73">
        <f t="shared" ref="AV607:AW607" si="2012">AI607/125</f>
        <v>43.92</v>
      </c>
      <c r="AW607" s="73">
        <f t="shared" si="2012"/>
        <v>42.32</v>
      </c>
    </row>
    <row r="608" ht="15.75" customHeight="1">
      <c r="A608" s="2"/>
      <c r="B608" s="2" t="s">
        <v>1201</v>
      </c>
      <c r="C608" s="2" t="s">
        <v>1202</v>
      </c>
      <c r="D608" s="105">
        <v>1500.0</v>
      </c>
      <c r="E608" s="76">
        <v>120.0</v>
      </c>
      <c r="F608" s="1">
        <v>145.0</v>
      </c>
      <c r="G608" s="10">
        <v>4.42019E7</v>
      </c>
      <c r="H608" s="59">
        <v>0.05</v>
      </c>
      <c r="I608" s="2">
        <f t="shared" si="1792"/>
        <v>75</v>
      </c>
      <c r="J608" s="2">
        <f t="shared" si="2009"/>
        <v>75</v>
      </c>
      <c r="K608" s="1">
        <v>500.0</v>
      </c>
      <c r="L608" s="4">
        <f t="shared" si="1708"/>
        <v>2415</v>
      </c>
      <c r="M608" s="2">
        <f t="shared" si="1853"/>
        <v>15</v>
      </c>
      <c r="N608" s="12">
        <f t="shared" si="1854"/>
        <v>193.2</v>
      </c>
      <c r="O608" s="12">
        <f t="shared" si="1855"/>
        <v>241.5</v>
      </c>
      <c r="P608" s="12">
        <f t="shared" si="1856"/>
        <v>120.75</v>
      </c>
      <c r="Q608" s="12">
        <f t="shared" si="1857"/>
        <v>48.3</v>
      </c>
      <c r="R608" s="12">
        <f t="shared" si="1858"/>
        <v>15.75</v>
      </c>
      <c r="S608" s="12">
        <f t="shared" si="1859"/>
        <v>24.15</v>
      </c>
      <c r="T608" s="60">
        <f t="shared" si="1860"/>
        <v>642.9</v>
      </c>
      <c r="U608" s="2">
        <f t="shared" si="1861"/>
        <v>31.5</v>
      </c>
      <c r="V608" s="42">
        <f t="shared" si="15"/>
        <v>157.5</v>
      </c>
      <c r="W608" s="2">
        <f t="shared" si="1862"/>
        <v>31.5</v>
      </c>
      <c r="X608" s="2">
        <f t="shared" si="1863"/>
        <v>252</v>
      </c>
      <c r="Y608" s="2">
        <f t="shared" si="1864"/>
        <v>472.5</v>
      </c>
      <c r="Z608" s="60">
        <f t="shared" si="1865"/>
        <v>3530.4</v>
      </c>
      <c r="AA608" s="11">
        <f t="shared" si="1866"/>
        <v>706.08</v>
      </c>
      <c r="AB608" s="12">
        <f t="shared" si="1867"/>
        <v>4236.48</v>
      </c>
      <c r="AC608" s="2">
        <f t="shared" si="1868"/>
        <v>3150</v>
      </c>
      <c r="AD608" s="12">
        <f t="shared" si="1869"/>
        <v>1086.48</v>
      </c>
      <c r="AE608" s="12">
        <f t="shared" si="1870"/>
        <v>25.64581917</v>
      </c>
      <c r="AF608" s="61">
        <v>5550.0</v>
      </c>
      <c r="AG608" s="62">
        <f t="shared" si="1871"/>
        <v>129.8136646</v>
      </c>
      <c r="AH608" s="63">
        <f t="shared" si="1872"/>
        <v>340</v>
      </c>
      <c r="AI608" s="64">
        <v>6090.0</v>
      </c>
      <c r="AJ608" s="65">
        <v>5890.0</v>
      </c>
      <c r="AK608" s="66">
        <f t="shared" si="1730"/>
        <v>143.8923395</v>
      </c>
      <c r="AL608" s="66"/>
      <c r="AM608" s="14">
        <f t="shared" si="1875"/>
        <v>5.772495756</v>
      </c>
      <c r="AN608" s="67">
        <f t="shared" si="1876"/>
        <v>14.07867495</v>
      </c>
      <c r="AO608" s="68">
        <f t="shared" si="1877"/>
        <v>2.438923395</v>
      </c>
      <c r="AP608" s="69">
        <f t="shared" si="1878"/>
        <v>16.5352</v>
      </c>
      <c r="AQ608" s="70">
        <f t="shared" si="1879"/>
        <v>27.4</v>
      </c>
      <c r="AR608" s="71">
        <f t="shared" ref="AR608:AS608" si="2013">AI608/94</f>
        <v>64.78723404</v>
      </c>
      <c r="AS608" s="71">
        <f t="shared" si="2013"/>
        <v>62.65957447</v>
      </c>
      <c r="AT608" s="72">
        <f t="shared" ref="AT608:AU608" si="2014">AI608/24</f>
        <v>253.75</v>
      </c>
      <c r="AU608" s="72">
        <f t="shared" si="2014"/>
        <v>245.4166667</v>
      </c>
      <c r="AV608" s="73">
        <f t="shared" ref="AV608:AW608" si="2015">AI608/125</f>
        <v>48.72</v>
      </c>
      <c r="AW608" s="73">
        <f t="shared" si="2015"/>
        <v>47.12</v>
      </c>
    </row>
    <row r="609" ht="15.75" customHeight="1">
      <c r="A609" s="2"/>
      <c r="B609" s="2" t="s">
        <v>1203</v>
      </c>
      <c r="C609" s="2" t="s">
        <v>1204</v>
      </c>
      <c r="D609" s="105">
        <v>1600.0</v>
      </c>
      <c r="E609" s="76">
        <v>120.0</v>
      </c>
      <c r="F609" s="1">
        <v>145.0</v>
      </c>
      <c r="G609" s="10">
        <v>4.42019E7</v>
      </c>
      <c r="H609" s="59">
        <v>0.05</v>
      </c>
      <c r="I609" s="2">
        <f t="shared" si="1792"/>
        <v>80</v>
      </c>
      <c r="J609" s="2">
        <f t="shared" si="2009"/>
        <v>80</v>
      </c>
      <c r="K609" s="1">
        <v>500.0</v>
      </c>
      <c r="L609" s="4">
        <f t="shared" si="1708"/>
        <v>2525</v>
      </c>
      <c r="M609" s="2">
        <f t="shared" si="1853"/>
        <v>16</v>
      </c>
      <c r="N609" s="12">
        <f t="shared" si="1854"/>
        <v>202</v>
      </c>
      <c r="O609" s="12">
        <f t="shared" si="1855"/>
        <v>252.5</v>
      </c>
      <c r="P609" s="12">
        <f t="shared" si="1856"/>
        <v>126.25</v>
      </c>
      <c r="Q609" s="12">
        <f t="shared" si="1857"/>
        <v>50.5</v>
      </c>
      <c r="R609" s="12">
        <f t="shared" si="1858"/>
        <v>16.8</v>
      </c>
      <c r="S609" s="12">
        <f t="shared" si="1859"/>
        <v>25.25</v>
      </c>
      <c r="T609" s="60">
        <f t="shared" si="1860"/>
        <v>672.5</v>
      </c>
      <c r="U609" s="2">
        <f t="shared" si="1861"/>
        <v>33.6</v>
      </c>
      <c r="V609" s="42">
        <f t="shared" si="15"/>
        <v>168</v>
      </c>
      <c r="W609" s="2">
        <f t="shared" si="1862"/>
        <v>33.6</v>
      </c>
      <c r="X609" s="2">
        <f t="shared" si="1863"/>
        <v>268.8</v>
      </c>
      <c r="Y609" s="2">
        <f t="shared" si="1864"/>
        <v>504</v>
      </c>
      <c r="Z609" s="60">
        <f t="shared" si="1865"/>
        <v>3701.5</v>
      </c>
      <c r="AA609" s="11">
        <f t="shared" si="1866"/>
        <v>740.3</v>
      </c>
      <c r="AB609" s="12">
        <f t="shared" si="1867"/>
        <v>4441.8</v>
      </c>
      <c r="AC609" s="2">
        <f t="shared" si="1868"/>
        <v>3360</v>
      </c>
      <c r="AD609" s="12">
        <f t="shared" si="1869"/>
        <v>1081.8</v>
      </c>
      <c r="AE609" s="12">
        <f t="shared" si="1870"/>
        <v>24.35499122</v>
      </c>
      <c r="AF609" s="61">
        <v>6250.0</v>
      </c>
      <c r="AG609" s="62">
        <f t="shared" si="1871"/>
        <v>147.5247525</v>
      </c>
      <c r="AH609" s="63">
        <f t="shared" si="1872"/>
        <v>440</v>
      </c>
      <c r="AI609" s="64">
        <v>6890.0</v>
      </c>
      <c r="AJ609" s="65">
        <v>6690.0</v>
      </c>
      <c r="AK609" s="66">
        <f t="shared" si="1730"/>
        <v>164.950495</v>
      </c>
      <c r="AL609" s="66"/>
      <c r="AM609" s="14">
        <f t="shared" si="1875"/>
        <v>6.576980568</v>
      </c>
      <c r="AN609" s="67">
        <f t="shared" si="1876"/>
        <v>17.42574257</v>
      </c>
      <c r="AO609" s="68">
        <f t="shared" si="1877"/>
        <v>2.64950495</v>
      </c>
      <c r="AP609" s="69">
        <f t="shared" si="1878"/>
        <v>22.482</v>
      </c>
      <c r="AQ609" s="70">
        <f t="shared" si="1879"/>
        <v>33.3</v>
      </c>
      <c r="AR609" s="71">
        <f t="shared" ref="AR609:AS609" si="2016">AI609/94</f>
        <v>73.29787234</v>
      </c>
      <c r="AS609" s="71">
        <f t="shared" si="2016"/>
        <v>71.17021277</v>
      </c>
      <c r="AT609" s="72">
        <f t="shared" ref="AT609:AU609" si="2017">AI609/24</f>
        <v>287.0833333</v>
      </c>
      <c r="AU609" s="72">
        <f t="shared" si="2017"/>
        <v>278.75</v>
      </c>
      <c r="AV609" s="73">
        <f t="shared" ref="AV609:AW609" si="2018">AI609/125</f>
        <v>55.12</v>
      </c>
      <c r="AW609" s="73">
        <f t="shared" si="2018"/>
        <v>53.52</v>
      </c>
    </row>
    <row r="610" ht="15.75" customHeight="1">
      <c r="A610" s="2"/>
      <c r="B610" s="2" t="s">
        <v>1139</v>
      </c>
      <c r="C610" s="2" t="s">
        <v>1205</v>
      </c>
      <c r="D610" s="105">
        <v>1300.0</v>
      </c>
      <c r="E610" s="76">
        <v>120.0</v>
      </c>
      <c r="F610" s="1">
        <v>145.0</v>
      </c>
      <c r="G610" s="10">
        <v>4.42019E7</v>
      </c>
      <c r="H610" s="59">
        <v>0.05</v>
      </c>
      <c r="I610" s="2">
        <f t="shared" si="1792"/>
        <v>65</v>
      </c>
      <c r="J610" s="2">
        <f t="shared" si="2009"/>
        <v>65</v>
      </c>
      <c r="K610" s="1">
        <v>500.0</v>
      </c>
      <c r="L610" s="4">
        <f t="shared" si="1708"/>
        <v>2195</v>
      </c>
      <c r="M610" s="2">
        <f t="shared" si="1853"/>
        <v>13</v>
      </c>
      <c r="N610" s="12">
        <f t="shared" si="1854"/>
        <v>175.6</v>
      </c>
      <c r="O610" s="12">
        <f t="shared" si="1855"/>
        <v>219.5</v>
      </c>
      <c r="P610" s="12">
        <f t="shared" si="1856"/>
        <v>109.75</v>
      </c>
      <c r="Q610" s="12">
        <f t="shared" si="1857"/>
        <v>43.9</v>
      </c>
      <c r="R610" s="12">
        <f t="shared" si="1858"/>
        <v>13.65</v>
      </c>
      <c r="S610" s="12">
        <f t="shared" si="1859"/>
        <v>21.95</v>
      </c>
      <c r="T610" s="60">
        <f t="shared" si="1860"/>
        <v>583.7</v>
      </c>
      <c r="U610" s="2">
        <f t="shared" si="1861"/>
        <v>27.3</v>
      </c>
      <c r="V610" s="42">
        <f t="shared" si="15"/>
        <v>136.5</v>
      </c>
      <c r="W610" s="2">
        <f t="shared" si="1862"/>
        <v>27.3</v>
      </c>
      <c r="X610" s="2">
        <f t="shared" si="1863"/>
        <v>218.4</v>
      </c>
      <c r="Y610" s="2">
        <f t="shared" si="1864"/>
        <v>409.5</v>
      </c>
      <c r="Z610" s="60">
        <f t="shared" si="1865"/>
        <v>3188.2</v>
      </c>
      <c r="AA610" s="11">
        <f t="shared" si="1866"/>
        <v>637.64</v>
      </c>
      <c r="AB610" s="12">
        <f t="shared" si="1867"/>
        <v>3825.84</v>
      </c>
      <c r="AC610" s="2">
        <f t="shared" si="1868"/>
        <v>2730</v>
      </c>
      <c r="AD610" s="12">
        <f t="shared" si="1869"/>
        <v>1095.84</v>
      </c>
      <c r="AE610" s="12">
        <f t="shared" si="1870"/>
        <v>28.64312151</v>
      </c>
      <c r="AF610" s="61">
        <v>5250.0</v>
      </c>
      <c r="AG610" s="62">
        <f t="shared" si="1871"/>
        <v>139.1799544</v>
      </c>
      <c r="AH610" s="63">
        <f t="shared" si="1872"/>
        <v>640</v>
      </c>
      <c r="AI610" s="64">
        <v>5890.0</v>
      </c>
      <c r="AJ610" s="65">
        <v>5890.0</v>
      </c>
      <c r="AK610" s="66">
        <f t="shared" si="1730"/>
        <v>168.3371298</v>
      </c>
      <c r="AL610" s="66"/>
      <c r="AM610" s="14">
        <f t="shared" si="1875"/>
        <v>10.86587436</v>
      </c>
      <c r="AN610" s="67">
        <f t="shared" si="1876"/>
        <v>29.1571754</v>
      </c>
      <c r="AO610" s="68">
        <f t="shared" si="1877"/>
        <v>2.683371298</v>
      </c>
      <c r="AP610" s="69">
        <f t="shared" si="1878"/>
        <v>20.6416</v>
      </c>
      <c r="AQ610" s="70">
        <f t="shared" si="1879"/>
        <v>31.6</v>
      </c>
      <c r="AR610" s="71">
        <f t="shared" ref="AR610:AS610" si="2019">AI610/94</f>
        <v>62.65957447</v>
      </c>
      <c r="AS610" s="71">
        <f t="shared" si="2019"/>
        <v>62.65957447</v>
      </c>
      <c r="AT610" s="72">
        <f t="shared" ref="AT610:AU610" si="2020">AI610/24</f>
        <v>245.4166667</v>
      </c>
      <c r="AU610" s="72">
        <f t="shared" si="2020"/>
        <v>245.4166667</v>
      </c>
      <c r="AV610" s="73">
        <f t="shared" ref="AV610:AW610" si="2021">AI610/125</f>
        <v>47.12</v>
      </c>
      <c r="AW610" s="73">
        <f t="shared" si="2021"/>
        <v>47.12</v>
      </c>
    </row>
    <row r="611" ht="15.75" customHeight="1">
      <c r="A611" s="2"/>
      <c r="B611" s="2" t="s">
        <v>1206</v>
      </c>
      <c r="C611" s="2" t="s">
        <v>1207</v>
      </c>
      <c r="D611" s="105">
        <v>1500.0</v>
      </c>
      <c r="E611" s="76">
        <v>120.0</v>
      </c>
      <c r="F611" s="1">
        <v>145.0</v>
      </c>
      <c r="G611" s="10">
        <v>4.42019E7</v>
      </c>
      <c r="H611" s="59">
        <v>0.05</v>
      </c>
      <c r="I611" s="2">
        <f t="shared" si="1792"/>
        <v>75</v>
      </c>
      <c r="J611" s="2">
        <f t="shared" si="2009"/>
        <v>75</v>
      </c>
      <c r="K611" s="1">
        <v>500.0</v>
      </c>
      <c r="L611" s="4">
        <f t="shared" si="1708"/>
        <v>2415</v>
      </c>
      <c r="M611" s="2">
        <f t="shared" si="1853"/>
        <v>15</v>
      </c>
      <c r="N611" s="12">
        <f t="shared" si="1854"/>
        <v>193.2</v>
      </c>
      <c r="O611" s="12">
        <f t="shared" si="1855"/>
        <v>241.5</v>
      </c>
      <c r="P611" s="12">
        <f t="shared" si="1856"/>
        <v>120.75</v>
      </c>
      <c r="Q611" s="12">
        <f t="shared" si="1857"/>
        <v>48.3</v>
      </c>
      <c r="R611" s="12">
        <f t="shared" si="1858"/>
        <v>15.75</v>
      </c>
      <c r="S611" s="12">
        <f t="shared" si="1859"/>
        <v>24.15</v>
      </c>
      <c r="T611" s="60">
        <f t="shared" si="1860"/>
        <v>642.9</v>
      </c>
      <c r="U611" s="2">
        <f t="shared" si="1861"/>
        <v>31.5</v>
      </c>
      <c r="V611" s="42">
        <f t="shared" si="15"/>
        <v>157.5</v>
      </c>
      <c r="W611" s="2">
        <f t="shared" si="1862"/>
        <v>31.5</v>
      </c>
      <c r="X611" s="2">
        <f t="shared" si="1863"/>
        <v>252</v>
      </c>
      <c r="Y611" s="2">
        <f t="shared" si="1864"/>
        <v>472.5</v>
      </c>
      <c r="Z611" s="60">
        <f t="shared" si="1865"/>
        <v>3530.4</v>
      </c>
      <c r="AA611" s="11">
        <f t="shared" si="1866"/>
        <v>706.08</v>
      </c>
      <c r="AB611" s="12">
        <f t="shared" si="1867"/>
        <v>4236.48</v>
      </c>
      <c r="AC611" s="2">
        <f t="shared" si="1868"/>
        <v>3150</v>
      </c>
      <c r="AD611" s="12">
        <f t="shared" si="1869"/>
        <v>1086.48</v>
      </c>
      <c r="AE611" s="12">
        <f t="shared" si="1870"/>
        <v>25.64581917</v>
      </c>
      <c r="AF611" s="61">
        <v>5850.0</v>
      </c>
      <c r="AG611" s="62">
        <f t="shared" si="1871"/>
        <v>142.2360248</v>
      </c>
      <c r="AH611" s="63">
        <f t="shared" si="1872"/>
        <v>840</v>
      </c>
      <c r="AI611" s="64">
        <v>6490.0</v>
      </c>
      <c r="AJ611" s="65">
        <v>6690.0</v>
      </c>
      <c r="AK611" s="66">
        <f t="shared" si="1730"/>
        <v>177.0186335</v>
      </c>
      <c r="AL611" s="66"/>
      <c r="AM611" s="14">
        <f t="shared" si="1875"/>
        <v>12.55605381</v>
      </c>
      <c r="AN611" s="67">
        <f t="shared" si="1876"/>
        <v>34.7826087</v>
      </c>
      <c r="AO611" s="68">
        <f t="shared" si="1877"/>
        <v>2.770186335</v>
      </c>
      <c r="AP611" s="69">
        <f t="shared" si="1878"/>
        <v>24.5352</v>
      </c>
      <c r="AQ611" s="70">
        <f t="shared" si="1879"/>
        <v>35.4</v>
      </c>
      <c r="AR611" s="71">
        <f t="shared" ref="AR611:AS611" si="2022">AI611/94</f>
        <v>69.04255319</v>
      </c>
      <c r="AS611" s="71">
        <f t="shared" si="2022"/>
        <v>71.17021277</v>
      </c>
      <c r="AT611" s="72">
        <f t="shared" ref="AT611:AU611" si="2023">AI611/24</f>
        <v>270.4166667</v>
      </c>
      <c r="AU611" s="72">
        <f t="shared" si="2023"/>
        <v>278.75</v>
      </c>
      <c r="AV611" s="73">
        <f t="shared" ref="AV611:AW611" si="2024">AI611/125</f>
        <v>51.92</v>
      </c>
      <c r="AW611" s="73">
        <f t="shared" si="2024"/>
        <v>53.52</v>
      </c>
    </row>
    <row r="612" ht="15.75" customHeight="1">
      <c r="A612" s="2"/>
      <c r="B612" s="2" t="s">
        <v>1208</v>
      </c>
      <c r="C612" s="75" t="s">
        <v>1209</v>
      </c>
      <c r="D612" s="105">
        <v>1400.0</v>
      </c>
      <c r="E612" s="2">
        <v>105.0</v>
      </c>
      <c r="F612" s="1">
        <v>145.0</v>
      </c>
      <c r="G612" s="10">
        <v>4.42019E7</v>
      </c>
      <c r="H612" s="59">
        <v>0.05</v>
      </c>
      <c r="I612" s="2">
        <f t="shared" si="1792"/>
        <v>70</v>
      </c>
      <c r="J612" s="2">
        <f t="shared" si="2009"/>
        <v>70</v>
      </c>
      <c r="K612" s="1">
        <v>500.0</v>
      </c>
      <c r="L612" s="4">
        <f t="shared" si="1708"/>
        <v>2290</v>
      </c>
      <c r="M612" s="2">
        <f t="shared" si="1853"/>
        <v>14</v>
      </c>
      <c r="N612" s="12">
        <f t="shared" si="1854"/>
        <v>183.2</v>
      </c>
      <c r="O612" s="12">
        <f t="shared" si="1855"/>
        <v>229</v>
      </c>
      <c r="P612" s="12">
        <f t="shared" si="1856"/>
        <v>114.5</v>
      </c>
      <c r="Q612" s="12">
        <f t="shared" si="1857"/>
        <v>45.8</v>
      </c>
      <c r="R612" s="12">
        <f t="shared" si="1858"/>
        <v>14.7</v>
      </c>
      <c r="S612" s="12">
        <f t="shared" si="1859"/>
        <v>22.9</v>
      </c>
      <c r="T612" s="60">
        <f t="shared" si="1860"/>
        <v>609.4</v>
      </c>
      <c r="U612" s="2">
        <f t="shared" si="1861"/>
        <v>29.4</v>
      </c>
      <c r="V612" s="42">
        <f t="shared" si="15"/>
        <v>147</v>
      </c>
      <c r="W612" s="2">
        <f t="shared" si="1862"/>
        <v>29.4</v>
      </c>
      <c r="X612" s="2">
        <f t="shared" si="1863"/>
        <v>235.2</v>
      </c>
      <c r="Y612" s="2">
        <f t="shared" si="1864"/>
        <v>441</v>
      </c>
      <c r="Z612" s="60">
        <f t="shared" si="1865"/>
        <v>3340.4</v>
      </c>
      <c r="AA612" s="11">
        <f t="shared" si="1866"/>
        <v>668.08</v>
      </c>
      <c r="AB612" s="12">
        <f t="shared" si="1867"/>
        <v>4008.48</v>
      </c>
      <c r="AC612" s="2">
        <f t="shared" si="1868"/>
        <v>2940</v>
      </c>
      <c r="AD612" s="12">
        <f t="shared" si="1869"/>
        <v>1068.48</v>
      </c>
      <c r="AE612" s="12">
        <f t="shared" si="1870"/>
        <v>26.65549036</v>
      </c>
      <c r="AG612" s="62">
        <f t="shared" si="1871"/>
        <v>-100</v>
      </c>
      <c r="AH612" s="63">
        <f t="shared" si="1872"/>
        <v>5290</v>
      </c>
      <c r="AI612" s="64">
        <f t="shared" ref="AI612:AI635" si="2028">AB612</f>
        <v>4008.48</v>
      </c>
      <c r="AJ612" s="65">
        <v>5290.0</v>
      </c>
      <c r="AK612" s="66">
        <f t="shared" si="1730"/>
        <v>131.0043668</v>
      </c>
      <c r="AL612" s="66"/>
      <c r="AM612" s="14">
        <f t="shared" si="1875"/>
        <v>100</v>
      </c>
      <c r="AN612" s="67">
        <f t="shared" si="1876"/>
        <v>231.0043668</v>
      </c>
      <c r="AO612" s="68">
        <f t="shared" si="1877"/>
        <v>2.310043668</v>
      </c>
      <c r="AP612" s="69">
        <f t="shared" si="1878"/>
        <v>12.8152</v>
      </c>
      <c r="AQ612" s="70">
        <f t="shared" si="1879"/>
        <v>23.5</v>
      </c>
      <c r="AR612" s="71">
        <f t="shared" ref="AR612:AS612" si="2025">AI612/94</f>
        <v>42.64340426</v>
      </c>
      <c r="AS612" s="71">
        <f t="shared" si="2025"/>
        <v>56.27659574</v>
      </c>
      <c r="AT612" s="72">
        <f t="shared" ref="AT612:AU612" si="2026">AI612/24</f>
        <v>167.02</v>
      </c>
      <c r="AU612" s="72">
        <f t="shared" si="2026"/>
        <v>220.4166667</v>
      </c>
      <c r="AV612" s="73">
        <f t="shared" ref="AV612:AW612" si="2027">AI612/125</f>
        <v>32.06784</v>
      </c>
      <c r="AW612" s="73">
        <f t="shared" si="2027"/>
        <v>42.32</v>
      </c>
    </row>
    <row r="613" ht="15.75" customHeight="1">
      <c r="A613" s="2"/>
      <c r="B613" s="2" t="s">
        <v>1210</v>
      </c>
      <c r="C613" s="75" t="s">
        <v>1211</v>
      </c>
      <c r="D613" s="105">
        <v>1500.0</v>
      </c>
      <c r="E613" s="2">
        <v>120.0</v>
      </c>
      <c r="F613" s="1">
        <v>145.0</v>
      </c>
      <c r="G613" s="10">
        <v>4.42019E7</v>
      </c>
      <c r="H613" s="59">
        <v>0.05</v>
      </c>
      <c r="I613" s="2">
        <f t="shared" si="1792"/>
        <v>75</v>
      </c>
      <c r="J613" s="2">
        <f t="shared" si="2009"/>
        <v>75</v>
      </c>
      <c r="K613" s="1">
        <v>500.0</v>
      </c>
      <c r="L613" s="4">
        <f t="shared" si="1708"/>
        <v>2415</v>
      </c>
      <c r="M613" s="2">
        <f t="shared" si="1853"/>
        <v>15</v>
      </c>
      <c r="N613" s="12">
        <f t="shared" si="1854"/>
        <v>193.2</v>
      </c>
      <c r="O613" s="12">
        <f t="shared" si="1855"/>
        <v>241.5</v>
      </c>
      <c r="P613" s="12">
        <f t="shared" si="1856"/>
        <v>120.75</v>
      </c>
      <c r="Q613" s="12">
        <f t="shared" si="1857"/>
        <v>48.3</v>
      </c>
      <c r="R613" s="12">
        <f t="shared" si="1858"/>
        <v>15.75</v>
      </c>
      <c r="S613" s="12">
        <f t="shared" si="1859"/>
        <v>24.15</v>
      </c>
      <c r="T613" s="60">
        <f t="shared" si="1860"/>
        <v>642.9</v>
      </c>
      <c r="U613" s="2">
        <f t="shared" si="1861"/>
        <v>31.5</v>
      </c>
      <c r="V613" s="42">
        <f t="shared" si="15"/>
        <v>157.5</v>
      </c>
      <c r="W613" s="2">
        <f t="shared" si="1862"/>
        <v>31.5</v>
      </c>
      <c r="X613" s="2">
        <f t="shared" si="1863"/>
        <v>252</v>
      </c>
      <c r="Y613" s="2">
        <f t="shared" si="1864"/>
        <v>472.5</v>
      </c>
      <c r="Z613" s="60">
        <f t="shared" si="1865"/>
        <v>3530.4</v>
      </c>
      <c r="AA613" s="11">
        <f t="shared" si="1866"/>
        <v>706.08</v>
      </c>
      <c r="AB613" s="12">
        <f t="shared" si="1867"/>
        <v>4236.48</v>
      </c>
      <c r="AC613" s="2">
        <f t="shared" si="1868"/>
        <v>3150</v>
      </c>
      <c r="AD613" s="12">
        <f t="shared" si="1869"/>
        <v>1086.48</v>
      </c>
      <c r="AE613" s="12">
        <f t="shared" si="1870"/>
        <v>25.64581917</v>
      </c>
      <c r="AG613" s="62">
        <f t="shared" si="1871"/>
        <v>-100</v>
      </c>
      <c r="AH613" s="63">
        <f t="shared" si="1872"/>
        <v>5890</v>
      </c>
      <c r="AI613" s="64">
        <f t="shared" si="2028"/>
        <v>4236.48</v>
      </c>
      <c r="AJ613" s="65">
        <v>5890.0</v>
      </c>
      <c r="AK613" s="66">
        <f t="shared" si="1730"/>
        <v>143.8923395</v>
      </c>
      <c r="AL613" s="66"/>
      <c r="AM613" s="14">
        <f t="shared" si="1875"/>
        <v>100</v>
      </c>
      <c r="AN613" s="67">
        <f t="shared" si="1876"/>
        <v>243.8923395</v>
      </c>
      <c r="AO613" s="68">
        <f t="shared" si="1877"/>
        <v>2.438923395</v>
      </c>
      <c r="AP613" s="69">
        <f t="shared" si="1878"/>
        <v>16.5352</v>
      </c>
      <c r="AQ613" s="70">
        <f t="shared" si="1879"/>
        <v>27.4</v>
      </c>
      <c r="AR613" s="71">
        <f t="shared" ref="AR613:AS613" si="2029">AI613/94</f>
        <v>45.06893617</v>
      </c>
      <c r="AS613" s="71">
        <f t="shared" si="2029"/>
        <v>62.65957447</v>
      </c>
      <c r="AT613" s="72">
        <f t="shared" ref="AT613:AU613" si="2030">AI613/24</f>
        <v>176.52</v>
      </c>
      <c r="AU613" s="72">
        <f t="shared" si="2030"/>
        <v>245.4166667</v>
      </c>
      <c r="AV613" s="73">
        <f t="shared" ref="AV613:AW613" si="2031">AI613/125</f>
        <v>33.89184</v>
      </c>
      <c r="AW613" s="73">
        <f t="shared" si="2031"/>
        <v>47.12</v>
      </c>
    </row>
    <row r="614" ht="15.75" customHeight="1">
      <c r="A614" s="2"/>
      <c r="B614" s="2" t="s">
        <v>1212</v>
      </c>
      <c r="C614" s="75" t="s">
        <v>1213</v>
      </c>
      <c r="D614" s="105">
        <v>1600.0</v>
      </c>
      <c r="E614" s="2">
        <v>125.0</v>
      </c>
      <c r="F614" s="1">
        <v>145.0</v>
      </c>
      <c r="G614" s="10">
        <v>4.42019E7</v>
      </c>
      <c r="H614" s="59">
        <v>0.05</v>
      </c>
      <c r="I614" s="2">
        <f t="shared" si="1792"/>
        <v>80</v>
      </c>
      <c r="J614" s="2">
        <f t="shared" si="2009"/>
        <v>80</v>
      </c>
      <c r="K614" s="1">
        <v>500.0</v>
      </c>
      <c r="L614" s="4">
        <f t="shared" si="1708"/>
        <v>2530</v>
      </c>
      <c r="M614" s="2">
        <f t="shared" si="1853"/>
        <v>16</v>
      </c>
      <c r="N614" s="12">
        <f t="shared" si="1854"/>
        <v>202.4</v>
      </c>
      <c r="O614" s="12">
        <f t="shared" si="1855"/>
        <v>253</v>
      </c>
      <c r="P614" s="12">
        <f t="shared" si="1856"/>
        <v>126.5</v>
      </c>
      <c r="Q614" s="12">
        <f t="shared" si="1857"/>
        <v>50.6</v>
      </c>
      <c r="R614" s="12">
        <f t="shared" si="1858"/>
        <v>16.8</v>
      </c>
      <c r="S614" s="12">
        <f t="shared" si="1859"/>
        <v>25.3</v>
      </c>
      <c r="T614" s="60">
        <f t="shared" si="1860"/>
        <v>673.8</v>
      </c>
      <c r="U614" s="2">
        <f t="shared" si="1861"/>
        <v>33.6</v>
      </c>
      <c r="V614" s="42">
        <f t="shared" si="15"/>
        <v>168</v>
      </c>
      <c r="W614" s="2">
        <f t="shared" si="1862"/>
        <v>33.6</v>
      </c>
      <c r="X614" s="2">
        <f t="shared" si="1863"/>
        <v>268.8</v>
      </c>
      <c r="Y614" s="2">
        <f t="shared" si="1864"/>
        <v>504</v>
      </c>
      <c r="Z614" s="60">
        <f t="shared" si="1865"/>
        <v>3707.8</v>
      </c>
      <c r="AA614" s="11">
        <f t="shared" si="1866"/>
        <v>741.56</v>
      </c>
      <c r="AB614" s="12">
        <f t="shared" si="1867"/>
        <v>4449.36</v>
      </c>
      <c r="AC614" s="2">
        <f t="shared" si="1868"/>
        <v>3360</v>
      </c>
      <c r="AD614" s="12">
        <f t="shared" si="1869"/>
        <v>1089.36</v>
      </c>
      <c r="AE614" s="12">
        <f t="shared" si="1870"/>
        <v>24.48352123</v>
      </c>
      <c r="AG614" s="62">
        <f t="shared" si="1871"/>
        <v>-100</v>
      </c>
      <c r="AH614" s="63">
        <f t="shared" si="1872"/>
        <v>6690</v>
      </c>
      <c r="AI614" s="64">
        <f t="shared" si="2028"/>
        <v>4449.36</v>
      </c>
      <c r="AJ614" s="65">
        <v>6690.0</v>
      </c>
      <c r="AK614" s="66">
        <f t="shared" si="1730"/>
        <v>164.4268775</v>
      </c>
      <c r="AL614" s="66"/>
      <c r="AM614" s="14">
        <f t="shared" si="1875"/>
        <v>100</v>
      </c>
      <c r="AN614" s="67">
        <f t="shared" si="1876"/>
        <v>264.4268775</v>
      </c>
      <c r="AO614" s="68">
        <f t="shared" si="1877"/>
        <v>2.644268775</v>
      </c>
      <c r="AP614" s="69">
        <f t="shared" si="1878"/>
        <v>22.4064</v>
      </c>
      <c r="AQ614" s="70">
        <f t="shared" si="1879"/>
        <v>33.3</v>
      </c>
      <c r="AR614" s="71">
        <f t="shared" ref="AR614:AS614" si="2032">AI614/94</f>
        <v>47.33361702</v>
      </c>
      <c r="AS614" s="71">
        <f t="shared" si="2032"/>
        <v>71.17021277</v>
      </c>
      <c r="AT614" s="72">
        <f t="shared" ref="AT614:AU614" si="2033">AI614/24</f>
        <v>185.39</v>
      </c>
      <c r="AU614" s="72">
        <f t="shared" si="2033"/>
        <v>278.75</v>
      </c>
      <c r="AV614" s="73">
        <f t="shared" ref="AV614:AW614" si="2034">AI614/125</f>
        <v>35.59488</v>
      </c>
      <c r="AW614" s="73">
        <f t="shared" si="2034"/>
        <v>53.52</v>
      </c>
    </row>
    <row r="615" ht="15.0" customHeight="1">
      <c r="A615" s="2" t="s">
        <v>1214</v>
      </c>
      <c r="B615" s="2" t="s">
        <v>363</v>
      </c>
      <c r="C615" s="75" t="s">
        <v>1215</v>
      </c>
      <c r="D615" s="10">
        <v>105.0</v>
      </c>
      <c r="F615" s="1">
        <v>80.0</v>
      </c>
      <c r="G615" s="10">
        <v>4202.0</v>
      </c>
      <c r="H615" s="59">
        <v>0.18</v>
      </c>
      <c r="I615" s="2">
        <f t="shared" si="1792"/>
        <v>18.9</v>
      </c>
      <c r="K615" s="1">
        <v>50.0</v>
      </c>
      <c r="L615" s="4">
        <f t="shared" si="1708"/>
        <v>253.9</v>
      </c>
      <c r="M615" s="2">
        <f t="shared" si="1853"/>
        <v>1.05</v>
      </c>
      <c r="N615" s="12">
        <f t="shared" si="1854"/>
        <v>20.312</v>
      </c>
      <c r="O615" s="12">
        <f t="shared" si="1855"/>
        <v>25.39</v>
      </c>
      <c r="P615" s="12">
        <f t="shared" si="1856"/>
        <v>12.695</v>
      </c>
      <c r="Q615" s="12">
        <f t="shared" si="1857"/>
        <v>5.078</v>
      </c>
      <c r="R615" s="12">
        <f t="shared" si="1858"/>
        <v>1.1025</v>
      </c>
      <c r="S615" s="12">
        <f t="shared" si="1859"/>
        <v>2.539</v>
      </c>
      <c r="T615" s="60">
        <f t="shared" si="1860"/>
        <v>67.064</v>
      </c>
      <c r="U615" s="2">
        <f t="shared" si="1861"/>
        <v>2.205</v>
      </c>
      <c r="V615" s="42">
        <f t="shared" si="15"/>
        <v>11.025</v>
      </c>
      <c r="W615" s="2">
        <f t="shared" si="1862"/>
        <v>2.205</v>
      </c>
      <c r="X615" s="2">
        <f t="shared" si="1863"/>
        <v>17.64</v>
      </c>
      <c r="Y615" s="2">
        <f t="shared" si="1864"/>
        <v>33.075</v>
      </c>
      <c r="Z615" s="60">
        <f t="shared" si="1865"/>
        <v>354.039</v>
      </c>
      <c r="AA615" s="11">
        <f t="shared" si="1866"/>
        <v>70.8078</v>
      </c>
      <c r="AB615" s="12">
        <f t="shared" si="1867"/>
        <v>424.8468</v>
      </c>
      <c r="AC615" s="2">
        <f t="shared" si="1868"/>
        <v>220.5</v>
      </c>
      <c r="AD615" s="12">
        <f t="shared" si="1869"/>
        <v>204.3468</v>
      </c>
      <c r="AE615" s="12">
        <f t="shared" si="1870"/>
        <v>48.09893825</v>
      </c>
      <c r="AG615" s="62">
        <f t="shared" si="1871"/>
        <v>-100</v>
      </c>
      <c r="AH615" s="63">
        <f t="shared" si="1872"/>
        <v>490</v>
      </c>
      <c r="AI615" s="64">
        <f t="shared" si="2028"/>
        <v>424.8468</v>
      </c>
      <c r="AJ615" s="65">
        <v>490.0</v>
      </c>
      <c r="AK615" s="66">
        <f t="shared" si="1730"/>
        <v>92.98936589</v>
      </c>
      <c r="AL615" s="66"/>
      <c r="AM615" s="14">
        <f t="shared" si="1875"/>
        <v>100</v>
      </c>
      <c r="AN615" s="67">
        <f t="shared" si="1876"/>
        <v>192.9893659</v>
      </c>
      <c r="AO615" s="68">
        <f t="shared" si="1877"/>
        <v>1.929893659</v>
      </c>
      <c r="AP615" s="69">
        <f t="shared" si="1878"/>
        <v>0.651532</v>
      </c>
      <c r="AQ615" s="70">
        <f t="shared" si="1879"/>
        <v>2.695</v>
      </c>
      <c r="AR615" s="71">
        <f t="shared" ref="AR615:AS615" si="2035">AI615/94</f>
        <v>4.519646809</v>
      </c>
      <c r="AS615" s="71">
        <f t="shared" si="2035"/>
        <v>5.212765957</v>
      </c>
      <c r="AT615" s="72">
        <f t="shared" ref="AT615:AU615" si="2036">AI615/24</f>
        <v>17.70195</v>
      </c>
      <c r="AU615" s="72">
        <f t="shared" si="2036"/>
        <v>20.41666667</v>
      </c>
      <c r="AV615" s="73">
        <f t="shared" ref="AV615:AW615" si="2037">AI615/125</f>
        <v>3.3987744</v>
      </c>
      <c r="AW615" s="73">
        <f t="shared" si="2037"/>
        <v>3.92</v>
      </c>
    </row>
    <row r="616" ht="15.75" customHeight="1">
      <c r="A616" s="2"/>
      <c r="B616" s="2" t="s">
        <v>367</v>
      </c>
      <c r="C616" s="75" t="s">
        <v>1216</v>
      </c>
      <c r="D616" s="10">
        <v>120.0</v>
      </c>
      <c r="F616" s="1">
        <v>80.0</v>
      </c>
      <c r="G616" s="10">
        <v>4202.0</v>
      </c>
      <c r="H616" s="59">
        <v>0.18</v>
      </c>
      <c r="I616" s="2">
        <f t="shared" si="1792"/>
        <v>21.6</v>
      </c>
      <c r="K616" s="1">
        <v>50.0</v>
      </c>
      <c r="L616" s="4">
        <f t="shared" si="1708"/>
        <v>271.6</v>
      </c>
      <c r="M616" s="2">
        <f t="shared" si="1853"/>
        <v>1.2</v>
      </c>
      <c r="N616" s="12">
        <f t="shared" si="1854"/>
        <v>21.728</v>
      </c>
      <c r="O616" s="12">
        <f t="shared" si="1855"/>
        <v>27.16</v>
      </c>
      <c r="P616" s="12">
        <f t="shared" si="1856"/>
        <v>13.58</v>
      </c>
      <c r="Q616" s="12">
        <f t="shared" si="1857"/>
        <v>5.432</v>
      </c>
      <c r="R616" s="12">
        <f t="shared" si="1858"/>
        <v>1.26</v>
      </c>
      <c r="S616" s="12">
        <f t="shared" si="1859"/>
        <v>2.716</v>
      </c>
      <c r="T616" s="60">
        <f t="shared" si="1860"/>
        <v>71.816</v>
      </c>
      <c r="U616" s="2">
        <f t="shared" si="1861"/>
        <v>2.52</v>
      </c>
      <c r="V616" s="42">
        <f t="shared" si="15"/>
        <v>12.6</v>
      </c>
      <c r="W616" s="2">
        <f t="shared" si="1862"/>
        <v>2.52</v>
      </c>
      <c r="X616" s="2">
        <f t="shared" si="1863"/>
        <v>20.16</v>
      </c>
      <c r="Y616" s="2">
        <f t="shared" si="1864"/>
        <v>37.8</v>
      </c>
      <c r="Z616" s="60">
        <f t="shared" si="1865"/>
        <v>381.216</v>
      </c>
      <c r="AA616" s="11">
        <f t="shared" si="1866"/>
        <v>76.2432</v>
      </c>
      <c r="AB616" s="12">
        <f t="shared" si="1867"/>
        <v>457.4592</v>
      </c>
      <c r="AC616" s="2">
        <f t="shared" si="1868"/>
        <v>252</v>
      </c>
      <c r="AD616" s="12">
        <f t="shared" si="1869"/>
        <v>205.4592</v>
      </c>
      <c r="AE616" s="12">
        <f t="shared" si="1870"/>
        <v>44.91312012</v>
      </c>
      <c r="AG616" s="62">
        <f t="shared" si="1871"/>
        <v>-100</v>
      </c>
      <c r="AH616" s="63">
        <f t="shared" si="1872"/>
        <v>540</v>
      </c>
      <c r="AI616" s="64">
        <f t="shared" si="2028"/>
        <v>457.4592</v>
      </c>
      <c r="AJ616" s="65">
        <v>540.0</v>
      </c>
      <c r="AK616" s="66">
        <f t="shared" si="1730"/>
        <v>98.82179676</v>
      </c>
      <c r="AL616" s="66"/>
      <c r="AM616" s="14">
        <f t="shared" si="1875"/>
        <v>100</v>
      </c>
      <c r="AN616" s="67">
        <f t="shared" si="1876"/>
        <v>198.8217968</v>
      </c>
      <c r="AO616" s="68">
        <f t="shared" si="1877"/>
        <v>1.988217968</v>
      </c>
      <c r="AP616" s="69">
        <f t="shared" si="1878"/>
        <v>0.825408</v>
      </c>
      <c r="AQ616" s="70">
        <f t="shared" si="1879"/>
        <v>2.88</v>
      </c>
      <c r="AR616" s="71">
        <f t="shared" ref="AR616:AS616" si="2038">AI616/94</f>
        <v>4.866587234</v>
      </c>
      <c r="AS616" s="71">
        <f t="shared" si="2038"/>
        <v>5.744680851</v>
      </c>
      <c r="AT616" s="72">
        <f t="shared" ref="AT616:AU616" si="2039">AI616/24</f>
        <v>19.0608</v>
      </c>
      <c r="AU616" s="72">
        <f t="shared" si="2039"/>
        <v>22.5</v>
      </c>
      <c r="AV616" s="73">
        <f t="shared" ref="AV616:AW616" si="2040">AI616/125</f>
        <v>3.6596736</v>
      </c>
      <c r="AW616" s="73">
        <f t="shared" si="2040"/>
        <v>4.32</v>
      </c>
    </row>
    <row r="617" ht="15.75" customHeight="1">
      <c r="A617" s="2"/>
      <c r="B617" s="2" t="s">
        <v>365</v>
      </c>
      <c r="C617" s="75" t="s">
        <v>1217</v>
      </c>
      <c r="D617" s="10">
        <v>115.0</v>
      </c>
      <c r="F617" s="1">
        <v>80.0</v>
      </c>
      <c r="G617" s="10">
        <v>4202.0</v>
      </c>
      <c r="H617" s="59">
        <v>0.18</v>
      </c>
      <c r="I617" s="2">
        <f t="shared" si="1792"/>
        <v>20.7</v>
      </c>
      <c r="K617" s="1">
        <v>50.0</v>
      </c>
      <c r="L617" s="4">
        <f t="shared" si="1708"/>
        <v>265.7</v>
      </c>
      <c r="M617" s="2">
        <f t="shared" si="1853"/>
        <v>1.15</v>
      </c>
      <c r="N617" s="12">
        <f t="shared" si="1854"/>
        <v>21.256</v>
      </c>
      <c r="O617" s="12">
        <f t="shared" si="1855"/>
        <v>26.57</v>
      </c>
      <c r="P617" s="12">
        <f t="shared" si="1856"/>
        <v>13.285</v>
      </c>
      <c r="Q617" s="12">
        <f t="shared" si="1857"/>
        <v>5.314</v>
      </c>
      <c r="R617" s="12">
        <f t="shared" si="1858"/>
        <v>1.2075</v>
      </c>
      <c r="S617" s="12">
        <f t="shared" si="1859"/>
        <v>2.657</v>
      </c>
      <c r="T617" s="60">
        <f t="shared" si="1860"/>
        <v>70.232</v>
      </c>
      <c r="U617" s="2">
        <f t="shared" si="1861"/>
        <v>2.415</v>
      </c>
      <c r="V617" s="42">
        <f t="shared" si="15"/>
        <v>12.075</v>
      </c>
      <c r="W617" s="2">
        <f t="shared" si="1862"/>
        <v>2.415</v>
      </c>
      <c r="X617" s="2">
        <f t="shared" si="1863"/>
        <v>19.32</v>
      </c>
      <c r="Y617" s="2">
        <f t="shared" si="1864"/>
        <v>36.225</v>
      </c>
      <c r="Z617" s="60">
        <f t="shared" si="1865"/>
        <v>372.157</v>
      </c>
      <c r="AA617" s="11">
        <f t="shared" si="1866"/>
        <v>74.4314</v>
      </c>
      <c r="AB617" s="12">
        <f t="shared" si="1867"/>
        <v>446.5884</v>
      </c>
      <c r="AC617" s="2">
        <f t="shared" si="1868"/>
        <v>241.5</v>
      </c>
      <c r="AD617" s="12">
        <f t="shared" si="1869"/>
        <v>205.0884</v>
      </c>
      <c r="AE617" s="12">
        <f t="shared" si="1870"/>
        <v>45.9233603</v>
      </c>
      <c r="AG617" s="62">
        <f t="shared" si="1871"/>
        <v>-100</v>
      </c>
      <c r="AH617" s="63">
        <f t="shared" si="1872"/>
        <v>590</v>
      </c>
      <c r="AI617" s="64">
        <f t="shared" si="2028"/>
        <v>446.5884</v>
      </c>
      <c r="AJ617" s="65">
        <v>590.0</v>
      </c>
      <c r="AK617" s="66">
        <f t="shared" si="1730"/>
        <v>122.0549492</v>
      </c>
      <c r="AL617" s="66"/>
      <c r="AM617" s="14">
        <f t="shared" si="1875"/>
        <v>100</v>
      </c>
      <c r="AN617" s="67">
        <f t="shared" si="1876"/>
        <v>222.0549492</v>
      </c>
      <c r="AO617" s="68">
        <f t="shared" si="1877"/>
        <v>2.220549492</v>
      </c>
      <c r="AP617" s="69">
        <f t="shared" si="1878"/>
        <v>1.434116</v>
      </c>
      <c r="AQ617" s="70">
        <f t="shared" si="1879"/>
        <v>3.485</v>
      </c>
      <c r="AR617" s="71">
        <f t="shared" ref="AR617:AS617" si="2041">AI617/94</f>
        <v>4.750940426</v>
      </c>
      <c r="AS617" s="71">
        <f t="shared" si="2041"/>
        <v>6.276595745</v>
      </c>
      <c r="AT617" s="72">
        <f t="shared" ref="AT617:AU617" si="2042">AI617/24</f>
        <v>18.60785</v>
      </c>
      <c r="AU617" s="72">
        <f t="shared" si="2042"/>
        <v>24.58333333</v>
      </c>
      <c r="AV617" s="73">
        <f t="shared" ref="AV617:AW617" si="2043">AI617/125</f>
        <v>3.5727072</v>
      </c>
      <c r="AW617" s="73">
        <f t="shared" si="2043"/>
        <v>4.72</v>
      </c>
    </row>
    <row r="618" ht="15.0" customHeight="1">
      <c r="A618" s="2" t="s">
        <v>1218</v>
      </c>
      <c r="B618" s="2" t="s">
        <v>363</v>
      </c>
      <c r="C618" s="2" t="s">
        <v>1219</v>
      </c>
      <c r="D618" s="10">
        <v>650.0</v>
      </c>
      <c r="E618" s="1">
        <v>80.0</v>
      </c>
      <c r="F618" s="1">
        <v>80.0</v>
      </c>
      <c r="G618" s="10" t="s">
        <v>1220</v>
      </c>
      <c r="H618" s="10">
        <v>0.0</v>
      </c>
      <c r="I618" s="2">
        <f t="shared" si="1792"/>
        <v>0</v>
      </c>
      <c r="K618" s="2">
        <v>50.0</v>
      </c>
      <c r="L618" s="4">
        <f t="shared" si="1708"/>
        <v>860</v>
      </c>
      <c r="M618" s="2">
        <f t="shared" si="1853"/>
        <v>6.5</v>
      </c>
      <c r="N618" s="12">
        <f t="shared" si="1854"/>
        <v>68.8</v>
      </c>
      <c r="O618" s="12">
        <f t="shared" si="1855"/>
        <v>86</v>
      </c>
      <c r="P618" s="12">
        <f t="shared" si="1856"/>
        <v>43</v>
      </c>
      <c r="Q618" s="12">
        <f t="shared" si="1857"/>
        <v>17.2</v>
      </c>
      <c r="R618" s="12">
        <f t="shared" si="1858"/>
        <v>6.825</v>
      </c>
      <c r="S618" s="12">
        <f t="shared" si="1859"/>
        <v>8.6</v>
      </c>
      <c r="T618" s="60">
        <f t="shared" si="1860"/>
        <v>230.1</v>
      </c>
      <c r="U618" s="2">
        <f t="shared" si="1861"/>
        <v>13.65</v>
      </c>
      <c r="V618" s="42">
        <f t="shared" si="15"/>
        <v>68.25</v>
      </c>
      <c r="W618" s="2">
        <f t="shared" si="1862"/>
        <v>13.65</v>
      </c>
      <c r="X618" s="2">
        <f t="shared" si="1863"/>
        <v>109.2</v>
      </c>
      <c r="Y618" s="2">
        <f t="shared" si="1864"/>
        <v>204.75</v>
      </c>
      <c r="Z618" s="60">
        <f t="shared" si="1865"/>
        <v>1294.85</v>
      </c>
      <c r="AA618" s="11">
        <f t="shared" si="1866"/>
        <v>258.97</v>
      </c>
      <c r="AB618" s="12">
        <f t="shared" si="1867"/>
        <v>1553.82</v>
      </c>
      <c r="AC618" s="2">
        <f t="shared" si="1868"/>
        <v>1365</v>
      </c>
      <c r="AD618" s="12">
        <f t="shared" si="1869"/>
        <v>188.82</v>
      </c>
      <c r="AE618" s="12">
        <f t="shared" si="1870"/>
        <v>12.15198672</v>
      </c>
      <c r="AG618" s="62">
        <f t="shared" si="1871"/>
        <v>-100</v>
      </c>
      <c r="AH618" s="63">
        <f t="shared" si="1872"/>
        <v>1590</v>
      </c>
      <c r="AI618" s="64">
        <f t="shared" si="2028"/>
        <v>1553.82</v>
      </c>
      <c r="AJ618" s="65">
        <v>1590.0</v>
      </c>
      <c r="AK618" s="66">
        <f t="shared" si="1730"/>
        <v>84.88372093</v>
      </c>
      <c r="AL618" s="66"/>
      <c r="AM618" s="14">
        <f t="shared" si="1875"/>
        <v>100</v>
      </c>
      <c r="AN618" s="67">
        <f t="shared" si="1876"/>
        <v>184.8837209</v>
      </c>
      <c r="AO618" s="68">
        <f t="shared" si="1877"/>
        <v>1.848837209</v>
      </c>
      <c r="AP618" s="69">
        <f t="shared" si="1878"/>
        <v>0.3618</v>
      </c>
      <c r="AQ618" s="70">
        <f t="shared" si="1879"/>
        <v>2.25</v>
      </c>
      <c r="AR618" s="71">
        <f t="shared" ref="AR618:AS618" si="2044">AI618/94</f>
        <v>16.53</v>
      </c>
      <c r="AS618" s="71">
        <f t="shared" si="2044"/>
        <v>16.91489362</v>
      </c>
      <c r="AT618" s="72">
        <f t="shared" ref="AT618:AU618" si="2045">AI618/24</f>
        <v>64.7425</v>
      </c>
      <c r="AU618" s="72">
        <f t="shared" si="2045"/>
        <v>66.25</v>
      </c>
      <c r="AV618" s="73">
        <f t="shared" ref="AV618:AW618" si="2046">AI618/125</f>
        <v>12.43056</v>
      </c>
      <c r="AW618" s="73">
        <f t="shared" si="2046"/>
        <v>12.72</v>
      </c>
    </row>
    <row r="619" ht="15.75" customHeight="1">
      <c r="A619" s="2"/>
      <c r="B619" s="2" t="s">
        <v>365</v>
      </c>
      <c r="C619" s="2" t="s">
        <v>1221</v>
      </c>
      <c r="D619" s="10">
        <v>950.0</v>
      </c>
      <c r="E619" s="1">
        <v>80.0</v>
      </c>
      <c r="F619" s="1">
        <v>80.0</v>
      </c>
      <c r="G619" s="10" t="s">
        <v>1220</v>
      </c>
      <c r="H619" s="10">
        <v>0.0</v>
      </c>
      <c r="I619" s="2">
        <f t="shared" si="1792"/>
        <v>0</v>
      </c>
      <c r="K619" s="2">
        <v>50.0</v>
      </c>
      <c r="L619" s="4">
        <f t="shared" si="1708"/>
        <v>1160</v>
      </c>
      <c r="M619" s="2">
        <f t="shared" si="1853"/>
        <v>9.5</v>
      </c>
      <c r="N619" s="12">
        <f t="shared" si="1854"/>
        <v>92.8</v>
      </c>
      <c r="O619" s="12">
        <f t="shared" si="1855"/>
        <v>116</v>
      </c>
      <c r="P619" s="12">
        <f t="shared" si="1856"/>
        <v>58</v>
      </c>
      <c r="Q619" s="12">
        <f t="shared" si="1857"/>
        <v>23.2</v>
      </c>
      <c r="R619" s="12">
        <f t="shared" si="1858"/>
        <v>9.975</v>
      </c>
      <c r="S619" s="12">
        <f t="shared" si="1859"/>
        <v>11.6</v>
      </c>
      <c r="T619" s="60">
        <f t="shared" si="1860"/>
        <v>311.1</v>
      </c>
      <c r="U619" s="2">
        <f t="shared" si="1861"/>
        <v>19.95</v>
      </c>
      <c r="V619" s="42">
        <f t="shared" si="15"/>
        <v>99.75</v>
      </c>
      <c r="W619" s="2">
        <f t="shared" si="1862"/>
        <v>19.95</v>
      </c>
      <c r="X619" s="2">
        <f t="shared" si="1863"/>
        <v>159.6</v>
      </c>
      <c r="Y619" s="2">
        <f t="shared" si="1864"/>
        <v>299.25</v>
      </c>
      <c r="Z619" s="60">
        <f t="shared" si="1865"/>
        <v>1770.35</v>
      </c>
      <c r="AA619" s="11">
        <f t="shared" si="1866"/>
        <v>354.07</v>
      </c>
      <c r="AB619" s="12">
        <f t="shared" si="1867"/>
        <v>2124.42</v>
      </c>
      <c r="AC619" s="2">
        <f t="shared" si="1868"/>
        <v>1995</v>
      </c>
      <c r="AD619" s="12">
        <f t="shared" si="1869"/>
        <v>129.42</v>
      </c>
      <c r="AE619" s="12">
        <f t="shared" si="1870"/>
        <v>6.092015703</v>
      </c>
      <c r="AG619" s="62">
        <f t="shared" si="1871"/>
        <v>-100</v>
      </c>
      <c r="AH619" s="63">
        <f t="shared" si="1872"/>
        <v>1890</v>
      </c>
      <c r="AI619" s="64">
        <f t="shared" si="2028"/>
        <v>2124.42</v>
      </c>
      <c r="AJ619" s="65">
        <v>1890.0</v>
      </c>
      <c r="AK619" s="66">
        <f t="shared" si="1730"/>
        <v>62.93103448</v>
      </c>
      <c r="AL619" s="66"/>
      <c r="AM619" s="14">
        <f t="shared" si="1875"/>
        <v>100</v>
      </c>
      <c r="AN619" s="67">
        <f t="shared" si="1876"/>
        <v>162.9310345</v>
      </c>
      <c r="AO619" s="68">
        <f t="shared" si="1877"/>
        <v>1.629310345</v>
      </c>
      <c r="AP619" s="69">
        <f t="shared" si="1878"/>
        <v>-2.3442</v>
      </c>
      <c r="AQ619" s="70">
        <f t="shared" si="1879"/>
        <v>-1.05</v>
      </c>
      <c r="AR619" s="71">
        <f t="shared" ref="AR619:AS619" si="2047">AI619/94</f>
        <v>22.60021277</v>
      </c>
      <c r="AS619" s="71">
        <f t="shared" si="2047"/>
        <v>20.10638298</v>
      </c>
      <c r="AT619" s="72">
        <f t="shared" ref="AT619:AU619" si="2048">AI619/24</f>
        <v>88.5175</v>
      </c>
      <c r="AU619" s="72">
        <f t="shared" si="2048"/>
        <v>78.75</v>
      </c>
      <c r="AV619" s="73">
        <f t="shared" ref="AV619:AW619" si="2049">AI619/125</f>
        <v>16.99536</v>
      </c>
      <c r="AW619" s="73">
        <f t="shared" si="2049"/>
        <v>15.12</v>
      </c>
    </row>
    <row r="620" ht="15.75" customHeight="1">
      <c r="A620" s="2"/>
      <c r="B620" s="2" t="s">
        <v>367</v>
      </c>
      <c r="C620" s="2" t="s">
        <v>1222</v>
      </c>
      <c r="D620" s="10">
        <v>1200.0</v>
      </c>
      <c r="E620" s="1">
        <v>80.0</v>
      </c>
      <c r="F620" s="1">
        <v>80.0</v>
      </c>
      <c r="G620" s="10" t="s">
        <v>1220</v>
      </c>
      <c r="H620" s="10">
        <v>0.0</v>
      </c>
      <c r="I620" s="2">
        <f t="shared" si="1792"/>
        <v>0</v>
      </c>
      <c r="K620" s="2">
        <v>50.0</v>
      </c>
      <c r="L620" s="4">
        <f t="shared" si="1708"/>
        <v>1410</v>
      </c>
      <c r="M620" s="2">
        <f t="shared" si="1853"/>
        <v>12</v>
      </c>
      <c r="N620" s="12">
        <f t="shared" si="1854"/>
        <v>112.8</v>
      </c>
      <c r="O620" s="12">
        <f t="shared" si="1855"/>
        <v>141</v>
      </c>
      <c r="P620" s="12">
        <f t="shared" si="1856"/>
        <v>70.5</v>
      </c>
      <c r="Q620" s="12">
        <f t="shared" si="1857"/>
        <v>28.2</v>
      </c>
      <c r="R620" s="12">
        <f t="shared" si="1858"/>
        <v>12.6</v>
      </c>
      <c r="S620" s="12">
        <f t="shared" si="1859"/>
        <v>14.1</v>
      </c>
      <c r="T620" s="60">
        <f t="shared" si="1860"/>
        <v>378.6</v>
      </c>
      <c r="U620" s="2">
        <f t="shared" si="1861"/>
        <v>25.2</v>
      </c>
      <c r="V620" s="42">
        <f t="shared" si="15"/>
        <v>126</v>
      </c>
      <c r="W620" s="2">
        <f t="shared" si="1862"/>
        <v>25.2</v>
      </c>
      <c r="X620" s="2">
        <f t="shared" si="1863"/>
        <v>201.6</v>
      </c>
      <c r="Y620" s="2">
        <f t="shared" si="1864"/>
        <v>378</v>
      </c>
      <c r="Z620" s="60">
        <f t="shared" si="1865"/>
        <v>2166.6</v>
      </c>
      <c r="AA620" s="11">
        <f t="shared" si="1866"/>
        <v>433.32</v>
      </c>
      <c r="AB620" s="12">
        <f t="shared" si="1867"/>
        <v>2599.92</v>
      </c>
      <c r="AC620" s="2">
        <f t="shared" si="1868"/>
        <v>2520</v>
      </c>
      <c r="AD620" s="12">
        <f t="shared" si="1869"/>
        <v>79.92</v>
      </c>
      <c r="AE620" s="12">
        <f t="shared" si="1870"/>
        <v>3.073940737</v>
      </c>
      <c r="AG620" s="62">
        <f t="shared" si="1871"/>
        <v>-100</v>
      </c>
      <c r="AH620" s="63">
        <f t="shared" si="1872"/>
        <v>1990</v>
      </c>
      <c r="AI620" s="64">
        <f t="shared" si="2028"/>
        <v>2599.92</v>
      </c>
      <c r="AJ620" s="65">
        <v>1990.0</v>
      </c>
      <c r="AK620" s="66">
        <f t="shared" si="1730"/>
        <v>41.13475177</v>
      </c>
      <c r="AL620" s="66"/>
      <c r="AM620" s="14">
        <f t="shared" si="1875"/>
        <v>100</v>
      </c>
      <c r="AN620" s="67">
        <f t="shared" si="1876"/>
        <v>141.1347518</v>
      </c>
      <c r="AO620" s="68">
        <f t="shared" si="1877"/>
        <v>1.411347518</v>
      </c>
      <c r="AP620" s="69">
        <f t="shared" si="1878"/>
        <v>-6.0992</v>
      </c>
      <c r="AQ620" s="70">
        <f t="shared" si="1879"/>
        <v>-5.3</v>
      </c>
      <c r="AR620" s="71">
        <f t="shared" ref="AR620:AS620" si="2050">AI620/94</f>
        <v>27.6587234</v>
      </c>
      <c r="AS620" s="71">
        <f t="shared" si="2050"/>
        <v>21.17021277</v>
      </c>
      <c r="AT620" s="72">
        <f t="shared" ref="AT620:AU620" si="2051">AI620/24</f>
        <v>108.33</v>
      </c>
      <c r="AU620" s="72">
        <f t="shared" si="2051"/>
        <v>82.91666667</v>
      </c>
      <c r="AV620" s="73">
        <f t="shared" ref="AV620:AW620" si="2052">AI620/125</f>
        <v>20.79936</v>
      </c>
      <c r="AW620" s="73">
        <f t="shared" si="2052"/>
        <v>15.92</v>
      </c>
    </row>
    <row r="621" ht="15.0" customHeight="1">
      <c r="A621" s="2" t="s">
        <v>1223</v>
      </c>
      <c r="B621" s="2" t="s">
        <v>1224</v>
      </c>
      <c r="C621" s="75" t="s">
        <v>1225</v>
      </c>
      <c r="D621" s="10">
        <v>4400.0</v>
      </c>
      <c r="E621" s="2">
        <v>190.0</v>
      </c>
      <c r="F621" s="1">
        <v>100.0</v>
      </c>
      <c r="G621" s="10">
        <v>8.3061E7</v>
      </c>
      <c r="H621" s="59">
        <v>0.05</v>
      </c>
      <c r="I621" s="2">
        <f t="shared" si="1792"/>
        <v>220</v>
      </c>
      <c r="K621" s="1">
        <v>200.0</v>
      </c>
      <c r="L621" s="4">
        <f t="shared" si="1708"/>
        <v>5110</v>
      </c>
      <c r="M621" s="2">
        <f t="shared" si="1853"/>
        <v>44</v>
      </c>
      <c r="N621" s="12">
        <f t="shared" si="1854"/>
        <v>408.8</v>
      </c>
      <c r="O621" s="12">
        <f t="shared" si="1855"/>
        <v>511</v>
      </c>
      <c r="P621" s="12">
        <f t="shared" si="1856"/>
        <v>255.5</v>
      </c>
      <c r="Q621" s="12">
        <f t="shared" si="1857"/>
        <v>102.2</v>
      </c>
      <c r="R621" s="12">
        <f t="shared" si="1858"/>
        <v>46.2</v>
      </c>
      <c r="S621" s="12">
        <f t="shared" si="1859"/>
        <v>51.1</v>
      </c>
      <c r="T621" s="60">
        <f t="shared" si="1860"/>
        <v>1372.6</v>
      </c>
      <c r="U621" s="2">
        <f t="shared" si="1861"/>
        <v>92.4</v>
      </c>
      <c r="V621" s="42">
        <f t="shared" si="15"/>
        <v>462</v>
      </c>
      <c r="W621" s="2">
        <f t="shared" si="1862"/>
        <v>92.4</v>
      </c>
      <c r="X621" s="2">
        <f t="shared" si="1863"/>
        <v>739.2</v>
      </c>
      <c r="Y621" s="2">
        <f t="shared" si="1864"/>
        <v>1386</v>
      </c>
      <c r="Z621" s="60">
        <f t="shared" si="1865"/>
        <v>7868.6</v>
      </c>
      <c r="AA621" s="11">
        <f t="shared" si="1866"/>
        <v>1573.72</v>
      </c>
      <c r="AB621" s="12">
        <f t="shared" si="1867"/>
        <v>9442.32</v>
      </c>
      <c r="AC621" s="2">
        <f t="shared" si="1868"/>
        <v>9240</v>
      </c>
      <c r="AD621" s="12">
        <f t="shared" si="1869"/>
        <v>202.32</v>
      </c>
      <c r="AE621" s="12">
        <f t="shared" si="1870"/>
        <v>2.142693745</v>
      </c>
      <c r="AG621" s="62">
        <f t="shared" si="1871"/>
        <v>-100</v>
      </c>
      <c r="AH621" s="63">
        <f t="shared" si="1872"/>
        <v>8990</v>
      </c>
      <c r="AI621" s="64">
        <f t="shared" si="2028"/>
        <v>9442.32</v>
      </c>
      <c r="AJ621" s="65">
        <v>8990.0</v>
      </c>
      <c r="AK621" s="66">
        <f t="shared" si="1730"/>
        <v>75.9295499</v>
      </c>
      <c r="AL621" s="66"/>
      <c r="AM621" s="14">
        <f t="shared" si="1875"/>
        <v>100</v>
      </c>
      <c r="AN621" s="67">
        <f t="shared" si="1876"/>
        <v>175.9295499</v>
      </c>
      <c r="AO621" s="68">
        <f t="shared" si="1877"/>
        <v>1.759295499</v>
      </c>
      <c r="AP621" s="69">
        <f t="shared" si="1878"/>
        <v>-4.5232</v>
      </c>
      <c r="AQ621" s="70">
        <f t="shared" si="1879"/>
        <v>-2.5</v>
      </c>
      <c r="AR621" s="71">
        <f t="shared" ref="AR621:AS621" si="2053">AI621/94</f>
        <v>100.4502128</v>
      </c>
      <c r="AS621" s="71">
        <f t="shared" si="2053"/>
        <v>95.63829787</v>
      </c>
      <c r="AT621" s="72">
        <f t="shared" ref="AT621:AU621" si="2054">AI621/24</f>
        <v>393.43</v>
      </c>
      <c r="AU621" s="72">
        <f t="shared" si="2054"/>
        <v>374.5833333</v>
      </c>
      <c r="AV621" s="73">
        <f t="shared" ref="AV621:AW621" si="2055">AI621/125</f>
        <v>75.53856</v>
      </c>
      <c r="AW621" s="73">
        <f t="shared" si="2055"/>
        <v>71.92</v>
      </c>
    </row>
    <row r="622" ht="15.75" customHeight="1">
      <c r="A622" s="2"/>
      <c r="B622" s="2" t="s">
        <v>1226</v>
      </c>
      <c r="C622" s="75" t="s">
        <v>1227</v>
      </c>
      <c r="D622" s="10">
        <v>4950.0</v>
      </c>
      <c r="E622" s="2">
        <v>190.0</v>
      </c>
      <c r="F622" s="1">
        <v>100.0</v>
      </c>
      <c r="G622" s="10">
        <v>8.3061E7</v>
      </c>
      <c r="H622" s="59">
        <v>0.05</v>
      </c>
      <c r="I622" s="2">
        <f t="shared" si="1792"/>
        <v>247.5</v>
      </c>
      <c r="K622" s="1">
        <v>200.0</v>
      </c>
      <c r="L622" s="4">
        <f t="shared" si="1708"/>
        <v>5687.5</v>
      </c>
      <c r="M622" s="2">
        <f t="shared" si="1853"/>
        <v>49.5</v>
      </c>
      <c r="N622" s="12">
        <f t="shared" si="1854"/>
        <v>455</v>
      </c>
      <c r="O622" s="12">
        <f t="shared" si="1855"/>
        <v>568.75</v>
      </c>
      <c r="P622" s="12">
        <f t="shared" si="1856"/>
        <v>284.375</v>
      </c>
      <c r="Q622" s="12">
        <f t="shared" si="1857"/>
        <v>113.75</v>
      </c>
      <c r="R622" s="12">
        <f t="shared" si="1858"/>
        <v>51.975</v>
      </c>
      <c r="S622" s="12">
        <f t="shared" si="1859"/>
        <v>56.875</v>
      </c>
      <c r="T622" s="60">
        <f t="shared" si="1860"/>
        <v>1528.25</v>
      </c>
      <c r="U622" s="2">
        <f t="shared" si="1861"/>
        <v>103.95</v>
      </c>
      <c r="V622" s="42">
        <f t="shared" si="15"/>
        <v>519.75</v>
      </c>
      <c r="W622" s="2">
        <f t="shared" si="1862"/>
        <v>103.95</v>
      </c>
      <c r="X622" s="2">
        <f t="shared" si="1863"/>
        <v>831.6</v>
      </c>
      <c r="Y622" s="2">
        <f t="shared" si="1864"/>
        <v>1559.25</v>
      </c>
      <c r="Z622" s="60">
        <f t="shared" si="1865"/>
        <v>8775</v>
      </c>
      <c r="AA622" s="11">
        <f t="shared" si="1866"/>
        <v>1755</v>
      </c>
      <c r="AB622" s="12">
        <f t="shared" si="1867"/>
        <v>10530</v>
      </c>
      <c r="AC622" s="2">
        <f t="shared" si="1868"/>
        <v>10395</v>
      </c>
      <c r="AD622" s="12">
        <f t="shared" si="1869"/>
        <v>135</v>
      </c>
      <c r="AE622" s="12">
        <f t="shared" si="1870"/>
        <v>1.282051282</v>
      </c>
      <c r="AG622" s="62">
        <f t="shared" si="1871"/>
        <v>-100</v>
      </c>
      <c r="AH622" s="63">
        <f t="shared" si="1872"/>
        <v>9990</v>
      </c>
      <c r="AI622" s="64">
        <f t="shared" si="2028"/>
        <v>10530</v>
      </c>
      <c r="AJ622" s="65">
        <v>9990.0</v>
      </c>
      <c r="AK622" s="66">
        <f t="shared" si="1730"/>
        <v>75.64835165</v>
      </c>
      <c r="AL622" s="66"/>
      <c r="AM622" s="14">
        <f t="shared" si="1875"/>
        <v>100</v>
      </c>
      <c r="AN622" s="67">
        <f t="shared" si="1876"/>
        <v>175.6483516</v>
      </c>
      <c r="AO622" s="68">
        <f t="shared" si="1877"/>
        <v>1.756483516</v>
      </c>
      <c r="AP622" s="69">
        <f t="shared" si="1878"/>
        <v>-5.4</v>
      </c>
      <c r="AQ622" s="70">
        <f t="shared" si="1879"/>
        <v>-4.05</v>
      </c>
      <c r="AR622" s="71">
        <f t="shared" ref="AR622:AS622" si="2056">AI622/94</f>
        <v>112.0212766</v>
      </c>
      <c r="AS622" s="71">
        <f t="shared" si="2056"/>
        <v>106.2765957</v>
      </c>
      <c r="AT622" s="72">
        <f t="shared" ref="AT622:AU622" si="2057">AI622/24</f>
        <v>438.75</v>
      </c>
      <c r="AU622" s="72">
        <f t="shared" si="2057"/>
        <v>416.25</v>
      </c>
      <c r="AV622" s="73">
        <f t="shared" ref="AV622:AW622" si="2058">AI622/125</f>
        <v>84.24</v>
      </c>
      <c r="AW622" s="73">
        <f t="shared" si="2058"/>
        <v>79.92</v>
      </c>
    </row>
    <row r="623" ht="15.75" customHeight="1">
      <c r="A623" s="2"/>
      <c r="B623" s="2" t="s">
        <v>1228</v>
      </c>
      <c r="C623" s="75" t="s">
        <v>1229</v>
      </c>
      <c r="D623" s="10">
        <v>5500.0</v>
      </c>
      <c r="E623" s="2">
        <v>190.0</v>
      </c>
      <c r="F623" s="1">
        <v>100.0</v>
      </c>
      <c r="G623" s="10">
        <v>8.3061E7</v>
      </c>
      <c r="H623" s="59">
        <v>0.05</v>
      </c>
      <c r="I623" s="2">
        <f t="shared" si="1792"/>
        <v>275</v>
      </c>
      <c r="K623" s="1">
        <v>200.0</v>
      </c>
      <c r="L623" s="4">
        <f t="shared" si="1708"/>
        <v>6265</v>
      </c>
      <c r="M623" s="2">
        <f t="shared" si="1853"/>
        <v>55</v>
      </c>
      <c r="N623" s="12">
        <f t="shared" si="1854"/>
        <v>501.2</v>
      </c>
      <c r="O623" s="12">
        <f t="shared" si="1855"/>
        <v>626.5</v>
      </c>
      <c r="P623" s="12">
        <f t="shared" si="1856"/>
        <v>313.25</v>
      </c>
      <c r="Q623" s="12">
        <f t="shared" si="1857"/>
        <v>125.3</v>
      </c>
      <c r="R623" s="12">
        <f t="shared" si="1858"/>
        <v>57.75</v>
      </c>
      <c r="S623" s="12">
        <f t="shared" si="1859"/>
        <v>62.65</v>
      </c>
      <c r="T623" s="60">
        <f t="shared" si="1860"/>
        <v>1683.9</v>
      </c>
      <c r="U623" s="2">
        <f t="shared" si="1861"/>
        <v>115.5</v>
      </c>
      <c r="V623" s="42">
        <f t="shared" si="15"/>
        <v>577.5</v>
      </c>
      <c r="W623" s="2">
        <f t="shared" si="1862"/>
        <v>115.5</v>
      </c>
      <c r="X623" s="2">
        <f t="shared" si="1863"/>
        <v>924</v>
      </c>
      <c r="Y623" s="2">
        <f t="shared" si="1864"/>
        <v>1732.5</v>
      </c>
      <c r="Z623" s="60">
        <f t="shared" si="1865"/>
        <v>9681.4</v>
      </c>
      <c r="AA623" s="11">
        <f t="shared" si="1866"/>
        <v>1936.28</v>
      </c>
      <c r="AB623" s="12">
        <f t="shared" si="1867"/>
        <v>11617.68</v>
      </c>
      <c r="AC623" s="2">
        <f t="shared" si="1868"/>
        <v>11550</v>
      </c>
      <c r="AD623" s="12">
        <f t="shared" si="1869"/>
        <v>67.68</v>
      </c>
      <c r="AE623" s="12">
        <f t="shared" si="1870"/>
        <v>0.5825603735</v>
      </c>
      <c r="AG623" s="62">
        <f t="shared" si="1871"/>
        <v>-100</v>
      </c>
      <c r="AH623" s="63">
        <f t="shared" si="1872"/>
        <v>10990</v>
      </c>
      <c r="AI623" s="64">
        <f t="shared" si="2028"/>
        <v>11617.68</v>
      </c>
      <c r="AJ623" s="65">
        <v>10990.0</v>
      </c>
      <c r="AK623" s="66">
        <f t="shared" si="1730"/>
        <v>75.41899441</v>
      </c>
      <c r="AL623" s="66"/>
      <c r="AM623" s="14">
        <f t="shared" si="1875"/>
        <v>100</v>
      </c>
      <c r="AN623" s="67">
        <f t="shared" si="1876"/>
        <v>175.4189944</v>
      </c>
      <c r="AO623" s="68">
        <f t="shared" si="1877"/>
        <v>1.754189944</v>
      </c>
      <c r="AP623" s="69">
        <f t="shared" si="1878"/>
        <v>-6.2768</v>
      </c>
      <c r="AQ623" s="70">
        <f t="shared" si="1879"/>
        <v>-5.6</v>
      </c>
      <c r="AR623" s="71">
        <f t="shared" ref="AR623:AS623" si="2059">AI623/94</f>
        <v>123.5923404</v>
      </c>
      <c r="AS623" s="71">
        <f t="shared" si="2059"/>
        <v>116.9148936</v>
      </c>
      <c r="AT623" s="72">
        <f t="shared" ref="AT623:AU623" si="2060">AI623/24</f>
        <v>484.07</v>
      </c>
      <c r="AU623" s="72">
        <f t="shared" si="2060"/>
        <v>457.9166667</v>
      </c>
      <c r="AV623" s="73">
        <f t="shared" ref="AV623:AW623" si="2061">AI623/125</f>
        <v>92.94144</v>
      </c>
      <c r="AW623" s="73">
        <f t="shared" si="2061"/>
        <v>87.92</v>
      </c>
    </row>
    <row r="624" ht="15.75" customHeight="1">
      <c r="A624" s="2"/>
      <c r="B624" s="2" t="s">
        <v>1230</v>
      </c>
      <c r="C624" s="75" t="s">
        <v>1231</v>
      </c>
      <c r="D624" s="10">
        <v>6050.0</v>
      </c>
      <c r="E624" s="2">
        <v>190.0</v>
      </c>
      <c r="F624" s="1">
        <v>100.0</v>
      </c>
      <c r="G624" s="10">
        <v>8.3061E7</v>
      </c>
      <c r="H624" s="59">
        <v>0.05</v>
      </c>
      <c r="I624" s="2">
        <f t="shared" si="1792"/>
        <v>302.5</v>
      </c>
      <c r="K624" s="1">
        <v>200.0</v>
      </c>
      <c r="L624" s="4">
        <f t="shared" si="1708"/>
        <v>6842.5</v>
      </c>
      <c r="M624" s="2">
        <f t="shared" si="1853"/>
        <v>60.5</v>
      </c>
      <c r="N624" s="12">
        <f t="shared" si="1854"/>
        <v>547.4</v>
      </c>
      <c r="O624" s="12">
        <f t="shared" si="1855"/>
        <v>684.25</v>
      </c>
      <c r="P624" s="12">
        <f t="shared" si="1856"/>
        <v>342.125</v>
      </c>
      <c r="Q624" s="12">
        <f t="shared" si="1857"/>
        <v>136.85</v>
      </c>
      <c r="R624" s="12">
        <f t="shared" si="1858"/>
        <v>63.525</v>
      </c>
      <c r="S624" s="12">
        <f t="shared" si="1859"/>
        <v>68.425</v>
      </c>
      <c r="T624" s="60">
        <f t="shared" si="1860"/>
        <v>1839.55</v>
      </c>
      <c r="U624" s="2">
        <f t="shared" si="1861"/>
        <v>127.05</v>
      </c>
      <c r="V624" s="42">
        <f t="shared" si="15"/>
        <v>635.25</v>
      </c>
      <c r="W624" s="2">
        <f t="shared" si="1862"/>
        <v>127.05</v>
      </c>
      <c r="X624" s="2">
        <f t="shared" si="1863"/>
        <v>1016.4</v>
      </c>
      <c r="Y624" s="2">
        <f t="shared" si="1864"/>
        <v>1905.75</v>
      </c>
      <c r="Z624" s="60">
        <f t="shared" si="1865"/>
        <v>10587.8</v>
      </c>
      <c r="AA624" s="11">
        <f t="shared" si="1866"/>
        <v>2117.56</v>
      </c>
      <c r="AB624" s="12">
        <f t="shared" si="1867"/>
        <v>12705.36</v>
      </c>
      <c r="AC624" s="2">
        <f t="shared" si="1868"/>
        <v>12705</v>
      </c>
      <c r="AD624" s="12">
        <f t="shared" si="1869"/>
        <v>0.36</v>
      </c>
      <c r="AE624" s="12">
        <f t="shared" si="1870"/>
        <v>0.00283344982</v>
      </c>
      <c r="AG624" s="62">
        <f t="shared" si="1871"/>
        <v>-100</v>
      </c>
      <c r="AH624" s="63">
        <f t="shared" si="1872"/>
        <v>11990</v>
      </c>
      <c r="AI624" s="64">
        <f t="shared" si="2028"/>
        <v>12705.36</v>
      </c>
      <c r="AJ624" s="65">
        <v>11990.0</v>
      </c>
      <c r="AK624" s="66">
        <f t="shared" si="1730"/>
        <v>75.22835221</v>
      </c>
      <c r="AL624" s="66"/>
      <c r="AM624" s="14">
        <f t="shared" si="1875"/>
        <v>100</v>
      </c>
      <c r="AN624" s="67">
        <f t="shared" si="1876"/>
        <v>175.2283522</v>
      </c>
      <c r="AO624" s="68">
        <f t="shared" si="1877"/>
        <v>1.752283522</v>
      </c>
      <c r="AP624" s="69">
        <f t="shared" si="1878"/>
        <v>-7.1536</v>
      </c>
      <c r="AQ624" s="70">
        <f t="shared" si="1879"/>
        <v>-7.15</v>
      </c>
      <c r="AR624" s="71">
        <f t="shared" ref="AR624:AS624" si="2062">AI624/94</f>
        <v>135.1634043</v>
      </c>
      <c r="AS624" s="71">
        <f t="shared" si="2062"/>
        <v>127.5531915</v>
      </c>
      <c r="AT624" s="72">
        <f t="shared" ref="AT624:AU624" si="2063">AI624/24</f>
        <v>529.39</v>
      </c>
      <c r="AU624" s="72">
        <f t="shared" si="2063"/>
        <v>499.5833333</v>
      </c>
      <c r="AV624" s="73">
        <f t="shared" ref="AV624:AW624" si="2064">AI624/125</f>
        <v>101.64288</v>
      </c>
      <c r="AW624" s="73">
        <f t="shared" si="2064"/>
        <v>95.92</v>
      </c>
    </row>
    <row r="625" ht="15.75" customHeight="1">
      <c r="A625" s="2"/>
      <c r="B625" s="2" t="s">
        <v>1232</v>
      </c>
      <c r="C625" s="75" t="s">
        <v>1233</v>
      </c>
      <c r="D625" s="10">
        <v>6600.0</v>
      </c>
      <c r="E625" s="2">
        <v>190.0</v>
      </c>
      <c r="F625" s="1">
        <v>100.0</v>
      </c>
      <c r="G625" s="10">
        <v>8.3061E7</v>
      </c>
      <c r="H625" s="59">
        <v>0.05</v>
      </c>
      <c r="I625" s="2">
        <f t="shared" si="1792"/>
        <v>330</v>
      </c>
      <c r="K625" s="1">
        <v>200.0</v>
      </c>
      <c r="L625" s="4">
        <f t="shared" si="1708"/>
        <v>7420</v>
      </c>
      <c r="M625" s="2">
        <f t="shared" si="1853"/>
        <v>66</v>
      </c>
      <c r="N625" s="12">
        <f t="shared" si="1854"/>
        <v>593.6</v>
      </c>
      <c r="O625" s="12">
        <f t="shared" si="1855"/>
        <v>742</v>
      </c>
      <c r="P625" s="12">
        <f t="shared" si="1856"/>
        <v>371</v>
      </c>
      <c r="Q625" s="12">
        <f t="shared" si="1857"/>
        <v>148.4</v>
      </c>
      <c r="R625" s="12">
        <f t="shared" si="1858"/>
        <v>69.3</v>
      </c>
      <c r="S625" s="12">
        <f t="shared" si="1859"/>
        <v>74.2</v>
      </c>
      <c r="T625" s="60">
        <f t="shared" si="1860"/>
        <v>1995.2</v>
      </c>
      <c r="U625" s="2">
        <f t="shared" si="1861"/>
        <v>138.6</v>
      </c>
      <c r="V625" s="42">
        <f t="shared" si="15"/>
        <v>693</v>
      </c>
      <c r="W625" s="2">
        <f t="shared" si="1862"/>
        <v>138.6</v>
      </c>
      <c r="X625" s="2">
        <f t="shared" si="1863"/>
        <v>1108.8</v>
      </c>
      <c r="Y625" s="2">
        <f t="shared" si="1864"/>
        <v>2079</v>
      </c>
      <c r="Z625" s="60">
        <f t="shared" si="1865"/>
        <v>11494.2</v>
      </c>
      <c r="AA625" s="11">
        <f t="shared" si="1866"/>
        <v>2298.84</v>
      </c>
      <c r="AB625" s="12">
        <f t="shared" si="1867"/>
        <v>13793.04</v>
      </c>
      <c r="AC625" s="2">
        <f t="shared" si="1868"/>
        <v>13860</v>
      </c>
      <c r="AD625" s="12">
        <f t="shared" si="1869"/>
        <v>-66.96</v>
      </c>
      <c r="AE625" s="12">
        <f t="shared" si="1870"/>
        <v>-0.4854622331</v>
      </c>
      <c r="AG625" s="62">
        <f t="shared" si="1871"/>
        <v>-100</v>
      </c>
      <c r="AH625" s="63">
        <f t="shared" si="1872"/>
        <v>12990</v>
      </c>
      <c r="AI625" s="64">
        <f t="shared" si="2028"/>
        <v>13793.04</v>
      </c>
      <c r="AJ625" s="65">
        <v>12990.0</v>
      </c>
      <c r="AK625" s="66">
        <f t="shared" si="1730"/>
        <v>75.06738544</v>
      </c>
      <c r="AL625" s="66"/>
      <c r="AM625" s="14">
        <f t="shared" si="1875"/>
        <v>100</v>
      </c>
      <c r="AN625" s="67">
        <f t="shared" si="1876"/>
        <v>175.0673854</v>
      </c>
      <c r="AO625" s="68">
        <f t="shared" si="1877"/>
        <v>1.750673854</v>
      </c>
      <c r="AP625" s="69">
        <f t="shared" si="1878"/>
        <v>-8.0304</v>
      </c>
      <c r="AQ625" s="70">
        <f t="shared" si="1879"/>
        <v>-8.7</v>
      </c>
      <c r="AR625" s="71">
        <f t="shared" ref="AR625:AS625" si="2065">AI625/94</f>
        <v>146.7344681</v>
      </c>
      <c r="AS625" s="71">
        <f t="shared" si="2065"/>
        <v>138.1914894</v>
      </c>
      <c r="AT625" s="72">
        <f t="shared" ref="AT625:AU625" si="2066">AI625/24</f>
        <v>574.71</v>
      </c>
      <c r="AU625" s="72">
        <f t="shared" si="2066"/>
        <v>541.25</v>
      </c>
      <c r="AV625" s="73">
        <f t="shared" ref="AV625:AW625" si="2067">AI625/125</f>
        <v>110.34432</v>
      </c>
      <c r="AW625" s="73">
        <f t="shared" si="2067"/>
        <v>103.92</v>
      </c>
    </row>
    <row r="626" ht="15.75" customHeight="1">
      <c r="A626" s="2"/>
      <c r="B626" s="2" t="s">
        <v>1234</v>
      </c>
      <c r="C626" s="75" t="s">
        <v>1235</v>
      </c>
      <c r="D626" s="10">
        <v>8250.0</v>
      </c>
      <c r="E626" s="2">
        <v>190.0</v>
      </c>
      <c r="F626" s="1">
        <v>100.0</v>
      </c>
      <c r="G626" s="10">
        <v>8.3061E7</v>
      </c>
      <c r="H626" s="59">
        <v>0.05</v>
      </c>
      <c r="I626" s="2">
        <f t="shared" si="1792"/>
        <v>412.5</v>
      </c>
      <c r="K626" s="1">
        <v>200.0</v>
      </c>
      <c r="L626" s="4">
        <f t="shared" si="1708"/>
        <v>9152.5</v>
      </c>
      <c r="M626" s="2">
        <f t="shared" si="1853"/>
        <v>82.5</v>
      </c>
      <c r="N626" s="12">
        <f t="shared" si="1854"/>
        <v>732.2</v>
      </c>
      <c r="O626" s="12">
        <f t="shared" si="1855"/>
        <v>915.25</v>
      </c>
      <c r="P626" s="12">
        <f t="shared" si="1856"/>
        <v>457.625</v>
      </c>
      <c r="Q626" s="12">
        <f t="shared" si="1857"/>
        <v>183.05</v>
      </c>
      <c r="R626" s="12">
        <f t="shared" si="1858"/>
        <v>86.625</v>
      </c>
      <c r="S626" s="12">
        <f t="shared" si="1859"/>
        <v>91.525</v>
      </c>
      <c r="T626" s="60">
        <f t="shared" si="1860"/>
        <v>2462.15</v>
      </c>
      <c r="U626" s="2">
        <f t="shared" si="1861"/>
        <v>173.25</v>
      </c>
      <c r="V626" s="42">
        <f t="shared" si="15"/>
        <v>866.25</v>
      </c>
      <c r="W626" s="2">
        <f t="shared" si="1862"/>
        <v>173.25</v>
      </c>
      <c r="X626" s="2">
        <f t="shared" si="1863"/>
        <v>1386</v>
      </c>
      <c r="Y626" s="2">
        <f t="shared" si="1864"/>
        <v>2598.75</v>
      </c>
      <c r="Z626" s="60">
        <f t="shared" si="1865"/>
        <v>14213.4</v>
      </c>
      <c r="AA626" s="11">
        <f t="shared" si="1866"/>
        <v>2842.68</v>
      </c>
      <c r="AB626" s="12">
        <f t="shared" si="1867"/>
        <v>17056.08</v>
      </c>
      <c r="AC626" s="2">
        <f t="shared" si="1868"/>
        <v>17325</v>
      </c>
      <c r="AD626" s="12">
        <f t="shared" si="1869"/>
        <v>-268.92</v>
      </c>
      <c r="AE626" s="12">
        <f t="shared" si="1870"/>
        <v>-1.57668116</v>
      </c>
      <c r="AG626" s="62">
        <f t="shared" si="1871"/>
        <v>-100</v>
      </c>
      <c r="AH626" s="63">
        <f t="shared" si="1872"/>
        <v>14990</v>
      </c>
      <c r="AI626" s="64">
        <f t="shared" si="2028"/>
        <v>17056.08</v>
      </c>
      <c r="AJ626" s="65">
        <v>14990.0</v>
      </c>
      <c r="AK626" s="66">
        <f t="shared" si="1730"/>
        <v>63.78038787</v>
      </c>
      <c r="AL626" s="66"/>
      <c r="AM626" s="14">
        <f t="shared" si="1875"/>
        <v>100</v>
      </c>
      <c r="AN626" s="67">
        <f t="shared" si="1876"/>
        <v>163.7803879</v>
      </c>
      <c r="AO626" s="68">
        <f t="shared" si="1877"/>
        <v>1.637803879</v>
      </c>
      <c r="AP626" s="69">
        <f t="shared" si="1878"/>
        <v>-20.6608</v>
      </c>
      <c r="AQ626" s="70">
        <f t="shared" si="1879"/>
        <v>-23.35</v>
      </c>
      <c r="AR626" s="71">
        <f t="shared" ref="AR626:AS626" si="2068">AI626/94</f>
        <v>181.4476596</v>
      </c>
      <c r="AS626" s="71">
        <f t="shared" si="2068"/>
        <v>159.4680851</v>
      </c>
      <c r="AT626" s="72">
        <f t="shared" ref="AT626:AU626" si="2069">AI626/24</f>
        <v>710.67</v>
      </c>
      <c r="AU626" s="72">
        <f t="shared" si="2069"/>
        <v>624.5833333</v>
      </c>
      <c r="AV626" s="73">
        <f t="shared" ref="AV626:AW626" si="2070">AI626/125</f>
        <v>136.44864</v>
      </c>
      <c r="AW626" s="73">
        <f t="shared" si="2070"/>
        <v>119.92</v>
      </c>
    </row>
    <row r="627" ht="15.75" customHeight="1">
      <c r="A627" s="2"/>
      <c r="B627" s="2" t="s">
        <v>1236</v>
      </c>
      <c r="C627" s="75" t="s">
        <v>1237</v>
      </c>
      <c r="D627" s="10">
        <v>9350.0</v>
      </c>
      <c r="E627" s="2">
        <v>190.0</v>
      </c>
      <c r="F627" s="1">
        <v>100.0</v>
      </c>
      <c r="G627" s="10">
        <v>8.3061E7</v>
      </c>
      <c r="H627" s="59">
        <v>0.05</v>
      </c>
      <c r="I627" s="2">
        <f t="shared" si="1792"/>
        <v>467.5</v>
      </c>
      <c r="K627" s="1">
        <v>200.0</v>
      </c>
      <c r="L627" s="4">
        <f t="shared" si="1708"/>
        <v>10307.5</v>
      </c>
      <c r="M627" s="2">
        <f t="shared" si="1853"/>
        <v>93.5</v>
      </c>
      <c r="N627" s="12">
        <f t="shared" si="1854"/>
        <v>824.6</v>
      </c>
      <c r="O627" s="12">
        <f t="shared" si="1855"/>
        <v>1030.75</v>
      </c>
      <c r="P627" s="12">
        <f t="shared" si="1856"/>
        <v>515.375</v>
      </c>
      <c r="Q627" s="12">
        <f t="shared" si="1857"/>
        <v>206.15</v>
      </c>
      <c r="R627" s="12">
        <f t="shared" si="1858"/>
        <v>98.175</v>
      </c>
      <c r="S627" s="12">
        <f t="shared" si="1859"/>
        <v>103.075</v>
      </c>
      <c r="T627" s="60">
        <f t="shared" si="1860"/>
        <v>2773.45</v>
      </c>
      <c r="U627" s="2">
        <f t="shared" si="1861"/>
        <v>196.35</v>
      </c>
      <c r="V627" s="42">
        <f t="shared" si="15"/>
        <v>981.75</v>
      </c>
      <c r="W627" s="2">
        <f t="shared" si="1862"/>
        <v>196.35</v>
      </c>
      <c r="X627" s="2">
        <f t="shared" si="1863"/>
        <v>1570.8</v>
      </c>
      <c r="Y627" s="2">
        <f t="shared" si="1864"/>
        <v>2945.25</v>
      </c>
      <c r="Z627" s="60">
        <f t="shared" si="1865"/>
        <v>16026.2</v>
      </c>
      <c r="AA627" s="11">
        <f t="shared" si="1866"/>
        <v>3205.24</v>
      </c>
      <c r="AB627" s="12">
        <f t="shared" si="1867"/>
        <v>19231.44</v>
      </c>
      <c r="AC627" s="2">
        <f t="shared" si="1868"/>
        <v>19635</v>
      </c>
      <c r="AD627" s="12">
        <f t="shared" si="1869"/>
        <v>-403.56</v>
      </c>
      <c r="AE627" s="12">
        <f t="shared" si="1870"/>
        <v>-2.098438806</v>
      </c>
      <c r="AG627" s="62">
        <f t="shared" si="1871"/>
        <v>-100</v>
      </c>
      <c r="AH627" s="63">
        <f t="shared" si="1872"/>
        <v>17990</v>
      </c>
      <c r="AI627" s="64">
        <f t="shared" si="2028"/>
        <v>19231.44</v>
      </c>
      <c r="AJ627" s="65">
        <v>17990.0</v>
      </c>
      <c r="AK627" s="66">
        <f t="shared" si="1730"/>
        <v>74.53310696</v>
      </c>
      <c r="AL627" s="66"/>
      <c r="AM627" s="14">
        <f t="shared" si="1875"/>
        <v>100</v>
      </c>
      <c r="AN627" s="67">
        <f t="shared" si="1876"/>
        <v>174.533107</v>
      </c>
      <c r="AO627" s="68">
        <f t="shared" si="1877"/>
        <v>1.74533107</v>
      </c>
      <c r="AP627" s="69">
        <f t="shared" si="1878"/>
        <v>-12.4144</v>
      </c>
      <c r="AQ627" s="70">
        <f t="shared" si="1879"/>
        <v>-16.45</v>
      </c>
      <c r="AR627" s="71">
        <f t="shared" ref="AR627:AS627" si="2071">AI627/94</f>
        <v>204.5897872</v>
      </c>
      <c r="AS627" s="71">
        <f t="shared" si="2071"/>
        <v>191.3829787</v>
      </c>
      <c r="AT627" s="72">
        <f t="shared" ref="AT627:AU627" si="2072">AI627/24</f>
        <v>801.31</v>
      </c>
      <c r="AU627" s="72">
        <f t="shared" si="2072"/>
        <v>749.5833333</v>
      </c>
      <c r="AV627" s="73">
        <f t="shared" ref="AV627:AW627" si="2073">AI627/125</f>
        <v>153.85152</v>
      </c>
      <c r="AW627" s="73">
        <f t="shared" si="2073"/>
        <v>143.92</v>
      </c>
    </row>
    <row r="628" ht="15.75" customHeight="1">
      <c r="A628" s="2"/>
      <c r="B628" s="2" t="s">
        <v>1059</v>
      </c>
      <c r="C628" s="75" t="s">
        <v>1238</v>
      </c>
      <c r="D628" s="10">
        <v>52100.0</v>
      </c>
      <c r="E628" s="2">
        <v>700.0</v>
      </c>
      <c r="F628" s="1">
        <v>300.0</v>
      </c>
      <c r="G628" s="10">
        <v>8.3061E7</v>
      </c>
      <c r="H628" s="59">
        <v>0.05</v>
      </c>
      <c r="I628" s="2">
        <f t="shared" si="1792"/>
        <v>2605</v>
      </c>
      <c r="K628" s="1">
        <v>1000.0</v>
      </c>
      <c r="L628" s="4">
        <f t="shared" si="1708"/>
        <v>56705</v>
      </c>
      <c r="M628" s="2">
        <f t="shared" si="1853"/>
        <v>521</v>
      </c>
      <c r="N628" s="12">
        <f t="shared" si="1854"/>
        <v>4536.4</v>
      </c>
      <c r="O628" s="12">
        <f t="shared" si="1855"/>
        <v>5670.5</v>
      </c>
      <c r="P628" s="12">
        <f t="shared" si="1856"/>
        <v>2835.25</v>
      </c>
      <c r="Q628" s="12">
        <f t="shared" si="1857"/>
        <v>1134.1</v>
      </c>
      <c r="R628" s="12">
        <f t="shared" si="1858"/>
        <v>547.05</v>
      </c>
      <c r="S628" s="12">
        <f t="shared" si="1859"/>
        <v>567.05</v>
      </c>
      <c r="T628" s="60">
        <f t="shared" si="1860"/>
        <v>15264.3</v>
      </c>
      <c r="U628" s="2">
        <f t="shared" si="1861"/>
        <v>1094.1</v>
      </c>
      <c r="V628" s="42">
        <f t="shared" si="15"/>
        <v>5470.5</v>
      </c>
      <c r="W628" s="2">
        <f t="shared" si="1862"/>
        <v>1094.1</v>
      </c>
      <c r="X628" s="2">
        <f t="shared" si="1863"/>
        <v>8752.8</v>
      </c>
      <c r="Y628" s="2">
        <f t="shared" si="1864"/>
        <v>16411.5</v>
      </c>
      <c r="Z628" s="60">
        <f t="shared" si="1865"/>
        <v>88380.8</v>
      </c>
      <c r="AA628" s="11">
        <f t="shared" si="1866"/>
        <v>17676.16</v>
      </c>
      <c r="AB628" s="12">
        <f t="shared" si="1867"/>
        <v>106056.96</v>
      </c>
      <c r="AC628" s="2">
        <f t="shared" si="1868"/>
        <v>109410</v>
      </c>
      <c r="AD628" s="12">
        <f t="shared" si="1869"/>
        <v>-3353.04</v>
      </c>
      <c r="AE628" s="12">
        <f t="shared" si="1870"/>
        <v>-3.161546399</v>
      </c>
      <c r="AG628" s="62">
        <f t="shared" si="1871"/>
        <v>-100</v>
      </c>
      <c r="AH628" s="63">
        <f t="shared" si="1872"/>
        <v>99990</v>
      </c>
      <c r="AI628" s="64">
        <f t="shared" si="2028"/>
        <v>106056.96</v>
      </c>
      <c r="AJ628" s="65">
        <v>99990.0</v>
      </c>
      <c r="AK628" s="66">
        <f t="shared" si="1730"/>
        <v>76.33365664</v>
      </c>
      <c r="AL628" s="66"/>
      <c r="AM628" s="14">
        <f t="shared" si="1875"/>
        <v>100</v>
      </c>
      <c r="AN628" s="67">
        <f t="shared" si="1876"/>
        <v>176.3336566</v>
      </c>
      <c r="AO628" s="68">
        <f t="shared" si="1877"/>
        <v>1.763336566</v>
      </c>
      <c r="AP628" s="69">
        <f t="shared" si="1878"/>
        <v>-60.6696</v>
      </c>
      <c r="AQ628" s="70">
        <f t="shared" si="1879"/>
        <v>-94.2</v>
      </c>
      <c r="AR628" s="71">
        <f t="shared" ref="AR628:AS628" si="2074">AI628/94</f>
        <v>1128.265532</v>
      </c>
      <c r="AS628" s="71">
        <f t="shared" si="2074"/>
        <v>1063.723404</v>
      </c>
      <c r="AT628" s="72">
        <f t="shared" ref="AT628:AU628" si="2075">AI628/24</f>
        <v>4419.04</v>
      </c>
      <c r="AU628" s="72">
        <f t="shared" si="2075"/>
        <v>4166.25</v>
      </c>
      <c r="AV628" s="73">
        <f t="shared" ref="AV628:AW628" si="2076">AI628/125</f>
        <v>848.45568</v>
      </c>
      <c r="AW628" s="73">
        <f t="shared" si="2076"/>
        <v>799.92</v>
      </c>
    </row>
    <row r="629" ht="15.0" customHeight="1">
      <c r="A629" s="2" t="s">
        <v>1239</v>
      </c>
      <c r="B629" s="2" t="s">
        <v>1240</v>
      </c>
      <c r="C629" s="75" t="s">
        <v>1241</v>
      </c>
      <c r="D629" s="10">
        <v>6500.0</v>
      </c>
      <c r="F629" s="1">
        <v>125.0</v>
      </c>
      <c r="G629" s="10">
        <v>9.203001E7</v>
      </c>
      <c r="H629" s="10">
        <v>0.0</v>
      </c>
      <c r="I629" s="2">
        <f t="shared" si="1792"/>
        <v>0</v>
      </c>
      <c r="K629" s="1">
        <v>300.0</v>
      </c>
      <c r="L629" s="4">
        <f t="shared" si="1708"/>
        <v>6925</v>
      </c>
      <c r="M629" s="2">
        <f t="shared" si="1853"/>
        <v>65</v>
      </c>
      <c r="N629" s="12">
        <f t="shared" si="1854"/>
        <v>554</v>
      </c>
      <c r="O629" s="12">
        <f t="shared" si="1855"/>
        <v>692.5</v>
      </c>
      <c r="P629" s="12">
        <f t="shared" si="1856"/>
        <v>346.25</v>
      </c>
      <c r="Q629" s="12">
        <f t="shared" si="1857"/>
        <v>138.5</v>
      </c>
      <c r="R629" s="12">
        <f t="shared" si="1858"/>
        <v>68.25</v>
      </c>
      <c r="S629" s="12">
        <f t="shared" si="1859"/>
        <v>69.25</v>
      </c>
      <c r="T629" s="60">
        <f t="shared" si="1860"/>
        <v>1865.5</v>
      </c>
      <c r="U629" s="2">
        <f t="shared" si="1861"/>
        <v>136.5</v>
      </c>
      <c r="V629" s="42">
        <f t="shared" si="15"/>
        <v>682.5</v>
      </c>
      <c r="W629" s="2">
        <f t="shared" si="1862"/>
        <v>136.5</v>
      </c>
      <c r="X629" s="2">
        <f t="shared" si="1863"/>
        <v>1092</v>
      </c>
      <c r="Y629" s="2">
        <f t="shared" si="1864"/>
        <v>2047.5</v>
      </c>
      <c r="Z629" s="60">
        <f t="shared" si="1865"/>
        <v>10838</v>
      </c>
      <c r="AA629" s="11">
        <f t="shared" si="1866"/>
        <v>2167.6</v>
      </c>
      <c r="AB629" s="12">
        <f t="shared" si="1867"/>
        <v>13005.6</v>
      </c>
      <c r="AC629" s="2">
        <f t="shared" si="1868"/>
        <v>13650</v>
      </c>
      <c r="AD629" s="12">
        <f t="shared" si="1869"/>
        <v>-644.4</v>
      </c>
      <c r="AE629" s="12">
        <f t="shared" si="1870"/>
        <v>-4.954788706</v>
      </c>
      <c r="AG629" s="62">
        <f t="shared" si="1871"/>
        <v>-100</v>
      </c>
      <c r="AH629" s="63">
        <f t="shared" si="1872"/>
        <v>11990</v>
      </c>
      <c r="AI629" s="64">
        <f t="shared" si="2028"/>
        <v>13005.6</v>
      </c>
      <c r="AJ629" s="65">
        <v>11990.0</v>
      </c>
      <c r="AK629" s="66">
        <f t="shared" si="1730"/>
        <v>73.14079422</v>
      </c>
      <c r="AL629" s="66"/>
      <c r="AM629" s="14">
        <f t="shared" si="1875"/>
        <v>100</v>
      </c>
      <c r="AN629" s="67">
        <f t="shared" si="1876"/>
        <v>173.1407942</v>
      </c>
      <c r="AO629" s="68">
        <f t="shared" si="1877"/>
        <v>1.731407942</v>
      </c>
      <c r="AP629" s="69">
        <f t="shared" si="1878"/>
        <v>-10.156</v>
      </c>
      <c r="AQ629" s="70">
        <f t="shared" si="1879"/>
        <v>-16.6</v>
      </c>
      <c r="AR629" s="71">
        <f t="shared" ref="AR629:AS629" si="2077">AI629/94</f>
        <v>138.3574468</v>
      </c>
      <c r="AS629" s="71">
        <f t="shared" si="2077"/>
        <v>127.5531915</v>
      </c>
      <c r="AT629" s="72">
        <f t="shared" ref="AT629:AU629" si="2078">AI629/24</f>
        <v>541.9</v>
      </c>
      <c r="AU629" s="72">
        <f t="shared" si="2078"/>
        <v>499.5833333</v>
      </c>
      <c r="AV629" s="73">
        <f t="shared" ref="AV629:AW629" si="2079">AI629/125</f>
        <v>104.0448</v>
      </c>
      <c r="AW629" s="73">
        <f t="shared" si="2079"/>
        <v>95.92</v>
      </c>
    </row>
    <row r="630" ht="15.75" customHeight="1">
      <c r="A630" s="2"/>
      <c r="B630" s="2" t="s">
        <v>1242</v>
      </c>
      <c r="C630" s="75" t="s">
        <v>1243</v>
      </c>
      <c r="D630" s="10">
        <v>7800.0</v>
      </c>
      <c r="F630" s="1">
        <v>125.0</v>
      </c>
      <c r="G630" s="10">
        <v>9.203001E7</v>
      </c>
      <c r="H630" s="10">
        <v>0.0</v>
      </c>
      <c r="I630" s="2">
        <f t="shared" si="1792"/>
        <v>0</v>
      </c>
      <c r="K630" s="1">
        <v>300.0</v>
      </c>
      <c r="L630" s="4">
        <f t="shared" si="1708"/>
        <v>8225</v>
      </c>
      <c r="M630" s="2">
        <f t="shared" si="1853"/>
        <v>78</v>
      </c>
      <c r="N630" s="12">
        <f t="shared" si="1854"/>
        <v>658</v>
      </c>
      <c r="O630" s="12">
        <f t="shared" si="1855"/>
        <v>822.5</v>
      </c>
      <c r="P630" s="12">
        <f t="shared" si="1856"/>
        <v>411.25</v>
      </c>
      <c r="Q630" s="12">
        <f t="shared" si="1857"/>
        <v>164.5</v>
      </c>
      <c r="R630" s="12">
        <f t="shared" si="1858"/>
        <v>81.9</v>
      </c>
      <c r="S630" s="12">
        <f t="shared" si="1859"/>
        <v>82.25</v>
      </c>
      <c r="T630" s="60">
        <f t="shared" si="1860"/>
        <v>2216.5</v>
      </c>
      <c r="U630" s="2">
        <f t="shared" si="1861"/>
        <v>163.8</v>
      </c>
      <c r="V630" s="42">
        <f t="shared" si="15"/>
        <v>819</v>
      </c>
      <c r="W630" s="2">
        <f t="shared" si="1862"/>
        <v>163.8</v>
      </c>
      <c r="X630" s="2">
        <f t="shared" si="1863"/>
        <v>1310.4</v>
      </c>
      <c r="Y630" s="2">
        <f t="shared" si="1864"/>
        <v>2457</v>
      </c>
      <c r="Z630" s="60">
        <f t="shared" si="1865"/>
        <v>12898.5</v>
      </c>
      <c r="AA630" s="11">
        <f t="shared" si="1866"/>
        <v>2579.7</v>
      </c>
      <c r="AB630" s="12">
        <f t="shared" si="1867"/>
        <v>15478.2</v>
      </c>
      <c r="AC630" s="2">
        <f t="shared" si="1868"/>
        <v>16380</v>
      </c>
      <c r="AD630" s="12">
        <f t="shared" si="1869"/>
        <v>-901.8</v>
      </c>
      <c r="AE630" s="12">
        <f t="shared" si="1870"/>
        <v>-5.826258867</v>
      </c>
      <c r="AG630" s="62">
        <f t="shared" si="1871"/>
        <v>-100</v>
      </c>
      <c r="AH630" s="63">
        <f t="shared" si="1872"/>
        <v>14990</v>
      </c>
      <c r="AI630" s="64">
        <f t="shared" si="2028"/>
        <v>15478.2</v>
      </c>
      <c r="AJ630" s="65">
        <v>14990.0</v>
      </c>
      <c r="AK630" s="66">
        <f t="shared" si="1730"/>
        <v>82.24924012</v>
      </c>
      <c r="AL630" s="66"/>
      <c r="AM630" s="14">
        <f t="shared" si="1875"/>
        <v>100</v>
      </c>
      <c r="AN630" s="67">
        <f t="shared" si="1876"/>
        <v>182.2492401</v>
      </c>
      <c r="AO630" s="68">
        <f t="shared" si="1877"/>
        <v>1.822492401</v>
      </c>
      <c r="AP630" s="69">
        <f t="shared" si="1878"/>
        <v>-4.882</v>
      </c>
      <c r="AQ630" s="70">
        <f t="shared" si="1879"/>
        <v>-13.9</v>
      </c>
      <c r="AR630" s="71">
        <f t="shared" ref="AR630:AS630" si="2080">AI630/94</f>
        <v>164.6617021</v>
      </c>
      <c r="AS630" s="71">
        <f t="shared" si="2080"/>
        <v>159.4680851</v>
      </c>
      <c r="AT630" s="72">
        <f t="shared" ref="AT630:AU630" si="2081">AI630/24</f>
        <v>644.925</v>
      </c>
      <c r="AU630" s="72">
        <f t="shared" si="2081"/>
        <v>624.5833333</v>
      </c>
      <c r="AV630" s="73">
        <f t="shared" ref="AV630:AW630" si="2082">AI630/125</f>
        <v>123.8256</v>
      </c>
      <c r="AW630" s="73">
        <f t="shared" si="2082"/>
        <v>119.92</v>
      </c>
    </row>
    <row r="631" ht="15.75" customHeight="1">
      <c r="A631" s="2"/>
      <c r="B631" s="2" t="s">
        <v>1244</v>
      </c>
      <c r="C631" s="75" t="s">
        <v>1245</v>
      </c>
      <c r="D631" s="10">
        <v>8700.0</v>
      </c>
      <c r="F631" s="1">
        <v>145.0</v>
      </c>
      <c r="G631" s="10">
        <v>9.203001E7</v>
      </c>
      <c r="H631" s="10">
        <v>0.0</v>
      </c>
      <c r="I631" s="2">
        <f t="shared" si="1792"/>
        <v>0</v>
      </c>
      <c r="K631" s="1">
        <v>300.0</v>
      </c>
      <c r="L631" s="4">
        <f t="shared" si="1708"/>
        <v>9145</v>
      </c>
      <c r="M631" s="2">
        <f t="shared" si="1853"/>
        <v>87</v>
      </c>
      <c r="N631" s="12">
        <f t="shared" si="1854"/>
        <v>731.6</v>
      </c>
      <c r="O631" s="12">
        <f t="shared" si="1855"/>
        <v>914.5</v>
      </c>
      <c r="P631" s="12">
        <f t="shared" si="1856"/>
        <v>457.25</v>
      </c>
      <c r="Q631" s="12">
        <f t="shared" si="1857"/>
        <v>182.9</v>
      </c>
      <c r="R631" s="12">
        <f t="shared" si="1858"/>
        <v>91.35</v>
      </c>
      <c r="S631" s="12">
        <f t="shared" si="1859"/>
        <v>91.45</v>
      </c>
      <c r="T631" s="60">
        <f t="shared" si="1860"/>
        <v>2464.7</v>
      </c>
      <c r="U631" s="2">
        <f t="shared" si="1861"/>
        <v>182.7</v>
      </c>
      <c r="V631" s="42">
        <f t="shared" si="15"/>
        <v>913.5</v>
      </c>
      <c r="W631" s="2">
        <f t="shared" si="1862"/>
        <v>182.7</v>
      </c>
      <c r="X631" s="2">
        <f t="shared" si="1863"/>
        <v>1461.6</v>
      </c>
      <c r="Y631" s="2">
        <f t="shared" si="1864"/>
        <v>2740.5</v>
      </c>
      <c r="Z631" s="60">
        <f t="shared" si="1865"/>
        <v>14350.2</v>
      </c>
      <c r="AA631" s="11">
        <f t="shared" si="1866"/>
        <v>2870.04</v>
      </c>
      <c r="AB631" s="12">
        <f t="shared" si="1867"/>
        <v>17220.24</v>
      </c>
      <c r="AC631" s="2">
        <f t="shared" si="1868"/>
        <v>18270</v>
      </c>
      <c r="AD631" s="12">
        <f t="shared" si="1869"/>
        <v>-1049.76</v>
      </c>
      <c r="AE631" s="12">
        <f t="shared" si="1870"/>
        <v>-6.096082285</v>
      </c>
      <c r="AG631" s="62">
        <f t="shared" si="1871"/>
        <v>-100</v>
      </c>
      <c r="AH631" s="63">
        <f t="shared" si="1872"/>
        <v>16990</v>
      </c>
      <c r="AI631" s="64">
        <f t="shared" si="2028"/>
        <v>17220.24</v>
      </c>
      <c r="AJ631" s="65">
        <v>16990.0</v>
      </c>
      <c r="AK631" s="66">
        <f t="shared" si="1730"/>
        <v>85.78458174</v>
      </c>
      <c r="AL631" s="66"/>
      <c r="AM631" s="14">
        <f t="shared" si="1875"/>
        <v>100</v>
      </c>
      <c r="AN631" s="67">
        <f t="shared" si="1876"/>
        <v>185.7845817</v>
      </c>
      <c r="AO631" s="68">
        <f t="shared" si="1877"/>
        <v>1.857845817</v>
      </c>
      <c r="AP631" s="69">
        <f t="shared" si="1878"/>
        <v>-2.3024</v>
      </c>
      <c r="AQ631" s="70">
        <f t="shared" si="1879"/>
        <v>-12.8</v>
      </c>
      <c r="AR631" s="71">
        <f t="shared" ref="AR631:AS631" si="2083">AI631/94</f>
        <v>183.1940426</v>
      </c>
      <c r="AS631" s="71">
        <f t="shared" si="2083"/>
        <v>180.7446809</v>
      </c>
      <c r="AT631" s="72">
        <f t="shared" ref="AT631:AU631" si="2084">AI631/24</f>
        <v>717.51</v>
      </c>
      <c r="AU631" s="72">
        <f t="shared" si="2084"/>
        <v>707.9166667</v>
      </c>
      <c r="AV631" s="73">
        <f t="shared" ref="AV631:AW631" si="2085">AI631/125</f>
        <v>137.76192</v>
      </c>
      <c r="AW631" s="73">
        <f t="shared" si="2085"/>
        <v>135.92</v>
      </c>
    </row>
    <row r="632" ht="15.0" customHeight="1">
      <c r="A632" s="2" t="s">
        <v>1246</v>
      </c>
      <c r="B632" s="2" t="s">
        <v>363</v>
      </c>
      <c r="C632" s="75" t="s">
        <v>1247</v>
      </c>
      <c r="D632" s="10">
        <v>495.0</v>
      </c>
      <c r="F632" s="1">
        <v>100.0</v>
      </c>
      <c r="G632" s="10">
        <v>4202.0</v>
      </c>
      <c r="H632" s="59">
        <v>0.18</v>
      </c>
      <c r="I632" s="2">
        <f t="shared" si="1792"/>
        <v>89.1</v>
      </c>
      <c r="K632" s="2">
        <v>50.0</v>
      </c>
      <c r="L632" s="4">
        <f t="shared" si="1708"/>
        <v>734.1</v>
      </c>
      <c r="M632" s="2">
        <f t="shared" si="1853"/>
        <v>4.95</v>
      </c>
      <c r="N632" s="12">
        <f t="shared" si="1854"/>
        <v>58.728</v>
      </c>
      <c r="O632" s="12">
        <f t="shared" si="1855"/>
        <v>73.41</v>
      </c>
      <c r="P632" s="12">
        <f t="shared" si="1856"/>
        <v>36.705</v>
      </c>
      <c r="Q632" s="12">
        <f t="shared" si="1857"/>
        <v>14.682</v>
      </c>
      <c r="R632" s="12">
        <f t="shared" si="1858"/>
        <v>5.1975</v>
      </c>
      <c r="S632" s="12">
        <f t="shared" si="1859"/>
        <v>7.341</v>
      </c>
      <c r="T632" s="60">
        <f t="shared" si="1860"/>
        <v>195.816</v>
      </c>
      <c r="U632" s="2">
        <f t="shared" si="1861"/>
        <v>10.395</v>
      </c>
      <c r="V632" s="42">
        <f t="shared" si="15"/>
        <v>51.975</v>
      </c>
      <c r="W632" s="2">
        <f t="shared" si="1862"/>
        <v>10.395</v>
      </c>
      <c r="X632" s="2">
        <f t="shared" si="1863"/>
        <v>83.16</v>
      </c>
      <c r="Y632" s="2">
        <f t="shared" si="1864"/>
        <v>155.925</v>
      </c>
      <c r="Z632" s="60">
        <f t="shared" si="1865"/>
        <v>1085.841</v>
      </c>
      <c r="AA632" s="11">
        <f t="shared" si="1866"/>
        <v>217.1682</v>
      </c>
      <c r="AB632" s="12">
        <f t="shared" si="1867"/>
        <v>1303.0092</v>
      </c>
      <c r="AC632" s="2">
        <f t="shared" si="1868"/>
        <v>1039.5</v>
      </c>
      <c r="AD632" s="12">
        <f t="shared" si="1869"/>
        <v>263.5092</v>
      </c>
      <c r="AE632" s="12">
        <f t="shared" si="1870"/>
        <v>20.22312659</v>
      </c>
      <c r="AF632" s="61">
        <v>1790.0</v>
      </c>
      <c r="AG632" s="62">
        <f t="shared" si="1871"/>
        <v>143.8359896</v>
      </c>
      <c r="AH632" s="63">
        <f t="shared" si="1872"/>
        <v>0</v>
      </c>
      <c r="AI632" s="64">
        <f t="shared" si="2028"/>
        <v>1303.0092</v>
      </c>
      <c r="AJ632" s="65">
        <v>1790.0</v>
      </c>
      <c r="AK632" s="66">
        <f t="shared" si="1730"/>
        <v>143.8359896</v>
      </c>
      <c r="AL632" s="66"/>
      <c r="AM632" s="14">
        <f t="shared" si="1875"/>
        <v>0</v>
      </c>
      <c r="AN632" s="67">
        <f t="shared" si="1876"/>
        <v>0</v>
      </c>
      <c r="AO632" s="68">
        <f t="shared" si="1877"/>
        <v>2.438359896</v>
      </c>
      <c r="AP632" s="69">
        <f t="shared" si="1878"/>
        <v>4.869908</v>
      </c>
      <c r="AQ632" s="70">
        <f t="shared" si="1879"/>
        <v>7.505</v>
      </c>
      <c r="AR632" s="71">
        <f t="shared" ref="AR632:AS632" si="2086">AI632/94</f>
        <v>13.8618</v>
      </c>
      <c r="AS632" s="71">
        <f t="shared" si="2086"/>
        <v>19.04255319</v>
      </c>
      <c r="AT632" s="72">
        <f t="shared" ref="AT632:AU632" si="2087">AI632/24</f>
        <v>54.29205</v>
      </c>
      <c r="AU632" s="72">
        <f t="shared" si="2087"/>
        <v>74.58333333</v>
      </c>
      <c r="AV632" s="73">
        <f t="shared" ref="AV632:AW632" si="2088">AI632/125</f>
        <v>10.4240736</v>
      </c>
      <c r="AW632" s="73">
        <f t="shared" si="2088"/>
        <v>14.32</v>
      </c>
    </row>
    <row r="633" ht="15.75" customHeight="1">
      <c r="A633" s="2"/>
      <c r="B633" s="2" t="s">
        <v>367</v>
      </c>
      <c r="C633" s="2" t="s">
        <v>1248</v>
      </c>
      <c r="D633" s="10">
        <v>910.0</v>
      </c>
      <c r="F633" s="1">
        <v>100.0</v>
      </c>
      <c r="G633" s="10">
        <v>4202.0</v>
      </c>
      <c r="H633" s="59">
        <v>0.18</v>
      </c>
      <c r="I633" s="2">
        <f t="shared" si="1792"/>
        <v>163.8</v>
      </c>
      <c r="K633" s="2">
        <v>50.0</v>
      </c>
      <c r="L633" s="4">
        <f t="shared" si="1708"/>
        <v>1223.8</v>
      </c>
      <c r="M633" s="2">
        <f t="shared" si="1853"/>
        <v>9.1</v>
      </c>
      <c r="N633" s="12">
        <f t="shared" si="1854"/>
        <v>97.904</v>
      </c>
      <c r="O633" s="12">
        <f t="shared" si="1855"/>
        <v>122.38</v>
      </c>
      <c r="P633" s="12">
        <f t="shared" si="1856"/>
        <v>61.19</v>
      </c>
      <c r="Q633" s="12">
        <f t="shared" si="1857"/>
        <v>24.476</v>
      </c>
      <c r="R633" s="12">
        <f t="shared" si="1858"/>
        <v>9.555</v>
      </c>
      <c r="S633" s="12">
        <f t="shared" si="1859"/>
        <v>12.238</v>
      </c>
      <c r="T633" s="60">
        <f t="shared" si="1860"/>
        <v>327.288</v>
      </c>
      <c r="U633" s="2">
        <f t="shared" si="1861"/>
        <v>19.11</v>
      </c>
      <c r="V633" s="42">
        <f t="shared" si="15"/>
        <v>95.55</v>
      </c>
      <c r="W633" s="2">
        <f t="shared" si="1862"/>
        <v>19.11</v>
      </c>
      <c r="X633" s="2">
        <f t="shared" si="1863"/>
        <v>152.88</v>
      </c>
      <c r="Y633" s="2">
        <f t="shared" si="1864"/>
        <v>286.65</v>
      </c>
      <c r="Z633" s="60">
        <f t="shared" si="1865"/>
        <v>1837.738</v>
      </c>
      <c r="AA633" s="11">
        <f t="shared" si="1866"/>
        <v>367.5476</v>
      </c>
      <c r="AB633" s="12">
        <f t="shared" si="1867"/>
        <v>2205.2856</v>
      </c>
      <c r="AC633" s="2">
        <f t="shared" si="1868"/>
        <v>1911</v>
      </c>
      <c r="AD633" s="12">
        <f t="shared" si="1869"/>
        <v>294.2856</v>
      </c>
      <c r="AE633" s="12">
        <f t="shared" si="1870"/>
        <v>13.34455728</v>
      </c>
      <c r="AF633" s="61">
        <v>2290.0</v>
      </c>
      <c r="AG633" s="62">
        <f t="shared" si="1871"/>
        <v>87.12207877</v>
      </c>
      <c r="AH633" s="63">
        <f t="shared" si="1872"/>
        <v>0</v>
      </c>
      <c r="AI633" s="64">
        <f t="shared" si="2028"/>
        <v>2205.2856</v>
      </c>
      <c r="AJ633" s="65">
        <v>2290.0</v>
      </c>
      <c r="AK633" s="66">
        <f t="shared" si="1730"/>
        <v>87.12207877</v>
      </c>
      <c r="AL633" s="66"/>
      <c r="AM633" s="14">
        <f t="shared" si="1875"/>
        <v>0</v>
      </c>
      <c r="AN633" s="67">
        <f t="shared" si="1876"/>
        <v>0</v>
      </c>
      <c r="AO633" s="68">
        <f t="shared" si="1877"/>
        <v>1.871220788</v>
      </c>
      <c r="AP633" s="69">
        <f t="shared" si="1878"/>
        <v>0.847144</v>
      </c>
      <c r="AQ633" s="70">
        <f t="shared" si="1879"/>
        <v>3.79</v>
      </c>
      <c r="AR633" s="71">
        <f t="shared" ref="AR633:AS633" si="2089">AI633/94</f>
        <v>23.46048511</v>
      </c>
      <c r="AS633" s="71">
        <f t="shared" si="2089"/>
        <v>24.36170213</v>
      </c>
      <c r="AT633" s="72">
        <f t="shared" ref="AT633:AU633" si="2090">AI633/24</f>
        <v>91.8869</v>
      </c>
      <c r="AU633" s="72">
        <f t="shared" si="2090"/>
        <v>95.41666667</v>
      </c>
      <c r="AV633" s="73">
        <f t="shared" ref="AV633:AW633" si="2091">AI633/125</f>
        <v>17.6422848</v>
      </c>
      <c r="AW633" s="73">
        <f t="shared" si="2091"/>
        <v>18.32</v>
      </c>
    </row>
    <row r="634" ht="15.75" customHeight="1">
      <c r="A634" s="2"/>
      <c r="B634" s="2" t="s">
        <v>218</v>
      </c>
      <c r="C634" s="2" t="s">
        <v>1249</v>
      </c>
      <c r="D634" s="10">
        <v>695.0</v>
      </c>
      <c r="F634" s="1">
        <v>100.0</v>
      </c>
      <c r="G634" s="10">
        <v>9.40490099E8</v>
      </c>
      <c r="H634" s="59">
        <v>0.05</v>
      </c>
      <c r="I634" s="2">
        <f t="shared" si="1792"/>
        <v>34.75</v>
      </c>
      <c r="K634" s="2">
        <v>50.0</v>
      </c>
      <c r="L634" s="4">
        <f t="shared" si="1708"/>
        <v>879.75</v>
      </c>
      <c r="M634" s="2">
        <f t="shared" si="1853"/>
        <v>6.95</v>
      </c>
      <c r="N634" s="12">
        <f t="shared" si="1854"/>
        <v>70.38</v>
      </c>
      <c r="O634" s="12">
        <f t="shared" si="1855"/>
        <v>87.975</v>
      </c>
      <c r="P634" s="12">
        <f t="shared" si="1856"/>
        <v>43.9875</v>
      </c>
      <c r="Q634" s="12">
        <f t="shared" si="1857"/>
        <v>17.595</v>
      </c>
      <c r="R634" s="12">
        <f t="shared" si="1858"/>
        <v>7.2975</v>
      </c>
      <c r="S634" s="12">
        <f t="shared" si="1859"/>
        <v>8.7975</v>
      </c>
      <c r="T634" s="60">
        <f t="shared" si="1860"/>
        <v>235.685</v>
      </c>
      <c r="U634" s="2">
        <f t="shared" si="1861"/>
        <v>14.595</v>
      </c>
      <c r="V634" s="42">
        <f t="shared" si="15"/>
        <v>72.975</v>
      </c>
      <c r="W634" s="2">
        <f t="shared" si="1862"/>
        <v>14.595</v>
      </c>
      <c r="X634" s="2">
        <f t="shared" si="1863"/>
        <v>116.76</v>
      </c>
      <c r="Y634" s="2">
        <f t="shared" si="1864"/>
        <v>218.925</v>
      </c>
      <c r="Z634" s="60">
        <f t="shared" si="1865"/>
        <v>1334.36</v>
      </c>
      <c r="AA634" s="11">
        <f t="shared" si="1866"/>
        <v>266.872</v>
      </c>
      <c r="AB634" s="12">
        <f t="shared" si="1867"/>
        <v>1601.232</v>
      </c>
      <c r="AC634" s="2">
        <f t="shared" si="1868"/>
        <v>1459.5</v>
      </c>
      <c r="AD634" s="12">
        <f t="shared" si="1869"/>
        <v>141.732</v>
      </c>
      <c r="AE634" s="12">
        <f t="shared" si="1870"/>
        <v>8.851434396</v>
      </c>
      <c r="AF634" s="61">
        <v>1990.0</v>
      </c>
      <c r="AG634" s="62">
        <f t="shared" si="1871"/>
        <v>126.2006252</v>
      </c>
      <c r="AH634" s="63">
        <f t="shared" si="1872"/>
        <v>-200</v>
      </c>
      <c r="AI634" s="64">
        <f t="shared" si="2028"/>
        <v>1601.232</v>
      </c>
      <c r="AJ634" s="65">
        <v>1790.0</v>
      </c>
      <c r="AK634" s="66">
        <f t="shared" si="1730"/>
        <v>103.466894</v>
      </c>
      <c r="AL634" s="66"/>
      <c r="AM634" s="14">
        <f t="shared" si="1875"/>
        <v>-11.17318436</v>
      </c>
      <c r="AN634" s="67">
        <f t="shared" si="1876"/>
        <v>-22.73373117</v>
      </c>
      <c r="AO634" s="68">
        <f t="shared" si="1877"/>
        <v>2.03466894</v>
      </c>
      <c r="AP634" s="69">
        <f t="shared" si="1878"/>
        <v>1.88768</v>
      </c>
      <c r="AQ634" s="70">
        <f t="shared" si="1879"/>
        <v>3.305</v>
      </c>
      <c r="AR634" s="71">
        <f t="shared" ref="AR634:AS634" si="2092">AI634/94</f>
        <v>17.03438298</v>
      </c>
      <c r="AS634" s="71">
        <f t="shared" si="2092"/>
        <v>19.04255319</v>
      </c>
      <c r="AT634" s="72">
        <f t="shared" ref="AT634:AU634" si="2093">AI634/24</f>
        <v>66.718</v>
      </c>
      <c r="AU634" s="72">
        <f t="shared" si="2093"/>
        <v>74.58333333</v>
      </c>
      <c r="AV634" s="73">
        <f t="shared" ref="AV634:AW634" si="2094">AI634/125</f>
        <v>12.809856</v>
      </c>
      <c r="AW634" s="73">
        <f t="shared" si="2094"/>
        <v>14.32</v>
      </c>
    </row>
    <row r="635" ht="15.75" customHeight="1">
      <c r="A635" s="2" t="s">
        <v>1250</v>
      </c>
      <c r="B635" s="2" t="s">
        <v>218</v>
      </c>
      <c r="C635" s="75" t="s">
        <v>1251</v>
      </c>
      <c r="D635" s="105">
        <v>5000.0</v>
      </c>
      <c r="E635" s="2">
        <v>125.0</v>
      </c>
      <c r="F635" s="1">
        <v>125.0</v>
      </c>
      <c r="G635" s="10">
        <v>8.3061E7</v>
      </c>
      <c r="H635" s="59">
        <v>0.05</v>
      </c>
      <c r="I635" s="2">
        <f t="shared" si="1792"/>
        <v>250</v>
      </c>
      <c r="K635" s="1">
        <v>200.0</v>
      </c>
      <c r="L635" s="107">
        <f t="shared" si="1708"/>
        <v>5700</v>
      </c>
      <c r="M635" s="2">
        <f t="shared" si="1853"/>
        <v>50</v>
      </c>
      <c r="N635" s="12">
        <f t="shared" si="1854"/>
        <v>456</v>
      </c>
      <c r="O635" s="12">
        <f t="shared" si="1855"/>
        <v>570</v>
      </c>
      <c r="P635" s="12">
        <f t="shared" si="1856"/>
        <v>285</v>
      </c>
      <c r="Q635" s="12">
        <f t="shared" si="1857"/>
        <v>114</v>
      </c>
      <c r="R635" s="12">
        <f t="shared" si="1858"/>
        <v>52.5</v>
      </c>
      <c r="S635" s="12">
        <f t="shared" si="1859"/>
        <v>57</v>
      </c>
      <c r="T635" s="108">
        <f t="shared" si="1860"/>
        <v>1532</v>
      </c>
      <c r="U635" s="2">
        <f t="shared" si="1861"/>
        <v>105</v>
      </c>
      <c r="V635" s="42">
        <f t="shared" si="15"/>
        <v>525</v>
      </c>
      <c r="W635" s="2">
        <f t="shared" si="1862"/>
        <v>105</v>
      </c>
      <c r="X635" s="2">
        <f t="shared" si="1863"/>
        <v>840</v>
      </c>
      <c r="Y635" s="2">
        <f t="shared" si="1864"/>
        <v>1575</v>
      </c>
      <c r="Z635" s="108">
        <f t="shared" si="1865"/>
        <v>8807</v>
      </c>
      <c r="AA635" s="109">
        <f t="shared" si="1866"/>
        <v>1761.4</v>
      </c>
      <c r="AB635" s="12">
        <f t="shared" si="1867"/>
        <v>10568.4</v>
      </c>
      <c r="AC635" s="2">
        <f t="shared" si="1868"/>
        <v>10500</v>
      </c>
      <c r="AD635" s="12">
        <f t="shared" si="1869"/>
        <v>68.4</v>
      </c>
      <c r="AE635" s="12">
        <f t="shared" si="1870"/>
        <v>0.6472124446</v>
      </c>
      <c r="AG635" s="110">
        <f t="shared" si="1871"/>
        <v>-100</v>
      </c>
      <c r="AH635" s="111">
        <f t="shared" si="1872"/>
        <v>9990</v>
      </c>
      <c r="AI635" s="111">
        <f t="shared" si="2028"/>
        <v>10568.4</v>
      </c>
      <c r="AJ635" s="116">
        <v>9990.0</v>
      </c>
      <c r="AK635" s="112">
        <f t="shared" si="1730"/>
        <v>75.26315789</v>
      </c>
      <c r="AL635" s="112"/>
      <c r="AM635" s="112">
        <f t="shared" si="1875"/>
        <v>100</v>
      </c>
      <c r="AN635" s="112">
        <f t="shared" si="1876"/>
        <v>175.2631579</v>
      </c>
      <c r="AO635" s="113">
        <f t="shared" si="1877"/>
        <v>1.752631579</v>
      </c>
      <c r="AP635" s="112">
        <f t="shared" si="1878"/>
        <v>-5.784</v>
      </c>
      <c r="AQ635" s="112">
        <f t="shared" si="1879"/>
        <v>-5.1</v>
      </c>
      <c r="AR635" s="114">
        <f t="shared" ref="AR635:AS635" si="2095">AI635/94</f>
        <v>112.4297872</v>
      </c>
      <c r="AS635" s="114">
        <f t="shared" si="2095"/>
        <v>106.2765957</v>
      </c>
      <c r="AT635" s="115">
        <f t="shared" ref="AT635:AU635" si="2096">AI635/24</f>
        <v>440.35</v>
      </c>
      <c r="AU635" s="115">
        <f t="shared" si="2096"/>
        <v>416.25</v>
      </c>
      <c r="AV635" s="115">
        <f t="shared" ref="AV635:AW635" si="2097">AI635/125</f>
        <v>84.5472</v>
      </c>
      <c r="AW635" s="115">
        <f t="shared" si="2097"/>
        <v>79.92</v>
      </c>
    </row>
    <row r="636" ht="15.0" customHeight="1">
      <c r="A636" s="42" t="s">
        <v>1252</v>
      </c>
      <c r="B636" s="42" t="s">
        <v>1253</v>
      </c>
      <c r="C636" s="42" t="s">
        <v>1254</v>
      </c>
      <c r="D636" s="45">
        <v>45.0</v>
      </c>
      <c r="E636" s="42">
        <v>0.0</v>
      </c>
      <c r="F636" s="44">
        <v>40.0</v>
      </c>
      <c r="G636" s="45">
        <v>9.40490099E8</v>
      </c>
      <c r="H636" s="46">
        <v>0.05</v>
      </c>
      <c r="I636" s="42">
        <f t="shared" si="1792"/>
        <v>2.25</v>
      </c>
      <c r="J636" s="47"/>
      <c r="K636" s="44">
        <v>20.0</v>
      </c>
      <c r="L636" s="48">
        <f t="shared" si="1708"/>
        <v>107.25</v>
      </c>
      <c r="M636" s="42">
        <f t="shared" si="1853"/>
        <v>0.45</v>
      </c>
      <c r="N636" s="49">
        <f t="shared" si="1854"/>
        <v>8.58</v>
      </c>
      <c r="O636" s="49">
        <f t="shared" si="1855"/>
        <v>10.725</v>
      </c>
      <c r="P636" s="49">
        <f t="shared" si="1856"/>
        <v>5.3625</v>
      </c>
      <c r="Q636" s="49">
        <f t="shared" si="1857"/>
        <v>2.145</v>
      </c>
      <c r="R636" s="49">
        <f t="shared" si="1858"/>
        <v>0.4725</v>
      </c>
      <c r="S636" s="49">
        <f t="shared" si="1859"/>
        <v>1.0725</v>
      </c>
      <c r="T636" s="50">
        <f t="shared" si="1860"/>
        <v>28.335</v>
      </c>
      <c r="U636" s="42">
        <f t="shared" si="1861"/>
        <v>0.945</v>
      </c>
      <c r="V636" s="42">
        <f t="shared" si="15"/>
        <v>4.725</v>
      </c>
      <c r="W636" s="42">
        <f t="shared" si="1862"/>
        <v>0.945</v>
      </c>
      <c r="X636" s="42">
        <f t="shared" si="1863"/>
        <v>7.56</v>
      </c>
      <c r="Y636" s="42">
        <f t="shared" si="1864"/>
        <v>14.175</v>
      </c>
      <c r="Z636" s="50">
        <f t="shared" si="1865"/>
        <v>149.76</v>
      </c>
      <c r="AA636" s="51">
        <f t="shared" si="1866"/>
        <v>29.952</v>
      </c>
      <c r="AB636" s="49">
        <f t="shared" si="1867"/>
        <v>179.712</v>
      </c>
      <c r="AC636" s="42">
        <f t="shared" si="1868"/>
        <v>94.5</v>
      </c>
      <c r="AD636" s="49">
        <f t="shared" si="1869"/>
        <v>85.212</v>
      </c>
      <c r="AE636" s="49">
        <f t="shared" si="1870"/>
        <v>47.41586538</v>
      </c>
      <c r="AF636" s="97">
        <v>195.0</v>
      </c>
      <c r="AG636" s="52">
        <f t="shared" si="1871"/>
        <v>81.81818182</v>
      </c>
      <c r="AH636" s="53">
        <f t="shared" si="1872"/>
        <v>0</v>
      </c>
      <c r="AI636" s="53">
        <f t="shared" ref="AI636:AI701" si="2101">AB636*2.5</f>
        <v>449.28</v>
      </c>
      <c r="AJ636" s="97">
        <v>195.0</v>
      </c>
      <c r="AK636" s="55">
        <f t="shared" si="1730"/>
        <v>81.81818182</v>
      </c>
      <c r="AL636" s="55"/>
      <c r="AM636" s="55">
        <f t="shared" si="1875"/>
        <v>0</v>
      </c>
      <c r="AN636" s="55">
        <f t="shared" si="1876"/>
        <v>0</v>
      </c>
      <c r="AO636" s="56">
        <f t="shared" si="1877"/>
        <v>1.818181818</v>
      </c>
      <c r="AP636" s="55">
        <f t="shared" si="1878"/>
        <v>0.15288</v>
      </c>
      <c r="AQ636" s="55">
        <f t="shared" si="1879"/>
        <v>1.005</v>
      </c>
      <c r="AR636" s="57">
        <f t="shared" ref="AR636:AS636" si="2098">AI636/94</f>
        <v>4.779574468</v>
      </c>
      <c r="AS636" s="57">
        <f t="shared" si="2098"/>
        <v>2.074468085</v>
      </c>
      <c r="AT636" s="58">
        <f t="shared" ref="AT636:AU636" si="2099">AI636/24</f>
        <v>18.72</v>
      </c>
      <c r="AU636" s="58">
        <f t="shared" si="2099"/>
        <v>8.125</v>
      </c>
      <c r="AV636" s="58">
        <f t="shared" ref="AV636:AW636" si="2100">AI636/125</f>
        <v>3.59424</v>
      </c>
      <c r="AW636" s="58">
        <f t="shared" si="2100"/>
        <v>1.56</v>
      </c>
      <c r="AX636" s="47"/>
      <c r="AY636" s="47"/>
    </row>
    <row r="637" ht="15.75" customHeight="1">
      <c r="A637" s="42"/>
      <c r="B637" s="42" t="s">
        <v>1255</v>
      </c>
      <c r="C637" s="42" t="s">
        <v>1256</v>
      </c>
      <c r="D637" s="45">
        <v>45.0</v>
      </c>
      <c r="E637" s="42">
        <v>0.0</v>
      </c>
      <c r="F637" s="44">
        <v>40.0</v>
      </c>
      <c r="G637" s="45">
        <v>9.40490099E8</v>
      </c>
      <c r="H637" s="46">
        <v>0.05</v>
      </c>
      <c r="I637" s="42">
        <f t="shared" si="1792"/>
        <v>2.25</v>
      </c>
      <c r="J637" s="47"/>
      <c r="K637" s="44">
        <v>20.0</v>
      </c>
      <c r="L637" s="48">
        <f t="shared" si="1708"/>
        <v>107.25</v>
      </c>
      <c r="M637" s="42">
        <f t="shared" si="1853"/>
        <v>0.45</v>
      </c>
      <c r="N637" s="49">
        <f t="shared" si="1854"/>
        <v>8.58</v>
      </c>
      <c r="O637" s="49">
        <f t="shared" si="1855"/>
        <v>10.725</v>
      </c>
      <c r="P637" s="49">
        <f t="shared" si="1856"/>
        <v>5.3625</v>
      </c>
      <c r="Q637" s="49">
        <f t="shared" si="1857"/>
        <v>2.145</v>
      </c>
      <c r="R637" s="49">
        <f t="shared" si="1858"/>
        <v>0.4725</v>
      </c>
      <c r="S637" s="49">
        <f t="shared" si="1859"/>
        <v>1.0725</v>
      </c>
      <c r="T637" s="50">
        <f t="shared" si="1860"/>
        <v>28.335</v>
      </c>
      <c r="U637" s="42">
        <f t="shared" si="1861"/>
        <v>0.945</v>
      </c>
      <c r="V637" s="42">
        <f t="shared" si="15"/>
        <v>4.725</v>
      </c>
      <c r="W637" s="42">
        <f t="shared" si="1862"/>
        <v>0.945</v>
      </c>
      <c r="X637" s="42">
        <f t="shared" si="1863"/>
        <v>7.56</v>
      </c>
      <c r="Y637" s="42">
        <f t="shared" si="1864"/>
        <v>14.175</v>
      </c>
      <c r="Z637" s="50">
        <f t="shared" si="1865"/>
        <v>149.76</v>
      </c>
      <c r="AA637" s="51">
        <f t="shared" si="1866"/>
        <v>29.952</v>
      </c>
      <c r="AB637" s="49">
        <f t="shared" si="1867"/>
        <v>179.712</v>
      </c>
      <c r="AC637" s="42">
        <f t="shared" si="1868"/>
        <v>94.5</v>
      </c>
      <c r="AD637" s="49">
        <f t="shared" si="1869"/>
        <v>85.212</v>
      </c>
      <c r="AE637" s="49">
        <f t="shared" si="1870"/>
        <v>47.41586538</v>
      </c>
      <c r="AF637" s="97">
        <v>195.0</v>
      </c>
      <c r="AG637" s="52">
        <f t="shared" si="1871"/>
        <v>81.81818182</v>
      </c>
      <c r="AH637" s="53">
        <f t="shared" si="1872"/>
        <v>0</v>
      </c>
      <c r="AI637" s="53">
        <f t="shared" si="2101"/>
        <v>449.28</v>
      </c>
      <c r="AJ637" s="97">
        <v>195.0</v>
      </c>
      <c r="AK637" s="55">
        <f t="shared" si="1730"/>
        <v>81.81818182</v>
      </c>
      <c r="AL637" s="55"/>
      <c r="AM637" s="55">
        <f t="shared" si="1875"/>
        <v>0</v>
      </c>
      <c r="AN637" s="55">
        <f t="shared" si="1876"/>
        <v>0</v>
      </c>
      <c r="AO637" s="56">
        <f t="shared" si="1877"/>
        <v>1.818181818</v>
      </c>
      <c r="AP637" s="55">
        <f t="shared" si="1878"/>
        <v>0.15288</v>
      </c>
      <c r="AQ637" s="55">
        <f t="shared" si="1879"/>
        <v>1.005</v>
      </c>
      <c r="AR637" s="57">
        <f t="shared" ref="AR637:AS637" si="2102">AI637/94</f>
        <v>4.779574468</v>
      </c>
      <c r="AS637" s="57">
        <f t="shared" si="2102"/>
        <v>2.074468085</v>
      </c>
      <c r="AT637" s="58">
        <f t="shared" ref="AT637:AU637" si="2103">AI637/24</f>
        <v>18.72</v>
      </c>
      <c r="AU637" s="58">
        <f t="shared" si="2103"/>
        <v>8.125</v>
      </c>
      <c r="AV637" s="58">
        <f t="shared" ref="AV637:AW637" si="2104">AI637/125</f>
        <v>3.59424</v>
      </c>
      <c r="AW637" s="58">
        <f t="shared" si="2104"/>
        <v>1.56</v>
      </c>
      <c r="AX637" s="47"/>
      <c r="AY637" s="47"/>
    </row>
    <row r="638" ht="15.75" customHeight="1">
      <c r="A638" s="42"/>
      <c r="B638" s="42" t="s">
        <v>1253</v>
      </c>
      <c r="C638" s="42" t="s">
        <v>1257</v>
      </c>
      <c r="D638" s="45">
        <v>45.0</v>
      </c>
      <c r="E638" s="42">
        <v>0.0</v>
      </c>
      <c r="F638" s="44">
        <v>40.0</v>
      </c>
      <c r="G638" s="45">
        <v>9.40490099E8</v>
      </c>
      <c r="H638" s="46">
        <v>0.05</v>
      </c>
      <c r="I638" s="42">
        <f t="shared" si="1792"/>
        <v>2.25</v>
      </c>
      <c r="J638" s="47"/>
      <c r="K638" s="44">
        <v>20.0</v>
      </c>
      <c r="L638" s="48">
        <f t="shared" si="1708"/>
        <v>107.25</v>
      </c>
      <c r="M638" s="42">
        <f t="shared" si="1853"/>
        <v>0.45</v>
      </c>
      <c r="N638" s="49">
        <f t="shared" si="1854"/>
        <v>8.58</v>
      </c>
      <c r="O638" s="49">
        <f t="shared" si="1855"/>
        <v>10.725</v>
      </c>
      <c r="P638" s="49">
        <f t="shared" si="1856"/>
        <v>5.3625</v>
      </c>
      <c r="Q638" s="49">
        <f t="shared" si="1857"/>
        <v>2.145</v>
      </c>
      <c r="R638" s="49">
        <f t="shared" si="1858"/>
        <v>0.4725</v>
      </c>
      <c r="S638" s="49">
        <f t="shared" si="1859"/>
        <v>1.0725</v>
      </c>
      <c r="T638" s="50">
        <f t="shared" si="1860"/>
        <v>28.335</v>
      </c>
      <c r="U638" s="42">
        <f t="shared" si="1861"/>
        <v>0.945</v>
      </c>
      <c r="V638" s="42">
        <f t="shared" si="15"/>
        <v>4.725</v>
      </c>
      <c r="W638" s="42">
        <f t="shared" si="1862"/>
        <v>0.945</v>
      </c>
      <c r="X638" s="42">
        <f t="shared" si="1863"/>
        <v>7.56</v>
      </c>
      <c r="Y638" s="42">
        <f t="shared" si="1864"/>
        <v>14.175</v>
      </c>
      <c r="Z638" s="50">
        <f t="shared" si="1865"/>
        <v>149.76</v>
      </c>
      <c r="AA638" s="51">
        <f t="shared" si="1866"/>
        <v>29.952</v>
      </c>
      <c r="AB638" s="49">
        <f t="shared" si="1867"/>
        <v>179.712</v>
      </c>
      <c r="AC638" s="42">
        <f t="shared" si="1868"/>
        <v>94.5</v>
      </c>
      <c r="AD638" s="49">
        <f t="shared" si="1869"/>
        <v>85.212</v>
      </c>
      <c r="AE638" s="49">
        <f t="shared" si="1870"/>
        <v>47.41586538</v>
      </c>
      <c r="AF638" s="97">
        <v>195.0</v>
      </c>
      <c r="AG638" s="52">
        <f t="shared" si="1871"/>
        <v>81.81818182</v>
      </c>
      <c r="AH638" s="53">
        <f t="shared" si="1872"/>
        <v>0</v>
      </c>
      <c r="AI638" s="53">
        <f t="shared" si="2101"/>
        <v>449.28</v>
      </c>
      <c r="AJ638" s="97">
        <v>195.0</v>
      </c>
      <c r="AK638" s="55">
        <f t="shared" si="1730"/>
        <v>81.81818182</v>
      </c>
      <c r="AL638" s="55"/>
      <c r="AM638" s="55">
        <f t="shared" si="1875"/>
        <v>0</v>
      </c>
      <c r="AN638" s="55">
        <f t="shared" si="1876"/>
        <v>0</v>
      </c>
      <c r="AO638" s="56">
        <f t="shared" si="1877"/>
        <v>1.818181818</v>
      </c>
      <c r="AP638" s="55">
        <f t="shared" si="1878"/>
        <v>0.15288</v>
      </c>
      <c r="AQ638" s="55">
        <f t="shared" si="1879"/>
        <v>1.005</v>
      </c>
      <c r="AR638" s="57">
        <f t="shared" ref="AR638:AS638" si="2105">AI638/94</f>
        <v>4.779574468</v>
      </c>
      <c r="AS638" s="57">
        <f t="shared" si="2105"/>
        <v>2.074468085</v>
      </c>
      <c r="AT638" s="58">
        <f t="shared" ref="AT638:AU638" si="2106">AI638/24</f>
        <v>18.72</v>
      </c>
      <c r="AU638" s="58">
        <f t="shared" si="2106"/>
        <v>8.125</v>
      </c>
      <c r="AV638" s="58">
        <f t="shared" ref="AV638:AW638" si="2107">AI638/125</f>
        <v>3.59424</v>
      </c>
      <c r="AW638" s="58">
        <f t="shared" si="2107"/>
        <v>1.56</v>
      </c>
      <c r="AX638" s="47"/>
      <c r="AY638" s="47"/>
    </row>
    <row r="639" ht="15.75" customHeight="1">
      <c r="A639" s="42"/>
      <c r="B639" s="42" t="s">
        <v>1258</v>
      </c>
      <c r="C639" s="42" t="s">
        <v>1259</v>
      </c>
      <c r="D639" s="45">
        <v>45.0</v>
      </c>
      <c r="E639" s="42">
        <v>0.0</v>
      </c>
      <c r="F639" s="44">
        <v>40.0</v>
      </c>
      <c r="G639" s="45">
        <v>9.40490099E8</v>
      </c>
      <c r="H639" s="46">
        <v>0.05</v>
      </c>
      <c r="I639" s="42">
        <f t="shared" si="1792"/>
        <v>2.25</v>
      </c>
      <c r="J639" s="47"/>
      <c r="K639" s="44">
        <v>20.0</v>
      </c>
      <c r="L639" s="48">
        <f t="shared" si="1708"/>
        <v>107.25</v>
      </c>
      <c r="M639" s="42">
        <f t="shared" si="1853"/>
        <v>0.45</v>
      </c>
      <c r="N639" s="49">
        <f t="shared" si="1854"/>
        <v>8.58</v>
      </c>
      <c r="O639" s="49">
        <f t="shared" si="1855"/>
        <v>10.725</v>
      </c>
      <c r="P639" s="49">
        <f t="shared" si="1856"/>
        <v>5.3625</v>
      </c>
      <c r="Q639" s="49">
        <f t="shared" si="1857"/>
        <v>2.145</v>
      </c>
      <c r="R639" s="49">
        <f t="shared" si="1858"/>
        <v>0.4725</v>
      </c>
      <c r="S639" s="49">
        <f t="shared" si="1859"/>
        <v>1.0725</v>
      </c>
      <c r="T639" s="50">
        <f t="shared" si="1860"/>
        <v>28.335</v>
      </c>
      <c r="U639" s="42">
        <f t="shared" si="1861"/>
        <v>0.945</v>
      </c>
      <c r="V639" s="42">
        <f t="shared" si="15"/>
        <v>4.725</v>
      </c>
      <c r="W639" s="42">
        <f t="shared" si="1862"/>
        <v>0.945</v>
      </c>
      <c r="X639" s="42">
        <f t="shared" si="1863"/>
        <v>7.56</v>
      </c>
      <c r="Y639" s="42">
        <f t="shared" si="1864"/>
        <v>14.175</v>
      </c>
      <c r="Z639" s="50">
        <f t="shared" si="1865"/>
        <v>149.76</v>
      </c>
      <c r="AA639" s="51">
        <f t="shared" si="1866"/>
        <v>29.952</v>
      </c>
      <c r="AB639" s="49">
        <f t="shared" si="1867"/>
        <v>179.712</v>
      </c>
      <c r="AC639" s="42">
        <f t="shared" si="1868"/>
        <v>94.5</v>
      </c>
      <c r="AD639" s="49">
        <f t="shared" si="1869"/>
        <v>85.212</v>
      </c>
      <c r="AE639" s="49">
        <f t="shared" si="1870"/>
        <v>47.41586538</v>
      </c>
      <c r="AF639" s="97">
        <v>195.0</v>
      </c>
      <c r="AG639" s="52">
        <f t="shared" si="1871"/>
        <v>81.81818182</v>
      </c>
      <c r="AH639" s="53">
        <f t="shared" si="1872"/>
        <v>0</v>
      </c>
      <c r="AI639" s="53">
        <f t="shared" si="2101"/>
        <v>449.28</v>
      </c>
      <c r="AJ639" s="97">
        <v>195.0</v>
      </c>
      <c r="AK639" s="55">
        <f t="shared" si="1730"/>
        <v>81.81818182</v>
      </c>
      <c r="AL639" s="55"/>
      <c r="AM639" s="55">
        <f t="shared" si="1875"/>
        <v>0</v>
      </c>
      <c r="AN639" s="55">
        <f t="shared" si="1876"/>
        <v>0</v>
      </c>
      <c r="AO639" s="56">
        <f t="shared" si="1877"/>
        <v>1.818181818</v>
      </c>
      <c r="AP639" s="55">
        <f t="shared" si="1878"/>
        <v>0.15288</v>
      </c>
      <c r="AQ639" s="55">
        <f t="shared" si="1879"/>
        <v>1.005</v>
      </c>
      <c r="AR639" s="57">
        <f t="shared" ref="AR639:AS639" si="2108">AI639/94</f>
        <v>4.779574468</v>
      </c>
      <c r="AS639" s="57">
        <f t="shared" si="2108"/>
        <v>2.074468085</v>
      </c>
      <c r="AT639" s="58">
        <f t="shared" ref="AT639:AU639" si="2109">AI639/24</f>
        <v>18.72</v>
      </c>
      <c r="AU639" s="58">
        <f t="shared" si="2109"/>
        <v>8.125</v>
      </c>
      <c r="AV639" s="58">
        <f t="shared" ref="AV639:AW639" si="2110">AI639/125</f>
        <v>3.59424</v>
      </c>
      <c r="AW639" s="58">
        <f t="shared" si="2110"/>
        <v>1.56</v>
      </c>
      <c r="AX639" s="47"/>
      <c r="AY639" s="47"/>
    </row>
    <row r="640" ht="15.75" customHeight="1">
      <c r="A640" s="42"/>
      <c r="B640" s="42" t="s">
        <v>1260</v>
      </c>
      <c r="C640" s="42" t="s">
        <v>1261</v>
      </c>
      <c r="D640" s="45">
        <v>45.0</v>
      </c>
      <c r="E640" s="42">
        <v>0.0</v>
      </c>
      <c r="F640" s="44">
        <v>40.0</v>
      </c>
      <c r="G640" s="45">
        <v>9.40490099E8</v>
      </c>
      <c r="H640" s="46">
        <v>0.05</v>
      </c>
      <c r="I640" s="42">
        <f t="shared" si="1792"/>
        <v>2.25</v>
      </c>
      <c r="J640" s="47"/>
      <c r="K640" s="44">
        <v>20.0</v>
      </c>
      <c r="L640" s="48">
        <f t="shared" si="1708"/>
        <v>107.25</v>
      </c>
      <c r="M640" s="42">
        <f t="shared" si="1853"/>
        <v>0.45</v>
      </c>
      <c r="N640" s="49">
        <f t="shared" si="1854"/>
        <v>8.58</v>
      </c>
      <c r="O640" s="49">
        <f t="shared" si="1855"/>
        <v>10.725</v>
      </c>
      <c r="P640" s="49">
        <f t="shared" si="1856"/>
        <v>5.3625</v>
      </c>
      <c r="Q640" s="49">
        <f t="shared" si="1857"/>
        <v>2.145</v>
      </c>
      <c r="R640" s="49">
        <f t="shared" si="1858"/>
        <v>0.4725</v>
      </c>
      <c r="S640" s="49">
        <f t="shared" si="1859"/>
        <v>1.0725</v>
      </c>
      <c r="T640" s="50">
        <f t="shared" si="1860"/>
        <v>28.335</v>
      </c>
      <c r="U640" s="42">
        <f t="shared" si="1861"/>
        <v>0.945</v>
      </c>
      <c r="V640" s="42">
        <f t="shared" si="15"/>
        <v>4.725</v>
      </c>
      <c r="W640" s="42">
        <f t="shared" si="1862"/>
        <v>0.945</v>
      </c>
      <c r="X640" s="42">
        <f t="shared" si="1863"/>
        <v>7.56</v>
      </c>
      <c r="Y640" s="42">
        <f t="shared" si="1864"/>
        <v>14.175</v>
      </c>
      <c r="Z640" s="50">
        <f t="shared" si="1865"/>
        <v>149.76</v>
      </c>
      <c r="AA640" s="51">
        <f t="shared" si="1866"/>
        <v>29.952</v>
      </c>
      <c r="AB640" s="49">
        <f t="shared" si="1867"/>
        <v>179.712</v>
      </c>
      <c r="AC640" s="42">
        <f t="shared" si="1868"/>
        <v>94.5</v>
      </c>
      <c r="AD640" s="49">
        <f t="shared" si="1869"/>
        <v>85.212</v>
      </c>
      <c r="AE640" s="49">
        <f t="shared" si="1870"/>
        <v>47.41586538</v>
      </c>
      <c r="AF640" s="97">
        <v>195.0</v>
      </c>
      <c r="AG640" s="52">
        <f t="shared" si="1871"/>
        <v>81.81818182</v>
      </c>
      <c r="AH640" s="53">
        <f t="shared" si="1872"/>
        <v>0</v>
      </c>
      <c r="AI640" s="53">
        <f t="shared" si="2101"/>
        <v>449.28</v>
      </c>
      <c r="AJ640" s="97">
        <v>195.0</v>
      </c>
      <c r="AK640" s="55">
        <f t="shared" si="1730"/>
        <v>81.81818182</v>
      </c>
      <c r="AL640" s="55"/>
      <c r="AM640" s="55">
        <f t="shared" si="1875"/>
        <v>0</v>
      </c>
      <c r="AN640" s="55">
        <f t="shared" si="1876"/>
        <v>0</v>
      </c>
      <c r="AO640" s="56">
        <f t="shared" si="1877"/>
        <v>1.818181818</v>
      </c>
      <c r="AP640" s="55">
        <f t="shared" si="1878"/>
        <v>0.15288</v>
      </c>
      <c r="AQ640" s="55">
        <f t="shared" si="1879"/>
        <v>1.005</v>
      </c>
      <c r="AR640" s="57">
        <f t="shared" ref="AR640:AS640" si="2111">AI640/94</f>
        <v>4.779574468</v>
      </c>
      <c r="AS640" s="57">
        <f t="shared" si="2111"/>
        <v>2.074468085</v>
      </c>
      <c r="AT640" s="58">
        <f t="shared" ref="AT640:AU640" si="2112">AI640/24</f>
        <v>18.72</v>
      </c>
      <c r="AU640" s="58">
        <f t="shared" si="2112"/>
        <v>8.125</v>
      </c>
      <c r="AV640" s="58">
        <f t="shared" ref="AV640:AW640" si="2113">AI640/125</f>
        <v>3.59424</v>
      </c>
      <c r="AW640" s="58">
        <f t="shared" si="2113"/>
        <v>1.56</v>
      </c>
      <c r="AX640" s="47"/>
      <c r="AY640" s="47"/>
    </row>
    <row r="641" ht="15.75" customHeight="1">
      <c r="A641" s="42"/>
      <c r="B641" s="42" t="s">
        <v>1262</v>
      </c>
      <c r="C641" s="42" t="s">
        <v>1263</v>
      </c>
      <c r="D641" s="45">
        <v>45.0</v>
      </c>
      <c r="E641" s="42">
        <v>0.0</v>
      </c>
      <c r="F641" s="44">
        <v>40.0</v>
      </c>
      <c r="G641" s="45">
        <v>9.40490099E8</v>
      </c>
      <c r="H641" s="46">
        <v>0.05</v>
      </c>
      <c r="I641" s="42">
        <f t="shared" si="1792"/>
        <v>2.25</v>
      </c>
      <c r="J641" s="47"/>
      <c r="K641" s="44">
        <v>20.0</v>
      </c>
      <c r="L641" s="48">
        <f t="shared" si="1708"/>
        <v>107.25</v>
      </c>
      <c r="M641" s="42">
        <f t="shared" si="1853"/>
        <v>0.45</v>
      </c>
      <c r="N641" s="49">
        <f t="shared" si="1854"/>
        <v>8.58</v>
      </c>
      <c r="O641" s="49">
        <f t="shared" si="1855"/>
        <v>10.725</v>
      </c>
      <c r="P641" s="49">
        <f t="shared" si="1856"/>
        <v>5.3625</v>
      </c>
      <c r="Q641" s="49">
        <f t="shared" si="1857"/>
        <v>2.145</v>
      </c>
      <c r="R641" s="49">
        <f t="shared" si="1858"/>
        <v>0.4725</v>
      </c>
      <c r="S641" s="49">
        <f t="shared" si="1859"/>
        <v>1.0725</v>
      </c>
      <c r="T641" s="50">
        <f t="shared" si="1860"/>
        <v>28.335</v>
      </c>
      <c r="U641" s="42">
        <f t="shared" si="1861"/>
        <v>0.945</v>
      </c>
      <c r="V641" s="42">
        <f t="shared" si="15"/>
        <v>4.725</v>
      </c>
      <c r="W641" s="42">
        <f t="shared" si="1862"/>
        <v>0.945</v>
      </c>
      <c r="X641" s="42">
        <f t="shared" si="1863"/>
        <v>7.56</v>
      </c>
      <c r="Y641" s="42">
        <f t="shared" si="1864"/>
        <v>14.175</v>
      </c>
      <c r="Z641" s="50">
        <f t="shared" si="1865"/>
        <v>149.76</v>
      </c>
      <c r="AA641" s="51">
        <f t="shared" si="1866"/>
        <v>29.952</v>
      </c>
      <c r="AB641" s="49">
        <f t="shared" si="1867"/>
        <v>179.712</v>
      </c>
      <c r="AC641" s="42">
        <f t="shared" si="1868"/>
        <v>94.5</v>
      </c>
      <c r="AD641" s="49">
        <f t="shared" si="1869"/>
        <v>85.212</v>
      </c>
      <c r="AE641" s="49">
        <f t="shared" si="1870"/>
        <v>47.41586538</v>
      </c>
      <c r="AF641" s="97">
        <v>195.0</v>
      </c>
      <c r="AG641" s="52">
        <f t="shared" si="1871"/>
        <v>81.81818182</v>
      </c>
      <c r="AH641" s="53">
        <f t="shared" si="1872"/>
        <v>0</v>
      </c>
      <c r="AI641" s="53">
        <f t="shared" si="2101"/>
        <v>449.28</v>
      </c>
      <c r="AJ641" s="97">
        <v>195.0</v>
      </c>
      <c r="AK641" s="55">
        <f t="shared" si="1730"/>
        <v>81.81818182</v>
      </c>
      <c r="AL641" s="55"/>
      <c r="AM641" s="55">
        <f t="shared" si="1875"/>
        <v>0</v>
      </c>
      <c r="AN641" s="55">
        <f t="shared" si="1876"/>
        <v>0</v>
      </c>
      <c r="AO641" s="56">
        <f t="shared" si="1877"/>
        <v>1.818181818</v>
      </c>
      <c r="AP641" s="55">
        <f t="shared" si="1878"/>
        <v>0.15288</v>
      </c>
      <c r="AQ641" s="55">
        <f t="shared" si="1879"/>
        <v>1.005</v>
      </c>
      <c r="AR641" s="57">
        <f t="shared" ref="AR641:AS641" si="2114">AI641/94</f>
        <v>4.779574468</v>
      </c>
      <c r="AS641" s="57">
        <f t="shared" si="2114"/>
        <v>2.074468085</v>
      </c>
      <c r="AT641" s="58">
        <f t="shared" ref="AT641:AU641" si="2115">AI641/24</f>
        <v>18.72</v>
      </c>
      <c r="AU641" s="58">
        <f t="shared" si="2115"/>
        <v>8.125</v>
      </c>
      <c r="AV641" s="58">
        <f t="shared" ref="AV641:AW641" si="2116">AI641/125</f>
        <v>3.59424</v>
      </c>
      <c r="AW641" s="58">
        <f t="shared" si="2116"/>
        <v>1.56</v>
      </c>
      <c r="AX641" s="47"/>
      <c r="AY641" s="47"/>
    </row>
    <row r="642" ht="15.75" customHeight="1">
      <c r="A642" s="42"/>
      <c r="B642" s="42" t="s">
        <v>1264</v>
      </c>
      <c r="C642" s="42" t="s">
        <v>1265</v>
      </c>
      <c r="D642" s="45">
        <v>45.0</v>
      </c>
      <c r="E642" s="42">
        <v>0.0</v>
      </c>
      <c r="F642" s="44">
        <v>40.0</v>
      </c>
      <c r="G642" s="45">
        <v>9.40490099E8</v>
      </c>
      <c r="H642" s="46">
        <v>0.05</v>
      </c>
      <c r="I642" s="42">
        <f t="shared" si="1792"/>
        <v>2.25</v>
      </c>
      <c r="J642" s="47"/>
      <c r="K642" s="44">
        <v>20.0</v>
      </c>
      <c r="L642" s="48">
        <f t="shared" si="1708"/>
        <v>107.25</v>
      </c>
      <c r="M642" s="42">
        <f t="shared" si="1853"/>
        <v>0.45</v>
      </c>
      <c r="N642" s="49">
        <f t="shared" si="1854"/>
        <v>8.58</v>
      </c>
      <c r="O642" s="49">
        <f t="shared" si="1855"/>
        <v>10.725</v>
      </c>
      <c r="P642" s="49">
        <f t="shared" si="1856"/>
        <v>5.3625</v>
      </c>
      <c r="Q642" s="49">
        <f t="shared" si="1857"/>
        <v>2.145</v>
      </c>
      <c r="R642" s="49">
        <f t="shared" si="1858"/>
        <v>0.4725</v>
      </c>
      <c r="S642" s="49">
        <f t="shared" si="1859"/>
        <v>1.0725</v>
      </c>
      <c r="T642" s="50">
        <f t="shared" si="1860"/>
        <v>28.335</v>
      </c>
      <c r="U642" s="42">
        <f t="shared" si="1861"/>
        <v>0.945</v>
      </c>
      <c r="V642" s="42">
        <f t="shared" si="15"/>
        <v>4.725</v>
      </c>
      <c r="W642" s="42">
        <f t="shared" si="1862"/>
        <v>0.945</v>
      </c>
      <c r="X642" s="42">
        <f t="shared" si="1863"/>
        <v>7.56</v>
      </c>
      <c r="Y642" s="42">
        <f t="shared" si="1864"/>
        <v>14.175</v>
      </c>
      <c r="Z642" s="50">
        <f t="shared" si="1865"/>
        <v>149.76</v>
      </c>
      <c r="AA642" s="51">
        <f t="shared" si="1866"/>
        <v>29.952</v>
      </c>
      <c r="AB642" s="49">
        <f t="shared" si="1867"/>
        <v>179.712</v>
      </c>
      <c r="AC642" s="42">
        <f t="shared" si="1868"/>
        <v>94.5</v>
      </c>
      <c r="AD642" s="49">
        <f t="shared" si="1869"/>
        <v>85.212</v>
      </c>
      <c r="AE642" s="49">
        <f t="shared" si="1870"/>
        <v>47.41586538</v>
      </c>
      <c r="AF642" s="97">
        <v>195.0</v>
      </c>
      <c r="AG642" s="52">
        <f t="shared" si="1871"/>
        <v>81.81818182</v>
      </c>
      <c r="AH642" s="53">
        <f t="shared" si="1872"/>
        <v>0</v>
      </c>
      <c r="AI642" s="53">
        <f t="shared" si="2101"/>
        <v>449.28</v>
      </c>
      <c r="AJ642" s="97">
        <v>195.0</v>
      </c>
      <c r="AK642" s="55">
        <f t="shared" si="1730"/>
        <v>81.81818182</v>
      </c>
      <c r="AL642" s="55"/>
      <c r="AM642" s="55">
        <f t="shared" si="1875"/>
        <v>0</v>
      </c>
      <c r="AN642" s="55">
        <f t="shared" si="1876"/>
        <v>0</v>
      </c>
      <c r="AO642" s="56">
        <f t="shared" si="1877"/>
        <v>1.818181818</v>
      </c>
      <c r="AP642" s="55">
        <f t="shared" si="1878"/>
        <v>0.15288</v>
      </c>
      <c r="AQ642" s="55">
        <f t="shared" si="1879"/>
        <v>1.005</v>
      </c>
      <c r="AR642" s="57">
        <f t="shared" ref="AR642:AS642" si="2117">AI642/94</f>
        <v>4.779574468</v>
      </c>
      <c r="AS642" s="57">
        <f t="shared" si="2117"/>
        <v>2.074468085</v>
      </c>
      <c r="AT642" s="58">
        <f t="shared" ref="AT642:AU642" si="2118">AI642/24</f>
        <v>18.72</v>
      </c>
      <c r="AU642" s="58">
        <f t="shared" si="2118"/>
        <v>8.125</v>
      </c>
      <c r="AV642" s="58">
        <f t="shared" ref="AV642:AW642" si="2119">AI642/125</f>
        <v>3.59424</v>
      </c>
      <c r="AW642" s="58">
        <f t="shared" si="2119"/>
        <v>1.56</v>
      </c>
      <c r="AX642" s="47"/>
      <c r="AY642" s="47"/>
    </row>
    <row r="643" ht="15.75" customHeight="1">
      <c r="A643" s="42"/>
      <c r="B643" s="42" t="s">
        <v>1266</v>
      </c>
      <c r="C643" s="42" t="s">
        <v>1267</v>
      </c>
      <c r="D643" s="45">
        <v>45.0</v>
      </c>
      <c r="E643" s="42">
        <v>0.0</v>
      </c>
      <c r="F643" s="44">
        <v>40.0</v>
      </c>
      <c r="G643" s="45">
        <v>9.40490099E8</v>
      </c>
      <c r="H643" s="46">
        <v>0.05</v>
      </c>
      <c r="I643" s="42">
        <f t="shared" si="1792"/>
        <v>2.25</v>
      </c>
      <c r="J643" s="47"/>
      <c r="K643" s="44">
        <v>20.0</v>
      </c>
      <c r="L643" s="48">
        <f t="shared" si="1708"/>
        <v>107.25</v>
      </c>
      <c r="M643" s="42">
        <f t="shared" si="1853"/>
        <v>0.45</v>
      </c>
      <c r="N643" s="49">
        <f t="shared" si="1854"/>
        <v>8.58</v>
      </c>
      <c r="O643" s="49">
        <f t="shared" si="1855"/>
        <v>10.725</v>
      </c>
      <c r="P643" s="49">
        <f t="shared" si="1856"/>
        <v>5.3625</v>
      </c>
      <c r="Q643" s="49">
        <f t="shared" si="1857"/>
        <v>2.145</v>
      </c>
      <c r="R643" s="49">
        <f t="shared" si="1858"/>
        <v>0.4725</v>
      </c>
      <c r="S643" s="49">
        <f t="shared" si="1859"/>
        <v>1.0725</v>
      </c>
      <c r="T643" s="50">
        <f t="shared" si="1860"/>
        <v>28.335</v>
      </c>
      <c r="U643" s="42">
        <f t="shared" si="1861"/>
        <v>0.945</v>
      </c>
      <c r="V643" s="42">
        <f t="shared" si="15"/>
        <v>4.725</v>
      </c>
      <c r="W643" s="42">
        <f t="shared" si="1862"/>
        <v>0.945</v>
      </c>
      <c r="X643" s="42">
        <f t="shared" si="1863"/>
        <v>7.56</v>
      </c>
      <c r="Y643" s="42">
        <f t="shared" si="1864"/>
        <v>14.175</v>
      </c>
      <c r="Z643" s="50">
        <f t="shared" si="1865"/>
        <v>149.76</v>
      </c>
      <c r="AA643" s="51">
        <f t="shared" si="1866"/>
        <v>29.952</v>
      </c>
      <c r="AB643" s="49">
        <f t="shared" si="1867"/>
        <v>179.712</v>
      </c>
      <c r="AC643" s="42">
        <f t="shared" si="1868"/>
        <v>94.5</v>
      </c>
      <c r="AD643" s="49">
        <f t="shared" si="1869"/>
        <v>85.212</v>
      </c>
      <c r="AE643" s="49">
        <f t="shared" si="1870"/>
        <v>47.41586538</v>
      </c>
      <c r="AF643" s="97">
        <v>195.0</v>
      </c>
      <c r="AG643" s="52">
        <f t="shared" si="1871"/>
        <v>81.81818182</v>
      </c>
      <c r="AH643" s="53">
        <f t="shared" si="1872"/>
        <v>0</v>
      </c>
      <c r="AI643" s="53">
        <f t="shared" si="2101"/>
        <v>449.28</v>
      </c>
      <c r="AJ643" s="97">
        <v>195.0</v>
      </c>
      <c r="AK643" s="55">
        <f t="shared" si="1730"/>
        <v>81.81818182</v>
      </c>
      <c r="AL643" s="55"/>
      <c r="AM643" s="55">
        <f t="shared" si="1875"/>
        <v>0</v>
      </c>
      <c r="AN643" s="55">
        <f t="shared" si="1876"/>
        <v>0</v>
      </c>
      <c r="AO643" s="56">
        <f t="shared" si="1877"/>
        <v>1.818181818</v>
      </c>
      <c r="AP643" s="55">
        <f t="shared" si="1878"/>
        <v>0.15288</v>
      </c>
      <c r="AQ643" s="55">
        <f t="shared" si="1879"/>
        <v>1.005</v>
      </c>
      <c r="AR643" s="57">
        <f t="shared" ref="AR643:AS643" si="2120">AI643/94</f>
        <v>4.779574468</v>
      </c>
      <c r="AS643" s="57">
        <f t="shared" si="2120"/>
        <v>2.074468085</v>
      </c>
      <c r="AT643" s="58">
        <f t="shared" ref="AT643:AU643" si="2121">AI643/24</f>
        <v>18.72</v>
      </c>
      <c r="AU643" s="58">
        <f t="shared" si="2121"/>
        <v>8.125</v>
      </c>
      <c r="AV643" s="58">
        <f t="shared" ref="AV643:AW643" si="2122">AI643/125</f>
        <v>3.59424</v>
      </c>
      <c r="AW643" s="58">
        <f t="shared" si="2122"/>
        <v>1.56</v>
      </c>
      <c r="AX643" s="47"/>
      <c r="AY643" s="47"/>
    </row>
    <row r="644" ht="15.75" customHeight="1">
      <c r="A644" s="42"/>
      <c r="B644" s="42" t="s">
        <v>1268</v>
      </c>
      <c r="C644" s="42" t="s">
        <v>1269</v>
      </c>
      <c r="D644" s="45">
        <v>45.0</v>
      </c>
      <c r="E644" s="42">
        <v>0.0</v>
      </c>
      <c r="F644" s="44">
        <v>40.0</v>
      </c>
      <c r="G644" s="45">
        <v>9.40490099E8</v>
      </c>
      <c r="H644" s="46">
        <v>0.05</v>
      </c>
      <c r="I644" s="42">
        <f t="shared" si="1792"/>
        <v>2.25</v>
      </c>
      <c r="J644" s="47"/>
      <c r="K644" s="44">
        <v>20.0</v>
      </c>
      <c r="L644" s="48">
        <f t="shared" si="1708"/>
        <v>107.25</v>
      </c>
      <c r="M644" s="42">
        <f t="shared" si="1853"/>
        <v>0.45</v>
      </c>
      <c r="N644" s="49">
        <f t="shared" si="1854"/>
        <v>8.58</v>
      </c>
      <c r="O644" s="49">
        <f t="shared" si="1855"/>
        <v>10.725</v>
      </c>
      <c r="P644" s="49">
        <f t="shared" si="1856"/>
        <v>5.3625</v>
      </c>
      <c r="Q644" s="49">
        <f t="shared" si="1857"/>
        <v>2.145</v>
      </c>
      <c r="R644" s="49">
        <f t="shared" si="1858"/>
        <v>0.4725</v>
      </c>
      <c r="S644" s="49">
        <f t="shared" si="1859"/>
        <v>1.0725</v>
      </c>
      <c r="T644" s="50">
        <f t="shared" si="1860"/>
        <v>28.335</v>
      </c>
      <c r="U644" s="42">
        <f t="shared" si="1861"/>
        <v>0.945</v>
      </c>
      <c r="V644" s="42">
        <f t="shared" si="15"/>
        <v>4.725</v>
      </c>
      <c r="W644" s="42">
        <f t="shared" si="1862"/>
        <v>0.945</v>
      </c>
      <c r="X644" s="42">
        <f t="shared" si="1863"/>
        <v>7.56</v>
      </c>
      <c r="Y644" s="42">
        <f t="shared" si="1864"/>
        <v>14.175</v>
      </c>
      <c r="Z644" s="50">
        <f t="shared" si="1865"/>
        <v>149.76</v>
      </c>
      <c r="AA644" s="51">
        <f t="shared" si="1866"/>
        <v>29.952</v>
      </c>
      <c r="AB644" s="49">
        <f t="shared" si="1867"/>
        <v>179.712</v>
      </c>
      <c r="AC644" s="42">
        <f t="shared" si="1868"/>
        <v>94.5</v>
      </c>
      <c r="AD644" s="49">
        <f t="shared" si="1869"/>
        <v>85.212</v>
      </c>
      <c r="AE644" s="49">
        <f t="shared" si="1870"/>
        <v>47.41586538</v>
      </c>
      <c r="AF644" s="97">
        <v>195.0</v>
      </c>
      <c r="AG644" s="52">
        <f t="shared" si="1871"/>
        <v>81.81818182</v>
      </c>
      <c r="AH644" s="53">
        <f t="shared" si="1872"/>
        <v>0</v>
      </c>
      <c r="AI644" s="53">
        <f t="shared" si="2101"/>
        <v>449.28</v>
      </c>
      <c r="AJ644" s="97">
        <v>195.0</v>
      </c>
      <c r="AK644" s="55">
        <f t="shared" si="1730"/>
        <v>81.81818182</v>
      </c>
      <c r="AL644" s="55"/>
      <c r="AM644" s="55">
        <f t="shared" si="1875"/>
        <v>0</v>
      </c>
      <c r="AN644" s="55">
        <f t="shared" si="1876"/>
        <v>0</v>
      </c>
      <c r="AO644" s="56">
        <f t="shared" si="1877"/>
        <v>1.818181818</v>
      </c>
      <c r="AP644" s="55">
        <f t="shared" si="1878"/>
        <v>0.15288</v>
      </c>
      <c r="AQ644" s="55">
        <f t="shared" si="1879"/>
        <v>1.005</v>
      </c>
      <c r="AR644" s="57">
        <f t="shared" ref="AR644:AS644" si="2123">AI644/94</f>
        <v>4.779574468</v>
      </c>
      <c r="AS644" s="57">
        <f t="shared" si="2123"/>
        <v>2.074468085</v>
      </c>
      <c r="AT644" s="58">
        <f t="shared" ref="AT644:AU644" si="2124">AI644/24</f>
        <v>18.72</v>
      </c>
      <c r="AU644" s="58">
        <f t="shared" si="2124"/>
        <v>8.125</v>
      </c>
      <c r="AV644" s="58">
        <f t="shared" ref="AV644:AW644" si="2125">AI644/125</f>
        <v>3.59424</v>
      </c>
      <c r="AW644" s="58">
        <f t="shared" si="2125"/>
        <v>1.56</v>
      </c>
      <c r="AX644" s="47"/>
      <c r="AY644" s="47"/>
    </row>
    <row r="645" ht="15.75" customHeight="1">
      <c r="A645" s="42"/>
      <c r="B645" s="42" t="s">
        <v>1270</v>
      </c>
      <c r="C645" s="42" t="s">
        <v>1271</v>
      </c>
      <c r="D645" s="45">
        <v>45.0</v>
      </c>
      <c r="E645" s="42">
        <v>0.0</v>
      </c>
      <c r="F645" s="44">
        <v>40.0</v>
      </c>
      <c r="G645" s="45">
        <v>9.40490099E8</v>
      </c>
      <c r="H645" s="46">
        <v>0.05</v>
      </c>
      <c r="I645" s="42">
        <f t="shared" si="1792"/>
        <v>2.25</v>
      </c>
      <c r="J645" s="47"/>
      <c r="K645" s="44">
        <v>20.0</v>
      </c>
      <c r="L645" s="48">
        <f t="shared" si="1708"/>
        <v>107.25</v>
      </c>
      <c r="M645" s="42">
        <f t="shared" si="1853"/>
        <v>0.45</v>
      </c>
      <c r="N645" s="49">
        <f t="shared" si="1854"/>
        <v>8.58</v>
      </c>
      <c r="O645" s="49">
        <f t="shared" si="1855"/>
        <v>10.725</v>
      </c>
      <c r="P645" s="49">
        <f t="shared" si="1856"/>
        <v>5.3625</v>
      </c>
      <c r="Q645" s="49">
        <f t="shared" si="1857"/>
        <v>2.145</v>
      </c>
      <c r="R645" s="49">
        <f t="shared" si="1858"/>
        <v>0.4725</v>
      </c>
      <c r="S645" s="49">
        <f t="shared" si="1859"/>
        <v>1.0725</v>
      </c>
      <c r="T645" s="50">
        <f t="shared" si="1860"/>
        <v>28.335</v>
      </c>
      <c r="U645" s="42">
        <f t="shared" si="1861"/>
        <v>0.945</v>
      </c>
      <c r="V645" s="42">
        <f t="shared" si="15"/>
        <v>4.725</v>
      </c>
      <c r="W645" s="42">
        <f t="shared" si="1862"/>
        <v>0.945</v>
      </c>
      <c r="X645" s="42">
        <f t="shared" si="1863"/>
        <v>7.56</v>
      </c>
      <c r="Y645" s="42">
        <f t="shared" si="1864"/>
        <v>14.175</v>
      </c>
      <c r="Z645" s="50">
        <f t="shared" si="1865"/>
        <v>149.76</v>
      </c>
      <c r="AA645" s="51">
        <f t="shared" si="1866"/>
        <v>29.952</v>
      </c>
      <c r="AB645" s="49">
        <f t="shared" si="1867"/>
        <v>179.712</v>
      </c>
      <c r="AC645" s="42">
        <f t="shared" si="1868"/>
        <v>94.5</v>
      </c>
      <c r="AD645" s="49">
        <f t="shared" si="1869"/>
        <v>85.212</v>
      </c>
      <c r="AE645" s="49">
        <f t="shared" si="1870"/>
        <v>47.41586538</v>
      </c>
      <c r="AF645" s="97">
        <v>195.0</v>
      </c>
      <c r="AG645" s="52">
        <f t="shared" si="1871"/>
        <v>81.81818182</v>
      </c>
      <c r="AH645" s="53">
        <f t="shared" si="1872"/>
        <v>0</v>
      </c>
      <c r="AI645" s="53">
        <f t="shared" si="2101"/>
        <v>449.28</v>
      </c>
      <c r="AJ645" s="97">
        <v>195.0</v>
      </c>
      <c r="AK645" s="55">
        <f t="shared" si="1730"/>
        <v>81.81818182</v>
      </c>
      <c r="AL645" s="55"/>
      <c r="AM645" s="55">
        <f t="shared" si="1875"/>
        <v>0</v>
      </c>
      <c r="AN645" s="55">
        <f t="shared" si="1876"/>
        <v>0</v>
      </c>
      <c r="AO645" s="56">
        <f t="shared" si="1877"/>
        <v>1.818181818</v>
      </c>
      <c r="AP645" s="55">
        <f t="shared" si="1878"/>
        <v>0.15288</v>
      </c>
      <c r="AQ645" s="55">
        <f t="shared" si="1879"/>
        <v>1.005</v>
      </c>
      <c r="AR645" s="57">
        <f t="shared" ref="AR645:AS645" si="2126">AI645/94</f>
        <v>4.779574468</v>
      </c>
      <c r="AS645" s="57">
        <f t="shared" si="2126"/>
        <v>2.074468085</v>
      </c>
      <c r="AT645" s="58">
        <f t="shared" ref="AT645:AU645" si="2127">AI645/24</f>
        <v>18.72</v>
      </c>
      <c r="AU645" s="58">
        <f t="shared" si="2127"/>
        <v>8.125</v>
      </c>
      <c r="AV645" s="58">
        <f t="shared" ref="AV645:AW645" si="2128">AI645/125</f>
        <v>3.59424</v>
      </c>
      <c r="AW645" s="58">
        <f t="shared" si="2128"/>
        <v>1.56</v>
      </c>
      <c r="AX645" s="47"/>
      <c r="AY645" s="47"/>
    </row>
    <row r="646" ht="15.75" customHeight="1">
      <c r="A646" s="42"/>
      <c r="B646" s="42" t="s">
        <v>1272</v>
      </c>
      <c r="C646" s="42" t="s">
        <v>1273</v>
      </c>
      <c r="D646" s="45">
        <v>45.0</v>
      </c>
      <c r="E646" s="42">
        <v>0.0</v>
      </c>
      <c r="F646" s="44">
        <v>40.0</v>
      </c>
      <c r="G646" s="45">
        <v>9.40490099E8</v>
      </c>
      <c r="H646" s="46">
        <v>0.05</v>
      </c>
      <c r="I646" s="42">
        <f t="shared" si="1792"/>
        <v>2.25</v>
      </c>
      <c r="J646" s="47"/>
      <c r="K646" s="44">
        <v>20.0</v>
      </c>
      <c r="L646" s="48">
        <f t="shared" si="1708"/>
        <v>107.25</v>
      </c>
      <c r="M646" s="42">
        <f t="shared" si="1853"/>
        <v>0.45</v>
      </c>
      <c r="N646" s="49">
        <f t="shared" si="1854"/>
        <v>8.58</v>
      </c>
      <c r="O646" s="49">
        <f t="shared" si="1855"/>
        <v>10.725</v>
      </c>
      <c r="P646" s="49">
        <f t="shared" si="1856"/>
        <v>5.3625</v>
      </c>
      <c r="Q646" s="49">
        <f t="shared" si="1857"/>
        <v>2.145</v>
      </c>
      <c r="R646" s="49">
        <f t="shared" si="1858"/>
        <v>0.4725</v>
      </c>
      <c r="S646" s="49">
        <f t="shared" si="1859"/>
        <v>1.0725</v>
      </c>
      <c r="T646" s="50">
        <f t="shared" si="1860"/>
        <v>28.335</v>
      </c>
      <c r="U646" s="42">
        <f t="shared" si="1861"/>
        <v>0.945</v>
      </c>
      <c r="V646" s="42">
        <f t="shared" si="15"/>
        <v>4.725</v>
      </c>
      <c r="W646" s="42">
        <f t="shared" si="1862"/>
        <v>0.945</v>
      </c>
      <c r="X646" s="42">
        <f t="shared" si="1863"/>
        <v>7.56</v>
      </c>
      <c r="Y646" s="42">
        <f t="shared" si="1864"/>
        <v>14.175</v>
      </c>
      <c r="Z646" s="50">
        <f t="shared" si="1865"/>
        <v>149.76</v>
      </c>
      <c r="AA646" s="51">
        <f t="shared" si="1866"/>
        <v>29.952</v>
      </c>
      <c r="AB646" s="49">
        <f t="shared" si="1867"/>
        <v>179.712</v>
      </c>
      <c r="AC646" s="42">
        <f t="shared" si="1868"/>
        <v>94.5</v>
      </c>
      <c r="AD646" s="49">
        <f t="shared" si="1869"/>
        <v>85.212</v>
      </c>
      <c r="AE646" s="49">
        <f t="shared" si="1870"/>
        <v>47.41586538</v>
      </c>
      <c r="AF646" s="47">
        <v>275.0</v>
      </c>
      <c r="AG646" s="52">
        <f t="shared" si="1871"/>
        <v>156.4102564</v>
      </c>
      <c r="AH646" s="53">
        <f t="shared" si="1872"/>
        <v>-50</v>
      </c>
      <c r="AI646" s="53">
        <f t="shared" si="2101"/>
        <v>449.28</v>
      </c>
      <c r="AJ646" s="97">
        <v>225.0</v>
      </c>
      <c r="AK646" s="55">
        <f t="shared" si="1730"/>
        <v>109.7902098</v>
      </c>
      <c r="AL646" s="55"/>
      <c r="AM646" s="55">
        <f t="shared" si="1875"/>
        <v>-22.22222222</v>
      </c>
      <c r="AN646" s="55">
        <f t="shared" si="1876"/>
        <v>-46.62004662</v>
      </c>
      <c r="AO646" s="56">
        <f t="shared" si="1877"/>
        <v>2.097902098</v>
      </c>
      <c r="AP646" s="55">
        <f t="shared" si="1878"/>
        <v>0.45288</v>
      </c>
      <c r="AQ646" s="55">
        <f t="shared" si="1879"/>
        <v>1.305</v>
      </c>
      <c r="AR646" s="57">
        <f t="shared" ref="AR646:AS646" si="2129">AI646/94</f>
        <v>4.779574468</v>
      </c>
      <c r="AS646" s="57">
        <f t="shared" si="2129"/>
        <v>2.393617021</v>
      </c>
      <c r="AT646" s="58">
        <f t="shared" ref="AT646:AU646" si="2130">AI646/24</f>
        <v>18.72</v>
      </c>
      <c r="AU646" s="58">
        <f t="shared" si="2130"/>
        <v>9.375</v>
      </c>
      <c r="AV646" s="58">
        <f t="shared" ref="AV646:AW646" si="2131">AI646/125</f>
        <v>3.59424</v>
      </c>
      <c r="AW646" s="58">
        <f t="shared" si="2131"/>
        <v>1.8</v>
      </c>
      <c r="AX646" s="47"/>
      <c r="AY646" s="47"/>
    </row>
    <row r="647" ht="15.75" customHeight="1">
      <c r="A647" s="42"/>
      <c r="B647" s="42" t="s">
        <v>1274</v>
      </c>
      <c r="C647" s="42" t="s">
        <v>1275</v>
      </c>
      <c r="D647" s="45">
        <v>45.0</v>
      </c>
      <c r="E647" s="42">
        <v>0.0</v>
      </c>
      <c r="F647" s="44">
        <v>40.0</v>
      </c>
      <c r="G647" s="45">
        <v>9.40490099E8</v>
      </c>
      <c r="H647" s="46">
        <v>0.05</v>
      </c>
      <c r="I647" s="42">
        <f t="shared" si="1792"/>
        <v>2.25</v>
      </c>
      <c r="J647" s="47"/>
      <c r="K647" s="44">
        <v>20.0</v>
      </c>
      <c r="L647" s="48">
        <f t="shared" si="1708"/>
        <v>107.25</v>
      </c>
      <c r="M647" s="42">
        <f t="shared" si="1853"/>
        <v>0.45</v>
      </c>
      <c r="N647" s="49">
        <f t="shared" si="1854"/>
        <v>8.58</v>
      </c>
      <c r="O647" s="49">
        <f t="shared" si="1855"/>
        <v>10.725</v>
      </c>
      <c r="P647" s="49">
        <f t="shared" si="1856"/>
        <v>5.3625</v>
      </c>
      <c r="Q647" s="49">
        <f t="shared" si="1857"/>
        <v>2.145</v>
      </c>
      <c r="R647" s="49">
        <f t="shared" si="1858"/>
        <v>0.4725</v>
      </c>
      <c r="S647" s="49">
        <f t="shared" si="1859"/>
        <v>1.0725</v>
      </c>
      <c r="T647" s="50">
        <f t="shared" si="1860"/>
        <v>28.335</v>
      </c>
      <c r="U647" s="42">
        <f t="shared" si="1861"/>
        <v>0.945</v>
      </c>
      <c r="V647" s="42">
        <f t="shared" si="15"/>
        <v>4.725</v>
      </c>
      <c r="W647" s="42">
        <f t="shared" si="1862"/>
        <v>0.945</v>
      </c>
      <c r="X647" s="42">
        <f t="shared" si="1863"/>
        <v>7.56</v>
      </c>
      <c r="Y647" s="42">
        <f t="shared" si="1864"/>
        <v>14.175</v>
      </c>
      <c r="Z647" s="50">
        <f t="shared" si="1865"/>
        <v>149.76</v>
      </c>
      <c r="AA647" s="51">
        <f t="shared" si="1866"/>
        <v>29.952</v>
      </c>
      <c r="AB647" s="49">
        <f t="shared" si="1867"/>
        <v>179.712</v>
      </c>
      <c r="AC647" s="42">
        <f t="shared" si="1868"/>
        <v>94.5</v>
      </c>
      <c r="AD647" s="49">
        <f t="shared" si="1869"/>
        <v>85.212</v>
      </c>
      <c r="AE647" s="49">
        <f t="shared" si="1870"/>
        <v>47.41586538</v>
      </c>
      <c r="AF647" s="47">
        <v>220.0</v>
      </c>
      <c r="AG647" s="52">
        <f t="shared" si="1871"/>
        <v>105.1282051</v>
      </c>
      <c r="AH647" s="53">
        <f t="shared" si="1872"/>
        <v>0</v>
      </c>
      <c r="AI647" s="53">
        <f t="shared" si="2101"/>
        <v>449.28</v>
      </c>
      <c r="AJ647" s="47">
        <v>220.0</v>
      </c>
      <c r="AK647" s="55">
        <f t="shared" si="1730"/>
        <v>105.1282051</v>
      </c>
      <c r="AL647" s="55"/>
      <c r="AM647" s="55">
        <f t="shared" si="1875"/>
        <v>0</v>
      </c>
      <c r="AN647" s="55">
        <f t="shared" si="1876"/>
        <v>0</v>
      </c>
      <c r="AO647" s="56">
        <f t="shared" si="1877"/>
        <v>2.051282051</v>
      </c>
      <c r="AP647" s="55">
        <f t="shared" si="1878"/>
        <v>0.40288</v>
      </c>
      <c r="AQ647" s="55">
        <f t="shared" si="1879"/>
        <v>1.255</v>
      </c>
      <c r="AR647" s="57">
        <f t="shared" ref="AR647:AS647" si="2132">AI647/94</f>
        <v>4.779574468</v>
      </c>
      <c r="AS647" s="57">
        <f t="shared" si="2132"/>
        <v>2.340425532</v>
      </c>
      <c r="AT647" s="58">
        <f t="shared" ref="AT647:AU647" si="2133">AI647/24</f>
        <v>18.72</v>
      </c>
      <c r="AU647" s="58">
        <f t="shared" si="2133"/>
        <v>9.166666667</v>
      </c>
      <c r="AV647" s="58">
        <f t="shared" ref="AV647:AW647" si="2134">AI647/125</f>
        <v>3.59424</v>
      </c>
      <c r="AW647" s="58">
        <f t="shared" si="2134"/>
        <v>1.76</v>
      </c>
      <c r="AX647" s="47"/>
      <c r="AY647" s="47"/>
    </row>
    <row r="648" ht="15.75" customHeight="1">
      <c r="A648" s="42"/>
      <c r="B648" s="42" t="s">
        <v>1276</v>
      </c>
      <c r="C648" s="42" t="s">
        <v>1277</v>
      </c>
      <c r="D648" s="45">
        <v>45.0</v>
      </c>
      <c r="E648" s="42">
        <v>0.0</v>
      </c>
      <c r="F648" s="44">
        <v>40.0</v>
      </c>
      <c r="G648" s="45">
        <v>9.40490099E8</v>
      </c>
      <c r="H648" s="46">
        <v>0.05</v>
      </c>
      <c r="I648" s="42">
        <f t="shared" si="1792"/>
        <v>2.25</v>
      </c>
      <c r="J648" s="47"/>
      <c r="K648" s="44">
        <v>20.0</v>
      </c>
      <c r="L648" s="48">
        <f t="shared" si="1708"/>
        <v>107.25</v>
      </c>
      <c r="M648" s="42">
        <f t="shared" si="1853"/>
        <v>0.45</v>
      </c>
      <c r="N648" s="49">
        <f t="shared" si="1854"/>
        <v>8.58</v>
      </c>
      <c r="O648" s="49">
        <f t="shared" si="1855"/>
        <v>10.725</v>
      </c>
      <c r="P648" s="49">
        <f t="shared" si="1856"/>
        <v>5.3625</v>
      </c>
      <c r="Q648" s="49">
        <f t="shared" si="1857"/>
        <v>2.145</v>
      </c>
      <c r="R648" s="49">
        <f t="shared" si="1858"/>
        <v>0.4725</v>
      </c>
      <c r="S648" s="49">
        <f t="shared" si="1859"/>
        <v>1.0725</v>
      </c>
      <c r="T648" s="50">
        <f t="shared" si="1860"/>
        <v>28.335</v>
      </c>
      <c r="U648" s="42">
        <f t="shared" si="1861"/>
        <v>0.945</v>
      </c>
      <c r="V648" s="42">
        <f t="shared" si="15"/>
        <v>4.725</v>
      </c>
      <c r="W648" s="42">
        <f t="shared" si="1862"/>
        <v>0.945</v>
      </c>
      <c r="X648" s="42">
        <f t="shared" si="1863"/>
        <v>7.56</v>
      </c>
      <c r="Y648" s="42">
        <f t="shared" si="1864"/>
        <v>14.175</v>
      </c>
      <c r="Z648" s="50">
        <f t="shared" si="1865"/>
        <v>149.76</v>
      </c>
      <c r="AA648" s="51">
        <f t="shared" si="1866"/>
        <v>29.952</v>
      </c>
      <c r="AB648" s="49">
        <f t="shared" si="1867"/>
        <v>179.712</v>
      </c>
      <c r="AC648" s="42">
        <f t="shared" si="1868"/>
        <v>94.5</v>
      </c>
      <c r="AD648" s="49">
        <f t="shared" si="1869"/>
        <v>85.212</v>
      </c>
      <c r="AE648" s="49">
        <f t="shared" si="1870"/>
        <v>47.41586538</v>
      </c>
      <c r="AF648" s="47">
        <v>275.0</v>
      </c>
      <c r="AG648" s="52">
        <f t="shared" si="1871"/>
        <v>156.4102564</v>
      </c>
      <c r="AH648" s="53">
        <f t="shared" si="1872"/>
        <v>0</v>
      </c>
      <c r="AI648" s="53">
        <f t="shared" si="2101"/>
        <v>449.28</v>
      </c>
      <c r="AJ648" s="47">
        <v>275.0</v>
      </c>
      <c r="AK648" s="55">
        <f t="shared" si="1730"/>
        <v>156.4102564</v>
      </c>
      <c r="AL648" s="55"/>
      <c r="AM648" s="55">
        <f t="shared" si="1875"/>
        <v>0</v>
      </c>
      <c r="AN648" s="55">
        <f t="shared" si="1876"/>
        <v>0</v>
      </c>
      <c r="AO648" s="56">
        <f t="shared" si="1877"/>
        <v>2.564102564</v>
      </c>
      <c r="AP648" s="55">
        <f t="shared" si="1878"/>
        <v>0.95288</v>
      </c>
      <c r="AQ648" s="55">
        <f t="shared" si="1879"/>
        <v>1.805</v>
      </c>
      <c r="AR648" s="57">
        <f t="shared" ref="AR648:AS648" si="2135">AI648/94</f>
        <v>4.779574468</v>
      </c>
      <c r="AS648" s="57">
        <f t="shared" si="2135"/>
        <v>2.925531915</v>
      </c>
      <c r="AT648" s="58">
        <f t="shared" ref="AT648:AU648" si="2136">AI648/24</f>
        <v>18.72</v>
      </c>
      <c r="AU648" s="58">
        <f t="shared" si="2136"/>
        <v>11.45833333</v>
      </c>
      <c r="AV648" s="58">
        <f t="shared" ref="AV648:AW648" si="2137">AI648/125</f>
        <v>3.59424</v>
      </c>
      <c r="AW648" s="58">
        <f t="shared" si="2137"/>
        <v>2.2</v>
      </c>
      <c r="AX648" s="47"/>
      <c r="AY648" s="47"/>
    </row>
    <row r="649" ht="15.75" customHeight="1">
      <c r="A649" s="42"/>
      <c r="B649" s="42" t="s">
        <v>1278</v>
      </c>
      <c r="C649" s="42" t="s">
        <v>1279</v>
      </c>
      <c r="D649" s="45">
        <v>45.0</v>
      </c>
      <c r="E649" s="42">
        <v>0.0</v>
      </c>
      <c r="F649" s="44">
        <v>40.0</v>
      </c>
      <c r="G649" s="45">
        <v>9.40490099E8</v>
      </c>
      <c r="H649" s="46">
        <v>0.05</v>
      </c>
      <c r="I649" s="42">
        <f t="shared" si="1792"/>
        <v>2.25</v>
      </c>
      <c r="J649" s="47"/>
      <c r="K649" s="44">
        <v>20.0</v>
      </c>
      <c r="L649" s="48">
        <f t="shared" si="1708"/>
        <v>107.25</v>
      </c>
      <c r="M649" s="42">
        <f t="shared" si="1853"/>
        <v>0.45</v>
      </c>
      <c r="N649" s="49">
        <f t="shared" si="1854"/>
        <v>8.58</v>
      </c>
      <c r="O649" s="49">
        <f t="shared" si="1855"/>
        <v>10.725</v>
      </c>
      <c r="P649" s="49">
        <f t="shared" si="1856"/>
        <v>5.3625</v>
      </c>
      <c r="Q649" s="49">
        <f t="shared" si="1857"/>
        <v>2.145</v>
      </c>
      <c r="R649" s="49">
        <f t="shared" si="1858"/>
        <v>0.4725</v>
      </c>
      <c r="S649" s="49">
        <f t="shared" si="1859"/>
        <v>1.0725</v>
      </c>
      <c r="T649" s="50">
        <f t="shared" si="1860"/>
        <v>28.335</v>
      </c>
      <c r="U649" s="42">
        <f t="shared" si="1861"/>
        <v>0.945</v>
      </c>
      <c r="V649" s="42">
        <f t="shared" si="15"/>
        <v>4.725</v>
      </c>
      <c r="W649" s="42">
        <f t="shared" si="1862"/>
        <v>0.945</v>
      </c>
      <c r="X649" s="42">
        <f t="shared" si="1863"/>
        <v>7.56</v>
      </c>
      <c r="Y649" s="42">
        <f t="shared" si="1864"/>
        <v>14.175</v>
      </c>
      <c r="Z649" s="50">
        <f t="shared" si="1865"/>
        <v>149.76</v>
      </c>
      <c r="AA649" s="51">
        <f t="shared" si="1866"/>
        <v>29.952</v>
      </c>
      <c r="AB649" s="49">
        <f t="shared" si="1867"/>
        <v>179.712</v>
      </c>
      <c r="AC649" s="42">
        <f t="shared" si="1868"/>
        <v>94.5</v>
      </c>
      <c r="AD649" s="49">
        <f t="shared" si="1869"/>
        <v>85.212</v>
      </c>
      <c r="AE649" s="49">
        <f t="shared" si="1870"/>
        <v>47.41586538</v>
      </c>
      <c r="AF649" s="47">
        <v>275.0</v>
      </c>
      <c r="AG649" s="52">
        <f t="shared" si="1871"/>
        <v>156.4102564</v>
      </c>
      <c r="AH649" s="53">
        <f t="shared" si="1872"/>
        <v>0</v>
      </c>
      <c r="AI649" s="53">
        <f t="shared" si="2101"/>
        <v>449.28</v>
      </c>
      <c r="AJ649" s="47">
        <v>275.0</v>
      </c>
      <c r="AK649" s="55">
        <f t="shared" si="1730"/>
        <v>156.4102564</v>
      </c>
      <c r="AL649" s="55"/>
      <c r="AM649" s="55">
        <f t="shared" si="1875"/>
        <v>0</v>
      </c>
      <c r="AN649" s="55">
        <f t="shared" si="1876"/>
        <v>0</v>
      </c>
      <c r="AO649" s="56">
        <f t="shared" si="1877"/>
        <v>2.564102564</v>
      </c>
      <c r="AP649" s="55">
        <f t="shared" si="1878"/>
        <v>0.95288</v>
      </c>
      <c r="AQ649" s="55">
        <f t="shared" si="1879"/>
        <v>1.805</v>
      </c>
      <c r="AR649" s="57">
        <f t="shared" ref="AR649:AS649" si="2138">AI649/94</f>
        <v>4.779574468</v>
      </c>
      <c r="AS649" s="57">
        <f t="shared" si="2138"/>
        <v>2.925531915</v>
      </c>
      <c r="AT649" s="58">
        <f t="shared" ref="AT649:AU649" si="2139">AI649/24</f>
        <v>18.72</v>
      </c>
      <c r="AU649" s="58">
        <f t="shared" si="2139"/>
        <v>11.45833333</v>
      </c>
      <c r="AV649" s="58">
        <f t="shared" ref="AV649:AW649" si="2140">AI649/125</f>
        <v>3.59424</v>
      </c>
      <c r="AW649" s="58">
        <f t="shared" si="2140"/>
        <v>2.2</v>
      </c>
      <c r="AX649" s="47"/>
      <c r="AY649" s="47"/>
    </row>
    <row r="650" ht="15.75" customHeight="1">
      <c r="A650" s="42"/>
      <c r="B650" s="42" t="s">
        <v>1280</v>
      </c>
      <c r="C650" s="42" t="s">
        <v>1281</v>
      </c>
      <c r="D650" s="45">
        <v>45.0</v>
      </c>
      <c r="E650" s="42">
        <v>0.0</v>
      </c>
      <c r="F650" s="44">
        <v>40.0</v>
      </c>
      <c r="G650" s="45">
        <v>9.40490099E8</v>
      </c>
      <c r="H650" s="46">
        <v>0.05</v>
      </c>
      <c r="I650" s="42">
        <f t="shared" si="1792"/>
        <v>2.25</v>
      </c>
      <c r="J650" s="47"/>
      <c r="K650" s="44">
        <v>20.0</v>
      </c>
      <c r="L650" s="48">
        <f t="shared" si="1708"/>
        <v>107.25</v>
      </c>
      <c r="M650" s="42">
        <f t="shared" si="1853"/>
        <v>0.45</v>
      </c>
      <c r="N650" s="49">
        <f t="shared" si="1854"/>
        <v>8.58</v>
      </c>
      <c r="O650" s="49">
        <f t="shared" si="1855"/>
        <v>10.725</v>
      </c>
      <c r="P650" s="49">
        <f t="shared" si="1856"/>
        <v>5.3625</v>
      </c>
      <c r="Q650" s="49">
        <f t="shared" si="1857"/>
        <v>2.145</v>
      </c>
      <c r="R650" s="49">
        <f t="shared" si="1858"/>
        <v>0.4725</v>
      </c>
      <c r="S650" s="49">
        <f t="shared" si="1859"/>
        <v>1.0725</v>
      </c>
      <c r="T650" s="50">
        <f t="shared" si="1860"/>
        <v>28.335</v>
      </c>
      <c r="U650" s="42">
        <f t="shared" si="1861"/>
        <v>0.945</v>
      </c>
      <c r="V650" s="42">
        <f t="shared" si="15"/>
        <v>4.725</v>
      </c>
      <c r="W650" s="42">
        <f t="shared" si="1862"/>
        <v>0.945</v>
      </c>
      <c r="X650" s="42">
        <f t="shared" si="1863"/>
        <v>7.56</v>
      </c>
      <c r="Y650" s="42">
        <f t="shared" si="1864"/>
        <v>14.175</v>
      </c>
      <c r="Z650" s="50">
        <f t="shared" si="1865"/>
        <v>149.76</v>
      </c>
      <c r="AA650" s="51">
        <f t="shared" si="1866"/>
        <v>29.952</v>
      </c>
      <c r="AB650" s="49">
        <f t="shared" si="1867"/>
        <v>179.712</v>
      </c>
      <c r="AC650" s="42">
        <f t="shared" si="1868"/>
        <v>94.5</v>
      </c>
      <c r="AD650" s="49">
        <f t="shared" si="1869"/>
        <v>85.212</v>
      </c>
      <c r="AE650" s="49">
        <f t="shared" si="1870"/>
        <v>47.41586538</v>
      </c>
      <c r="AF650" s="47">
        <v>275.0</v>
      </c>
      <c r="AG650" s="52">
        <f t="shared" si="1871"/>
        <v>156.4102564</v>
      </c>
      <c r="AH650" s="53">
        <f t="shared" si="1872"/>
        <v>0</v>
      </c>
      <c r="AI650" s="53">
        <f t="shared" si="2101"/>
        <v>449.28</v>
      </c>
      <c r="AJ650" s="47">
        <v>275.0</v>
      </c>
      <c r="AK650" s="55">
        <f t="shared" si="1730"/>
        <v>156.4102564</v>
      </c>
      <c r="AL650" s="55"/>
      <c r="AM650" s="55">
        <f t="shared" si="1875"/>
        <v>0</v>
      </c>
      <c r="AN650" s="55">
        <f t="shared" si="1876"/>
        <v>0</v>
      </c>
      <c r="AO650" s="56">
        <f t="shared" si="1877"/>
        <v>2.564102564</v>
      </c>
      <c r="AP650" s="55">
        <f t="shared" si="1878"/>
        <v>0.95288</v>
      </c>
      <c r="AQ650" s="55">
        <f t="shared" si="1879"/>
        <v>1.805</v>
      </c>
      <c r="AR650" s="57">
        <f t="shared" ref="AR650:AS650" si="2141">AI650/94</f>
        <v>4.779574468</v>
      </c>
      <c r="AS650" s="57">
        <f t="shared" si="2141"/>
        <v>2.925531915</v>
      </c>
      <c r="AT650" s="58">
        <f t="shared" ref="AT650:AU650" si="2142">AI650/24</f>
        <v>18.72</v>
      </c>
      <c r="AU650" s="58">
        <f t="shared" si="2142"/>
        <v>11.45833333</v>
      </c>
      <c r="AV650" s="58">
        <f t="shared" ref="AV650:AW650" si="2143">AI650/125</f>
        <v>3.59424</v>
      </c>
      <c r="AW650" s="58">
        <f t="shared" si="2143"/>
        <v>2.2</v>
      </c>
      <c r="AX650" s="47"/>
      <c r="AY650" s="47"/>
    </row>
    <row r="651" ht="15.75" customHeight="1">
      <c r="A651" s="42"/>
      <c r="B651" s="42" t="s">
        <v>1282</v>
      </c>
      <c r="C651" s="42" t="s">
        <v>1283</v>
      </c>
      <c r="D651" s="45">
        <v>45.0</v>
      </c>
      <c r="E651" s="42">
        <v>0.0</v>
      </c>
      <c r="F651" s="44">
        <v>40.0</v>
      </c>
      <c r="G651" s="45">
        <v>9.40490099E8</v>
      </c>
      <c r="H651" s="46">
        <v>0.05</v>
      </c>
      <c r="I651" s="42">
        <f t="shared" si="1792"/>
        <v>2.25</v>
      </c>
      <c r="J651" s="47"/>
      <c r="K651" s="44">
        <v>20.0</v>
      </c>
      <c r="L651" s="48">
        <f t="shared" si="1708"/>
        <v>107.25</v>
      </c>
      <c r="M651" s="42">
        <f t="shared" si="1853"/>
        <v>0.45</v>
      </c>
      <c r="N651" s="49">
        <f t="shared" si="1854"/>
        <v>8.58</v>
      </c>
      <c r="O651" s="49">
        <f t="shared" si="1855"/>
        <v>10.725</v>
      </c>
      <c r="P651" s="49">
        <f t="shared" si="1856"/>
        <v>5.3625</v>
      </c>
      <c r="Q651" s="49">
        <f t="shared" si="1857"/>
        <v>2.145</v>
      </c>
      <c r="R651" s="49">
        <f t="shared" si="1858"/>
        <v>0.4725</v>
      </c>
      <c r="S651" s="49">
        <f t="shared" si="1859"/>
        <v>1.0725</v>
      </c>
      <c r="T651" s="50">
        <f t="shared" si="1860"/>
        <v>28.335</v>
      </c>
      <c r="U651" s="42">
        <f t="shared" si="1861"/>
        <v>0.945</v>
      </c>
      <c r="V651" s="42">
        <f t="shared" si="15"/>
        <v>4.725</v>
      </c>
      <c r="W651" s="42">
        <f t="shared" si="1862"/>
        <v>0.945</v>
      </c>
      <c r="X651" s="42">
        <f t="shared" si="1863"/>
        <v>7.56</v>
      </c>
      <c r="Y651" s="42">
        <f t="shared" si="1864"/>
        <v>14.175</v>
      </c>
      <c r="Z651" s="50">
        <f t="shared" si="1865"/>
        <v>149.76</v>
      </c>
      <c r="AA651" s="51">
        <f t="shared" si="1866"/>
        <v>29.952</v>
      </c>
      <c r="AB651" s="49">
        <f t="shared" si="1867"/>
        <v>179.712</v>
      </c>
      <c r="AC651" s="42">
        <f t="shared" si="1868"/>
        <v>94.5</v>
      </c>
      <c r="AD651" s="49">
        <f t="shared" si="1869"/>
        <v>85.212</v>
      </c>
      <c r="AE651" s="49">
        <f t="shared" si="1870"/>
        <v>47.41586538</v>
      </c>
      <c r="AF651" s="47">
        <v>275.0</v>
      </c>
      <c r="AG651" s="52">
        <f t="shared" si="1871"/>
        <v>156.4102564</v>
      </c>
      <c r="AH651" s="53">
        <f t="shared" si="1872"/>
        <v>0</v>
      </c>
      <c r="AI651" s="53">
        <f t="shared" si="2101"/>
        <v>449.28</v>
      </c>
      <c r="AJ651" s="47">
        <v>275.0</v>
      </c>
      <c r="AK651" s="55">
        <f t="shared" si="1730"/>
        <v>156.4102564</v>
      </c>
      <c r="AL651" s="55"/>
      <c r="AM651" s="55">
        <f t="shared" si="1875"/>
        <v>0</v>
      </c>
      <c r="AN651" s="55">
        <f t="shared" si="1876"/>
        <v>0</v>
      </c>
      <c r="AO651" s="56">
        <f t="shared" si="1877"/>
        <v>2.564102564</v>
      </c>
      <c r="AP651" s="55">
        <f t="shared" si="1878"/>
        <v>0.95288</v>
      </c>
      <c r="AQ651" s="55">
        <f t="shared" si="1879"/>
        <v>1.805</v>
      </c>
      <c r="AR651" s="57">
        <f t="shared" ref="AR651:AS651" si="2144">AI651/94</f>
        <v>4.779574468</v>
      </c>
      <c r="AS651" s="57">
        <f t="shared" si="2144"/>
        <v>2.925531915</v>
      </c>
      <c r="AT651" s="58">
        <f t="shared" ref="AT651:AU651" si="2145">AI651/24</f>
        <v>18.72</v>
      </c>
      <c r="AU651" s="58">
        <f t="shared" si="2145"/>
        <v>11.45833333</v>
      </c>
      <c r="AV651" s="58">
        <f t="shared" ref="AV651:AW651" si="2146">AI651/125</f>
        <v>3.59424</v>
      </c>
      <c r="AW651" s="58">
        <f t="shared" si="2146"/>
        <v>2.2</v>
      </c>
      <c r="AX651" s="47"/>
      <c r="AY651" s="47"/>
    </row>
    <row r="652" ht="15.75" customHeight="1">
      <c r="A652" s="42"/>
      <c r="B652" s="42" t="s">
        <v>1284</v>
      </c>
      <c r="C652" s="42" t="s">
        <v>1285</v>
      </c>
      <c r="D652" s="45">
        <v>45.0</v>
      </c>
      <c r="E652" s="42">
        <v>0.0</v>
      </c>
      <c r="F652" s="44">
        <v>40.0</v>
      </c>
      <c r="G652" s="45">
        <v>9.40490099E8</v>
      </c>
      <c r="H652" s="46">
        <v>0.05</v>
      </c>
      <c r="I652" s="42">
        <f t="shared" si="1792"/>
        <v>2.25</v>
      </c>
      <c r="J652" s="47"/>
      <c r="K652" s="44">
        <v>20.0</v>
      </c>
      <c r="L652" s="48">
        <f t="shared" si="1708"/>
        <v>107.25</v>
      </c>
      <c r="M652" s="42">
        <f t="shared" si="1853"/>
        <v>0.45</v>
      </c>
      <c r="N652" s="49">
        <f t="shared" si="1854"/>
        <v>8.58</v>
      </c>
      <c r="O652" s="49">
        <f t="shared" si="1855"/>
        <v>10.725</v>
      </c>
      <c r="P652" s="49">
        <f t="shared" si="1856"/>
        <v>5.3625</v>
      </c>
      <c r="Q652" s="49">
        <f t="shared" si="1857"/>
        <v>2.145</v>
      </c>
      <c r="R652" s="49">
        <f t="shared" si="1858"/>
        <v>0.4725</v>
      </c>
      <c r="S652" s="49">
        <f t="shared" si="1859"/>
        <v>1.0725</v>
      </c>
      <c r="T652" s="50">
        <f t="shared" si="1860"/>
        <v>28.335</v>
      </c>
      <c r="U652" s="42">
        <f t="shared" si="1861"/>
        <v>0.945</v>
      </c>
      <c r="V652" s="42">
        <f t="shared" si="15"/>
        <v>4.725</v>
      </c>
      <c r="W652" s="42">
        <f t="shared" si="1862"/>
        <v>0.945</v>
      </c>
      <c r="X652" s="42">
        <f t="shared" si="1863"/>
        <v>7.56</v>
      </c>
      <c r="Y652" s="42">
        <f t="shared" si="1864"/>
        <v>14.175</v>
      </c>
      <c r="Z652" s="50">
        <f t="shared" si="1865"/>
        <v>149.76</v>
      </c>
      <c r="AA652" s="51">
        <f t="shared" si="1866"/>
        <v>29.952</v>
      </c>
      <c r="AB652" s="49">
        <f t="shared" si="1867"/>
        <v>179.712</v>
      </c>
      <c r="AC652" s="42">
        <f t="shared" si="1868"/>
        <v>94.5</v>
      </c>
      <c r="AD652" s="49">
        <f t="shared" si="1869"/>
        <v>85.212</v>
      </c>
      <c r="AE652" s="49">
        <f t="shared" si="1870"/>
        <v>47.41586538</v>
      </c>
      <c r="AF652" s="47">
        <v>220.0</v>
      </c>
      <c r="AG652" s="52">
        <f t="shared" si="1871"/>
        <v>105.1282051</v>
      </c>
      <c r="AH652" s="53">
        <f t="shared" si="1872"/>
        <v>0</v>
      </c>
      <c r="AI652" s="53">
        <f t="shared" si="2101"/>
        <v>449.28</v>
      </c>
      <c r="AJ652" s="47">
        <v>220.0</v>
      </c>
      <c r="AK652" s="55">
        <f t="shared" si="1730"/>
        <v>105.1282051</v>
      </c>
      <c r="AL652" s="55"/>
      <c r="AM652" s="55">
        <f t="shared" si="1875"/>
        <v>0</v>
      </c>
      <c r="AN652" s="55">
        <f t="shared" si="1876"/>
        <v>0</v>
      </c>
      <c r="AO652" s="56">
        <f t="shared" si="1877"/>
        <v>2.051282051</v>
      </c>
      <c r="AP652" s="55">
        <f t="shared" si="1878"/>
        <v>0.40288</v>
      </c>
      <c r="AQ652" s="55">
        <f t="shared" si="1879"/>
        <v>1.255</v>
      </c>
      <c r="AR652" s="57">
        <f t="shared" ref="AR652:AS652" si="2147">AI652/94</f>
        <v>4.779574468</v>
      </c>
      <c r="AS652" s="57">
        <f t="shared" si="2147"/>
        <v>2.340425532</v>
      </c>
      <c r="AT652" s="58">
        <f t="shared" ref="AT652:AU652" si="2148">AI652/24</f>
        <v>18.72</v>
      </c>
      <c r="AU652" s="58">
        <f t="shared" si="2148"/>
        <v>9.166666667</v>
      </c>
      <c r="AV652" s="58">
        <f t="shared" ref="AV652:AW652" si="2149">AI652/125</f>
        <v>3.59424</v>
      </c>
      <c r="AW652" s="58">
        <f t="shared" si="2149"/>
        <v>1.76</v>
      </c>
      <c r="AX652" s="47"/>
      <c r="AY652" s="47"/>
    </row>
    <row r="653" ht="15.75" customHeight="1">
      <c r="A653" s="42"/>
      <c r="B653" s="42" t="s">
        <v>1286</v>
      </c>
      <c r="C653" s="42" t="s">
        <v>1287</v>
      </c>
      <c r="D653" s="45">
        <v>45.0</v>
      </c>
      <c r="E653" s="42">
        <v>0.0</v>
      </c>
      <c r="F653" s="44">
        <v>40.0</v>
      </c>
      <c r="G653" s="45">
        <v>9.40490099E8</v>
      </c>
      <c r="H653" s="46">
        <v>0.05</v>
      </c>
      <c r="I653" s="42">
        <f t="shared" si="1792"/>
        <v>2.25</v>
      </c>
      <c r="J653" s="47"/>
      <c r="K653" s="44">
        <v>20.0</v>
      </c>
      <c r="L653" s="48">
        <f t="shared" si="1708"/>
        <v>107.25</v>
      </c>
      <c r="M653" s="42">
        <f t="shared" si="1853"/>
        <v>0.45</v>
      </c>
      <c r="N653" s="49">
        <f t="shared" si="1854"/>
        <v>8.58</v>
      </c>
      <c r="O653" s="49">
        <f t="shared" si="1855"/>
        <v>10.725</v>
      </c>
      <c r="P653" s="49">
        <f t="shared" si="1856"/>
        <v>5.3625</v>
      </c>
      <c r="Q653" s="49">
        <f t="shared" si="1857"/>
        <v>2.145</v>
      </c>
      <c r="R653" s="49">
        <f t="shared" si="1858"/>
        <v>0.4725</v>
      </c>
      <c r="S653" s="49">
        <f t="shared" si="1859"/>
        <v>1.0725</v>
      </c>
      <c r="T653" s="50">
        <f t="shared" si="1860"/>
        <v>28.335</v>
      </c>
      <c r="U653" s="42">
        <f t="shared" si="1861"/>
        <v>0.945</v>
      </c>
      <c r="V653" s="42">
        <f t="shared" si="15"/>
        <v>4.725</v>
      </c>
      <c r="W653" s="42">
        <f t="shared" si="1862"/>
        <v>0.945</v>
      </c>
      <c r="X653" s="42">
        <f t="shared" si="1863"/>
        <v>7.56</v>
      </c>
      <c r="Y653" s="42">
        <f t="shared" si="1864"/>
        <v>14.175</v>
      </c>
      <c r="Z653" s="50">
        <f t="shared" si="1865"/>
        <v>149.76</v>
      </c>
      <c r="AA653" s="51">
        <f t="shared" si="1866"/>
        <v>29.952</v>
      </c>
      <c r="AB653" s="49">
        <f t="shared" si="1867"/>
        <v>179.712</v>
      </c>
      <c r="AC653" s="42">
        <f t="shared" si="1868"/>
        <v>94.5</v>
      </c>
      <c r="AD653" s="49">
        <f t="shared" si="1869"/>
        <v>85.212</v>
      </c>
      <c r="AE653" s="49">
        <f t="shared" si="1870"/>
        <v>47.41586538</v>
      </c>
      <c r="AF653" s="47">
        <v>275.0</v>
      </c>
      <c r="AG653" s="52">
        <f t="shared" si="1871"/>
        <v>156.4102564</v>
      </c>
      <c r="AH653" s="53">
        <f t="shared" si="1872"/>
        <v>0</v>
      </c>
      <c r="AI653" s="53">
        <f t="shared" si="2101"/>
        <v>449.28</v>
      </c>
      <c r="AJ653" s="47">
        <v>275.0</v>
      </c>
      <c r="AK653" s="55">
        <f t="shared" si="1730"/>
        <v>156.4102564</v>
      </c>
      <c r="AL653" s="55"/>
      <c r="AM653" s="55">
        <f t="shared" si="1875"/>
        <v>0</v>
      </c>
      <c r="AN653" s="55">
        <f t="shared" si="1876"/>
        <v>0</v>
      </c>
      <c r="AO653" s="56">
        <f t="shared" si="1877"/>
        <v>2.564102564</v>
      </c>
      <c r="AP653" s="55">
        <f t="shared" si="1878"/>
        <v>0.95288</v>
      </c>
      <c r="AQ653" s="55">
        <f t="shared" si="1879"/>
        <v>1.805</v>
      </c>
      <c r="AR653" s="57">
        <f t="shared" ref="AR653:AS653" si="2150">AI653/94</f>
        <v>4.779574468</v>
      </c>
      <c r="AS653" s="57">
        <f t="shared" si="2150"/>
        <v>2.925531915</v>
      </c>
      <c r="AT653" s="58">
        <f t="shared" ref="AT653:AU653" si="2151">AI653/24</f>
        <v>18.72</v>
      </c>
      <c r="AU653" s="58">
        <f t="shared" si="2151"/>
        <v>11.45833333</v>
      </c>
      <c r="AV653" s="58">
        <f t="shared" ref="AV653:AW653" si="2152">AI653/125</f>
        <v>3.59424</v>
      </c>
      <c r="AW653" s="58">
        <f t="shared" si="2152"/>
        <v>2.2</v>
      </c>
      <c r="AX653" s="47"/>
      <c r="AY653" s="47"/>
    </row>
    <row r="654" ht="15.75" customHeight="1">
      <c r="A654" s="42"/>
      <c r="B654" s="42" t="s">
        <v>1288</v>
      </c>
      <c r="C654" s="42" t="s">
        <v>1289</v>
      </c>
      <c r="D654" s="45">
        <v>45.0</v>
      </c>
      <c r="E654" s="42">
        <v>0.0</v>
      </c>
      <c r="F654" s="44">
        <v>40.0</v>
      </c>
      <c r="G654" s="45">
        <v>9.40490099E8</v>
      </c>
      <c r="H654" s="46">
        <v>0.05</v>
      </c>
      <c r="I654" s="42">
        <f t="shared" si="1792"/>
        <v>2.25</v>
      </c>
      <c r="J654" s="47"/>
      <c r="K654" s="44">
        <v>20.0</v>
      </c>
      <c r="L654" s="48">
        <f t="shared" si="1708"/>
        <v>107.25</v>
      </c>
      <c r="M654" s="42">
        <f t="shared" si="1853"/>
        <v>0.45</v>
      </c>
      <c r="N654" s="49">
        <f t="shared" si="1854"/>
        <v>8.58</v>
      </c>
      <c r="O654" s="49">
        <f t="shared" si="1855"/>
        <v>10.725</v>
      </c>
      <c r="P654" s="49">
        <f t="shared" si="1856"/>
        <v>5.3625</v>
      </c>
      <c r="Q654" s="49">
        <f t="shared" si="1857"/>
        <v>2.145</v>
      </c>
      <c r="R654" s="49">
        <f t="shared" si="1858"/>
        <v>0.4725</v>
      </c>
      <c r="S654" s="49">
        <f t="shared" si="1859"/>
        <v>1.0725</v>
      </c>
      <c r="T654" s="50">
        <f t="shared" si="1860"/>
        <v>28.335</v>
      </c>
      <c r="U654" s="42">
        <f t="shared" si="1861"/>
        <v>0.945</v>
      </c>
      <c r="V654" s="42">
        <f t="shared" si="15"/>
        <v>4.725</v>
      </c>
      <c r="W654" s="42">
        <f t="shared" si="1862"/>
        <v>0.945</v>
      </c>
      <c r="X654" s="42">
        <f t="shared" si="1863"/>
        <v>7.56</v>
      </c>
      <c r="Y654" s="42">
        <f t="shared" si="1864"/>
        <v>14.175</v>
      </c>
      <c r="Z654" s="50">
        <f t="shared" si="1865"/>
        <v>149.76</v>
      </c>
      <c r="AA654" s="51">
        <f t="shared" si="1866"/>
        <v>29.952</v>
      </c>
      <c r="AB654" s="49">
        <f t="shared" si="1867"/>
        <v>179.712</v>
      </c>
      <c r="AC654" s="42">
        <f t="shared" si="1868"/>
        <v>94.5</v>
      </c>
      <c r="AD654" s="49">
        <f t="shared" si="1869"/>
        <v>85.212</v>
      </c>
      <c r="AE654" s="49">
        <f t="shared" si="1870"/>
        <v>47.41586538</v>
      </c>
      <c r="AF654" s="47">
        <v>295.0</v>
      </c>
      <c r="AG654" s="52">
        <f t="shared" si="1871"/>
        <v>175.0582751</v>
      </c>
      <c r="AH654" s="53">
        <f t="shared" si="1872"/>
        <v>0</v>
      </c>
      <c r="AI654" s="53">
        <f t="shared" si="2101"/>
        <v>449.28</v>
      </c>
      <c r="AJ654" s="47">
        <v>295.0</v>
      </c>
      <c r="AK654" s="55">
        <f t="shared" si="1730"/>
        <v>175.0582751</v>
      </c>
      <c r="AL654" s="55"/>
      <c r="AM654" s="55">
        <f t="shared" si="1875"/>
        <v>0</v>
      </c>
      <c r="AN654" s="55">
        <f t="shared" si="1876"/>
        <v>0</v>
      </c>
      <c r="AO654" s="56">
        <f t="shared" si="1877"/>
        <v>2.750582751</v>
      </c>
      <c r="AP654" s="55">
        <f t="shared" si="1878"/>
        <v>1.15288</v>
      </c>
      <c r="AQ654" s="55">
        <f t="shared" si="1879"/>
        <v>2.005</v>
      </c>
      <c r="AR654" s="57">
        <f t="shared" ref="AR654:AS654" si="2153">AI654/94</f>
        <v>4.779574468</v>
      </c>
      <c r="AS654" s="57">
        <f t="shared" si="2153"/>
        <v>3.138297872</v>
      </c>
      <c r="AT654" s="58">
        <f t="shared" ref="AT654:AU654" si="2154">AI654/24</f>
        <v>18.72</v>
      </c>
      <c r="AU654" s="58">
        <f t="shared" si="2154"/>
        <v>12.29166667</v>
      </c>
      <c r="AV654" s="58">
        <f t="shared" ref="AV654:AW654" si="2155">AI654/125</f>
        <v>3.59424</v>
      </c>
      <c r="AW654" s="58">
        <f t="shared" si="2155"/>
        <v>2.36</v>
      </c>
      <c r="AX654" s="47"/>
      <c r="AY654" s="47"/>
    </row>
    <row r="655" ht="15.75" customHeight="1">
      <c r="A655" s="42"/>
      <c r="B655" s="42" t="s">
        <v>1290</v>
      </c>
      <c r="C655" s="42" t="s">
        <v>1291</v>
      </c>
      <c r="D655" s="45">
        <v>45.0</v>
      </c>
      <c r="E655" s="42">
        <v>0.0</v>
      </c>
      <c r="F655" s="44">
        <v>40.0</v>
      </c>
      <c r="G655" s="45">
        <v>9.40490099E8</v>
      </c>
      <c r="H655" s="46">
        <v>0.05</v>
      </c>
      <c r="I655" s="42">
        <f t="shared" si="1792"/>
        <v>2.25</v>
      </c>
      <c r="J655" s="47"/>
      <c r="K655" s="44">
        <v>20.0</v>
      </c>
      <c r="L655" s="48">
        <f t="shared" si="1708"/>
        <v>107.25</v>
      </c>
      <c r="M655" s="42">
        <f t="shared" si="1853"/>
        <v>0.45</v>
      </c>
      <c r="N655" s="49">
        <f t="shared" si="1854"/>
        <v>8.58</v>
      </c>
      <c r="O655" s="49">
        <f t="shared" si="1855"/>
        <v>10.725</v>
      </c>
      <c r="P655" s="49">
        <f t="shared" si="1856"/>
        <v>5.3625</v>
      </c>
      <c r="Q655" s="49">
        <f t="shared" si="1857"/>
        <v>2.145</v>
      </c>
      <c r="R655" s="49">
        <f t="shared" si="1858"/>
        <v>0.4725</v>
      </c>
      <c r="S655" s="49">
        <f t="shared" si="1859"/>
        <v>1.0725</v>
      </c>
      <c r="T655" s="50">
        <f t="shared" si="1860"/>
        <v>28.335</v>
      </c>
      <c r="U655" s="42">
        <f t="shared" si="1861"/>
        <v>0.945</v>
      </c>
      <c r="V655" s="42">
        <f t="shared" si="15"/>
        <v>4.725</v>
      </c>
      <c r="W655" s="42">
        <f t="shared" si="1862"/>
        <v>0.945</v>
      </c>
      <c r="X655" s="42">
        <f t="shared" si="1863"/>
        <v>7.56</v>
      </c>
      <c r="Y655" s="42">
        <f t="shared" si="1864"/>
        <v>14.175</v>
      </c>
      <c r="Z655" s="50">
        <f t="shared" si="1865"/>
        <v>149.76</v>
      </c>
      <c r="AA655" s="51">
        <f t="shared" si="1866"/>
        <v>29.952</v>
      </c>
      <c r="AB655" s="49">
        <f t="shared" si="1867"/>
        <v>179.712</v>
      </c>
      <c r="AC655" s="42">
        <f t="shared" si="1868"/>
        <v>94.5</v>
      </c>
      <c r="AD655" s="49">
        <f t="shared" si="1869"/>
        <v>85.212</v>
      </c>
      <c r="AE655" s="49">
        <f t="shared" si="1870"/>
        <v>47.41586538</v>
      </c>
      <c r="AF655" s="47">
        <v>295.0</v>
      </c>
      <c r="AG655" s="52">
        <f t="shared" si="1871"/>
        <v>175.0582751</v>
      </c>
      <c r="AH655" s="53">
        <f t="shared" si="1872"/>
        <v>0</v>
      </c>
      <c r="AI655" s="53">
        <f t="shared" si="2101"/>
        <v>449.28</v>
      </c>
      <c r="AJ655" s="47">
        <v>295.0</v>
      </c>
      <c r="AK655" s="55">
        <f t="shared" si="1730"/>
        <v>175.0582751</v>
      </c>
      <c r="AL655" s="55"/>
      <c r="AM655" s="55">
        <f t="shared" si="1875"/>
        <v>0</v>
      </c>
      <c r="AN655" s="55">
        <f t="shared" si="1876"/>
        <v>0</v>
      </c>
      <c r="AO655" s="56">
        <f t="shared" si="1877"/>
        <v>2.750582751</v>
      </c>
      <c r="AP655" s="55">
        <f t="shared" si="1878"/>
        <v>1.15288</v>
      </c>
      <c r="AQ655" s="55">
        <f t="shared" si="1879"/>
        <v>2.005</v>
      </c>
      <c r="AR655" s="57">
        <f t="shared" ref="AR655:AS655" si="2156">AI655/94</f>
        <v>4.779574468</v>
      </c>
      <c r="AS655" s="57">
        <f t="shared" si="2156"/>
        <v>3.138297872</v>
      </c>
      <c r="AT655" s="58">
        <f t="shared" ref="AT655:AU655" si="2157">AI655/24</f>
        <v>18.72</v>
      </c>
      <c r="AU655" s="58">
        <f t="shared" si="2157"/>
        <v>12.29166667</v>
      </c>
      <c r="AV655" s="58">
        <f t="shared" ref="AV655:AW655" si="2158">AI655/125</f>
        <v>3.59424</v>
      </c>
      <c r="AW655" s="58">
        <f t="shared" si="2158"/>
        <v>2.36</v>
      </c>
      <c r="AX655" s="47"/>
      <c r="AY655" s="47"/>
    </row>
    <row r="656" ht="15.75" customHeight="1">
      <c r="A656" s="42"/>
      <c r="B656" s="42" t="s">
        <v>1292</v>
      </c>
      <c r="C656" s="42" t="s">
        <v>1293</v>
      </c>
      <c r="D656" s="45">
        <v>45.0</v>
      </c>
      <c r="E656" s="42">
        <v>0.0</v>
      </c>
      <c r="F656" s="44">
        <v>40.0</v>
      </c>
      <c r="G656" s="45">
        <v>9.40490099E8</v>
      </c>
      <c r="H656" s="46">
        <v>0.05</v>
      </c>
      <c r="I656" s="42">
        <f t="shared" si="1792"/>
        <v>2.25</v>
      </c>
      <c r="J656" s="47"/>
      <c r="K656" s="44">
        <v>20.0</v>
      </c>
      <c r="L656" s="48">
        <f t="shared" si="1708"/>
        <v>107.25</v>
      </c>
      <c r="M656" s="42">
        <f t="shared" si="1853"/>
        <v>0.45</v>
      </c>
      <c r="N656" s="49">
        <f t="shared" si="1854"/>
        <v>8.58</v>
      </c>
      <c r="O656" s="49">
        <f t="shared" si="1855"/>
        <v>10.725</v>
      </c>
      <c r="P656" s="49">
        <f t="shared" si="1856"/>
        <v>5.3625</v>
      </c>
      <c r="Q656" s="49">
        <f t="shared" si="1857"/>
        <v>2.145</v>
      </c>
      <c r="R656" s="49">
        <f t="shared" si="1858"/>
        <v>0.4725</v>
      </c>
      <c r="S656" s="49">
        <f t="shared" si="1859"/>
        <v>1.0725</v>
      </c>
      <c r="T656" s="50">
        <f t="shared" si="1860"/>
        <v>28.335</v>
      </c>
      <c r="U656" s="42">
        <f t="shared" si="1861"/>
        <v>0.945</v>
      </c>
      <c r="V656" s="42">
        <f t="shared" si="15"/>
        <v>4.725</v>
      </c>
      <c r="W656" s="42">
        <f t="shared" si="1862"/>
        <v>0.945</v>
      </c>
      <c r="X656" s="42">
        <f t="shared" si="1863"/>
        <v>7.56</v>
      </c>
      <c r="Y656" s="42">
        <f t="shared" si="1864"/>
        <v>14.175</v>
      </c>
      <c r="Z656" s="50">
        <f t="shared" si="1865"/>
        <v>149.76</v>
      </c>
      <c r="AA656" s="51">
        <f t="shared" si="1866"/>
        <v>29.952</v>
      </c>
      <c r="AB656" s="49">
        <f t="shared" si="1867"/>
        <v>179.712</v>
      </c>
      <c r="AC656" s="42">
        <f t="shared" si="1868"/>
        <v>94.5</v>
      </c>
      <c r="AD656" s="49">
        <f t="shared" si="1869"/>
        <v>85.212</v>
      </c>
      <c r="AE656" s="49">
        <f t="shared" si="1870"/>
        <v>47.41586538</v>
      </c>
      <c r="AF656" s="47">
        <v>295.0</v>
      </c>
      <c r="AG656" s="52">
        <f t="shared" si="1871"/>
        <v>175.0582751</v>
      </c>
      <c r="AH656" s="53">
        <f t="shared" si="1872"/>
        <v>0</v>
      </c>
      <c r="AI656" s="53">
        <f t="shared" si="2101"/>
        <v>449.28</v>
      </c>
      <c r="AJ656" s="47">
        <v>295.0</v>
      </c>
      <c r="AK656" s="55">
        <f t="shared" si="1730"/>
        <v>175.0582751</v>
      </c>
      <c r="AL656" s="55"/>
      <c r="AM656" s="55">
        <f t="shared" si="1875"/>
        <v>0</v>
      </c>
      <c r="AN656" s="55">
        <f t="shared" si="1876"/>
        <v>0</v>
      </c>
      <c r="AO656" s="56">
        <f t="shared" si="1877"/>
        <v>2.750582751</v>
      </c>
      <c r="AP656" s="55">
        <f t="shared" si="1878"/>
        <v>1.15288</v>
      </c>
      <c r="AQ656" s="55">
        <f t="shared" si="1879"/>
        <v>2.005</v>
      </c>
      <c r="AR656" s="57">
        <f t="shared" ref="AR656:AS656" si="2159">AI656/94</f>
        <v>4.779574468</v>
      </c>
      <c r="AS656" s="57">
        <f t="shared" si="2159"/>
        <v>3.138297872</v>
      </c>
      <c r="AT656" s="58">
        <f t="shared" ref="AT656:AU656" si="2160">AI656/24</f>
        <v>18.72</v>
      </c>
      <c r="AU656" s="58">
        <f t="shared" si="2160"/>
        <v>12.29166667</v>
      </c>
      <c r="AV656" s="58">
        <f t="shared" ref="AV656:AW656" si="2161">AI656/125</f>
        <v>3.59424</v>
      </c>
      <c r="AW656" s="58">
        <f t="shared" si="2161"/>
        <v>2.36</v>
      </c>
      <c r="AX656" s="47"/>
      <c r="AY656" s="47"/>
    </row>
    <row r="657" ht="15.75" customHeight="1">
      <c r="A657" s="42"/>
      <c r="B657" s="42" t="s">
        <v>1294</v>
      </c>
      <c r="C657" s="42" t="s">
        <v>1295</v>
      </c>
      <c r="D657" s="45">
        <v>45.0</v>
      </c>
      <c r="E657" s="42">
        <v>0.0</v>
      </c>
      <c r="F657" s="44">
        <v>40.0</v>
      </c>
      <c r="G657" s="45">
        <v>9.40490099E8</v>
      </c>
      <c r="H657" s="46">
        <v>0.05</v>
      </c>
      <c r="I657" s="42">
        <f t="shared" si="1792"/>
        <v>2.25</v>
      </c>
      <c r="J657" s="47"/>
      <c r="K657" s="44">
        <v>20.0</v>
      </c>
      <c r="L657" s="48">
        <f t="shared" si="1708"/>
        <v>107.25</v>
      </c>
      <c r="M657" s="42">
        <f t="shared" si="1853"/>
        <v>0.45</v>
      </c>
      <c r="N657" s="49">
        <f t="shared" si="1854"/>
        <v>8.58</v>
      </c>
      <c r="O657" s="49">
        <f t="shared" si="1855"/>
        <v>10.725</v>
      </c>
      <c r="P657" s="49">
        <f t="shared" si="1856"/>
        <v>5.3625</v>
      </c>
      <c r="Q657" s="49">
        <f t="shared" si="1857"/>
        <v>2.145</v>
      </c>
      <c r="R657" s="49">
        <f t="shared" si="1858"/>
        <v>0.4725</v>
      </c>
      <c r="S657" s="49">
        <f t="shared" si="1859"/>
        <v>1.0725</v>
      </c>
      <c r="T657" s="50">
        <f t="shared" si="1860"/>
        <v>28.335</v>
      </c>
      <c r="U657" s="42">
        <f t="shared" si="1861"/>
        <v>0.945</v>
      </c>
      <c r="V657" s="42">
        <f t="shared" si="15"/>
        <v>4.725</v>
      </c>
      <c r="W657" s="42">
        <f t="shared" si="1862"/>
        <v>0.945</v>
      </c>
      <c r="X657" s="42">
        <f t="shared" si="1863"/>
        <v>7.56</v>
      </c>
      <c r="Y657" s="42">
        <f t="shared" si="1864"/>
        <v>14.175</v>
      </c>
      <c r="Z657" s="50">
        <f t="shared" si="1865"/>
        <v>149.76</v>
      </c>
      <c r="AA657" s="51">
        <f t="shared" si="1866"/>
        <v>29.952</v>
      </c>
      <c r="AB657" s="49">
        <f t="shared" si="1867"/>
        <v>179.712</v>
      </c>
      <c r="AC657" s="42">
        <f t="shared" si="1868"/>
        <v>94.5</v>
      </c>
      <c r="AD657" s="49">
        <f t="shared" si="1869"/>
        <v>85.212</v>
      </c>
      <c r="AE657" s="49">
        <f t="shared" si="1870"/>
        <v>47.41586538</v>
      </c>
      <c r="AF657" s="47">
        <v>295.0</v>
      </c>
      <c r="AG657" s="52">
        <f t="shared" si="1871"/>
        <v>175.0582751</v>
      </c>
      <c r="AH657" s="53">
        <f t="shared" si="1872"/>
        <v>0</v>
      </c>
      <c r="AI657" s="53">
        <f t="shared" si="2101"/>
        <v>449.28</v>
      </c>
      <c r="AJ657" s="47">
        <v>295.0</v>
      </c>
      <c r="AK657" s="55">
        <f t="shared" si="1730"/>
        <v>175.0582751</v>
      </c>
      <c r="AL657" s="55"/>
      <c r="AM657" s="55">
        <f t="shared" si="1875"/>
        <v>0</v>
      </c>
      <c r="AN657" s="55">
        <f t="shared" si="1876"/>
        <v>0</v>
      </c>
      <c r="AO657" s="56">
        <f t="shared" si="1877"/>
        <v>2.750582751</v>
      </c>
      <c r="AP657" s="55">
        <f t="shared" si="1878"/>
        <v>1.15288</v>
      </c>
      <c r="AQ657" s="55">
        <f t="shared" si="1879"/>
        <v>2.005</v>
      </c>
      <c r="AR657" s="57">
        <f t="shared" ref="AR657:AS657" si="2162">AI657/94</f>
        <v>4.779574468</v>
      </c>
      <c r="AS657" s="57">
        <f t="shared" si="2162"/>
        <v>3.138297872</v>
      </c>
      <c r="AT657" s="58">
        <f t="shared" ref="AT657:AU657" si="2163">AI657/24</f>
        <v>18.72</v>
      </c>
      <c r="AU657" s="58">
        <f t="shared" si="2163"/>
        <v>12.29166667</v>
      </c>
      <c r="AV657" s="58">
        <f t="shared" ref="AV657:AW657" si="2164">AI657/125</f>
        <v>3.59424</v>
      </c>
      <c r="AW657" s="58">
        <f t="shared" si="2164"/>
        <v>2.36</v>
      </c>
      <c r="AX657" s="47"/>
      <c r="AY657" s="47"/>
    </row>
    <row r="658" ht="15.75" customHeight="1">
      <c r="A658" s="42"/>
      <c r="B658" s="42" t="s">
        <v>1296</v>
      </c>
      <c r="C658" s="42" t="s">
        <v>1297</v>
      </c>
      <c r="D658" s="45">
        <v>45.0</v>
      </c>
      <c r="E658" s="42">
        <v>0.0</v>
      </c>
      <c r="F658" s="44">
        <v>40.0</v>
      </c>
      <c r="G658" s="45">
        <v>9.40490099E8</v>
      </c>
      <c r="H658" s="46">
        <v>0.05</v>
      </c>
      <c r="I658" s="42">
        <f t="shared" si="1792"/>
        <v>2.25</v>
      </c>
      <c r="J658" s="47"/>
      <c r="K658" s="44">
        <v>20.0</v>
      </c>
      <c r="L658" s="48">
        <f t="shared" si="1708"/>
        <v>107.25</v>
      </c>
      <c r="M658" s="42">
        <f t="shared" si="1853"/>
        <v>0.45</v>
      </c>
      <c r="N658" s="49">
        <f t="shared" si="1854"/>
        <v>8.58</v>
      </c>
      <c r="O658" s="49">
        <f t="shared" si="1855"/>
        <v>10.725</v>
      </c>
      <c r="P658" s="49">
        <f t="shared" si="1856"/>
        <v>5.3625</v>
      </c>
      <c r="Q658" s="49">
        <f t="shared" si="1857"/>
        <v>2.145</v>
      </c>
      <c r="R658" s="49">
        <f t="shared" si="1858"/>
        <v>0.4725</v>
      </c>
      <c r="S658" s="49">
        <f t="shared" si="1859"/>
        <v>1.0725</v>
      </c>
      <c r="T658" s="50">
        <f t="shared" si="1860"/>
        <v>28.335</v>
      </c>
      <c r="U658" s="42">
        <f t="shared" si="1861"/>
        <v>0.945</v>
      </c>
      <c r="V658" s="42">
        <f t="shared" si="15"/>
        <v>4.725</v>
      </c>
      <c r="W658" s="42">
        <f t="shared" si="1862"/>
        <v>0.945</v>
      </c>
      <c r="X658" s="42">
        <f t="shared" si="1863"/>
        <v>7.56</v>
      </c>
      <c r="Y658" s="42">
        <f t="shared" si="1864"/>
        <v>14.175</v>
      </c>
      <c r="Z658" s="50">
        <f t="shared" si="1865"/>
        <v>149.76</v>
      </c>
      <c r="AA658" s="51">
        <f t="shared" si="1866"/>
        <v>29.952</v>
      </c>
      <c r="AB658" s="49">
        <f t="shared" si="1867"/>
        <v>179.712</v>
      </c>
      <c r="AC658" s="42">
        <f t="shared" si="1868"/>
        <v>94.5</v>
      </c>
      <c r="AD658" s="49">
        <f t="shared" si="1869"/>
        <v>85.212</v>
      </c>
      <c r="AE658" s="49">
        <f t="shared" si="1870"/>
        <v>47.41586538</v>
      </c>
      <c r="AF658" s="47">
        <v>295.0</v>
      </c>
      <c r="AG658" s="52">
        <f t="shared" si="1871"/>
        <v>175.0582751</v>
      </c>
      <c r="AH658" s="53">
        <f t="shared" si="1872"/>
        <v>0</v>
      </c>
      <c r="AI658" s="53">
        <f t="shared" si="2101"/>
        <v>449.28</v>
      </c>
      <c r="AJ658" s="47">
        <v>295.0</v>
      </c>
      <c r="AK658" s="55">
        <f t="shared" si="1730"/>
        <v>175.0582751</v>
      </c>
      <c r="AL658" s="55"/>
      <c r="AM658" s="55">
        <f t="shared" si="1875"/>
        <v>0</v>
      </c>
      <c r="AN658" s="55">
        <f t="shared" si="1876"/>
        <v>0</v>
      </c>
      <c r="AO658" s="56">
        <f t="shared" si="1877"/>
        <v>2.750582751</v>
      </c>
      <c r="AP658" s="55">
        <f t="shared" si="1878"/>
        <v>1.15288</v>
      </c>
      <c r="AQ658" s="55">
        <f t="shared" si="1879"/>
        <v>2.005</v>
      </c>
      <c r="AR658" s="57">
        <f t="shared" ref="AR658:AS658" si="2165">AI658/94</f>
        <v>4.779574468</v>
      </c>
      <c r="AS658" s="57">
        <f t="shared" si="2165"/>
        <v>3.138297872</v>
      </c>
      <c r="AT658" s="58">
        <f t="shared" ref="AT658:AU658" si="2166">AI658/24</f>
        <v>18.72</v>
      </c>
      <c r="AU658" s="58">
        <f t="shared" si="2166"/>
        <v>12.29166667</v>
      </c>
      <c r="AV658" s="58">
        <f t="shared" ref="AV658:AW658" si="2167">AI658/125</f>
        <v>3.59424</v>
      </c>
      <c r="AW658" s="58">
        <f t="shared" si="2167"/>
        <v>2.36</v>
      </c>
      <c r="AX658" s="47"/>
      <c r="AY658" s="47"/>
    </row>
    <row r="659" ht="15.75" customHeight="1">
      <c r="A659" s="42"/>
      <c r="B659" s="42" t="s">
        <v>1298</v>
      </c>
      <c r="C659" s="42" t="s">
        <v>1299</v>
      </c>
      <c r="D659" s="45">
        <v>45.0</v>
      </c>
      <c r="E659" s="42">
        <v>0.0</v>
      </c>
      <c r="F659" s="44">
        <v>40.0</v>
      </c>
      <c r="G659" s="45">
        <v>9.40490099E8</v>
      </c>
      <c r="H659" s="46">
        <v>0.05</v>
      </c>
      <c r="I659" s="42">
        <f t="shared" si="1792"/>
        <v>2.25</v>
      </c>
      <c r="J659" s="47"/>
      <c r="K659" s="44">
        <v>20.0</v>
      </c>
      <c r="L659" s="48">
        <f t="shared" si="1708"/>
        <v>107.25</v>
      </c>
      <c r="M659" s="42">
        <f t="shared" si="1853"/>
        <v>0.45</v>
      </c>
      <c r="N659" s="49">
        <f t="shared" si="1854"/>
        <v>8.58</v>
      </c>
      <c r="O659" s="49">
        <f t="shared" si="1855"/>
        <v>10.725</v>
      </c>
      <c r="P659" s="49">
        <f t="shared" si="1856"/>
        <v>5.3625</v>
      </c>
      <c r="Q659" s="49">
        <f t="shared" si="1857"/>
        <v>2.145</v>
      </c>
      <c r="R659" s="49">
        <f t="shared" si="1858"/>
        <v>0.4725</v>
      </c>
      <c r="S659" s="49">
        <f t="shared" si="1859"/>
        <v>1.0725</v>
      </c>
      <c r="T659" s="50">
        <f t="shared" si="1860"/>
        <v>28.335</v>
      </c>
      <c r="U659" s="42">
        <f t="shared" si="1861"/>
        <v>0.945</v>
      </c>
      <c r="V659" s="42">
        <f t="shared" si="15"/>
        <v>4.725</v>
      </c>
      <c r="W659" s="42">
        <f t="shared" si="1862"/>
        <v>0.945</v>
      </c>
      <c r="X659" s="42">
        <f t="shared" si="1863"/>
        <v>7.56</v>
      </c>
      <c r="Y659" s="42">
        <f t="shared" si="1864"/>
        <v>14.175</v>
      </c>
      <c r="Z659" s="50">
        <f t="shared" si="1865"/>
        <v>149.76</v>
      </c>
      <c r="AA659" s="51">
        <f t="shared" si="1866"/>
        <v>29.952</v>
      </c>
      <c r="AB659" s="49">
        <f t="shared" si="1867"/>
        <v>179.712</v>
      </c>
      <c r="AC659" s="42">
        <f t="shared" si="1868"/>
        <v>94.5</v>
      </c>
      <c r="AD659" s="49">
        <f t="shared" si="1869"/>
        <v>85.212</v>
      </c>
      <c r="AE659" s="49">
        <f t="shared" si="1870"/>
        <v>47.41586538</v>
      </c>
      <c r="AF659" s="47">
        <v>295.0</v>
      </c>
      <c r="AG659" s="52">
        <f t="shared" si="1871"/>
        <v>175.0582751</v>
      </c>
      <c r="AH659" s="53">
        <f t="shared" si="1872"/>
        <v>0</v>
      </c>
      <c r="AI659" s="53">
        <f t="shared" si="2101"/>
        <v>449.28</v>
      </c>
      <c r="AJ659" s="47">
        <v>295.0</v>
      </c>
      <c r="AK659" s="55">
        <f t="shared" si="1730"/>
        <v>175.0582751</v>
      </c>
      <c r="AL659" s="55"/>
      <c r="AM659" s="55">
        <f t="shared" si="1875"/>
        <v>0</v>
      </c>
      <c r="AN659" s="55">
        <f t="shared" si="1876"/>
        <v>0</v>
      </c>
      <c r="AO659" s="56">
        <f t="shared" si="1877"/>
        <v>2.750582751</v>
      </c>
      <c r="AP659" s="55">
        <f t="shared" si="1878"/>
        <v>1.15288</v>
      </c>
      <c r="AQ659" s="55">
        <f t="shared" si="1879"/>
        <v>2.005</v>
      </c>
      <c r="AR659" s="57">
        <f t="shared" ref="AR659:AS659" si="2168">AI659/94</f>
        <v>4.779574468</v>
      </c>
      <c r="AS659" s="57">
        <f t="shared" si="2168"/>
        <v>3.138297872</v>
      </c>
      <c r="AT659" s="58">
        <f t="shared" ref="AT659:AU659" si="2169">AI659/24</f>
        <v>18.72</v>
      </c>
      <c r="AU659" s="58">
        <f t="shared" si="2169"/>
        <v>12.29166667</v>
      </c>
      <c r="AV659" s="58">
        <f t="shared" ref="AV659:AW659" si="2170">AI659/125</f>
        <v>3.59424</v>
      </c>
      <c r="AW659" s="58">
        <f t="shared" si="2170"/>
        <v>2.36</v>
      </c>
      <c r="AX659" s="47"/>
      <c r="AY659" s="47"/>
    </row>
    <row r="660" ht="15.75" customHeight="1">
      <c r="A660" s="42"/>
      <c r="B660" s="42" t="s">
        <v>1300</v>
      </c>
      <c r="C660" s="42" t="s">
        <v>1301</v>
      </c>
      <c r="D660" s="45">
        <v>45.0</v>
      </c>
      <c r="E660" s="42">
        <v>0.0</v>
      </c>
      <c r="F660" s="44">
        <v>40.0</v>
      </c>
      <c r="G660" s="45">
        <v>9.40490099E8</v>
      </c>
      <c r="H660" s="46">
        <v>0.05</v>
      </c>
      <c r="I660" s="42">
        <f t="shared" si="1792"/>
        <v>2.25</v>
      </c>
      <c r="J660" s="47"/>
      <c r="K660" s="44">
        <v>20.0</v>
      </c>
      <c r="L660" s="48">
        <f t="shared" si="1708"/>
        <v>107.25</v>
      </c>
      <c r="M660" s="42">
        <f t="shared" si="1853"/>
        <v>0.45</v>
      </c>
      <c r="N660" s="49">
        <f t="shared" si="1854"/>
        <v>8.58</v>
      </c>
      <c r="O660" s="49">
        <f t="shared" si="1855"/>
        <v>10.725</v>
      </c>
      <c r="P660" s="49">
        <f t="shared" si="1856"/>
        <v>5.3625</v>
      </c>
      <c r="Q660" s="49">
        <f t="shared" si="1857"/>
        <v>2.145</v>
      </c>
      <c r="R660" s="49">
        <f t="shared" si="1858"/>
        <v>0.4725</v>
      </c>
      <c r="S660" s="49">
        <f t="shared" si="1859"/>
        <v>1.0725</v>
      </c>
      <c r="T660" s="50">
        <f t="shared" si="1860"/>
        <v>28.335</v>
      </c>
      <c r="U660" s="42">
        <f t="shared" si="1861"/>
        <v>0.945</v>
      </c>
      <c r="V660" s="42">
        <f t="shared" si="15"/>
        <v>4.725</v>
      </c>
      <c r="W660" s="42">
        <f t="shared" si="1862"/>
        <v>0.945</v>
      </c>
      <c r="X660" s="42">
        <f t="shared" si="1863"/>
        <v>7.56</v>
      </c>
      <c r="Y660" s="42">
        <f t="shared" si="1864"/>
        <v>14.175</v>
      </c>
      <c r="Z660" s="50">
        <f t="shared" si="1865"/>
        <v>149.76</v>
      </c>
      <c r="AA660" s="51">
        <f t="shared" si="1866"/>
        <v>29.952</v>
      </c>
      <c r="AB660" s="49">
        <f t="shared" si="1867"/>
        <v>179.712</v>
      </c>
      <c r="AC660" s="42">
        <f t="shared" si="1868"/>
        <v>94.5</v>
      </c>
      <c r="AD660" s="49">
        <f t="shared" si="1869"/>
        <v>85.212</v>
      </c>
      <c r="AE660" s="49">
        <f t="shared" si="1870"/>
        <v>47.41586538</v>
      </c>
      <c r="AF660" s="47">
        <v>295.0</v>
      </c>
      <c r="AG660" s="52">
        <f t="shared" si="1871"/>
        <v>175.0582751</v>
      </c>
      <c r="AH660" s="53">
        <f t="shared" si="1872"/>
        <v>0</v>
      </c>
      <c r="AI660" s="53">
        <f t="shared" si="2101"/>
        <v>449.28</v>
      </c>
      <c r="AJ660" s="47">
        <v>295.0</v>
      </c>
      <c r="AK660" s="55">
        <f t="shared" si="1730"/>
        <v>175.0582751</v>
      </c>
      <c r="AL660" s="55"/>
      <c r="AM660" s="55">
        <f t="shared" si="1875"/>
        <v>0</v>
      </c>
      <c r="AN660" s="55">
        <f t="shared" si="1876"/>
        <v>0</v>
      </c>
      <c r="AO660" s="56">
        <f t="shared" si="1877"/>
        <v>2.750582751</v>
      </c>
      <c r="AP660" s="55">
        <f t="shared" si="1878"/>
        <v>1.15288</v>
      </c>
      <c r="AQ660" s="55">
        <f t="shared" si="1879"/>
        <v>2.005</v>
      </c>
      <c r="AR660" s="57">
        <f t="shared" ref="AR660:AS660" si="2171">AI660/94</f>
        <v>4.779574468</v>
      </c>
      <c r="AS660" s="57">
        <f t="shared" si="2171"/>
        <v>3.138297872</v>
      </c>
      <c r="AT660" s="58">
        <f t="shared" ref="AT660:AU660" si="2172">AI660/24</f>
        <v>18.72</v>
      </c>
      <c r="AU660" s="58">
        <f t="shared" si="2172"/>
        <v>12.29166667</v>
      </c>
      <c r="AV660" s="58">
        <f t="shared" ref="AV660:AW660" si="2173">AI660/125</f>
        <v>3.59424</v>
      </c>
      <c r="AW660" s="58">
        <f t="shared" si="2173"/>
        <v>2.36</v>
      </c>
      <c r="AX660" s="47"/>
      <c r="AY660" s="47"/>
    </row>
    <row r="661" ht="15.75" customHeight="1">
      <c r="A661" s="42"/>
      <c r="B661" s="42" t="s">
        <v>1302</v>
      </c>
      <c r="C661" s="42" t="s">
        <v>1303</v>
      </c>
      <c r="D661" s="45">
        <v>45.0</v>
      </c>
      <c r="E661" s="42">
        <v>0.0</v>
      </c>
      <c r="F661" s="44">
        <v>40.0</v>
      </c>
      <c r="G661" s="45">
        <v>9.40490099E8</v>
      </c>
      <c r="H661" s="46">
        <v>0.05</v>
      </c>
      <c r="I661" s="42">
        <f t="shared" si="1792"/>
        <v>2.25</v>
      </c>
      <c r="J661" s="47"/>
      <c r="K661" s="44">
        <v>20.0</v>
      </c>
      <c r="L661" s="48">
        <f t="shared" si="1708"/>
        <v>107.25</v>
      </c>
      <c r="M661" s="42">
        <f t="shared" si="1853"/>
        <v>0.45</v>
      </c>
      <c r="N661" s="49">
        <f t="shared" si="1854"/>
        <v>8.58</v>
      </c>
      <c r="O661" s="49">
        <f t="shared" si="1855"/>
        <v>10.725</v>
      </c>
      <c r="P661" s="49">
        <f t="shared" si="1856"/>
        <v>5.3625</v>
      </c>
      <c r="Q661" s="49">
        <f t="shared" si="1857"/>
        <v>2.145</v>
      </c>
      <c r="R661" s="49">
        <f t="shared" si="1858"/>
        <v>0.4725</v>
      </c>
      <c r="S661" s="49">
        <f t="shared" si="1859"/>
        <v>1.0725</v>
      </c>
      <c r="T661" s="50">
        <f t="shared" si="1860"/>
        <v>28.335</v>
      </c>
      <c r="U661" s="42">
        <f t="shared" si="1861"/>
        <v>0.945</v>
      </c>
      <c r="V661" s="42">
        <f t="shared" si="15"/>
        <v>4.725</v>
      </c>
      <c r="W661" s="42">
        <f t="shared" si="1862"/>
        <v>0.945</v>
      </c>
      <c r="X661" s="42">
        <f t="shared" si="1863"/>
        <v>7.56</v>
      </c>
      <c r="Y661" s="42">
        <f t="shared" si="1864"/>
        <v>14.175</v>
      </c>
      <c r="Z661" s="50">
        <f t="shared" si="1865"/>
        <v>149.76</v>
      </c>
      <c r="AA661" s="51">
        <f t="shared" si="1866"/>
        <v>29.952</v>
      </c>
      <c r="AB661" s="49">
        <f t="shared" si="1867"/>
        <v>179.712</v>
      </c>
      <c r="AC661" s="42">
        <f t="shared" si="1868"/>
        <v>94.5</v>
      </c>
      <c r="AD661" s="49">
        <f t="shared" si="1869"/>
        <v>85.212</v>
      </c>
      <c r="AE661" s="49">
        <f t="shared" si="1870"/>
        <v>47.41586538</v>
      </c>
      <c r="AF661" s="47">
        <v>295.0</v>
      </c>
      <c r="AG661" s="52">
        <f t="shared" si="1871"/>
        <v>175.0582751</v>
      </c>
      <c r="AH661" s="53">
        <f t="shared" si="1872"/>
        <v>0</v>
      </c>
      <c r="AI661" s="53">
        <f t="shared" si="2101"/>
        <v>449.28</v>
      </c>
      <c r="AJ661" s="47">
        <v>295.0</v>
      </c>
      <c r="AK661" s="55">
        <f t="shared" si="1730"/>
        <v>175.0582751</v>
      </c>
      <c r="AL661" s="55"/>
      <c r="AM661" s="55">
        <f t="shared" si="1875"/>
        <v>0</v>
      </c>
      <c r="AN661" s="55">
        <f t="shared" si="1876"/>
        <v>0</v>
      </c>
      <c r="AO661" s="56">
        <f t="shared" si="1877"/>
        <v>2.750582751</v>
      </c>
      <c r="AP661" s="55">
        <f t="shared" si="1878"/>
        <v>1.15288</v>
      </c>
      <c r="AQ661" s="55">
        <f t="shared" si="1879"/>
        <v>2.005</v>
      </c>
      <c r="AR661" s="57">
        <f t="shared" ref="AR661:AS661" si="2174">AI661/94</f>
        <v>4.779574468</v>
      </c>
      <c r="AS661" s="57">
        <f t="shared" si="2174"/>
        <v>3.138297872</v>
      </c>
      <c r="AT661" s="58">
        <f t="shared" ref="AT661:AU661" si="2175">AI661/24</f>
        <v>18.72</v>
      </c>
      <c r="AU661" s="58">
        <f t="shared" si="2175"/>
        <v>12.29166667</v>
      </c>
      <c r="AV661" s="58">
        <f t="shared" ref="AV661:AW661" si="2176">AI661/125</f>
        <v>3.59424</v>
      </c>
      <c r="AW661" s="58">
        <f t="shared" si="2176"/>
        <v>2.36</v>
      </c>
      <c r="AX661" s="47"/>
      <c r="AY661" s="47"/>
    </row>
    <row r="662" ht="15.75" customHeight="1">
      <c r="A662" s="42"/>
      <c r="B662" s="42" t="s">
        <v>1304</v>
      </c>
      <c r="C662" s="42" t="s">
        <v>1305</v>
      </c>
      <c r="D662" s="45">
        <v>45.0</v>
      </c>
      <c r="E662" s="42">
        <v>0.0</v>
      </c>
      <c r="F662" s="44">
        <v>40.0</v>
      </c>
      <c r="G662" s="45">
        <v>9.40490099E8</v>
      </c>
      <c r="H662" s="46">
        <v>0.05</v>
      </c>
      <c r="I662" s="42">
        <f t="shared" si="1792"/>
        <v>2.25</v>
      </c>
      <c r="J662" s="47"/>
      <c r="K662" s="44">
        <v>20.0</v>
      </c>
      <c r="L662" s="48">
        <f t="shared" si="1708"/>
        <v>107.25</v>
      </c>
      <c r="M662" s="42">
        <f t="shared" si="1853"/>
        <v>0.45</v>
      </c>
      <c r="N662" s="49">
        <f t="shared" si="1854"/>
        <v>8.58</v>
      </c>
      <c r="O662" s="49">
        <f t="shared" si="1855"/>
        <v>10.725</v>
      </c>
      <c r="P662" s="49">
        <f t="shared" si="1856"/>
        <v>5.3625</v>
      </c>
      <c r="Q662" s="49">
        <f t="shared" si="1857"/>
        <v>2.145</v>
      </c>
      <c r="R662" s="49">
        <f t="shared" si="1858"/>
        <v>0.4725</v>
      </c>
      <c r="S662" s="49">
        <f t="shared" si="1859"/>
        <v>1.0725</v>
      </c>
      <c r="T662" s="50">
        <f t="shared" si="1860"/>
        <v>28.335</v>
      </c>
      <c r="U662" s="42">
        <f t="shared" si="1861"/>
        <v>0.945</v>
      </c>
      <c r="V662" s="42">
        <f t="shared" si="15"/>
        <v>4.725</v>
      </c>
      <c r="W662" s="42">
        <f t="shared" si="1862"/>
        <v>0.945</v>
      </c>
      <c r="X662" s="42">
        <f t="shared" si="1863"/>
        <v>7.56</v>
      </c>
      <c r="Y662" s="42">
        <f t="shared" si="1864"/>
        <v>14.175</v>
      </c>
      <c r="Z662" s="50">
        <f t="shared" si="1865"/>
        <v>149.76</v>
      </c>
      <c r="AA662" s="51">
        <f t="shared" si="1866"/>
        <v>29.952</v>
      </c>
      <c r="AB662" s="49">
        <f t="shared" si="1867"/>
        <v>179.712</v>
      </c>
      <c r="AC662" s="42">
        <f t="shared" si="1868"/>
        <v>94.5</v>
      </c>
      <c r="AD662" s="49">
        <f t="shared" si="1869"/>
        <v>85.212</v>
      </c>
      <c r="AE662" s="49">
        <f t="shared" si="1870"/>
        <v>47.41586538</v>
      </c>
      <c r="AF662" s="47">
        <v>295.0</v>
      </c>
      <c r="AG662" s="52">
        <f t="shared" si="1871"/>
        <v>175.0582751</v>
      </c>
      <c r="AH662" s="53">
        <f t="shared" si="1872"/>
        <v>0</v>
      </c>
      <c r="AI662" s="53">
        <f t="shared" si="2101"/>
        <v>449.28</v>
      </c>
      <c r="AJ662" s="47">
        <v>295.0</v>
      </c>
      <c r="AK662" s="55">
        <f t="shared" si="1730"/>
        <v>175.0582751</v>
      </c>
      <c r="AL662" s="55"/>
      <c r="AM662" s="55">
        <f t="shared" si="1875"/>
        <v>0</v>
      </c>
      <c r="AN662" s="55">
        <f t="shared" si="1876"/>
        <v>0</v>
      </c>
      <c r="AO662" s="56">
        <f t="shared" si="1877"/>
        <v>2.750582751</v>
      </c>
      <c r="AP662" s="55">
        <f t="shared" si="1878"/>
        <v>1.15288</v>
      </c>
      <c r="AQ662" s="55">
        <f t="shared" si="1879"/>
        <v>2.005</v>
      </c>
      <c r="AR662" s="57">
        <f t="shared" ref="AR662:AS662" si="2177">AI662/94</f>
        <v>4.779574468</v>
      </c>
      <c r="AS662" s="57">
        <f t="shared" si="2177"/>
        <v>3.138297872</v>
      </c>
      <c r="AT662" s="58">
        <f t="shared" ref="AT662:AU662" si="2178">AI662/24</f>
        <v>18.72</v>
      </c>
      <c r="AU662" s="58">
        <f t="shared" si="2178"/>
        <v>12.29166667</v>
      </c>
      <c r="AV662" s="58">
        <f t="shared" ref="AV662:AW662" si="2179">AI662/125</f>
        <v>3.59424</v>
      </c>
      <c r="AW662" s="58">
        <f t="shared" si="2179"/>
        <v>2.36</v>
      </c>
      <c r="AX662" s="47"/>
      <c r="AY662" s="47"/>
    </row>
    <row r="663" ht="15.75" customHeight="1">
      <c r="A663" s="42"/>
      <c r="B663" s="42" t="s">
        <v>1306</v>
      </c>
      <c r="C663" s="42" t="s">
        <v>1307</v>
      </c>
      <c r="D663" s="45">
        <v>55.0</v>
      </c>
      <c r="E663" s="42">
        <v>0.0</v>
      </c>
      <c r="F663" s="44">
        <v>40.0</v>
      </c>
      <c r="G663" s="45">
        <v>9.40490099E8</v>
      </c>
      <c r="H663" s="46">
        <v>0.05</v>
      </c>
      <c r="I663" s="42">
        <f t="shared" si="1792"/>
        <v>2.75</v>
      </c>
      <c r="J663" s="47"/>
      <c r="K663" s="44">
        <v>20.0</v>
      </c>
      <c r="L663" s="48">
        <f t="shared" si="1708"/>
        <v>117.75</v>
      </c>
      <c r="M663" s="42">
        <f t="shared" si="1853"/>
        <v>0.55</v>
      </c>
      <c r="N663" s="49">
        <f t="shared" si="1854"/>
        <v>9.42</v>
      </c>
      <c r="O663" s="49">
        <f t="shared" si="1855"/>
        <v>11.775</v>
      </c>
      <c r="P663" s="49">
        <f t="shared" si="1856"/>
        <v>5.8875</v>
      </c>
      <c r="Q663" s="49">
        <f t="shared" si="1857"/>
        <v>2.355</v>
      </c>
      <c r="R663" s="49">
        <f t="shared" si="1858"/>
        <v>0.5775</v>
      </c>
      <c r="S663" s="49">
        <f t="shared" si="1859"/>
        <v>1.1775</v>
      </c>
      <c r="T663" s="50">
        <f t="shared" si="1860"/>
        <v>31.165</v>
      </c>
      <c r="U663" s="42">
        <f t="shared" si="1861"/>
        <v>1.155</v>
      </c>
      <c r="V663" s="42">
        <f t="shared" si="15"/>
        <v>5.775</v>
      </c>
      <c r="W663" s="42">
        <f t="shared" si="1862"/>
        <v>1.155</v>
      </c>
      <c r="X663" s="42">
        <f t="shared" si="1863"/>
        <v>9.24</v>
      </c>
      <c r="Y663" s="42">
        <f t="shared" si="1864"/>
        <v>17.325</v>
      </c>
      <c r="Z663" s="50">
        <f t="shared" si="1865"/>
        <v>166.24</v>
      </c>
      <c r="AA663" s="51">
        <f t="shared" si="1866"/>
        <v>33.248</v>
      </c>
      <c r="AB663" s="49">
        <f t="shared" si="1867"/>
        <v>199.488</v>
      </c>
      <c r="AC663" s="42">
        <f t="shared" si="1868"/>
        <v>115.5</v>
      </c>
      <c r="AD663" s="49">
        <f t="shared" si="1869"/>
        <v>83.988</v>
      </c>
      <c r="AE663" s="49">
        <f t="shared" si="1870"/>
        <v>42.10178056</v>
      </c>
      <c r="AF663" s="47">
        <v>325.0</v>
      </c>
      <c r="AG663" s="52">
        <f t="shared" si="1871"/>
        <v>176.0084926</v>
      </c>
      <c r="AH663" s="53">
        <f t="shared" si="1872"/>
        <v>0</v>
      </c>
      <c r="AI663" s="53">
        <f t="shared" si="2101"/>
        <v>498.72</v>
      </c>
      <c r="AJ663" s="47">
        <v>325.0</v>
      </c>
      <c r="AK663" s="55">
        <f t="shared" si="1730"/>
        <v>176.0084926</v>
      </c>
      <c r="AL663" s="55"/>
      <c r="AM663" s="55">
        <f t="shared" si="1875"/>
        <v>0</v>
      </c>
      <c r="AN663" s="55">
        <f t="shared" si="1876"/>
        <v>0</v>
      </c>
      <c r="AO663" s="56">
        <f t="shared" si="1877"/>
        <v>2.760084926</v>
      </c>
      <c r="AP663" s="55">
        <f t="shared" si="1878"/>
        <v>1.25512</v>
      </c>
      <c r="AQ663" s="55">
        <f t="shared" si="1879"/>
        <v>2.095</v>
      </c>
      <c r="AR663" s="57">
        <f t="shared" ref="AR663:AS663" si="2180">AI663/94</f>
        <v>5.305531915</v>
      </c>
      <c r="AS663" s="57">
        <f t="shared" si="2180"/>
        <v>3.457446809</v>
      </c>
      <c r="AT663" s="58">
        <f t="shared" ref="AT663:AU663" si="2181">AI663/24</f>
        <v>20.78</v>
      </c>
      <c r="AU663" s="58">
        <f t="shared" si="2181"/>
        <v>13.54166667</v>
      </c>
      <c r="AV663" s="58">
        <f t="shared" ref="AV663:AW663" si="2182">AI663/125</f>
        <v>3.98976</v>
      </c>
      <c r="AW663" s="58">
        <f t="shared" si="2182"/>
        <v>2.6</v>
      </c>
      <c r="AX663" s="47"/>
      <c r="AY663" s="47"/>
    </row>
    <row r="664" ht="15.75" customHeight="1">
      <c r="A664" s="42"/>
      <c r="B664" s="42" t="s">
        <v>1308</v>
      </c>
      <c r="C664" s="42" t="s">
        <v>1309</v>
      </c>
      <c r="D664" s="45">
        <v>55.0</v>
      </c>
      <c r="E664" s="42">
        <v>0.0</v>
      </c>
      <c r="F664" s="44">
        <v>40.0</v>
      </c>
      <c r="G664" s="45">
        <v>9.40490099E8</v>
      </c>
      <c r="H664" s="46">
        <v>0.05</v>
      </c>
      <c r="I664" s="42">
        <f t="shared" si="1792"/>
        <v>2.75</v>
      </c>
      <c r="J664" s="47"/>
      <c r="K664" s="44">
        <v>20.0</v>
      </c>
      <c r="L664" s="48">
        <f t="shared" si="1708"/>
        <v>117.75</v>
      </c>
      <c r="M664" s="42">
        <f t="shared" si="1853"/>
        <v>0.55</v>
      </c>
      <c r="N664" s="49">
        <f t="shared" si="1854"/>
        <v>9.42</v>
      </c>
      <c r="O664" s="49">
        <f t="shared" si="1855"/>
        <v>11.775</v>
      </c>
      <c r="P664" s="49">
        <f t="shared" si="1856"/>
        <v>5.8875</v>
      </c>
      <c r="Q664" s="49">
        <f t="shared" si="1857"/>
        <v>2.355</v>
      </c>
      <c r="R664" s="49">
        <f t="shared" si="1858"/>
        <v>0.5775</v>
      </c>
      <c r="S664" s="49">
        <f t="shared" si="1859"/>
        <v>1.1775</v>
      </c>
      <c r="T664" s="50">
        <f t="shared" si="1860"/>
        <v>31.165</v>
      </c>
      <c r="U664" s="42">
        <f t="shared" si="1861"/>
        <v>1.155</v>
      </c>
      <c r="V664" s="42">
        <f t="shared" si="15"/>
        <v>5.775</v>
      </c>
      <c r="W664" s="42">
        <f t="shared" si="1862"/>
        <v>1.155</v>
      </c>
      <c r="X664" s="42">
        <f t="shared" si="1863"/>
        <v>9.24</v>
      </c>
      <c r="Y664" s="42">
        <f t="shared" si="1864"/>
        <v>17.325</v>
      </c>
      <c r="Z664" s="50">
        <f t="shared" si="1865"/>
        <v>166.24</v>
      </c>
      <c r="AA664" s="51">
        <f t="shared" si="1866"/>
        <v>33.248</v>
      </c>
      <c r="AB664" s="49">
        <f t="shared" si="1867"/>
        <v>199.488</v>
      </c>
      <c r="AC664" s="42">
        <f t="shared" si="1868"/>
        <v>115.5</v>
      </c>
      <c r="AD664" s="49">
        <f t="shared" si="1869"/>
        <v>83.988</v>
      </c>
      <c r="AE664" s="49">
        <f t="shared" si="1870"/>
        <v>42.10178056</v>
      </c>
      <c r="AF664" s="47">
        <v>325.0</v>
      </c>
      <c r="AG664" s="52">
        <f t="shared" si="1871"/>
        <v>176.0084926</v>
      </c>
      <c r="AH664" s="53">
        <f t="shared" si="1872"/>
        <v>0</v>
      </c>
      <c r="AI664" s="53">
        <f t="shared" si="2101"/>
        <v>498.72</v>
      </c>
      <c r="AJ664" s="47">
        <v>325.0</v>
      </c>
      <c r="AK664" s="55">
        <f t="shared" si="1730"/>
        <v>176.0084926</v>
      </c>
      <c r="AL664" s="55"/>
      <c r="AM664" s="55">
        <f t="shared" si="1875"/>
        <v>0</v>
      </c>
      <c r="AN664" s="55">
        <f t="shared" si="1876"/>
        <v>0</v>
      </c>
      <c r="AO664" s="56">
        <f t="shared" si="1877"/>
        <v>2.760084926</v>
      </c>
      <c r="AP664" s="55">
        <f t="shared" si="1878"/>
        <v>1.25512</v>
      </c>
      <c r="AQ664" s="55">
        <f t="shared" si="1879"/>
        <v>2.095</v>
      </c>
      <c r="AR664" s="57">
        <f t="shared" ref="AR664:AS664" si="2183">AI664/94</f>
        <v>5.305531915</v>
      </c>
      <c r="AS664" s="57">
        <f t="shared" si="2183"/>
        <v>3.457446809</v>
      </c>
      <c r="AT664" s="58">
        <f t="shared" ref="AT664:AU664" si="2184">AI664/24</f>
        <v>20.78</v>
      </c>
      <c r="AU664" s="58">
        <f t="shared" si="2184"/>
        <v>13.54166667</v>
      </c>
      <c r="AV664" s="58">
        <f t="shared" ref="AV664:AW664" si="2185">AI664/125</f>
        <v>3.98976</v>
      </c>
      <c r="AW664" s="58">
        <f t="shared" si="2185"/>
        <v>2.6</v>
      </c>
      <c r="AX664" s="47"/>
      <c r="AY664" s="47"/>
    </row>
    <row r="665" ht="15.75" customHeight="1">
      <c r="A665" s="42"/>
      <c r="B665" s="42" t="s">
        <v>1310</v>
      </c>
      <c r="C665" s="42" t="s">
        <v>1311</v>
      </c>
      <c r="D665" s="45">
        <v>55.0</v>
      </c>
      <c r="E665" s="42">
        <v>0.0</v>
      </c>
      <c r="F665" s="44">
        <v>40.0</v>
      </c>
      <c r="G665" s="45">
        <v>9.40490099E8</v>
      </c>
      <c r="H665" s="46">
        <v>0.05</v>
      </c>
      <c r="I665" s="42">
        <f t="shared" si="1792"/>
        <v>2.75</v>
      </c>
      <c r="J665" s="47"/>
      <c r="K665" s="44">
        <v>20.0</v>
      </c>
      <c r="L665" s="48">
        <f t="shared" si="1708"/>
        <v>117.75</v>
      </c>
      <c r="M665" s="42">
        <f t="shared" si="1853"/>
        <v>0.55</v>
      </c>
      <c r="N665" s="49">
        <f t="shared" si="1854"/>
        <v>9.42</v>
      </c>
      <c r="O665" s="49">
        <f t="shared" si="1855"/>
        <v>11.775</v>
      </c>
      <c r="P665" s="49">
        <f t="shared" si="1856"/>
        <v>5.8875</v>
      </c>
      <c r="Q665" s="49">
        <f t="shared" si="1857"/>
        <v>2.355</v>
      </c>
      <c r="R665" s="49">
        <f t="shared" si="1858"/>
        <v>0.5775</v>
      </c>
      <c r="S665" s="49">
        <f t="shared" si="1859"/>
        <v>1.1775</v>
      </c>
      <c r="T665" s="50">
        <f t="shared" si="1860"/>
        <v>31.165</v>
      </c>
      <c r="U665" s="42">
        <f t="shared" si="1861"/>
        <v>1.155</v>
      </c>
      <c r="V665" s="42">
        <f t="shared" si="15"/>
        <v>5.775</v>
      </c>
      <c r="W665" s="42">
        <f t="shared" si="1862"/>
        <v>1.155</v>
      </c>
      <c r="X665" s="42">
        <f t="shared" si="1863"/>
        <v>9.24</v>
      </c>
      <c r="Y665" s="42">
        <f t="shared" si="1864"/>
        <v>17.325</v>
      </c>
      <c r="Z665" s="50">
        <f t="shared" si="1865"/>
        <v>166.24</v>
      </c>
      <c r="AA665" s="51">
        <f t="shared" si="1866"/>
        <v>33.248</v>
      </c>
      <c r="AB665" s="49">
        <f t="shared" si="1867"/>
        <v>199.488</v>
      </c>
      <c r="AC665" s="42">
        <f t="shared" si="1868"/>
        <v>115.5</v>
      </c>
      <c r="AD665" s="49">
        <f t="shared" si="1869"/>
        <v>83.988</v>
      </c>
      <c r="AE665" s="49">
        <f t="shared" si="1870"/>
        <v>42.10178056</v>
      </c>
      <c r="AF665" s="47">
        <v>325.0</v>
      </c>
      <c r="AG665" s="52">
        <f t="shared" si="1871"/>
        <v>176.0084926</v>
      </c>
      <c r="AH665" s="53">
        <f t="shared" si="1872"/>
        <v>0</v>
      </c>
      <c r="AI665" s="53">
        <f t="shared" si="2101"/>
        <v>498.72</v>
      </c>
      <c r="AJ665" s="47">
        <v>325.0</v>
      </c>
      <c r="AK665" s="55">
        <f t="shared" si="1730"/>
        <v>176.0084926</v>
      </c>
      <c r="AL665" s="55"/>
      <c r="AM665" s="55">
        <f t="shared" si="1875"/>
        <v>0</v>
      </c>
      <c r="AN665" s="55">
        <f t="shared" si="1876"/>
        <v>0</v>
      </c>
      <c r="AO665" s="56">
        <f t="shared" si="1877"/>
        <v>2.760084926</v>
      </c>
      <c r="AP665" s="55">
        <f t="shared" si="1878"/>
        <v>1.25512</v>
      </c>
      <c r="AQ665" s="55">
        <f t="shared" si="1879"/>
        <v>2.095</v>
      </c>
      <c r="AR665" s="57">
        <f t="shared" ref="AR665:AS665" si="2186">AI665/94</f>
        <v>5.305531915</v>
      </c>
      <c r="AS665" s="57">
        <f t="shared" si="2186"/>
        <v>3.457446809</v>
      </c>
      <c r="AT665" s="58">
        <f t="shared" ref="AT665:AU665" si="2187">AI665/24</f>
        <v>20.78</v>
      </c>
      <c r="AU665" s="58">
        <f t="shared" si="2187"/>
        <v>13.54166667</v>
      </c>
      <c r="AV665" s="58">
        <f t="shared" ref="AV665:AW665" si="2188">AI665/125</f>
        <v>3.98976</v>
      </c>
      <c r="AW665" s="58">
        <f t="shared" si="2188"/>
        <v>2.6</v>
      </c>
      <c r="AX665" s="47"/>
      <c r="AY665" s="47"/>
    </row>
    <row r="666" ht="15.75" customHeight="1">
      <c r="A666" s="42"/>
      <c r="B666" s="42" t="s">
        <v>1312</v>
      </c>
      <c r="C666" s="42" t="s">
        <v>1313</v>
      </c>
      <c r="D666" s="45">
        <v>55.0</v>
      </c>
      <c r="E666" s="42">
        <v>0.0</v>
      </c>
      <c r="F666" s="44">
        <v>40.0</v>
      </c>
      <c r="G666" s="45">
        <v>9.40490099E8</v>
      </c>
      <c r="H666" s="46">
        <v>0.05</v>
      </c>
      <c r="I666" s="42">
        <f t="shared" si="1792"/>
        <v>2.75</v>
      </c>
      <c r="J666" s="47"/>
      <c r="K666" s="44">
        <v>20.0</v>
      </c>
      <c r="L666" s="48">
        <f t="shared" si="1708"/>
        <v>117.75</v>
      </c>
      <c r="M666" s="42">
        <f t="shared" si="1853"/>
        <v>0.55</v>
      </c>
      <c r="N666" s="49">
        <f t="shared" si="1854"/>
        <v>9.42</v>
      </c>
      <c r="O666" s="49">
        <f t="shared" si="1855"/>
        <v>11.775</v>
      </c>
      <c r="P666" s="49">
        <f t="shared" si="1856"/>
        <v>5.8875</v>
      </c>
      <c r="Q666" s="49">
        <f t="shared" si="1857"/>
        <v>2.355</v>
      </c>
      <c r="R666" s="49">
        <f t="shared" si="1858"/>
        <v>0.5775</v>
      </c>
      <c r="S666" s="49">
        <f t="shared" si="1859"/>
        <v>1.1775</v>
      </c>
      <c r="T666" s="50">
        <f t="shared" si="1860"/>
        <v>31.165</v>
      </c>
      <c r="U666" s="42">
        <f t="shared" si="1861"/>
        <v>1.155</v>
      </c>
      <c r="V666" s="42">
        <f t="shared" si="15"/>
        <v>5.775</v>
      </c>
      <c r="W666" s="42">
        <f t="shared" si="1862"/>
        <v>1.155</v>
      </c>
      <c r="X666" s="42">
        <f t="shared" si="1863"/>
        <v>9.24</v>
      </c>
      <c r="Y666" s="42">
        <f t="shared" si="1864"/>
        <v>17.325</v>
      </c>
      <c r="Z666" s="50">
        <f t="shared" si="1865"/>
        <v>166.24</v>
      </c>
      <c r="AA666" s="51">
        <f t="shared" si="1866"/>
        <v>33.248</v>
      </c>
      <c r="AB666" s="49">
        <f t="shared" si="1867"/>
        <v>199.488</v>
      </c>
      <c r="AC666" s="42">
        <f t="shared" si="1868"/>
        <v>115.5</v>
      </c>
      <c r="AD666" s="49">
        <f t="shared" si="1869"/>
        <v>83.988</v>
      </c>
      <c r="AE666" s="49">
        <f t="shared" si="1870"/>
        <v>42.10178056</v>
      </c>
      <c r="AF666" s="47">
        <v>325.0</v>
      </c>
      <c r="AG666" s="52">
        <f t="shared" si="1871"/>
        <v>176.0084926</v>
      </c>
      <c r="AH666" s="53">
        <f t="shared" si="1872"/>
        <v>0</v>
      </c>
      <c r="AI666" s="53">
        <f t="shared" si="2101"/>
        <v>498.72</v>
      </c>
      <c r="AJ666" s="47">
        <v>325.0</v>
      </c>
      <c r="AK666" s="55">
        <f t="shared" si="1730"/>
        <v>176.0084926</v>
      </c>
      <c r="AL666" s="55"/>
      <c r="AM666" s="55">
        <f t="shared" si="1875"/>
        <v>0</v>
      </c>
      <c r="AN666" s="55">
        <f t="shared" si="1876"/>
        <v>0</v>
      </c>
      <c r="AO666" s="56">
        <f t="shared" si="1877"/>
        <v>2.760084926</v>
      </c>
      <c r="AP666" s="55">
        <f t="shared" si="1878"/>
        <v>1.25512</v>
      </c>
      <c r="AQ666" s="55">
        <f t="shared" si="1879"/>
        <v>2.095</v>
      </c>
      <c r="AR666" s="57">
        <f t="shared" ref="AR666:AS666" si="2189">AI666/94</f>
        <v>5.305531915</v>
      </c>
      <c r="AS666" s="57">
        <f t="shared" si="2189"/>
        <v>3.457446809</v>
      </c>
      <c r="AT666" s="58">
        <f t="shared" ref="AT666:AU666" si="2190">AI666/24</f>
        <v>20.78</v>
      </c>
      <c r="AU666" s="58">
        <f t="shared" si="2190"/>
        <v>13.54166667</v>
      </c>
      <c r="AV666" s="58">
        <f t="shared" ref="AV666:AW666" si="2191">AI666/125</f>
        <v>3.98976</v>
      </c>
      <c r="AW666" s="58">
        <f t="shared" si="2191"/>
        <v>2.6</v>
      </c>
      <c r="AX666" s="47"/>
      <c r="AY666" s="47"/>
    </row>
    <row r="667" ht="15.75" customHeight="1">
      <c r="A667" s="42"/>
      <c r="B667" s="42" t="s">
        <v>1314</v>
      </c>
      <c r="C667" s="42" t="s">
        <v>1315</v>
      </c>
      <c r="D667" s="45">
        <v>55.0</v>
      </c>
      <c r="E667" s="42">
        <v>0.0</v>
      </c>
      <c r="F667" s="44">
        <v>40.0</v>
      </c>
      <c r="G667" s="45">
        <v>9.40490099E8</v>
      </c>
      <c r="H667" s="46">
        <v>0.05</v>
      </c>
      <c r="I667" s="42">
        <f t="shared" si="1792"/>
        <v>2.75</v>
      </c>
      <c r="J667" s="47"/>
      <c r="K667" s="44">
        <v>20.0</v>
      </c>
      <c r="L667" s="48">
        <f t="shared" si="1708"/>
        <v>117.75</v>
      </c>
      <c r="M667" s="42">
        <f t="shared" si="1853"/>
        <v>0.55</v>
      </c>
      <c r="N667" s="49">
        <f t="shared" si="1854"/>
        <v>9.42</v>
      </c>
      <c r="O667" s="49">
        <f t="shared" si="1855"/>
        <v>11.775</v>
      </c>
      <c r="P667" s="49">
        <f t="shared" si="1856"/>
        <v>5.8875</v>
      </c>
      <c r="Q667" s="49">
        <f t="shared" si="1857"/>
        <v>2.355</v>
      </c>
      <c r="R667" s="49">
        <f t="shared" si="1858"/>
        <v>0.5775</v>
      </c>
      <c r="S667" s="49">
        <f t="shared" si="1859"/>
        <v>1.1775</v>
      </c>
      <c r="T667" s="50">
        <f t="shared" si="1860"/>
        <v>31.165</v>
      </c>
      <c r="U667" s="42">
        <f t="shared" si="1861"/>
        <v>1.155</v>
      </c>
      <c r="V667" s="42">
        <f t="shared" si="15"/>
        <v>5.775</v>
      </c>
      <c r="W667" s="42">
        <f t="shared" si="1862"/>
        <v>1.155</v>
      </c>
      <c r="X667" s="42">
        <f t="shared" si="1863"/>
        <v>9.24</v>
      </c>
      <c r="Y667" s="42">
        <f t="shared" si="1864"/>
        <v>17.325</v>
      </c>
      <c r="Z667" s="50">
        <f t="shared" si="1865"/>
        <v>166.24</v>
      </c>
      <c r="AA667" s="51">
        <f t="shared" si="1866"/>
        <v>33.248</v>
      </c>
      <c r="AB667" s="49">
        <f t="shared" si="1867"/>
        <v>199.488</v>
      </c>
      <c r="AC667" s="42">
        <f t="shared" si="1868"/>
        <v>115.5</v>
      </c>
      <c r="AD667" s="49">
        <f t="shared" si="1869"/>
        <v>83.988</v>
      </c>
      <c r="AE667" s="49">
        <f t="shared" si="1870"/>
        <v>42.10178056</v>
      </c>
      <c r="AF667" s="47">
        <v>325.0</v>
      </c>
      <c r="AG667" s="52">
        <f t="shared" si="1871"/>
        <v>176.0084926</v>
      </c>
      <c r="AH667" s="53">
        <f t="shared" si="1872"/>
        <v>0</v>
      </c>
      <c r="AI667" s="53">
        <f t="shared" si="2101"/>
        <v>498.72</v>
      </c>
      <c r="AJ667" s="47">
        <v>325.0</v>
      </c>
      <c r="AK667" s="55">
        <f t="shared" si="1730"/>
        <v>176.0084926</v>
      </c>
      <c r="AL667" s="55"/>
      <c r="AM667" s="55">
        <f t="shared" si="1875"/>
        <v>0</v>
      </c>
      <c r="AN667" s="55">
        <f t="shared" si="1876"/>
        <v>0</v>
      </c>
      <c r="AO667" s="56">
        <f t="shared" si="1877"/>
        <v>2.760084926</v>
      </c>
      <c r="AP667" s="55">
        <f t="shared" si="1878"/>
        <v>1.25512</v>
      </c>
      <c r="AQ667" s="55">
        <f t="shared" si="1879"/>
        <v>2.095</v>
      </c>
      <c r="AR667" s="57">
        <f t="shared" ref="AR667:AS667" si="2192">AI667/94</f>
        <v>5.305531915</v>
      </c>
      <c r="AS667" s="57">
        <f t="shared" si="2192"/>
        <v>3.457446809</v>
      </c>
      <c r="AT667" s="58">
        <f t="shared" ref="AT667:AU667" si="2193">AI667/24</f>
        <v>20.78</v>
      </c>
      <c r="AU667" s="58">
        <f t="shared" si="2193"/>
        <v>13.54166667</v>
      </c>
      <c r="AV667" s="58">
        <f t="shared" ref="AV667:AW667" si="2194">AI667/125</f>
        <v>3.98976</v>
      </c>
      <c r="AW667" s="58">
        <f t="shared" si="2194"/>
        <v>2.6</v>
      </c>
      <c r="AX667" s="47"/>
      <c r="AY667" s="47"/>
    </row>
    <row r="668" ht="15.75" customHeight="1">
      <c r="A668" s="42"/>
      <c r="B668" s="42" t="s">
        <v>1316</v>
      </c>
      <c r="C668" s="42" t="s">
        <v>1317</v>
      </c>
      <c r="D668" s="45">
        <v>55.0</v>
      </c>
      <c r="E668" s="42">
        <v>0.0</v>
      </c>
      <c r="F668" s="44">
        <v>40.0</v>
      </c>
      <c r="G668" s="45">
        <v>9.40490099E8</v>
      </c>
      <c r="H668" s="46">
        <v>0.05</v>
      </c>
      <c r="I668" s="42">
        <f t="shared" si="1792"/>
        <v>2.75</v>
      </c>
      <c r="J668" s="47"/>
      <c r="K668" s="44">
        <v>20.0</v>
      </c>
      <c r="L668" s="48">
        <f t="shared" si="1708"/>
        <v>117.75</v>
      </c>
      <c r="M668" s="42">
        <f t="shared" si="1853"/>
        <v>0.55</v>
      </c>
      <c r="N668" s="49">
        <f t="shared" si="1854"/>
        <v>9.42</v>
      </c>
      <c r="O668" s="49">
        <f t="shared" si="1855"/>
        <v>11.775</v>
      </c>
      <c r="P668" s="49">
        <f t="shared" si="1856"/>
        <v>5.8875</v>
      </c>
      <c r="Q668" s="49">
        <f t="shared" si="1857"/>
        <v>2.355</v>
      </c>
      <c r="R668" s="49">
        <f t="shared" si="1858"/>
        <v>0.5775</v>
      </c>
      <c r="S668" s="49">
        <f t="shared" si="1859"/>
        <v>1.1775</v>
      </c>
      <c r="T668" s="50">
        <f t="shared" si="1860"/>
        <v>31.165</v>
      </c>
      <c r="U668" s="42">
        <f t="shared" si="1861"/>
        <v>1.155</v>
      </c>
      <c r="V668" s="42">
        <f t="shared" si="15"/>
        <v>5.775</v>
      </c>
      <c r="W668" s="42">
        <f t="shared" si="1862"/>
        <v>1.155</v>
      </c>
      <c r="X668" s="42">
        <f t="shared" si="1863"/>
        <v>9.24</v>
      </c>
      <c r="Y668" s="42">
        <f t="shared" si="1864"/>
        <v>17.325</v>
      </c>
      <c r="Z668" s="50">
        <f t="shared" si="1865"/>
        <v>166.24</v>
      </c>
      <c r="AA668" s="51">
        <f t="shared" si="1866"/>
        <v>33.248</v>
      </c>
      <c r="AB668" s="49">
        <f t="shared" si="1867"/>
        <v>199.488</v>
      </c>
      <c r="AC668" s="42">
        <f t="shared" si="1868"/>
        <v>115.5</v>
      </c>
      <c r="AD668" s="49">
        <f t="shared" si="1869"/>
        <v>83.988</v>
      </c>
      <c r="AE668" s="49">
        <f t="shared" si="1870"/>
        <v>42.10178056</v>
      </c>
      <c r="AF668" s="47">
        <v>325.0</v>
      </c>
      <c r="AG668" s="52">
        <f t="shared" si="1871"/>
        <v>176.0084926</v>
      </c>
      <c r="AH668" s="53">
        <f t="shared" si="1872"/>
        <v>0</v>
      </c>
      <c r="AI668" s="53">
        <f t="shared" si="2101"/>
        <v>498.72</v>
      </c>
      <c r="AJ668" s="47">
        <v>325.0</v>
      </c>
      <c r="AK668" s="55">
        <f t="shared" si="1730"/>
        <v>176.0084926</v>
      </c>
      <c r="AL668" s="55"/>
      <c r="AM668" s="55">
        <f t="shared" si="1875"/>
        <v>0</v>
      </c>
      <c r="AN668" s="55">
        <f t="shared" si="1876"/>
        <v>0</v>
      </c>
      <c r="AO668" s="56">
        <f t="shared" si="1877"/>
        <v>2.760084926</v>
      </c>
      <c r="AP668" s="55">
        <f t="shared" si="1878"/>
        <v>1.25512</v>
      </c>
      <c r="AQ668" s="55">
        <f t="shared" si="1879"/>
        <v>2.095</v>
      </c>
      <c r="AR668" s="57">
        <f t="shared" ref="AR668:AS668" si="2195">AI668/94</f>
        <v>5.305531915</v>
      </c>
      <c r="AS668" s="57">
        <f t="shared" si="2195"/>
        <v>3.457446809</v>
      </c>
      <c r="AT668" s="58">
        <f t="shared" ref="AT668:AU668" si="2196">AI668/24</f>
        <v>20.78</v>
      </c>
      <c r="AU668" s="58">
        <f t="shared" si="2196"/>
        <v>13.54166667</v>
      </c>
      <c r="AV668" s="58">
        <f t="shared" ref="AV668:AW668" si="2197">AI668/125</f>
        <v>3.98976</v>
      </c>
      <c r="AW668" s="58">
        <f t="shared" si="2197"/>
        <v>2.6</v>
      </c>
      <c r="AX668" s="47"/>
      <c r="AY668" s="47"/>
    </row>
    <row r="669" ht="15.75" customHeight="1">
      <c r="A669" s="42"/>
      <c r="B669" s="42" t="s">
        <v>1318</v>
      </c>
      <c r="C669" s="42" t="s">
        <v>1319</v>
      </c>
      <c r="D669" s="45">
        <v>55.0</v>
      </c>
      <c r="E669" s="42">
        <v>0.0</v>
      </c>
      <c r="F669" s="44">
        <v>40.0</v>
      </c>
      <c r="G669" s="45">
        <v>9.40490099E8</v>
      </c>
      <c r="H669" s="46">
        <v>0.05</v>
      </c>
      <c r="I669" s="42">
        <f t="shared" si="1792"/>
        <v>2.75</v>
      </c>
      <c r="J669" s="47"/>
      <c r="K669" s="44">
        <v>20.0</v>
      </c>
      <c r="L669" s="48">
        <f t="shared" si="1708"/>
        <v>117.75</v>
      </c>
      <c r="M669" s="42">
        <f t="shared" si="1853"/>
        <v>0.55</v>
      </c>
      <c r="N669" s="49">
        <f t="shared" si="1854"/>
        <v>9.42</v>
      </c>
      <c r="O669" s="49">
        <f t="shared" si="1855"/>
        <v>11.775</v>
      </c>
      <c r="P669" s="49">
        <f t="shared" si="1856"/>
        <v>5.8875</v>
      </c>
      <c r="Q669" s="49">
        <f t="shared" si="1857"/>
        <v>2.355</v>
      </c>
      <c r="R669" s="49">
        <f t="shared" si="1858"/>
        <v>0.5775</v>
      </c>
      <c r="S669" s="49">
        <f t="shared" si="1859"/>
        <v>1.1775</v>
      </c>
      <c r="T669" s="50">
        <f t="shared" si="1860"/>
        <v>31.165</v>
      </c>
      <c r="U669" s="42">
        <f t="shared" si="1861"/>
        <v>1.155</v>
      </c>
      <c r="V669" s="42">
        <f t="shared" si="15"/>
        <v>5.775</v>
      </c>
      <c r="W669" s="42">
        <f t="shared" si="1862"/>
        <v>1.155</v>
      </c>
      <c r="X669" s="42">
        <f t="shared" si="1863"/>
        <v>9.24</v>
      </c>
      <c r="Y669" s="42">
        <f t="shared" si="1864"/>
        <v>17.325</v>
      </c>
      <c r="Z669" s="50">
        <f t="shared" si="1865"/>
        <v>166.24</v>
      </c>
      <c r="AA669" s="51">
        <f t="shared" si="1866"/>
        <v>33.248</v>
      </c>
      <c r="AB669" s="49">
        <f t="shared" si="1867"/>
        <v>199.488</v>
      </c>
      <c r="AC669" s="42">
        <f t="shared" si="1868"/>
        <v>115.5</v>
      </c>
      <c r="AD669" s="49">
        <f t="shared" si="1869"/>
        <v>83.988</v>
      </c>
      <c r="AE669" s="49">
        <f t="shared" si="1870"/>
        <v>42.10178056</v>
      </c>
      <c r="AF669" s="47">
        <v>325.0</v>
      </c>
      <c r="AG669" s="52">
        <f t="shared" si="1871"/>
        <v>176.0084926</v>
      </c>
      <c r="AH669" s="53">
        <f t="shared" si="1872"/>
        <v>0</v>
      </c>
      <c r="AI669" s="53">
        <f t="shared" si="2101"/>
        <v>498.72</v>
      </c>
      <c r="AJ669" s="47">
        <v>325.0</v>
      </c>
      <c r="AK669" s="55">
        <f t="shared" si="1730"/>
        <v>176.0084926</v>
      </c>
      <c r="AL669" s="55"/>
      <c r="AM669" s="55">
        <f t="shared" si="1875"/>
        <v>0</v>
      </c>
      <c r="AN669" s="55">
        <f t="shared" si="1876"/>
        <v>0</v>
      </c>
      <c r="AO669" s="56">
        <f t="shared" si="1877"/>
        <v>2.760084926</v>
      </c>
      <c r="AP669" s="55">
        <f t="shared" si="1878"/>
        <v>1.25512</v>
      </c>
      <c r="AQ669" s="55">
        <f t="shared" si="1879"/>
        <v>2.095</v>
      </c>
      <c r="AR669" s="57">
        <f t="shared" ref="AR669:AS669" si="2198">AI669/94</f>
        <v>5.305531915</v>
      </c>
      <c r="AS669" s="57">
        <f t="shared" si="2198"/>
        <v>3.457446809</v>
      </c>
      <c r="AT669" s="58">
        <f t="shared" ref="AT669:AU669" si="2199">AI669/24</f>
        <v>20.78</v>
      </c>
      <c r="AU669" s="58">
        <f t="shared" si="2199"/>
        <v>13.54166667</v>
      </c>
      <c r="AV669" s="58">
        <f t="shared" ref="AV669:AW669" si="2200">AI669/125</f>
        <v>3.98976</v>
      </c>
      <c r="AW669" s="58">
        <f t="shared" si="2200"/>
        <v>2.6</v>
      </c>
      <c r="AX669" s="47"/>
      <c r="AY669" s="47"/>
    </row>
    <row r="670" ht="15.75" customHeight="1">
      <c r="A670" s="42"/>
      <c r="B670" s="42" t="s">
        <v>1320</v>
      </c>
      <c r="C670" s="42" t="s">
        <v>1321</v>
      </c>
      <c r="D670" s="45">
        <v>55.0</v>
      </c>
      <c r="E670" s="42">
        <v>0.0</v>
      </c>
      <c r="F670" s="44">
        <v>40.0</v>
      </c>
      <c r="G670" s="45">
        <v>9.40490099E8</v>
      </c>
      <c r="H670" s="46">
        <v>0.05</v>
      </c>
      <c r="I670" s="42">
        <f t="shared" si="1792"/>
        <v>2.75</v>
      </c>
      <c r="J670" s="47"/>
      <c r="K670" s="44">
        <v>20.0</v>
      </c>
      <c r="L670" s="48">
        <f t="shared" si="1708"/>
        <v>117.75</v>
      </c>
      <c r="M670" s="42">
        <f t="shared" si="1853"/>
        <v>0.55</v>
      </c>
      <c r="N670" s="49">
        <f t="shared" si="1854"/>
        <v>9.42</v>
      </c>
      <c r="O670" s="49">
        <f t="shared" si="1855"/>
        <v>11.775</v>
      </c>
      <c r="P670" s="49">
        <f t="shared" si="1856"/>
        <v>5.8875</v>
      </c>
      <c r="Q670" s="49">
        <f t="shared" si="1857"/>
        <v>2.355</v>
      </c>
      <c r="R670" s="49">
        <f t="shared" si="1858"/>
        <v>0.5775</v>
      </c>
      <c r="S670" s="49">
        <f t="shared" si="1859"/>
        <v>1.1775</v>
      </c>
      <c r="T670" s="50">
        <f t="shared" si="1860"/>
        <v>31.165</v>
      </c>
      <c r="U670" s="42">
        <f t="shared" si="1861"/>
        <v>1.155</v>
      </c>
      <c r="V670" s="42">
        <f t="shared" si="15"/>
        <v>5.775</v>
      </c>
      <c r="W670" s="42">
        <f t="shared" si="1862"/>
        <v>1.155</v>
      </c>
      <c r="X670" s="42">
        <f t="shared" si="1863"/>
        <v>9.24</v>
      </c>
      <c r="Y670" s="42">
        <f t="shared" si="1864"/>
        <v>17.325</v>
      </c>
      <c r="Z670" s="50">
        <f t="shared" si="1865"/>
        <v>166.24</v>
      </c>
      <c r="AA670" s="51">
        <f t="shared" si="1866"/>
        <v>33.248</v>
      </c>
      <c r="AB670" s="49">
        <f t="shared" si="1867"/>
        <v>199.488</v>
      </c>
      <c r="AC670" s="42">
        <f t="shared" si="1868"/>
        <v>115.5</v>
      </c>
      <c r="AD670" s="49">
        <f t="shared" si="1869"/>
        <v>83.988</v>
      </c>
      <c r="AE670" s="49">
        <f t="shared" si="1870"/>
        <v>42.10178056</v>
      </c>
      <c r="AF670" s="47">
        <v>325.0</v>
      </c>
      <c r="AG670" s="52">
        <f t="shared" si="1871"/>
        <v>176.0084926</v>
      </c>
      <c r="AH670" s="53">
        <f t="shared" si="1872"/>
        <v>0</v>
      </c>
      <c r="AI670" s="53">
        <f t="shared" si="2101"/>
        <v>498.72</v>
      </c>
      <c r="AJ670" s="47">
        <v>325.0</v>
      </c>
      <c r="AK670" s="55">
        <f t="shared" si="1730"/>
        <v>176.0084926</v>
      </c>
      <c r="AL670" s="55"/>
      <c r="AM670" s="55">
        <f t="shared" si="1875"/>
        <v>0</v>
      </c>
      <c r="AN670" s="55">
        <f t="shared" si="1876"/>
        <v>0</v>
      </c>
      <c r="AO670" s="56">
        <f t="shared" si="1877"/>
        <v>2.760084926</v>
      </c>
      <c r="AP670" s="55">
        <f t="shared" si="1878"/>
        <v>1.25512</v>
      </c>
      <c r="AQ670" s="55">
        <f t="shared" si="1879"/>
        <v>2.095</v>
      </c>
      <c r="AR670" s="57">
        <f t="shared" ref="AR670:AS670" si="2201">AI670/94</f>
        <v>5.305531915</v>
      </c>
      <c r="AS670" s="57">
        <f t="shared" si="2201"/>
        <v>3.457446809</v>
      </c>
      <c r="AT670" s="58">
        <f t="shared" ref="AT670:AU670" si="2202">AI670/24</f>
        <v>20.78</v>
      </c>
      <c r="AU670" s="58">
        <f t="shared" si="2202"/>
        <v>13.54166667</v>
      </c>
      <c r="AV670" s="58">
        <f t="shared" ref="AV670:AW670" si="2203">AI670/125</f>
        <v>3.98976</v>
      </c>
      <c r="AW670" s="58">
        <f t="shared" si="2203"/>
        <v>2.6</v>
      </c>
      <c r="AX670" s="47"/>
      <c r="AY670" s="47"/>
    </row>
    <row r="671" ht="15.75" customHeight="1">
      <c r="A671" s="42"/>
      <c r="B671" s="42" t="s">
        <v>1322</v>
      </c>
      <c r="C671" s="42" t="s">
        <v>1323</v>
      </c>
      <c r="D671" s="45">
        <v>55.0</v>
      </c>
      <c r="E671" s="42">
        <v>0.0</v>
      </c>
      <c r="F671" s="44">
        <v>40.0</v>
      </c>
      <c r="G671" s="45">
        <v>9.40490099E8</v>
      </c>
      <c r="H671" s="46">
        <v>0.05</v>
      </c>
      <c r="I671" s="42">
        <f t="shared" si="1792"/>
        <v>2.75</v>
      </c>
      <c r="J671" s="47"/>
      <c r="K671" s="44">
        <v>20.0</v>
      </c>
      <c r="L671" s="48">
        <f t="shared" si="1708"/>
        <v>117.75</v>
      </c>
      <c r="M671" s="42">
        <f t="shared" si="1853"/>
        <v>0.55</v>
      </c>
      <c r="N671" s="49">
        <f t="shared" si="1854"/>
        <v>9.42</v>
      </c>
      <c r="O671" s="49">
        <f t="shared" si="1855"/>
        <v>11.775</v>
      </c>
      <c r="P671" s="49">
        <f t="shared" si="1856"/>
        <v>5.8875</v>
      </c>
      <c r="Q671" s="49">
        <f t="shared" si="1857"/>
        <v>2.355</v>
      </c>
      <c r="R671" s="49">
        <f t="shared" si="1858"/>
        <v>0.5775</v>
      </c>
      <c r="S671" s="49">
        <f t="shared" si="1859"/>
        <v>1.1775</v>
      </c>
      <c r="T671" s="50">
        <f t="shared" si="1860"/>
        <v>31.165</v>
      </c>
      <c r="U671" s="42">
        <f t="shared" si="1861"/>
        <v>1.155</v>
      </c>
      <c r="V671" s="42">
        <f t="shared" si="15"/>
        <v>5.775</v>
      </c>
      <c r="W671" s="42">
        <f t="shared" si="1862"/>
        <v>1.155</v>
      </c>
      <c r="X671" s="42">
        <f t="shared" si="1863"/>
        <v>9.24</v>
      </c>
      <c r="Y671" s="42">
        <f t="shared" si="1864"/>
        <v>17.325</v>
      </c>
      <c r="Z671" s="50">
        <f t="shared" si="1865"/>
        <v>166.24</v>
      </c>
      <c r="AA671" s="51">
        <f t="shared" si="1866"/>
        <v>33.248</v>
      </c>
      <c r="AB671" s="49">
        <f t="shared" si="1867"/>
        <v>199.488</v>
      </c>
      <c r="AC671" s="42">
        <f t="shared" si="1868"/>
        <v>115.5</v>
      </c>
      <c r="AD671" s="49">
        <f t="shared" si="1869"/>
        <v>83.988</v>
      </c>
      <c r="AE671" s="49">
        <f t="shared" si="1870"/>
        <v>42.10178056</v>
      </c>
      <c r="AF671" s="47">
        <v>325.0</v>
      </c>
      <c r="AG671" s="52">
        <f t="shared" si="1871"/>
        <v>176.0084926</v>
      </c>
      <c r="AH671" s="53">
        <f t="shared" si="1872"/>
        <v>0</v>
      </c>
      <c r="AI671" s="53">
        <f t="shared" si="2101"/>
        <v>498.72</v>
      </c>
      <c r="AJ671" s="47">
        <v>325.0</v>
      </c>
      <c r="AK671" s="55">
        <f t="shared" si="1730"/>
        <v>176.0084926</v>
      </c>
      <c r="AL671" s="55"/>
      <c r="AM671" s="55">
        <f t="shared" si="1875"/>
        <v>0</v>
      </c>
      <c r="AN671" s="55">
        <f t="shared" si="1876"/>
        <v>0</v>
      </c>
      <c r="AO671" s="56">
        <f t="shared" si="1877"/>
        <v>2.760084926</v>
      </c>
      <c r="AP671" s="55">
        <f t="shared" si="1878"/>
        <v>1.25512</v>
      </c>
      <c r="AQ671" s="55">
        <f t="shared" si="1879"/>
        <v>2.095</v>
      </c>
      <c r="AR671" s="57">
        <f t="shared" ref="AR671:AS671" si="2204">AI671/94</f>
        <v>5.305531915</v>
      </c>
      <c r="AS671" s="57">
        <f t="shared" si="2204"/>
        <v>3.457446809</v>
      </c>
      <c r="AT671" s="58">
        <f t="shared" ref="AT671:AU671" si="2205">AI671/24</f>
        <v>20.78</v>
      </c>
      <c r="AU671" s="58">
        <f t="shared" si="2205"/>
        <v>13.54166667</v>
      </c>
      <c r="AV671" s="58">
        <f t="shared" ref="AV671:AW671" si="2206">AI671/125</f>
        <v>3.98976</v>
      </c>
      <c r="AW671" s="58">
        <f t="shared" si="2206"/>
        <v>2.6</v>
      </c>
      <c r="AX671" s="47"/>
      <c r="AY671" s="47"/>
    </row>
    <row r="672" ht="15.75" customHeight="1">
      <c r="A672" s="42"/>
      <c r="B672" s="42" t="s">
        <v>1324</v>
      </c>
      <c r="C672" s="42" t="s">
        <v>1325</v>
      </c>
      <c r="D672" s="45">
        <v>65.0</v>
      </c>
      <c r="E672" s="42">
        <v>0.0</v>
      </c>
      <c r="F672" s="44">
        <v>40.0</v>
      </c>
      <c r="G672" s="45">
        <v>9.40490099E8</v>
      </c>
      <c r="H672" s="46">
        <v>0.05</v>
      </c>
      <c r="I672" s="42">
        <f t="shared" si="1792"/>
        <v>3.25</v>
      </c>
      <c r="J672" s="47"/>
      <c r="K672" s="44">
        <v>20.0</v>
      </c>
      <c r="L672" s="48">
        <f t="shared" si="1708"/>
        <v>128.25</v>
      </c>
      <c r="M672" s="42">
        <f t="shared" si="1853"/>
        <v>0.65</v>
      </c>
      <c r="N672" s="49">
        <f t="shared" si="1854"/>
        <v>10.26</v>
      </c>
      <c r="O672" s="49">
        <f t="shared" si="1855"/>
        <v>12.825</v>
      </c>
      <c r="P672" s="49">
        <f t="shared" si="1856"/>
        <v>6.4125</v>
      </c>
      <c r="Q672" s="49">
        <f t="shared" si="1857"/>
        <v>2.565</v>
      </c>
      <c r="R672" s="49">
        <f t="shared" si="1858"/>
        <v>0.6825</v>
      </c>
      <c r="S672" s="49">
        <f t="shared" si="1859"/>
        <v>1.2825</v>
      </c>
      <c r="T672" s="50">
        <f t="shared" si="1860"/>
        <v>33.995</v>
      </c>
      <c r="U672" s="42">
        <f t="shared" si="1861"/>
        <v>1.365</v>
      </c>
      <c r="V672" s="42">
        <f t="shared" si="15"/>
        <v>6.825</v>
      </c>
      <c r="W672" s="42">
        <f t="shared" si="1862"/>
        <v>1.365</v>
      </c>
      <c r="X672" s="42">
        <f t="shared" si="1863"/>
        <v>10.92</v>
      </c>
      <c r="Y672" s="42">
        <f t="shared" si="1864"/>
        <v>20.475</v>
      </c>
      <c r="Z672" s="50">
        <f t="shared" si="1865"/>
        <v>182.72</v>
      </c>
      <c r="AA672" s="51">
        <f t="shared" si="1866"/>
        <v>36.544</v>
      </c>
      <c r="AB672" s="49">
        <f t="shared" si="1867"/>
        <v>219.264</v>
      </c>
      <c r="AC672" s="42">
        <f t="shared" si="1868"/>
        <v>136.5</v>
      </c>
      <c r="AD672" s="49">
        <f t="shared" si="1869"/>
        <v>82.764</v>
      </c>
      <c r="AE672" s="49">
        <f t="shared" si="1870"/>
        <v>37.74627846</v>
      </c>
      <c r="AF672" s="47">
        <v>345.0</v>
      </c>
      <c r="AG672" s="52">
        <f t="shared" si="1871"/>
        <v>169.005848</v>
      </c>
      <c r="AH672" s="53">
        <f t="shared" si="1872"/>
        <v>0</v>
      </c>
      <c r="AI672" s="53">
        <f t="shared" si="2101"/>
        <v>548.16</v>
      </c>
      <c r="AJ672" s="47">
        <v>345.0</v>
      </c>
      <c r="AK672" s="55">
        <f t="shared" si="1730"/>
        <v>169.005848</v>
      </c>
      <c r="AL672" s="55"/>
      <c r="AM672" s="55">
        <f t="shared" si="1875"/>
        <v>0</v>
      </c>
      <c r="AN672" s="55">
        <f t="shared" si="1876"/>
        <v>0</v>
      </c>
      <c r="AO672" s="56">
        <f t="shared" si="1877"/>
        <v>2.69005848</v>
      </c>
      <c r="AP672" s="55">
        <f t="shared" si="1878"/>
        <v>1.25736</v>
      </c>
      <c r="AQ672" s="55">
        <f t="shared" si="1879"/>
        <v>2.085</v>
      </c>
      <c r="AR672" s="57">
        <f t="shared" ref="AR672:AS672" si="2207">AI672/94</f>
        <v>5.831489362</v>
      </c>
      <c r="AS672" s="57">
        <f t="shared" si="2207"/>
        <v>3.670212766</v>
      </c>
      <c r="AT672" s="58">
        <f t="shared" ref="AT672:AU672" si="2208">AI672/24</f>
        <v>22.84</v>
      </c>
      <c r="AU672" s="58">
        <f t="shared" si="2208"/>
        <v>14.375</v>
      </c>
      <c r="AV672" s="58">
        <f t="shared" ref="AV672:AW672" si="2209">AI672/125</f>
        <v>4.38528</v>
      </c>
      <c r="AW672" s="58">
        <f t="shared" si="2209"/>
        <v>2.76</v>
      </c>
      <c r="AX672" s="47"/>
      <c r="AY672" s="47"/>
    </row>
    <row r="673" ht="15.75" customHeight="1">
      <c r="A673" s="42"/>
      <c r="B673" s="42" t="s">
        <v>1326</v>
      </c>
      <c r="C673" s="42" t="s">
        <v>1327</v>
      </c>
      <c r="D673" s="45">
        <v>65.0</v>
      </c>
      <c r="E673" s="42">
        <v>0.0</v>
      </c>
      <c r="F673" s="44">
        <v>40.0</v>
      </c>
      <c r="G673" s="45">
        <v>9.40490099E8</v>
      </c>
      <c r="H673" s="46">
        <v>0.05</v>
      </c>
      <c r="I673" s="42">
        <f t="shared" si="1792"/>
        <v>3.25</v>
      </c>
      <c r="J673" s="47"/>
      <c r="K673" s="44">
        <v>20.0</v>
      </c>
      <c r="L673" s="48">
        <f t="shared" si="1708"/>
        <v>128.25</v>
      </c>
      <c r="M673" s="42">
        <f t="shared" si="1853"/>
        <v>0.65</v>
      </c>
      <c r="N673" s="49">
        <f t="shared" si="1854"/>
        <v>10.26</v>
      </c>
      <c r="O673" s="49">
        <f t="shared" si="1855"/>
        <v>12.825</v>
      </c>
      <c r="P673" s="49">
        <f t="shared" si="1856"/>
        <v>6.4125</v>
      </c>
      <c r="Q673" s="49">
        <f t="shared" si="1857"/>
        <v>2.565</v>
      </c>
      <c r="R673" s="49">
        <f t="shared" si="1858"/>
        <v>0.6825</v>
      </c>
      <c r="S673" s="49">
        <f t="shared" si="1859"/>
        <v>1.2825</v>
      </c>
      <c r="T673" s="50">
        <f t="shared" si="1860"/>
        <v>33.995</v>
      </c>
      <c r="U673" s="42">
        <f t="shared" si="1861"/>
        <v>1.365</v>
      </c>
      <c r="V673" s="42">
        <f t="shared" si="15"/>
        <v>6.825</v>
      </c>
      <c r="W673" s="42">
        <f t="shared" si="1862"/>
        <v>1.365</v>
      </c>
      <c r="X673" s="42">
        <f t="shared" si="1863"/>
        <v>10.92</v>
      </c>
      <c r="Y673" s="42">
        <f t="shared" si="1864"/>
        <v>20.475</v>
      </c>
      <c r="Z673" s="50">
        <f t="shared" si="1865"/>
        <v>182.72</v>
      </c>
      <c r="AA673" s="51">
        <f t="shared" si="1866"/>
        <v>36.544</v>
      </c>
      <c r="AB673" s="49">
        <f t="shared" si="1867"/>
        <v>219.264</v>
      </c>
      <c r="AC673" s="42">
        <f t="shared" si="1868"/>
        <v>136.5</v>
      </c>
      <c r="AD673" s="49">
        <f t="shared" si="1869"/>
        <v>82.764</v>
      </c>
      <c r="AE673" s="49">
        <f t="shared" si="1870"/>
        <v>37.74627846</v>
      </c>
      <c r="AF673" s="47">
        <v>385.0</v>
      </c>
      <c r="AG673" s="52">
        <f t="shared" si="1871"/>
        <v>200.1949318</v>
      </c>
      <c r="AH673" s="53">
        <f t="shared" si="1872"/>
        <v>0</v>
      </c>
      <c r="AI673" s="53">
        <f t="shared" si="2101"/>
        <v>548.16</v>
      </c>
      <c r="AJ673" s="47">
        <v>385.0</v>
      </c>
      <c r="AK673" s="55">
        <f t="shared" si="1730"/>
        <v>200.1949318</v>
      </c>
      <c r="AL673" s="55"/>
      <c r="AM673" s="55">
        <f t="shared" si="1875"/>
        <v>0</v>
      </c>
      <c r="AN673" s="55">
        <f t="shared" si="1876"/>
        <v>0</v>
      </c>
      <c r="AO673" s="56">
        <f t="shared" si="1877"/>
        <v>3.001949318</v>
      </c>
      <c r="AP673" s="55">
        <f t="shared" si="1878"/>
        <v>1.65736</v>
      </c>
      <c r="AQ673" s="55">
        <f t="shared" si="1879"/>
        <v>2.485</v>
      </c>
      <c r="AR673" s="57">
        <f t="shared" ref="AR673:AS673" si="2210">AI673/94</f>
        <v>5.831489362</v>
      </c>
      <c r="AS673" s="57">
        <f t="shared" si="2210"/>
        <v>4.095744681</v>
      </c>
      <c r="AT673" s="58">
        <f t="shared" ref="AT673:AU673" si="2211">AI673/24</f>
        <v>22.84</v>
      </c>
      <c r="AU673" s="58">
        <f t="shared" si="2211"/>
        <v>16.04166667</v>
      </c>
      <c r="AV673" s="58">
        <f t="shared" ref="AV673:AW673" si="2212">AI673/125</f>
        <v>4.38528</v>
      </c>
      <c r="AW673" s="58">
        <f t="shared" si="2212"/>
        <v>3.08</v>
      </c>
      <c r="AX673" s="47"/>
      <c r="AY673" s="47"/>
    </row>
    <row r="674" ht="15.75" customHeight="1">
      <c r="A674" s="42"/>
      <c r="B674" s="42" t="s">
        <v>1328</v>
      </c>
      <c r="C674" s="42" t="s">
        <v>1329</v>
      </c>
      <c r="D674" s="45">
        <v>65.0</v>
      </c>
      <c r="E674" s="42">
        <v>0.0</v>
      </c>
      <c r="F674" s="44">
        <v>40.0</v>
      </c>
      <c r="G674" s="45">
        <v>9.40490099E8</v>
      </c>
      <c r="H674" s="46">
        <v>0.05</v>
      </c>
      <c r="I674" s="42">
        <f t="shared" si="1792"/>
        <v>3.25</v>
      </c>
      <c r="J674" s="47"/>
      <c r="K674" s="44">
        <v>20.0</v>
      </c>
      <c r="L674" s="48">
        <f t="shared" si="1708"/>
        <v>128.25</v>
      </c>
      <c r="M674" s="42">
        <f t="shared" si="1853"/>
        <v>0.65</v>
      </c>
      <c r="N674" s="49">
        <f t="shared" si="1854"/>
        <v>10.26</v>
      </c>
      <c r="O674" s="49">
        <f t="shared" si="1855"/>
        <v>12.825</v>
      </c>
      <c r="P674" s="49">
        <f t="shared" si="1856"/>
        <v>6.4125</v>
      </c>
      <c r="Q674" s="49">
        <f t="shared" si="1857"/>
        <v>2.565</v>
      </c>
      <c r="R674" s="49">
        <f t="shared" si="1858"/>
        <v>0.6825</v>
      </c>
      <c r="S674" s="49">
        <f t="shared" si="1859"/>
        <v>1.2825</v>
      </c>
      <c r="T674" s="50">
        <f t="shared" si="1860"/>
        <v>33.995</v>
      </c>
      <c r="U674" s="42">
        <f t="shared" si="1861"/>
        <v>1.365</v>
      </c>
      <c r="V674" s="42">
        <f t="shared" si="15"/>
        <v>6.825</v>
      </c>
      <c r="W674" s="42">
        <f t="shared" si="1862"/>
        <v>1.365</v>
      </c>
      <c r="X674" s="42">
        <f t="shared" si="1863"/>
        <v>10.92</v>
      </c>
      <c r="Y674" s="42">
        <f t="shared" si="1864"/>
        <v>20.475</v>
      </c>
      <c r="Z674" s="50">
        <f t="shared" si="1865"/>
        <v>182.72</v>
      </c>
      <c r="AA674" s="51">
        <f t="shared" si="1866"/>
        <v>36.544</v>
      </c>
      <c r="AB674" s="49">
        <f t="shared" si="1867"/>
        <v>219.264</v>
      </c>
      <c r="AC674" s="42">
        <f t="shared" si="1868"/>
        <v>136.5</v>
      </c>
      <c r="AD674" s="49">
        <f t="shared" si="1869"/>
        <v>82.764</v>
      </c>
      <c r="AE674" s="49">
        <f t="shared" si="1870"/>
        <v>37.74627846</v>
      </c>
      <c r="AF674" s="47">
        <v>345.0</v>
      </c>
      <c r="AG674" s="52">
        <f t="shared" si="1871"/>
        <v>169.005848</v>
      </c>
      <c r="AH674" s="53">
        <f t="shared" si="1872"/>
        <v>0</v>
      </c>
      <c r="AI674" s="53">
        <f t="shared" si="2101"/>
        <v>548.16</v>
      </c>
      <c r="AJ674" s="47">
        <v>345.0</v>
      </c>
      <c r="AK674" s="55">
        <f t="shared" si="1730"/>
        <v>169.005848</v>
      </c>
      <c r="AL674" s="55"/>
      <c r="AM674" s="55">
        <f t="shared" si="1875"/>
        <v>0</v>
      </c>
      <c r="AN674" s="55">
        <f t="shared" si="1876"/>
        <v>0</v>
      </c>
      <c r="AO674" s="56">
        <f t="shared" si="1877"/>
        <v>2.69005848</v>
      </c>
      <c r="AP674" s="55">
        <f t="shared" si="1878"/>
        <v>1.25736</v>
      </c>
      <c r="AQ674" s="55">
        <f t="shared" si="1879"/>
        <v>2.085</v>
      </c>
      <c r="AR674" s="57">
        <f t="shared" ref="AR674:AS674" si="2213">AI674/94</f>
        <v>5.831489362</v>
      </c>
      <c r="AS674" s="57">
        <f t="shared" si="2213"/>
        <v>3.670212766</v>
      </c>
      <c r="AT674" s="58">
        <f t="shared" ref="AT674:AU674" si="2214">AI674/24</f>
        <v>22.84</v>
      </c>
      <c r="AU674" s="58">
        <f t="shared" si="2214"/>
        <v>14.375</v>
      </c>
      <c r="AV674" s="58">
        <f t="shared" ref="AV674:AW674" si="2215">AI674/125</f>
        <v>4.38528</v>
      </c>
      <c r="AW674" s="58">
        <f t="shared" si="2215"/>
        <v>2.76</v>
      </c>
      <c r="AX674" s="47"/>
      <c r="AY674" s="47"/>
    </row>
    <row r="675" ht="15.75" customHeight="1">
      <c r="A675" s="42"/>
      <c r="B675" s="42" t="s">
        <v>1330</v>
      </c>
      <c r="C675" s="42" t="s">
        <v>1331</v>
      </c>
      <c r="D675" s="45">
        <v>65.0</v>
      </c>
      <c r="E675" s="42">
        <v>0.0</v>
      </c>
      <c r="F675" s="44">
        <v>40.0</v>
      </c>
      <c r="G675" s="45">
        <v>9.40490099E8</v>
      </c>
      <c r="H675" s="46">
        <v>0.05</v>
      </c>
      <c r="I675" s="42">
        <f t="shared" si="1792"/>
        <v>3.25</v>
      </c>
      <c r="J675" s="47"/>
      <c r="K675" s="44">
        <v>20.0</v>
      </c>
      <c r="L675" s="48">
        <f t="shared" si="1708"/>
        <v>128.25</v>
      </c>
      <c r="M675" s="42">
        <f t="shared" si="1853"/>
        <v>0.65</v>
      </c>
      <c r="N675" s="49">
        <f t="shared" si="1854"/>
        <v>10.26</v>
      </c>
      <c r="O675" s="49">
        <f t="shared" si="1855"/>
        <v>12.825</v>
      </c>
      <c r="P675" s="49">
        <f t="shared" si="1856"/>
        <v>6.4125</v>
      </c>
      <c r="Q675" s="49">
        <f t="shared" si="1857"/>
        <v>2.565</v>
      </c>
      <c r="R675" s="49">
        <f t="shared" si="1858"/>
        <v>0.6825</v>
      </c>
      <c r="S675" s="49">
        <f t="shared" si="1859"/>
        <v>1.2825</v>
      </c>
      <c r="T675" s="50">
        <f t="shared" si="1860"/>
        <v>33.995</v>
      </c>
      <c r="U675" s="42">
        <f t="shared" si="1861"/>
        <v>1.365</v>
      </c>
      <c r="V675" s="42">
        <f t="shared" si="15"/>
        <v>6.825</v>
      </c>
      <c r="W675" s="42">
        <f t="shared" si="1862"/>
        <v>1.365</v>
      </c>
      <c r="X675" s="42">
        <f t="shared" si="1863"/>
        <v>10.92</v>
      </c>
      <c r="Y675" s="42">
        <f t="shared" si="1864"/>
        <v>20.475</v>
      </c>
      <c r="Z675" s="50">
        <f t="shared" si="1865"/>
        <v>182.72</v>
      </c>
      <c r="AA675" s="51">
        <f t="shared" si="1866"/>
        <v>36.544</v>
      </c>
      <c r="AB675" s="49">
        <f t="shared" si="1867"/>
        <v>219.264</v>
      </c>
      <c r="AC675" s="42">
        <f t="shared" si="1868"/>
        <v>136.5</v>
      </c>
      <c r="AD675" s="49">
        <f t="shared" si="1869"/>
        <v>82.764</v>
      </c>
      <c r="AE675" s="49">
        <f t="shared" si="1870"/>
        <v>37.74627846</v>
      </c>
      <c r="AF675" s="47">
        <v>345.0</v>
      </c>
      <c r="AG675" s="52">
        <f t="shared" si="1871"/>
        <v>169.005848</v>
      </c>
      <c r="AH675" s="53">
        <f t="shared" si="1872"/>
        <v>0</v>
      </c>
      <c r="AI675" s="53">
        <f t="shared" si="2101"/>
        <v>548.16</v>
      </c>
      <c r="AJ675" s="47">
        <v>345.0</v>
      </c>
      <c r="AK675" s="55">
        <f t="shared" si="1730"/>
        <v>169.005848</v>
      </c>
      <c r="AL675" s="55"/>
      <c r="AM675" s="55">
        <f t="shared" si="1875"/>
        <v>0</v>
      </c>
      <c r="AN675" s="55">
        <f t="shared" si="1876"/>
        <v>0</v>
      </c>
      <c r="AO675" s="56">
        <f t="shared" si="1877"/>
        <v>2.69005848</v>
      </c>
      <c r="AP675" s="55">
        <f t="shared" si="1878"/>
        <v>1.25736</v>
      </c>
      <c r="AQ675" s="55">
        <f t="shared" si="1879"/>
        <v>2.085</v>
      </c>
      <c r="AR675" s="57">
        <f t="shared" ref="AR675:AS675" si="2216">AI675/94</f>
        <v>5.831489362</v>
      </c>
      <c r="AS675" s="57">
        <f t="shared" si="2216"/>
        <v>3.670212766</v>
      </c>
      <c r="AT675" s="58">
        <f t="shared" ref="AT675:AU675" si="2217">AI675/24</f>
        <v>22.84</v>
      </c>
      <c r="AU675" s="58">
        <f t="shared" si="2217"/>
        <v>14.375</v>
      </c>
      <c r="AV675" s="58">
        <f t="shared" ref="AV675:AW675" si="2218">AI675/125</f>
        <v>4.38528</v>
      </c>
      <c r="AW675" s="58">
        <f t="shared" si="2218"/>
        <v>2.76</v>
      </c>
      <c r="AX675" s="47"/>
      <c r="AY675" s="47"/>
    </row>
    <row r="676" ht="15.75" customHeight="1">
      <c r="A676" s="42"/>
      <c r="B676" s="42" t="s">
        <v>1332</v>
      </c>
      <c r="C676" s="42" t="s">
        <v>1333</v>
      </c>
      <c r="D676" s="45">
        <v>65.0</v>
      </c>
      <c r="E676" s="42">
        <v>0.0</v>
      </c>
      <c r="F676" s="44">
        <v>40.0</v>
      </c>
      <c r="G676" s="45">
        <v>9.40490099E8</v>
      </c>
      <c r="H676" s="46">
        <v>0.05</v>
      </c>
      <c r="I676" s="42">
        <f t="shared" si="1792"/>
        <v>3.25</v>
      </c>
      <c r="J676" s="47"/>
      <c r="K676" s="44">
        <v>20.0</v>
      </c>
      <c r="L676" s="48">
        <f t="shared" si="1708"/>
        <v>128.25</v>
      </c>
      <c r="M676" s="42">
        <f t="shared" si="1853"/>
        <v>0.65</v>
      </c>
      <c r="N676" s="49">
        <f t="shared" si="1854"/>
        <v>10.26</v>
      </c>
      <c r="O676" s="49">
        <f t="shared" si="1855"/>
        <v>12.825</v>
      </c>
      <c r="P676" s="49">
        <f t="shared" si="1856"/>
        <v>6.4125</v>
      </c>
      <c r="Q676" s="49">
        <f t="shared" si="1857"/>
        <v>2.565</v>
      </c>
      <c r="R676" s="49">
        <f t="shared" si="1858"/>
        <v>0.6825</v>
      </c>
      <c r="S676" s="49">
        <f t="shared" si="1859"/>
        <v>1.2825</v>
      </c>
      <c r="T676" s="50">
        <f t="shared" si="1860"/>
        <v>33.995</v>
      </c>
      <c r="U676" s="42">
        <f t="shared" si="1861"/>
        <v>1.365</v>
      </c>
      <c r="V676" s="42">
        <f t="shared" si="15"/>
        <v>6.825</v>
      </c>
      <c r="W676" s="42">
        <f t="shared" si="1862"/>
        <v>1.365</v>
      </c>
      <c r="X676" s="42">
        <f t="shared" si="1863"/>
        <v>10.92</v>
      </c>
      <c r="Y676" s="42">
        <f t="shared" si="1864"/>
        <v>20.475</v>
      </c>
      <c r="Z676" s="50">
        <f t="shared" si="1865"/>
        <v>182.72</v>
      </c>
      <c r="AA676" s="51">
        <f t="shared" si="1866"/>
        <v>36.544</v>
      </c>
      <c r="AB676" s="49">
        <f t="shared" si="1867"/>
        <v>219.264</v>
      </c>
      <c r="AC676" s="42">
        <f t="shared" si="1868"/>
        <v>136.5</v>
      </c>
      <c r="AD676" s="49">
        <f t="shared" si="1869"/>
        <v>82.764</v>
      </c>
      <c r="AE676" s="49">
        <f t="shared" si="1870"/>
        <v>37.74627846</v>
      </c>
      <c r="AF676" s="47">
        <v>345.0</v>
      </c>
      <c r="AG676" s="52">
        <f t="shared" si="1871"/>
        <v>169.005848</v>
      </c>
      <c r="AH676" s="53">
        <f t="shared" si="1872"/>
        <v>0</v>
      </c>
      <c r="AI676" s="53">
        <f t="shared" si="2101"/>
        <v>548.16</v>
      </c>
      <c r="AJ676" s="47">
        <v>345.0</v>
      </c>
      <c r="AK676" s="55">
        <f t="shared" si="1730"/>
        <v>169.005848</v>
      </c>
      <c r="AL676" s="55"/>
      <c r="AM676" s="55">
        <f t="shared" si="1875"/>
        <v>0</v>
      </c>
      <c r="AN676" s="55">
        <f t="shared" si="1876"/>
        <v>0</v>
      </c>
      <c r="AO676" s="56">
        <f t="shared" si="1877"/>
        <v>2.69005848</v>
      </c>
      <c r="AP676" s="55">
        <f t="shared" si="1878"/>
        <v>1.25736</v>
      </c>
      <c r="AQ676" s="55">
        <f t="shared" si="1879"/>
        <v>2.085</v>
      </c>
      <c r="AR676" s="57">
        <f t="shared" ref="AR676:AS676" si="2219">AI676/94</f>
        <v>5.831489362</v>
      </c>
      <c r="AS676" s="57">
        <f t="shared" si="2219"/>
        <v>3.670212766</v>
      </c>
      <c r="AT676" s="58">
        <f t="shared" ref="AT676:AU676" si="2220">AI676/24</f>
        <v>22.84</v>
      </c>
      <c r="AU676" s="58">
        <f t="shared" si="2220"/>
        <v>14.375</v>
      </c>
      <c r="AV676" s="58">
        <f t="shared" ref="AV676:AW676" si="2221">AI676/125</f>
        <v>4.38528</v>
      </c>
      <c r="AW676" s="58">
        <f t="shared" si="2221"/>
        <v>2.76</v>
      </c>
      <c r="AX676" s="47"/>
      <c r="AY676" s="47"/>
    </row>
    <row r="677" ht="15.75" customHeight="1">
      <c r="A677" s="42"/>
      <c r="B677" s="42" t="s">
        <v>1334</v>
      </c>
      <c r="C677" s="42" t="s">
        <v>1335</v>
      </c>
      <c r="D677" s="45">
        <v>65.0</v>
      </c>
      <c r="E677" s="42">
        <v>0.0</v>
      </c>
      <c r="F677" s="44">
        <v>40.0</v>
      </c>
      <c r="G677" s="45">
        <v>9.40490099E8</v>
      </c>
      <c r="H677" s="46">
        <v>0.05</v>
      </c>
      <c r="I677" s="42">
        <f t="shared" si="1792"/>
        <v>3.25</v>
      </c>
      <c r="J677" s="47"/>
      <c r="K677" s="44">
        <v>20.0</v>
      </c>
      <c r="L677" s="48">
        <f t="shared" si="1708"/>
        <v>128.25</v>
      </c>
      <c r="M677" s="42">
        <f t="shared" si="1853"/>
        <v>0.65</v>
      </c>
      <c r="N677" s="49">
        <f t="shared" si="1854"/>
        <v>10.26</v>
      </c>
      <c r="O677" s="49">
        <f t="shared" si="1855"/>
        <v>12.825</v>
      </c>
      <c r="P677" s="49">
        <f t="shared" si="1856"/>
        <v>6.4125</v>
      </c>
      <c r="Q677" s="49">
        <f t="shared" si="1857"/>
        <v>2.565</v>
      </c>
      <c r="R677" s="49">
        <f t="shared" si="1858"/>
        <v>0.6825</v>
      </c>
      <c r="S677" s="49">
        <f t="shared" si="1859"/>
        <v>1.2825</v>
      </c>
      <c r="T677" s="50">
        <f t="shared" si="1860"/>
        <v>33.995</v>
      </c>
      <c r="U677" s="42">
        <f t="shared" si="1861"/>
        <v>1.365</v>
      </c>
      <c r="V677" s="42">
        <f t="shared" si="15"/>
        <v>6.825</v>
      </c>
      <c r="W677" s="42">
        <f t="shared" si="1862"/>
        <v>1.365</v>
      </c>
      <c r="X677" s="42">
        <f t="shared" si="1863"/>
        <v>10.92</v>
      </c>
      <c r="Y677" s="42">
        <f t="shared" si="1864"/>
        <v>20.475</v>
      </c>
      <c r="Z677" s="50">
        <f t="shared" si="1865"/>
        <v>182.72</v>
      </c>
      <c r="AA677" s="51">
        <f t="shared" si="1866"/>
        <v>36.544</v>
      </c>
      <c r="AB677" s="49">
        <f t="shared" si="1867"/>
        <v>219.264</v>
      </c>
      <c r="AC677" s="42">
        <f t="shared" si="1868"/>
        <v>136.5</v>
      </c>
      <c r="AD677" s="49">
        <f t="shared" si="1869"/>
        <v>82.764</v>
      </c>
      <c r="AE677" s="49">
        <f t="shared" si="1870"/>
        <v>37.74627846</v>
      </c>
      <c r="AF677" s="47">
        <v>385.0</v>
      </c>
      <c r="AG677" s="52">
        <f t="shared" si="1871"/>
        <v>200.1949318</v>
      </c>
      <c r="AH677" s="53">
        <f t="shared" si="1872"/>
        <v>0</v>
      </c>
      <c r="AI677" s="53">
        <f t="shared" si="2101"/>
        <v>548.16</v>
      </c>
      <c r="AJ677" s="47">
        <v>385.0</v>
      </c>
      <c r="AK677" s="55">
        <f t="shared" si="1730"/>
        <v>200.1949318</v>
      </c>
      <c r="AL677" s="55"/>
      <c r="AM677" s="55">
        <f t="shared" si="1875"/>
        <v>0</v>
      </c>
      <c r="AN677" s="55">
        <f t="shared" si="1876"/>
        <v>0</v>
      </c>
      <c r="AO677" s="56">
        <f t="shared" si="1877"/>
        <v>3.001949318</v>
      </c>
      <c r="AP677" s="55">
        <f t="shared" si="1878"/>
        <v>1.65736</v>
      </c>
      <c r="AQ677" s="55">
        <f t="shared" si="1879"/>
        <v>2.485</v>
      </c>
      <c r="AR677" s="57">
        <f t="shared" ref="AR677:AS677" si="2222">AI677/94</f>
        <v>5.831489362</v>
      </c>
      <c r="AS677" s="57">
        <f t="shared" si="2222"/>
        <v>4.095744681</v>
      </c>
      <c r="AT677" s="58">
        <f t="shared" ref="AT677:AU677" si="2223">AI677/24</f>
        <v>22.84</v>
      </c>
      <c r="AU677" s="58">
        <f t="shared" si="2223"/>
        <v>16.04166667</v>
      </c>
      <c r="AV677" s="58">
        <f t="shared" ref="AV677:AW677" si="2224">AI677/125</f>
        <v>4.38528</v>
      </c>
      <c r="AW677" s="58">
        <f t="shared" si="2224"/>
        <v>3.08</v>
      </c>
      <c r="AX677" s="47"/>
      <c r="AY677" s="47"/>
    </row>
    <row r="678" ht="15.75" customHeight="1">
      <c r="A678" s="42"/>
      <c r="B678" s="42" t="s">
        <v>1336</v>
      </c>
      <c r="C678" s="42" t="s">
        <v>1337</v>
      </c>
      <c r="D678" s="45">
        <v>65.0</v>
      </c>
      <c r="E678" s="42">
        <v>0.0</v>
      </c>
      <c r="F678" s="44">
        <v>40.0</v>
      </c>
      <c r="G678" s="45">
        <v>9.40490099E8</v>
      </c>
      <c r="H678" s="46">
        <v>0.05</v>
      </c>
      <c r="I678" s="42">
        <f t="shared" si="1792"/>
        <v>3.25</v>
      </c>
      <c r="J678" s="47"/>
      <c r="K678" s="44">
        <v>20.0</v>
      </c>
      <c r="L678" s="48">
        <f t="shared" si="1708"/>
        <v>128.25</v>
      </c>
      <c r="M678" s="42">
        <f t="shared" si="1853"/>
        <v>0.65</v>
      </c>
      <c r="N678" s="49">
        <f t="shared" si="1854"/>
        <v>10.26</v>
      </c>
      <c r="O678" s="49">
        <f t="shared" si="1855"/>
        <v>12.825</v>
      </c>
      <c r="P678" s="49">
        <f t="shared" si="1856"/>
        <v>6.4125</v>
      </c>
      <c r="Q678" s="49">
        <f t="shared" si="1857"/>
        <v>2.565</v>
      </c>
      <c r="R678" s="49">
        <f t="shared" si="1858"/>
        <v>0.6825</v>
      </c>
      <c r="S678" s="49">
        <f t="shared" si="1859"/>
        <v>1.2825</v>
      </c>
      <c r="T678" s="50">
        <f t="shared" si="1860"/>
        <v>33.995</v>
      </c>
      <c r="U678" s="42">
        <f t="shared" si="1861"/>
        <v>1.365</v>
      </c>
      <c r="V678" s="42">
        <f t="shared" si="15"/>
        <v>6.825</v>
      </c>
      <c r="W678" s="42">
        <f t="shared" si="1862"/>
        <v>1.365</v>
      </c>
      <c r="X678" s="42">
        <f t="shared" si="1863"/>
        <v>10.92</v>
      </c>
      <c r="Y678" s="42">
        <f t="shared" si="1864"/>
        <v>20.475</v>
      </c>
      <c r="Z678" s="50">
        <f t="shared" si="1865"/>
        <v>182.72</v>
      </c>
      <c r="AA678" s="51">
        <f t="shared" si="1866"/>
        <v>36.544</v>
      </c>
      <c r="AB678" s="49">
        <f t="shared" si="1867"/>
        <v>219.264</v>
      </c>
      <c r="AC678" s="42">
        <f t="shared" si="1868"/>
        <v>136.5</v>
      </c>
      <c r="AD678" s="49">
        <f t="shared" si="1869"/>
        <v>82.764</v>
      </c>
      <c r="AE678" s="49">
        <f t="shared" si="1870"/>
        <v>37.74627846</v>
      </c>
      <c r="AF678" s="47">
        <v>345.0</v>
      </c>
      <c r="AG678" s="52">
        <f t="shared" si="1871"/>
        <v>169.005848</v>
      </c>
      <c r="AH678" s="53">
        <f t="shared" si="1872"/>
        <v>0</v>
      </c>
      <c r="AI678" s="53">
        <f t="shared" si="2101"/>
        <v>548.16</v>
      </c>
      <c r="AJ678" s="47">
        <v>345.0</v>
      </c>
      <c r="AK678" s="55">
        <f t="shared" si="1730"/>
        <v>169.005848</v>
      </c>
      <c r="AL678" s="55"/>
      <c r="AM678" s="55">
        <f t="shared" si="1875"/>
        <v>0</v>
      </c>
      <c r="AN678" s="55">
        <f t="shared" si="1876"/>
        <v>0</v>
      </c>
      <c r="AO678" s="56">
        <f t="shared" si="1877"/>
        <v>2.69005848</v>
      </c>
      <c r="AP678" s="55">
        <f t="shared" si="1878"/>
        <v>1.25736</v>
      </c>
      <c r="AQ678" s="55">
        <f t="shared" si="1879"/>
        <v>2.085</v>
      </c>
      <c r="AR678" s="57">
        <f t="shared" ref="AR678:AS678" si="2225">AI678/94</f>
        <v>5.831489362</v>
      </c>
      <c r="AS678" s="57">
        <f t="shared" si="2225"/>
        <v>3.670212766</v>
      </c>
      <c r="AT678" s="58">
        <f t="shared" ref="AT678:AU678" si="2226">AI678/24</f>
        <v>22.84</v>
      </c>
      <c r="AU678" s="58">
        <f t="shared" si="2226"/>
        <v>14.375</v>
      </c>
      <c r="AV678" s="58">
        <f t="shared" ref="AV678:AW678" si="2227">AI678/125</f>
        <v>4.38528</v>
      </c>
      <c r="AW678" s="58">
        <f t="shared" si="2227"/>
        <v>2.76</v>
      </c>
      <c r="AX678" s="47"/>
      <c r="AY678" s="47"/>
    </row>
    <row r="679" ht="15.75" customHeight="1">
      <c r="A679" s="42"/>
      <c r="B679" s="42" t="s">
        <v>1338</v>
      </c>
      <c r="C679" s="42" t="s">
        <v>1339</v>
      </c>
      <c r="D679" s="45">
        <v>65.0</v>
      </c>
      <c r="E679" s="42">
        <v>0.0</v>
      </c>
      <c r="F679" s="44">
        <v>40.0</v>
      </c>
      <c r="G679" s="45">
        <v>9.40490099E8</v>
      </c>
      <c r="H679" s="46">
        <v>0.05</v>
      </c>
      <c r="I679" s="42">
        <f t="shared" si="1792"/>
        <v>3.25</v>
      </c>
      <c r="J679" s="47"/>
      <c r="K679" s="44">
        <v>20.0</v>
      </c>
      <c r="L679" s="48">
        <f t="shared" si="1708"/>
        <v>128.25</v>
      </c>
      <c r="M679" s="42">
        <f t="shared" si="1853"/>
        <v>0.65</v>
      </c>
      <c r="N679" s="49">
        <f t="shared" si="1854"/>
        <v>10.26</v>
      </c>
      <c r="O679" s="49">
        <f t="shared" si="1855"/>
        <v>12.825</v>
      </c>
      <c r="P679" s="49">
        <f t="shared" si="1856"/>
        <v>6.4125</v>
      </c>
      <c r="Q679" s="49">
        <f t="shared" si="1857"/>
        <v>2.565</v>
      </c>
      <c r="R679" s="49">
        <f t="shared" si="1858"/>
        <v>0.6825</v>
      </c>
      <c r="S679" s="49">
        <f t="shared" si="1859"/>
        <v>1.2825</v>
      </c>
      <c r="T679" s="50">
        <f t="shared" si="1860"/>
        <v>33.995</v>
      </c>
      <c r="U679" s="42">
        <f t="shared" si="1861"/>
        <v>1.365</v>
      </c>
      <c r="V679" s="42">
        <f t="shared" si="15"/>
        <v>6.825</v>
      </c>
      <c r="W679" s="42">
        <f t="shared" si="1862"/>
        <v>1.365</v>
      </c>
      <c r="X679" s="42">
        <f t="shared" si="1863"/>
        <v>10.92</v>
      </c>
      <c r="Y679" s="42">
        <f t="shared" si="1864"/>
        <v>20.475</v>
      </c>
      <c r="Z679" s="50">
        <f t="shared" si="1865"/>
        <v>182.72</v>
      </c>
      <c r="AA679" s="51">
        <f t="shared" si="1866"/>
        <v>36.544</v>
      </c>
      <c r="AB679" s="49">
        <f t="shared" si="1867"/>
        <v>219.264</v>
      </c>
      <c r="AC679" s="42">
        <f t="shared" si="1868"/>
        <v>136.5</v>
      </c>
      <c r="AD679" s="49">
        <f t="shared" si="1869"/>
        <v>82.764</v>
      </c>
      <c r="AE679" s="49">
        <f t="shared" si="1870"/>
        <v>37.74627846</v>
      </c>
      <c r="AF679" s="47">
        <v>345.0</v>
      </c>
      <c r="AG679" s="52">
        <f t="shared" si="1871"/>
        <v>169.005848</v>
      </c>
      <c r="AH679" s="53">
        <f t="shared" si="1872"/>
        <v>0</v>
      </c>
      <c r="AI679" s="53">
        <f t="shared" si="2101"/>
        <v>548.16</v>
      </c>
      <c r="AJ679" s="47">
        <v>345.0</v>
      </c>
      <c r="AK679" s="55">
        <f t="shared" si="1730"/>
        <v>169.005848</v>
      </c>
      <c r="AL679" s="55"/>
      <c r="AM679" s="55">
        <f t="shared" si="1875"/>
        <v>0</v>
      </c>
      <c r="AN679" s="55">
        <f t="shared" si="1876"/>
        <v>0</v>
      </c>
      <c r="AO679" s="56">
        <f t="shared" si="1877"/>
        <v>2.69005848</v>
      </c>
      <c r="AP679" s="55">
        <f t="shared" si="1878"/>
        <v>1.25736</v>
      </c>
      <c r="AQ679" s="55">
        <f t="shared" si="1879"/>
        <v>2.085</v>
      </c>
      <c r="AR679" s="57">
        <f t="shared" ref="AR679:AS679" si="2228">AI679/94</f>
        <v>5.831489362</v>
      </c>
      <c r="AS679" s="57">
        <f t="shared" si="2228"/>
        <v>3.670212766</v>
      </c>
      <c r="AT679" s="58">
        <f t="shared" ref="AT679:AU679" si="2229">AI679/24</f>
        <v>22.84</v>
      </c>
      <c r="AU679" s="58">
        <f t="shared" si="2229"/>
        <v>14.375</v>
      </c>
      <c r="AV679" s="58">
        <f t="shared" ref="AV679:AW679" si="2230">AI679/125</f>
        <v>4.38528</v>
      </c>
      <c r="AW679" s="58">
        <f t="shared" si="2230"/>
        <v>2.76</v>
      </c>
      <c r="AX679" s="47"/>
      <c r="AY679" s="47"/>
    </row>
    <row r="680" ht="15.75" customHeight="1">
      <c r="A680" s="42"/>
      <c r="B680" s="42" t="s">
        <v>1340</v>
      </c>
      <c r="C680" s="42" t="s">
        <v>1341</v>
      </c>
      <c r="D680" s="45">
        <v>65.0</v>
      </c>
      <c r="E680" s="42">
        <v>0.0</v>
      </c>
      <c r="F680" s="44">
        <v>40.0</v>
      </c>
      <c r="G680" s="45">
        <v>9.40490099E8</v>
      </c>
      <c r="H680" s="46">
        <v>0.05</v>
      </c>
      <c r="I680" s="42">
        <f t="shared" si="1792"/>
        <v>3.25</v>
      </c>
      <c r="J680" s="47"/>
      <c r="K680" s="44">
        <v>20.0</v>
      </c>
      <c r="L680" s="48">
        <f t="shared" si="1708"/>
        <v>128.25</v>
      </c>
      <c r="M680" s="42">
        <f t="shared" si="1853"/>
        <v>0.65</v>
      </c>
      <c r="N680" s="49">
        <f t="shared" si="1854"/>
        <v>10.26</v>
      </c>
      <c r="O680" s="49">
        <f t="shared" si="1855"/>
        <v>12.825</v>
      </c>
      <c r="P680" s="49">
        <f t="shared" si="1856"/>
        <v>6.4125</v>
      </c>
      <c r="Q680" s="49">
        <f t="shared" si="1857"/>
        <v>2.565</v>
      </c>
      <c r="R680" s="49">
        <f t="shared" si="1858"/>
        <v>0.6825</v>
      </c>
      <c r="S680" s="49">
        <f t="shared" si="1859"/>
        <v>1.2825</v>
      </c>
      <c r="T680" s="50">
        <f t="shared" si="1860"/>
        <v>33.995</v>
      </c>
      <c r="U680" s="42">
        <f t="shared" si="1861"/>
        <v>1.365</v>
      </c>
      <c r="V680" s="42">
        <f t="shared" si="15"/>
        <v>6.825</v>
      </c>
      <c r="W680" s="42">
        <f t="shared" si="1862"/>
        <v>1.365</v>
      </c>
      <c r="X680" s="42">
        <f t="shared" si="1863"/>
        <v>10.92</v>
      </c>
      <c r="Y680" s="42">
        <f t="shared" si="1864"/>
        <v>20.475</v>
      </c>
      <c r="Z680" s="50">
        <f t="shared" si="1865"/>
        <v>182.72</v>
      </c>
      <c r="AA680" s="51">
        <f t="shared" si="1866"/>
        <v>36.544</v>
      </c>
      <c r="AB680" s="49">
        <f t="shared" si="1867"/>
        <v>219.264</v>
      </c>
      <c r="AC680" s="42">
        <f t="shared" si="1868"/>
        <v>136.5</v>
      </c>
      <c r="AD680" s="49">
        <f t="shared" si="1869"/>
        <v>82.764</v>
      </c>
      <c r="AE680" s="49">
        <f t="shared" si="1870"/>
        <v>37.74627846</v>
      </c>
      <c r="AF680" s="47">
        <v>345.0</v>
      </c>
      <c r="AG680" s="52">
        <f t="shared" si="1871"/>
        <v>169.005848</v>
      </c>
      <c r="AH680" s="53">
        <f t="shared" si="1872"/>
        <v>0</v>
      </c>
      <c r="AI680" s="53">
        <f t="shared" si="2101"/>
        <v>548.16</v>
      </c>
      <c r="AJ680" s="47">
        <v>345.0</v>
      </c>
      <c r="AK680" s="55">
        <f t="shared" si="1730"/>
        <v>169.005848</v>
      </c>
      <c r="AL680" s="55"/>
      <c r="AM680" s="55">
        <f t="shared" si="1875"/>
        <v>0</v>
      </c>
      <c r="AN680" s="55">
        <f t="shared" si="1876"/>
        <v>0</v>
      </c>
      <c r="AO680" s="56">
        <f t="shared" si="1877"/>
        <v>2.69005848</v>
      </c>
      <c r="AP680" s="55">
        <f t="shared" si="1878"/>
        <v>1.25736</v>
      </c>
      <c r="AQ680" s="55">
        <f t="shared" si="1879"/>
        <v>2.085</v>
      </c>
      <c r="AR680" s="57">
        <f t="shared" ref="AR680:AS680" si="2231">AI680/94</f>
        <v>5.831489362</v>
      </c>
      <c r="AS680" s="57">
        <f t="shared" si="2231"/>
        <v>3.670212766</v>
      </c>
      <c r="AT680" s="58">
        <f t="shared" ref="AT680:AU680" si="2232">AI680/24</f>
        <v>22.84</v>
      </c>
      <c r="AU680" s="58">
        <f t="shared" si="2232"/>
        <v>14.375</v>
      </c>
      <c r="AV680" s="58">
        <f t="shared" ref="AV680:AW680" si="2233">AI680/125</f>
        <v>4.38528</v>
      </c>
      <c r="AW680" s="58">
        <f t="shared" si="2233"/>
        <v>2.76</v>
      </c>
      <c r="AX680" s="47"/>
      <c r="AY680" s="47"/>
    </row>
    <row r="681" ht="15.75" customHeight="1">
      <c r="A681" s="42"/>
      <c r="B681" s="42" t="s">
        <v>1342</v>
      </c>
      <c r="C681" s="42" t="s">
        <v>1343</v>
      </c>
      <c r="D681" s="45">
        <v>80.0</v>
      </c>
      <c r="E681" s="42">
        <v>0.0</v>
      </c>
      <c r="F681" s="44">
        <v>40.0</v>
      </c>
      <c r="G681" s="45">
        <v>9.40490099E8</v>
      </c>
      <c r="H681" s="46">
        <v>0.05</v>
      </c>
      <c r="I681" s="42">
        <f t="shared" si="1792"/>
        <v>4</v>
      </c>
      <c r="J681" s="47"/>
      <c r="K681" s="44">
        <v>20.0</v>
      </c>
      <c r="L681" s="48">
        <f t="shared" si="1708"/>
        <v>144</v>
      </c>
      <c r="M681" s="42">
        <f t="shared" si="1853"/>
        <v>0.8</v>
      </c>
      <c r="N681" s="49">
        <f t="shared" si="1854"/>
        <v>11.52</v>
      </c>
      <c r="O681" s="49">
        <f t="shared" si="1855"/>
        <v>14.4</v>
      </c>
      <c r="P681" s="49">
        <f t="shared" si="1856"/>
        <v>7.2</v>
      </c>
      <c r="Q681" s="49">
        <f t="shared" si="1857"/>
        <v>2.88</v>
      </c>
      <c r="R681" s="49">
        <f t="shared" si="1858"/>
        <v>0.84</v>
      </c>
      <c r="S681" s="49">
        <f t="shared" si="1859"/>
        <v>1.44</v>
      </c>
      <c r="T681" s="50">
        <f t="shared" si="1860"/>
        <v>38.24</v>
      </c>
      <c r="U681" s="42">
        <f t="shared" si="1861"/>
        <v>1.68</v>
      </c>
      <c r="V681" s="42">
        <f t="shared" si="15"/>
        <v>8.4</v>
      </c>
      <c r="W681" s="42">
        <f t="shared" si="1862"/>
        <v>1.68</v>
      </c>
      <c r="X681" s="42">
        <f t="shared" si="1863"/>
        <v>13.44</v>
      </c>
      <c r="Y681" s="42">
        <f t="shared" si="1864"/>
        <v>25.2</v>
      </c>
      <c r="Z681" s="50">
        <f t="shared" si="1865"/>
        <v>207.44</v>
      </c>
      <c r="AA681" s="51">
        <f t="shared" si="1866"/>
        <v>41.488</v>
      </c>
      <c r="AB681" s="49">
        <f t="shared" si="1867"/>
        <v>248.928</v>
      </c>
      <c r="AC681" s="42">
        <f t="shared" si="1868"/>
        <v>168</v>
      </c>
      <c r="AD681" s="49">
        <f t="shared" si="1869"/>
        <v>80.928</v>
      </c>
      <c r="AE681" s="49">
        <f t="shared" si="1870"/>
        <v>32.51060548</v>
      </c>
      <c r="AF681" s="47">
        <v>495.0</v>
      </c>
      <c r="AG681" s="52">
        <f t="shared" si="1871"/>
        <v>243.75</v>
      </c>
      <c r="AH681" s="53">
        <f t="shared" si="1872"/>
        <v>0</v>
      </c>
      <c r="AI681" s="53">
        <f t="shared" si="2101"/>
        <v>622.32</v>
      </c>
      <c r="AJ681" s="47">
        <v>495.0</v>
      </c>
      <c r="AK681" s="55">
        <f t="shared" si="1730"/>
        <v>243.75</v>
      </c>
      <c r="AL681" s="55"/>
      <c r="AM681" s="55">
        <f t="shared" si="1875"/>
        <v>0</v>
      </c>
      <c r="AN681" s="55">
        <f t="shared" si="1876"/>
        <v>0</v>
      </c>
      <c r="AO681" s="56">
        <f t="shared" si="1877"/>
        <v>3.4375</v>
      </c>
      <c r="AP681" s="55">
        <f t="shared" si="1878"/>
        <v>2.46072</v>
      </c>
      <c r="AQ681" s="55">
        <f t="shared" si="1879"/>
        <v>3.27</v>
      </c>
      <c r="AR681" s="57">
        <f t="shared" ref="AR681:AS681" si="2234">AI681/94</f>
        <v>6.620425532</v>
      </c>
      <c r="AS681" s="57">
        <f t="shared" si="2234"/>
        <v>5.265957447</v>
      </c>
      <c r="AT681" s="58">
        <f t="shared" ref="AT681:AU681" si="2235">AI681/24</f>
        <v>25.93</v>
      </c>
      <c r="AU681" s="58">
        <f t="shared" si="2235"/>
        <v>20.625</v>
      </c>
      <c r="AV681" s="58">
        <f t="shared" ref="AV681:AW681" si="2236">AI681/125</f>
        <v>4.97856</v>
      </c>
      <c r="AW681" s="58">
        <f t="shared" si="2236"/>
        <v>3.96</v>
      </c>
      <c r="AX681" s="47"/>
      <c r="AY681" s="47"/>
    </row>
    <row r="682" ht="15.75" customHeight="1">
      <c r="A682" s="42"/>
      <c r="B682" s="42" t="s">
        <v>1344</v>
      </c>
      <c r="C682" s="42" t="s">
        <v>1345</v>
      </c>
      <c r="D682" s="45">
        <v>80.0</v>
      </c>
      <c r="E682" s="42">
        <v>0.0</v>
      </c>
      <c r="F682" s="44">
        <v>40.0</v>
      </c>
      <c r="G682" s="45">
        <v>9.40490099E8</v>
      </c>
      <c r="H682" s="46">
        <v>0.05</v>
      </c>
      <c r="I682" s="42">
        <f t="shared" si="1792"/>
        <v>4</v>
      </c>
      <c r="J682" s="47"/>
      <c r="K682" s="44">
        <v>20.0</v>
      </c>
      <c r="L682" s="48">
        <f t="shared" si="1708"/>
        <v>144</v>
      </c>
      <c r="M682" s="42">
        <f t="shared" si="1853"/>
        <v>0.8</v>
      </c>
      <c r="N682" s="49">
        <f t="shared" si="1854"/>
        <v>11.52</v>
      </c>
      <c r="O682" s="49">
        <f t="shared" si="1855"/>
        <v>14.4</v>
      </c>
      <c r="P682" s="49">
        <f t="shared" si="1856"/>
        <v>7.2</v>
      </c>
      <c r="Q682" s="49">
        <f t="shared" si="1857"/>
        <v>2.88</v>
      </c>
      <c r="R682" s="49">
        <f t="shared" si="1858"/>
        <v>0.84</v>
      </c>
      <c r="S682" s="49">
        <f t="shared" si="1859"/>
        <v>1.44</v>
      </c>
      <c r="T682" s="50">
        <f t="shared" si="1860"/>
        <v>38.24</v>
      </c>
      <c r="U682" s="42">
        <f t="shared" si="1861"/>
        <v>1.68</v>
      </c>
      <c r="V682" s="42">
        <f t="shared" si="15"/>
        <v>8.4</v>
      </c>
      <c r="W682" s="42">
        <f t="shared" si="1862"/>
        <v>1.68</v>
      </c>
      <c r="X682" s="42">
        <f t="shared" si="1863"/>
        <v>13.44</v>
      </c>
      <c r="Y682" s="42">
        <f t="shared" si="1864"/>
        <v>25.2</v>
      </c>
      <c r="Z682" s="50">
        <f t="shared" si="1865"/>
        <v>207.44</v>
      </c>
      <c r="AA682" s="51">
        <f t="shared" si="1866"/>
        <v>41.488</v>
      </c>
      <c r="AB682" s="49">
        <f t="shared" si="1867"/>
        <v>248.928</v>
      </c>
      <c r="AC682" s="42">
        <f t="shared" si="1868"/>
        <v>168</v>
      </c>
      <c r="AD682" s="49">
        <f t="shared" si="1869"/>
        <v>80.928</v>
      </c>
      <c r="AE682" s="49">
        <f t="shared" si="1870"/>
        <v>32.51060548</v>
      </c>
      <c r="AF682" s="47">
        <v>495.0</v>
      </c>
      <c r="AG682" s="52">
        <f t="shared" si="1871"/>
        <v>243.75</v>
      </c>
      <c r="AH682" s="53">
        <f t="shared" si="1872"/>
        <v>0</v>
      </c>
      <c r="AI682" s="53">
        <f t="shared" si="2101"/>
        <v>622.32</v>
      </c>
      <c r="AJ682" s="47">
        <v>495.0</v>
      </c>
      <c r="AK682" s="55">
        <f t="shared" si="1730"/>
        <v>243.75</v>
      </c>
      <c r="AL682" s="55"/>
      <c r="AM682" s="55">
        <f t="shared" si="1875"/>
        <v>0</v>
      </c>
      <c r="AN682" s="55">
        <f t="shared" si="1876"/>
        <v>0</v>
      </c>
      <c r="AO682" s="56">
        <f t="shared" si="1877"/>
        <v>3.4375</v>
      </c>
      <c r="AP682" s="55">
        <f t="shared" si="1878"/>
        <v>2.46072</v>
      </c>
      <c r="AQ682" s="55">
        <f t="shared" si="1879"/>
        <v>3.27</v>
      </c>
      <c r="AR682" s="57">
        <f t="shared" ref="AR682:AS682" si="2237">AI682/94</f>
        <v>6.620425532</v>
      </c>
      <c r="AS682" s="57">
        <f t="shared" si="2237"/>
        <v>5.265957447</v>
      </c>
      <c r="AT682" s="58">
        <f t="shared" ref="AT682:AU682" si="2238">AI682/24</f>
        <v>25.93</v>
      </c>
      <c r="AU682" s="58">
        <f t="shared" si="2238"/>
        <v>20.625</v>
      </c>
      <c r="AV682" s="58">
        <f t="shared" ref="AV682:AW682" si="2239">AI682/125</f>
        <v>4.97856</v>
      </c>
      <c r="AW682" s="58">
        <f t="shared" si="2239"/>
        <v>3.96</v>
      </c>
      <c r="AX682" s="47"/>
      <c r="AY682" s="47"/>
    </row>
    <row r="683" ht="15.75" customHeight="1">
      <c r="A683" s="42"/>
      <c r="B683" s="42" t="s">
        <v>1346</v>
      </c>
      <c r="C683" s="42" t="s">
        <v>1347</v>
      </c>
      <c r="D683" s="45">
        <v>80.0</v>
      </c>
      <c r="E683" s="42">
        <v>0.0</v>
      </c>
      <c r="F683" s="44">
        <v>40.0</v>
      </c>
      <c r="G683" s="45">
        <v>9.40490099E8</v>
      </c>
      <c r="H683" s="46">
        <v>0.05</v>
      </c>
      <c r="I683" s="42">
        <f t="shared" si="1792"/>
        <v>4</v>
      </c>
      <c r="J683" s="47"/>
      <c r="K683" s="44">
        <v>20.0</v>
      </c>
      <c r="L683" s="48">
        <f t="shared" si="1708"/>
        <v>144</v>
      </c>
      <c r="M683" s="42">
        <f t="shared" si="1853"/>
        <v>0.8</v>
      </c>
      <c r="N683" s="49">
        <f t="shared" si="1854"/>
        <v>11.52</v>
      </c>
      <c r="O683" s="49">
        <f t="shared" si="1855"/>
        <v>14.4</v>
      </c>
      <c r="P683" s="49">
        <f t="shared" si="1856"/>
        <v>7.2</v>
      </c>
      <c r="Q683" s="49">
        <f t="shared" si="1857"/>
        <v>2.88</v>
      </c>
      <c r="R683" s="49">
        <f t="shared" si="1858"/>
        <v>0.84</v>
      </c>
      <c r="S683" s="49">
        <f t="shared" si="1859"/>
        <v>1.44</v>
      </c>
      <c r="T683" s="50">
        <f t="shared" si="1860"/>
        <v>38.24</v>
      </c>
      <c r="U683" s="42">
        <f t="shared" si="1861"/>
        <v>1.68</v>
      </c>
      <c r="V683" s="42">
        <f t="shared" si="15"/>
        <v>8.4</v>
      </c>
      <c r="W683" s="42">
        <f t="shared" si="1862"/>
        <v>1.68</v>
      </c>
      <c r="X683" s="42">
        <f t="shared" si="1863"/>
        <v>13.44</v>
      </c>
      <c r="Y683" s="42">
        <f t="shared" si="1864"/>
        <v>25.2</v>
      </c>
      <c r="Z683" s="50">
        <f t="shared" si="1865"/>
        <v>207.44</v>
      </c>
      <c r="AA683" s="51">
        <f t="shared" si="1866"/>
        <v>41.488</v>
      </c>
      <c r="AB683" s="49">
        <f t="shared" si="1867"/>
        <v>248.928</v>
      </c>
      <c r="AC683" s="42">
        <f t="shared" si="1868"/>
        <v>168</v>
      </c>
      <c r="AD683" s="49">
        <f t="shared" si="1869"/>
        <v>80.928</v>
      </c>
      <c r="AE683" s="49">
        <f t="shared" si="1870"/>
        <v>32.51060548</v>
      </c>
      <c r="AF683" s="47">
        <v>495.0</v>
      </c>
      <c r="AG683" s="52">
        <f t="shared" si="1871"/>
        <v>243.75</v>
      </c>
      <c r="AH683" s="53">
        <f t="shared" si="1872"/>
        <v>0</v>
      </c>
      <c r="AI683" s="53">
        <f t="shared" si="2101"/>
        <v>622.32</v>
      </c>
      <c r="AJ683" s="47">
        <v>495.0</v>
      </c>
      <c r="AK683" s="55">
        <f t="shared" si="1730"/>
        <v>243.75</v>
      </c>
      <c r="AL683" s="55"/>
      <c r="AM683" s="55">
        <f t="shared" si="1875"/>
        <v>0</v>
      </c>
      <c r="AN683" s="55">
        <f t="shared" si="1876"/>
        <v>0</v>
      </c>
      <c r="AO683" s="56">
        <f t="shared" si="1877"/>
        <v>3.4375</v>
      </c>
      <c r="AP683" s="55">
        <f t="shared" si="1878"/>
        <v>2.46072</v>
      </c>
      <c r="AQ683" s="55">
        <f t="shared" si="1879"/>
        <v>3.27</v>
      </c>
      <c r="AR683" s="57">
        <f t="shared" ref="AR683:AS683" si="2240">AI683/94</f>
        <v>6.620425532</v>
      </c>
      <c r="AS683" s="57">
        <f t="shared" si="2240"/>
        <v>5.265957447</v>
      </c>
      <c r="AT683" s="58">
        <f t="shared" ref="AT683:AU683" si="2241">AI683/24</f>
        <v>25.93</v>
      </c>
      <c r="AU683" s="58">
        <f t="shared" si="2241"/>
        <v>20.625</v>
      </c>
      <c r="AV683" s="58">
        <f t="shared" ref="AV683:AW683" si="2242">AI683/125</f>
        <v>4.97856</v>
      </c>
      <c r="AW683" s="58">
        <f t="shared" si="2242"/>
        <v>3.96</v>
      </c>
      <c r="AX683" s="47"/>
      <c r="AY683" s="47"/>
    </row>
    <row r="684" ht="15.75" customHeight="1">
      <c r="A684" s="42"/>
      <c r="B684" s="42" t="s">
        <v>1348</v>
      </c>
      <c r="C684" s="42" t="s">
        <v>1349</v>
      </c>
      <c r="D684" s="45">
        <v>80.0</v>
      </c>
      <c r="E684" s="42">
        <v>0.0</v>
      </c>
      <c r="F684" s="44">
        <v>40.0</v>
      </c>
      <c r="G684" s="45">
        <v>9.40490099E8</v>
      </c>
      <c r="H684" s="46">
        <v>0.05</v>
      </c>
      <c r="I684" s="42">
        <f t="shared" si="1792"/>
        <v>4</v>
      </c>
      <c r="J684" s="47"/>
      <c r="K684" s="44">
        <v>20.0</v>
      </c>
      <c r="L684" s="48">
        <f t="shared" si="1708"/>
        <v>144</v>
      </c>
      <c r="M684" s="42">
        <f t="shared" si="1853"/>
        <v>0.8</v>
      </c>
      <c r="N684" s="49">
        <f t="shared" si="1854"/>
        <v>11.52</v>
      </c>
      <c r="O684" s="49">
        <f t="shared" si="1855"/>
        <v>14.4</v>
      </c>
      <c r="P684" s="49">
        <f t="shared" si="1856"/>
        <v>7.2</v>
      </c>
      <c r="Q684" s="49">
        <f t="shared" si="1857"/>
        <v>2.88</v>
      </c>
      <c r="R684" s="49">
        <f t="shared" si="1858"/>
        <v>0.84</v>
      </c>
      <c r="S684" s="49">
        <f t="shared" si="1859"/>
        <v>1.44</v>
      </c>
      <c r="T684" s="50">
        <f t="shared" si="1860"/>
        <v>38.24</v>
      </c>
      <c r="U684" s="42">
        <f t="shared" si="1861"/>
        <v>1.68</v>
      </c>
      <c r="V684" s="42">
        <f t="shared" si="15"/>
        <v>8.4</v>
      </c>
      <c r="W684" s="42">
        <f t="shared" si="1862"/>
        <v>1.68</v>
      </c>
      <c r="X684" s="42">
        <f t="shared" si="1863"/>
        <v>13.44</v>
      </c>
      <c r="Y684" s="42">
        <f t="shared" si="1864"/>
        <v>25.2</v>
      </c>
      <c r="Z684" s="50">
        <f t="shared" si="1865"/>
        <v>207.44</v>
      </c>
      <c r="AA684" s="51">
        <f t="shared" si="1866"/>
        <v>41.488</v>
      </c>
      <c r="AB684" s="49">
        <f t="shared" si="1867"/>
        <v>248.928</v>
      </c>
      <c r="AC684" s="42">
        <f t="shared" si="1868"/>
        <v>168</v>
      </c>
      <c r="AD684" s="49">
        <f t="shared" si="1869"/>
        <v>80.928</v>
      </c>
      <c r="AE684" s="49">
        <f t="shared" si="1870"/>
        <v>32.51060548</v>
      </c>
      <c r="AF684" s="47">
        <v>495.0</v>
      </c>
      <c r="AG684" s="52">
        <f t="shared" si="1871"/>
        <v>243.75</v>
      </c>
      <c r="AH684" s="53">
        <f t="shared" si="1872"/>
        <v>0</v>
      </c>
      <c r="AI684" s="53">
        <f t="shared" si="2101"/>
        <v>622.32</v>
      </c>
      <c r="AJ684" s="47">
        <v>495.0</v>
      </c>
      <c r="AK684" s="55">
        <f t="shared" si="1730"/>
        <v>243.75</v>
      </c>
      <c r="AL684" s="55"/>
      <c r="AM684" s="55">
        <f t="shared" si="1875"/>
        <v>0</v>
      </c>
      <c r="AN684" s="55">
        <f t="shared" si="1876"/>
        <v>0</v>
      </c>
      <c r="AO684" s="56">
        <f t="shared" si="1877"/>
        <v>3.4375</v>
      </c>
      <c r="AP684" s="55">
        <f t="shared" si="1878"/>
        <v>2.46072</v>
      </c>
      <c r="AQ684" s="55">
        <f t="shared" si="1879"/>
        <v>3.27</v>
      </c>
      <c r="AR684" s="57">
        <f t="shared" ref="AR684:AS684" si="2243">AI684/94</f>
        <v>6.620425532</v>
      </c>
      <c r="AS684" s="57">
        <f t="shared" si="2243"/>
        <v>5.265957447</v>
      </c>
      <c r="AT684" s="58">
        <f t="shared" ref="AT684:AU684" si="2244">AI684/24</f>
        <v>25.93</v>
      </c>
      <c r="AU684" s="58">
        <f t="shared" si="2244"/>
        <v>20.625</v>
      </c>
      <c r="AV684" s="58">
        <f t="shared" ref="AV684:AW684" si="2245">AI684/125</f>
        <v>4.97856</v>
      </c>
      <c r="AW684" s="58">
        <f t="shared" si="2245"/>
        <v>3.96</v>
      </c>
      <c r="AX684" s="47"/>
      <c r="AY684" s="47"/>
    </row>
    <row r="685" ht="15.75" customHeight="1">
      <c r="A685" s="42"/>
      <c r="B685" s="42" t="s">
        <v>1350</v>
      </c>
      <c r="C685" s="42" t="s">
        <v>1351</v>
      </c>
      <c r="D685" s="45">
        <v>80.0</v>
      </c>
      <c r="E685" s="42">
        <v>0.0</v>
      </c>
      <c r="F685" s="44">
        <v>40.0</v>
      </c>
      <c r="G685" s="45">
        <v>9.40490099E8</v>
      </c>
      <c r="H685" s="46">
        <v>0.05</v>
      </c>
      <c r="I685" s="42">
        <f t="shared" si="1792"/>
        <v>4</v>
      </c>
      <c r="J685" s="47"/>
      <c r="K685" s="44">
        <v>20.0</v>
      </c>
      <c r="L685" s="48">
        <f t="shared" si="1708"/>
        <v>144</v>
      </c>
      <c r="M685" s="42">
        <f t="shared" si="1853"/>
        <v>0.8</v>
      </c>
      <c r="N685" s="49">
        <f t="shared" si="1854"/>
        <v>11.52</v>
      </c>
      <c r="O685" s="49">
        <f t="shared" si="1855"/>
        <v>14.4</v>
      </c>
      <c r="P685" s="49">
        <f t="shared" si="1856"/>
        <v>7.2</v>
      </c>
      <c r="Q685" s="49">
        <f t="shared" si="1857"/>
        <v>2.88</v>
      </c>
      <c r="R685" s="49">
        <f t="shared" si="1858"/>
        <v>0.84</v>
      </c>
      <c r="S685" s="49">
        <f t="shared" si="1859"/>
        <v>1.44</v>
      </c>
      <c r="T685" s="50">
        <f t="shared" si="1860"/>
        <v>38.24</v>
      </c>
      <c r="U685" s="42">
        <f t="shared" si="1861"/>
        <v>1.68</v>
      </c>
      <c r="V685" s="42">
        <f t="shared" si="15"/>
        <v>8.4</v>
      </c>
      <c r="W685" s="42">
        <f t="shared" si="1862"/>
        <v>1.68</v>
      </c>
      <c r="X685" s="42">
        <f t="shared" si="1863"/>
        <v>13.44</v>
      </c>
      <c r="Y685" s="42">
        <f t="shared" si="1864"/>
        <v>25.2</v>
      </c>
      <c r="Z685" s="50">
        <f t="shared" si="1865"/>
        <v>207.44</v>
      </c>
      <c r="AA685" s="51">
        <f t="shared" si="1866"/>
        <v>41.488</v>
      </c>
      <c r="AB685" s="49">
        <f t="shared" si="1867"/>
        <v>248.928</v>
      </c>
      <c r="AC685" s="42">
        <f t="shared" si="1868"/>
        <v>168</v>
      </c>
      <c r="AD685" s="49">
        <f t="shared" si="1869"/>
        <v>80.928</v>
      </c>
      <c r="AE685" s="49">
        <f t="shared" si="1870"/>
        <v>32.51060548</v>
      </c>
      <c r="AF685" s="47">
        <v>495.0</v>
      </c>
      <c r="AG685" s="52">
        <f t="shared" si="1871"/>
        <v>243.75</v>
      </c>
      <c r="AH685" s="53">
        <f t="shared" si="1872"/>
        <v>0</v>
      </c>
      <c r="AI685" s="53">
        <f t="shared" si="2101"/>
        <v>622.32</v>
      </c>
      <c r="AJ685" s="47">
        <v>495.0</v>
      </c>
      <c r="AK685" s="55">
        <f t="shared" si="1730"/>
        <v>243.75</v>
      </c>
      <c r="AL685" s="55"/>
      <c r="AM685" s="55">
        <f t="shared" si="1875"/>
        <v>0</v>
      </c>
      <c r="AN685" s="55">
        <f t="shared" si="1876"/>
        <v>0</v>
      </c>
      <c r="AO685" s="56">
        <f t="shared" si="1877"/>
        <v>3.4375</v>
      </c>
      <c r="AP685" s="55">
        <f t="shared" si="1878"/>
        <v>2.46072</v>
      </c>
      <c r="AQ685" s="55">
        <f t="shared" si="1879"/>
        <v>3.27</v>
      </c>
      <c r="AR685" s="57">
        <f t="shared" ref="AR685:AS685" si="2246">AI685/94</f>
        <v>6.620425532</v>
      </c>
      <c r="AS685" s="57">
        <f t="shared" si="2246"/>
        <v>5.265957447</v>
      </c>
      <c r="AT685" s="58">
        <f t="shared" ref="AT685:AU685" si="2247">AI685/24</f>
        <v>25.93</v>
      </c>
      <c r="AU685" s="58">
        <f t="shared" si="2247"/>
        <v>20.625</v>
      </c>
      <c r="AV685" s="58">
        <f t="shared" ref="AV685:AW685" si="2248">AI685/125</f>
        <v>4.97856</v>
      </c>
      <c r="AW685" s="58">
        <f t="shared" si="2248"/>
        <v>3.96</v>
      </c>
      <c r="AX685" s="47"/>
      <c r="AY685" s="47"/>
    </row>
    <row r="686" ht="15.75" customHeight="1">
      <c r="A686" s="42"/>
      <c r="B686" s="42" t="s">
        <v>1352</v>
      </c>
      <c r="C686" s="42" t="s">
        <v>1353</v>
      </c>
      <c r="D686" s="45">
        <v>80.0</v>
      </c>
      <c r="E686" s="42">
        <v>0.0</v>
      </c>
      <c r="F686" s="44">
        <v>40.0</v>
      </c>
      <c r="G686" s="45">
        <v>9.40490099E8</v>
      </c>
      <c r="H686" s="46">
        <v>0.05</v>
      </c>
      <c r="I686" s="42">
        <f t="shared" si="1792"/>
        <v>4</v>
      </c>
      <c r="J686" s="47"/>
      <c r="K686" s="44">
        <v>20.0</v>
      </c>
      <c r="L686" s="48">
        <f t="shared" si="1708"/>
        <v>144</v>
      </c>
      <c r="M686" s="42">
        <f t="shared" si="1853"/>
        <v>0.8</v>
      </c>
      <c r="N686" s="49">
        <f t="shared" si="1854"/>
        <v>11.52</v>
      </c>
      <c r="O686" s="49">
        <f t="shared" si="1855"/>
        <v>14.4</v>
      </c>
      <c r="P686" s="49">
        <f t="shared" si="1856"/>
        <v>7.2</v>
      </c>
      <c r="Q686" s="49">
        <f t="shared" si="1857"/>
        <v>2.88</v>
      </c>
      <c r="R686" s="49">
        <f t="shared" si="1858"/>
        <v>0.84</v>
      </c>
      <c r="S686" s="49">
        <f t="shared" si="1859"/>
        <v>1.44</v>
      </c>
      <c r="T686" s="50">
        <f t="shared" si="1860"/>
        <v>38.24</v>
      </c>
      <c r="U686" s="42">
        <f t="shared" si="1861"/>
        <v>1.68</v>
      </c>
      <c r="V686" s="42">
        <f t="shared" si="15"/>
        <v>8.4</v>
      </c>
      <c r="W686" s="42">
        <f t="shared" si="1862"/>
        <v>1.68</v>
      </c>
      <c r="X686" s="42">
        <f t="shared" si="1863"/>
        <v>13.44</v>
      </c>
      <c r="Y686" s="42">
        <f t="shared" si="1864"/>
        <v>25.2</v>
      </c>
      <c r="Z686" s="50">
        <f t="shared" si="1865"/>
        <v>207.44</v>
      </c>
      <c r="AA686" s="51">
        <f t="shared" si="1866"/>
        <v>41.488</v>
      </c>
      <c r="AB686" s="49">
        <f t="shared" si="1867"/>
        <v>248.928</v>
      </c>
      <c r="AC686" s="42">
        <f t="shared" si="1868"/>
        <v>168</v>
      </c>
      <c r="AD686" s="49">
        <f t="shared" si="1869"/>
        <v>80.928</v>
      </c>
      <c r="AE686" s="49">
        <f t="shared" si="1870"/>
        <v>32.51060548</v>
      </c>
      <c r="AF686" s="47">
        <v>495.0</v>
      </c>
      <c r="AG686" s="52">
        <f t="shared" si="1871"/>
        <v>243.75</v>
      </c>
      <c r="AH686" s="53">
        <f t="shared" si="1872"/>
        <v>0</v>
      </c>
      <c r="AI686" s="53">
        <f t="shared" si="2101"/>
        <v>622.32</v>
      </c>
      <c r="AJ686" s="47">
        <v>495.0</v>
      </c>
      <c r="AK686" s="55">
        <f t="shared" si="1730"/>
        <v>243.75</v>
      </c>
      <c r="AL686" s="55"/>
      <c r="AM686" s="55">
        <f t="shared" si="1875"/>
        <v>0</v>
      </c>
      <c r="AN686" s="55">
        <f t="shared" si="1876"/>
        <v>0</v>
      </c>
      <c r="AO686" s="56">
        <f t="shared" si="1877"/>
        <v>3.4375</v>
      </c>
      <c r="AP686" s="55">
        <f t="shared" si="1878"/>
        <v>2.46072</v>
      </c>
      <c r="AQ686" s="55">
        <f t="shared" si="1879"/>
        <v>3.27</v>
      </c>
      <c r="AR686" s="57">
        <f t="shared" ref="AR686:AS686" si="2249">AI686/94</f>
        <v>6.620425532</v>
      </c>
      <c r="AS686" s="57">
        <f t="shared" si="2249"/>
        <v>5.265957447</v>
      </c>
      <c r="AT686" s="58">
        <f t="shared" ref="AT686:AU686" si="2250">AI686/24</f>
        <v>25.93</v>
      </c>
      <c r="AU686" s="58">
        <f t="shared" si="2250"/>
        <v>20.625</v>
      </c>
      <c r="AV686" s="58">
        <f t="shared" ref="AV686:AW686" si="2251">AI686/125</f>
        <v>4.97856</v>
      </c>
      <c r="AW686" s="58">
        <f t="shared" si="2251"/>
        <v>3.96</v>
      </c>
      <c r="AX686" s="47"/>
      <c r="AY686" s="47"/>
    </row>
    <row r="687" ht="15.75" customHeight="1">
      <c r="A687" s="42"/>
      <c r="B687" s="42" t="s">
        <v>1354</v>
      </c>
      <c r="C687" s="42" t="s">
        <v>1355</v>
      </c>
      <c r="D687" s="45">
        <v>80.0</v>
      </c>
      <c r="E687" s="42">
        <v>0.0</v>
      </c>
      <c r="F687" s="44">
        <v>40.0</v>
      </c>
      <c r="G687" s="45">
        <v>9.40490099E8</v>
      </c>
      <c r="H687" s="46">
        <v>0.05</v>
      </c>
      <c r="I687" s="42">
        <f t="shared" si="1792"/>
        <v>4</v>
      </c>
      <c r="J687" s="47"/>
      <c r="K687" s="44">
        <v>20.0</v>
      </c>
      <c r="L687" s="48">
        <f t="shared" si="1708"/>
        <v>144</v>
      </c>
      <c r="M687" s="42">
        <f t="shared" si="1853"/>
        <v>0.8</v>
      </c>
      <c r="N687" s="49">
        <f t="shared" si="1854"/>
        <v>11.52</v>
      </c>
      <c r="O687" s="49">
        <f t="shared" si="1855"/>
        <v>14.4</v>
      </c>
      <c r="P687" s="49">
        <f t="shared" si="1856"/>
        <v>7.2</v>
      </c>
      <c r="Q687" s="49">
        <f t="shared" si="1857"/>
        <v>2.88</v>
      </c>
      <c r="R687" s="49">
        <f t="shared" si="1858"/>
        <v>0.84</v>
      </c>
      <c r="S687" s="49">
        <f t="shared" si="1859"/>
        <v>1.44</v>
      </c>
      <c r="T687" s="50">
        <f t="shared" si="1860"/>
        <v>38.24</v>
      </c>
      <c r="U687" s="42">
        <f t="shared" si="1861"/>
        <v>1.68</v>
      </c>
      <c r="V687" s="42">
        <f t="shared" si="15"/>
        <v>8.4</v>
      </c>
      <c r="W687" s="42">
        <f t="shared" si="1862"/>
        <v>1.68</v>
      </c>
      <c r="X687" s="42">
        <f t="shared" si="1863"/>
        <v>13.44</v>
      </c>
      <c r="Y687" s="42">
        <f t="shared" si="1864"/>
        <v>25.2</v>
      </c>
      <c r="Z687" s="50">
        <f t="shared" si="1865"/>
        <v>207.44</v>
      </c>
      <c r="AA687" s="51">
        <f t="shared" si="1866"/>
        <v>41.488</v>
      </c>
      <c r="AB687" s="49">
        <f t="shared" si="1867"/>
        <v>248.928</v>
      </c>
      <c r="AC687" s="42">
        <f t="shared" si="1868"/>
        <v>168</v>
      </c>
      <c r="AD687" s="49">
        <f t="shared" si="1869"/>
        <v>80.928</v>
      </c>
      <c r="AE687" s="49">
        <f t="shared" si="1870"/>
        <v>32.51060548</v>
      </c>
      <c r="AF687" s="47">
        <v>495.0</v>
      </c>
      <c r="AG687" s="52">
        <f t="shared" si="1871"/>
        <v>243.75</v>
      </c>
      <c r="AH687" s="53">
        <f t="shared" si="1872"/>
        <v>0</v>
      </c>
      <c r="AI687" s="53">
        <f t="shared" si="2101"/>
        <v>622.32</v>
      </c>
      <c r="AJ687" s="47">
        <v>495.0</v>
      </c>
      <c r="AK687" s="55">
        <f t="shared" si="1730"/>
        <v>243.75</v>
      </c>
      <c r="AL687" s="55"/>
      <c r="AM687" s="55">
        <f t="shared" si="1875"/>
        <v>0</v>
      </c>
      <c r="AN687" s="55">
        <f t="shared" si="1876"/>
        <v>0</v>
      </c>
      <c r="AO687" s="56">
        <f t="shared" si="1877"/>
        <v>3.4375</v>
      </c>
      <c r="AP687" s="55">
        <f t="shared" si="1878"/>
        <v>2.46072</v>
      </c>
      <c r="AQ687" s="55">
        <f t="shared" si="1879"/>
        <v>3.27</v>
      </c>
      <c r="AR687" s="57">
        <f t="shared" ref="AR687:AS687" si="2252">AI687/94</f>
        <v>6.620425532</v>
      </c>
      <c r="AS687" s="57">
        <f t="shared" si="2252"/>
        <v>5.265957447</v>
      </c>
      <c r="AT687" s="58">
        <f t="shared" ref="AT687:AU687" si="2253">AI687/24</f>
        <v>25.93</v>
      </c>
      <c r="AU687" s="58">
        <f t="shared" si="2253"/>
        <v>20.625</v>
      </c>
      <c r="AV687" s="58">
        <f t="shared" ref="AV687:AW687" si="2254">AI687/125</f>
        <v>4.97856</v>
      </c>
      <c r="AW687" s="58">
        <f t="shared" si="2254"/>
        <v>3.96</v>
      </c>
      <c r="AX687" s="47"/>
      <c r="AY687" s="47"/>
    </row>
    <row r="688" ht="15.75" customHeight="1">
      <c r="A688" s="42"/>
      <c r="B688" s="42" t="s">
        <v>1356</v>
      </c>
      <c r="C688" s="42" t="s">
        <v>1357</v>
      </c>
      <c r="D688" s="45">
        <v>80.0</v>
      </c>
      <c r="E688" s="42">
        <v>0.0</v>
      </c>
      <c r="F688" s="44">
        <v>40.0</v>
      </c>
      <c r="G688" s="45">
        <v>9.40490099E8</v>
      </c>
      <c r="H688" s="46">
        <v>0.05</v>
      </c>
      <c r="I688" s="42">
        <f t="shared" si="1792"/>
        <v>4</v>
      </c>
      <c r="J688" s="47"/>
      <c r="K688" s="44">
        <v>20.0</v>
      </c>
      <c r="L688" s="48">
        <f t="shared" si="1708"/>
        <v>144</v>
      </c>
      <c r="M688" s="42">
        <f t="shared" si="1853"/>
        <v>0.8</v>
      </c>
      <c r="N688" s="49">
        <f t="shared" si="1854"/>
        <v>11.52</v>
      </c>
      <c r="O688" s="49">
        <f t="shared" si="1855"/>
        <v>14.4</v>
      </c>
      <c r="P688" s="49">
        <f t="shared" si="1856"/>
        <v>7.2</v>
      </c>
      <c r="Q688" s="49">
        <f t="shared" si="1857"/>
        <v>2.88</v>
      </c>
      <c r="R688" s="49">
        <f t="shared" si="1858"/>
        <v>0.84</v>
      </c>
      <c r="S688" s="49">
        <f t="shared" si="1859"/>
        <v>1.44</v>
      </c>
      <c r="T688" s="50">
        <f t="shared" si="1860"/>
        <v>38.24</v>
      </c>
      <c r="U688" s="42">
        <f t="shared" si="1861"/>
        <v>1.68</v>
      </c>
      <c r="V688" s="42">
        <f t="shared" si="15"/>
        <v>8.4</v>
      </c>
      <c r="W688" s="42">
        <f t="shared" si="1862"/>
        <v>1.68</v>
      </c>
      <c r="X688" s="42">
        <f t="shared" si="1863"/>
        <v>13.44</v>
      </c>
      <c r="Y688" s="42">
        <f t="shared" si="1864"/>
        <v>25.2</v>
      </c>
      <c r="Z688" s="50">
        <f t="shared" si="1865"/>
        <v>207.44</v>
      </c>
      <c r="AA688" s="51">
        <f t="shared" si="1866"/>
        <v>41.488</v>
      </c>
      <c r="AB688" s="49">
        <f t="shared" si="1867"/>
        <v>248.928</v>
      </c>
      <c r="AC688" s="42">
        <f t="shared" si="1868"/>
        <v>168</v>
      </c>
      <c r="AD688" s="49">
        <f t="shared" si="1869"/>
        <v>80.928</v>
      </c>
      <c r="AE688" s="49">
        <f t="shared" si="1870"/>
        <v>32.51060548</v>
      </c>
      <c r="AF688" s="47">
        <v>495.0</v>
      </c>
      <c r="AG688" s="52">
        <f t="shared" si="1871"/>
        <v>243.75</v>
      </c>
      <c r="AH688" s="53">
        <f t="shared" si="1872"/>
        <v>0</v>
      </c>
      <c r="AI688" s="53">
        <f t="shared" si="2101"/>
        <v>622.32</v>
      </c>
      <c r="AJ688" s="47">
        <v>495.0</v>
      </c>
      <c r="AK688" s="55">
        <f t="shared" si="1730"/>
        <v>243.75</v>
      </c>
      <c r="AL688" s="55"/>
      <c r="AM688" s="55">
        <f t="shared" si="1875"/>
        <v>0</v>
      </c>
      <c r="AN688" s="55">
        <f t="shared" si="1876"/>
        <v>0</v>
      </c>
      <c r="AO688" s="56">
        <f t="shared" si="1877"/>
        <v>3.4375</v>
      </c>
      <c r="AP688" s="55">
        <f t="shared" si="1878"/>
        <v>2.46072</v>
      </c>
      <c r="AQ688" s="55">
        <f t="shared" si="1879"/>
        <v>3.27</v>
      </c>
      <c r="AR688" s="57">
        <f t="shared" ref="AR688:AS688" si="2255">AI688/94</f>
        <v>6.620425532</v>
      </c>
      <c r="AS688" s="57">
        <f t="shared" si="2255"/>
        <v>5.265957447</v>
      </c>
      <c r="AT688" s="58">
        <f t="shared" ref="AT688:AU688" si="2256">AI688/24</f>
        <v>25.93</v>
      </c>
      <c r="AU688" s="58">
        <f t="shared" si="2256"/>
        <v>20.625</v>
      </c>
      <c r="AV688" s="58">
        <f t="shared" ref="AV688:AW688" si="2257">AI688/125</f>
        <v>4.97856</v>
      </c>
      <c r="AW688" s="58">
        <f t="shared" si="2257"/>
        <v>3.96</v>
      </c>
      <c r="AX688" s="47"/>
      <c r="AY688" s="47"/>
    </row>
    <row r="689" ht="15.75" customHeight="1">
      <c r="A689" s="42"/>
      <c r="B689" s="42" t="s">
        <v>1358</v>
      </c>
      <c r="C689" s="42" t="s">
        <v>1359</v>
      </c>
      <c r="D689" s="45">
        <v>80.0</v>
      </c>
      <c r="E689" s="42">
        <v>0.0</v>
      </c>
      <c r="F689" s="44">
        <v>40.0</v>
      </c>
      <c r="G689" s="45">
        <v>9.40490099E8</v>
      </c>
      <c r="H689" s="46">
        <v>0.05</v>
      </c>
      <c r="I689" s="42">
        <f t="shared" si="1792"/>
        <v>4</v>
      </c>
      <c r="J689" s="47"/>
      <c r="K689" s="44">
        <v>20.0</v>
      </c>
      <c r="L689" s="48">
        <f t="shared" si="1708"/>
        <v>144</v>
      </c>
      <c r="M689" s="42">
        <f t="shared" si="1853"/>
        <v>0.8</v>
      </c>
      <c r="N689" s="49">
        <f t="shared" si="1854"/>
        <v>11.52</v>
      </c>
      <c r="O689" s="49">
        <f t="shared" si="1855"/>
        <v>14.4</v>
      </c>
      <c r="P689" s="49">
        <f t="shared" si="1856"/>
        <v>7.2</v>
      </c>
      <c r="Q689" s="49">
        <f t="shared" si="1857"/>
        <v>2.88</v>
      </c>
      <c r="R689" s="49">
        <f t="shared" si="1858"/>
        <v>0.84</v>
      </c>
      <c r="S689" s="49">
        <f t="shared" si="1859"/>
        <v>1.44</v>
      </c>
      <c r="T689" s="50">
        <f t="shared" si="1860"/>
        <v>38.24</v>
      </c>
      <c r="U689" s="42">
        <f t="shared" si="1861"/>
        <v>1.68</v>
      </c>
      <c r="V689" s="42">
        <f t="shared" si="15"/>
        <v>8.4</v>
      </c>
      <c r="W689" s="42">
        <f t="shared" si="1862"/>
        <v>1.68</v>
      </c>
      <c r="X689" s="42">
        <f t="shared" si="1863"/>
        <v>13.44</v>
      </c>
      <c r="Y689" s="42">
        <f t="shared" si="1864"/>
        <v>25.2</v>
      </c>
      <c r="Z689" s="50">
        <f t="shared" si="1865"/>
        <v>207.44</v>
      </c>
      <c r="AA689" s="51">
        <f t="shared" si="1866"/>
        <v>41.488</v>
      </c>
      <c r="AB689" s="49">
        <f t="shared" si="1867"/>
        <v>248.928</v>
      </c>
      <c r="AC689" s="42">
        <f t="shared" si="1868"/>
        <v>168</v>
      </c>
      <c r="AD689" s="49">
        <f t="shared" si="1869"/>
        <v>80.928</v>
      </c>
      <c r="AE689" s="49">
        <f t="shared" si="1870"/>
        <v>32.51060548</v>
      </c>
      <c r="AF689" s="47">
        <v>495.0</v>
      </c>
      <c r="AG689" s="52">
        <f t="shared" si="1871"/>
        <v>243.75</v>
      </c>
      <c r="AH689" s="53">
        <f t="shared" si="1872"/>
        <v>0</v>
      </c>
      <c r="AI689" s="53">
        <f t="shared" si="2101"/>
        <v>622.32</v>
      </c>
      <c r="AJ689" s="47">
        <v>495.0</v>
      </c>
      <c r="AK689" s="55">
        <f t="shared" si="1730"/>
        <v>243.75</v>
      </c>
      <c r="AL689" s="55"/>
      <c r="AM689" s="55">
        <f t="shared" si="1875"/>
        <v>0</v>
      </c>
      <c r="AN689" s="55">
        <f t="shared" si="1876"/>
        <v>0</v>
      </c>
      <c r="AO689" s="56">
        <f t="shared" si="1877"/>
        <v>3.4375</v>
      </c>
      <c r="AP689" s="55">
        <f t="shared" si="1878"/>
        <v>2.46072</v>
      </c>
      <c r="AQ689" s="55">
        <f t="shared" si="1879"/>
        <v>3.27</v>
      </c>
      <c r="AR689" s="57">
        <f t="shared" ref="AR689:AS689" si="2258">AI689/94</f>
        <v>6.620425532</v>
      </c>
      <c r="AS689" s="57">
        <f t="shared" si="2258"/>
        <v>5.265957447</v>
      </c>
      <c r="AT689" s="58">
        <f t="shared" ref="AT689:AU689" si="2259">AI689/24</f>
        <v>25.93</v>
      </c>
      <c r="AU689" s="58">
        <f t="shared" si="2259"/>
        <v>20.625</v>
      </c>
      <c r="AV689" s="58">
        <f t="shared" ref="AV689:AW689" si="2260">AI689/125</f>
        <v>4.97856</v>
      </c>
      <c r="AW689" s="58">
        <f t="shared" si="2260"/>
        <v>3.96</v>
      </c>
      <c r="AX689" s="47"/>
      <c r="AY689" s="47"/>
    </row>
    <row r="690" ht="15.75" customHeight="1">
      <c r="A690" s="42"/>
      <c r="B690" s="42" t="s">
        <v>1360</v>
      </c>
      <c r="C690" s="42" t="s">
        <v>1361</v>
      </c>
      <c r="D690" s="45">
        <v>90.0</v>
      </c>
      <c r="E690" s="42">
        <v>0.0</v>
      </c>
      <c r="F690" s="44">
        <v>40.0</v>
      </c>
      <c r="G690" s="45">
        <v>9.40490099E8</v>
      </c>
      <c r="H690" s="46">
        <v>0.05</v>
      </c>
      <c r="I690" s="42">
        <f t="shared" si="1792"/>
        <v>4.5</v>
      </c>
      <c r="J690" s="47"/>
      <c r="K690" s="44">
        <v>20.0</v>
      </c>
      <c r="L690" s="48">
        <f t="shared" si="1708"/>
        <v>154.5</v>
      </c>
      <c r="M690" s="42">
        <f t="shared" si="1853"/>
        <v>0.9</v>
      </c>
      <c r="N690" s="49">
        <f t="shared" si="1854"/>
        <v>12.36</v>
      </c>
      <c r="O690" s="49">
        <f t="shared" si="1855"/>
        <v>15.45</v>
      </c>
      <c r="P690" s="49">
        <f t="shared" si="1856"/>
        <v>7.725</v>
      </c>
      <c r="Q690" s="49">
        <f t="shared" si="1857"/>
        <v>3.09</v>
      </c>
      <c r="R690" s="49">
        <f t="shared" si="1858"/>
        <v>0.945</v>
      </c>
      <c r="S690" s="49">
        <f t="shared" si="1859"/>
        <v>1.545</v>
      </c>
      <c r="T690" s="50">
        <f t="shared" si="1860"/>
        <v>41.07</v>
      </c>
      <c r="U690" s="42">
        <f t="shared" si="1861"/>
        <v>1.89</v>
      </c>
      <c r="V690" s="42">
        <f t="shared" si="15"/>
        <v>9.45</v>
      </c>
      <c r="W690" s="42">
        <f t="shared" si="1862"/>
        <v>1.89</v>
      </c>
      <c r="X690" s="42">
        <f t="shared" si="1863"/>
        <v>15.12</v>
      </c>
      <c r="Y690" s="42">
        <f t="shared" si="1864"/>
        <v>28.35</v>
      </c>
      <c r="Z690" s="50">
        <f t="shared" si="1865"/>
        <v>223.92</v>
      </c>
      <c r="AA690" s="51">
        <f t="shared" si="1866"/>
        <v>44.784</v>
      </c>
      <c r="AB690" s="49">
        <f t="shared" si="1867"/>
        <v>268.704</v>
      </c>
      <c r="AC690" s="42">
        <f t="shared" si="1868"/>
        <v>189</v>
      </c>
      <c r="AD690" s="49">
        <f t="shared" si="1869"/>
        <v>79.704</v>
      </c>
      <c r="AE690" s="49">
        <f t="shared" si="1870"/>
        <v>29.66237942</v>
      </c>
      <c r="AF690" s="47">
        <v>595.0</v>
      </c>
      <c r="AG690" s="52">
        <f t="shared" si="1871"/>
        <v>285.1132686</v>
      </c>
      <c r="AH690" s="53">
        <f t="shared" si="1872"/>
        <v>0</v>
      </c>
      <c r="AI690" s="53">
        <f t="shared" si="2101"/>
        <v>671.76</v>
      </c>
      <c r="AJ690" s="47">
        <v>595.0</v>
      </c>
      <c r="AK690" s="55">
        <f t="shared" si="1730"/>
        <v>285.1132686</v>
      </c>
      <c r="AL690" s="55"/>
      <c r="AM690" s="55">
        <f t="shared" si="1875"/>
        <v>0</v>
      </c>
      <c r="AN690" s="55">
        <f t="shared" si="1876"/>
        <v>0</v>
      </c>
      <c r="AO690" s="56">
        <f t="shared" si="1877"/>
        <v>3.851132686</v>
      </c>
      <c r="AP690" s="55">
        <f t="shared" si="1878"/>
        <v>3.26296</v>
      </c>
      <c r="AQ690" s="55">
        <f t="shared" si="1879"/>
        <v>4.06</v>
      </c>
      <c r="AR690" s="57">
        <f t="shared" ref="AR690:AS690" si="2261">AI690/94</f>
        <v>7.146382979</v>
      </c>
      <c r="AS690" s="57">
        <f t="shared" si="2261"/>
        <v>6.329787234</v>
      </c>
      <c r="AT690" s="58">
        <f t="shared" ref="AT690:AU690" si="2262">AI690/24</f>
        <v>27.99</v>
      </c>
      <c r="AU690" s="58">
        <f t="shared" si="2262"/>
        <v>24.79166667</v>
      </c>
      <c r="AV690" s="58">
        <f t="shared" ref="AV690:AW690" si="2263">AI690/125</f>
        <v>5.37408</v>
      </c>
      <c r="AW690" s="58">
        <f t="shared" si="2263"/>
        <v>4.76</v>
      </c>
      <c r="AX690" s="47"/>
      <c r="AY690" s="47"/>
    </row>
    <row r="691" ht="15.75" customHeight="1">
      <c r="A691" s="42"/>
      <c r="B691" s="42" t="s">
        <v>1362</v>
      </c>
      <c r="C691" s="42" t="s">
        <v>1363</v>
      </c>
      <c r="D691" s="45">
        <v>90.0</v>
      </c>
      <c r="E691" s="42">
        <v>0.0</v>
      </c>
      <c r="F691" s="44">
        <v>40.0</v>
      </c>
      <c r="G691" s="45">
        <v>9.40490099E8</v>
      </c>
      <c r="H691" s="46">
        <v>0.05</v>
      </c>
      <c r="I691" s="42">
        <f t="shared" si="1792"/>
        <v>4.5</v>
      </c>
      <c r="J691" s="47"/>
      <c r="K691" s="44">
        <v>20.0</v>
      </c>
      <c r="L691" s="48">
        <f t="shared" si="1708"/>
        <v>154.5</v>
      </c>
      <c r="M691" s="42">
        <f t="shared" si="1853"/>
        <v>0.9</v>
      </c>
      <c r="N691" s="49">
        <f t="shared" si="1854"/>
        <v>12.36</v>
      </c>
      <c r="O691" s="49">
        <f t="shared" si="1855"/>
        <v>15.45</v>
      </c>
      <c r="P691" s="49">
        <f t="shared" si="1856"/>
        <v>7.725</v>
      </c>
      <c r="Q691" s="49">
        <f t="shared" si="1857"/>
        <v>3.09</v>
      </c>
      <c r="R691" s="49">
        <f t="shared" si="1858"/>
        <v>0.945</v>
      </c>
      <c r="S691" s="49">
        <f t="shared" si="1859"/>
        <v>1.545</v>
      </c>
      <c r="T691" s="50">
        <f t="shared" si="1860"/>
        <v>41.07</v>
      </c>
      <c r="U691" s="42">
        <f t="shared" si="1861"/>
        <v>1.89</v>
      </c>
      <c r="V691" s="42">
        <f t="shared" si="15"/>
        <v>9.45</v>
      </c>
      <c r="W691" s="42">
        <f t="shared" si="1862"/>
        <v>1.89</v>
      </c>
      <c r="X691" s="42">
        <f t="shared" si="1863"/>
        <v>15.12</v>
      </c>
      <c r="Y691" s="42">
        <f t="shared" si="1864"/>
        <v>28.35</v>
      </c>
      <c r="Z691" s="50">
        <f t="shared" si="1865"/>
        <v>223.92</v>
      </c>
      <c r="AA691" s="51">
        <f t="shared" si="1866"/>
        <v>44.784</v>
      </c>
      <c r="AB691" s="49">
        <f t="shared" si="1867"/>
        <v>268.704</v>
      </c>
      <c r="AC691" s="42">
        <f t="shared" si="1868"/>
        <v>189</v>
      </c>
      <c r="AD691" s="49">
        <f t="shared" si="1869"/>
        <v>79.704</v>
      </c>
      <c r="AE691" s="49">
        <f t="shared" si="1870"/>
        <v>29.66237942</v>
      </c>
      <c r="AF691" s="47">
        <v>595.0</v>
      </c>
      <c r="AG691" s="52">
        <f t="shared" si="1871"/>
        <v>285.1132686</v>
      </c>
      <c r="AH691" s="53">
        <f t="shared" si="1872"/>
        <v>0</v>
      </c>
      <c r="AI691" s="53">
        <f t="shared" si="2101"/>
        <v>671.76</v>
      </c>
      <c r="AJ691" s="47">
        <v>595.0</v>
      </c>
      <c r="AK691" s="55">
        <f t="shared" si="1730"/>
        <v>285.1132686</v>
      </c>
      <c r="AL691" s="55"/>
      <c r="AM691" s="55">
        <f t="shared" si="1875"/>
        <v>0</v>
      </c>
      <c r="AN691" s="55">
        <f t="shared" si="1876"/>
        <v>0</v>
      </c>
      <c r="AO691" s="56">
        <f t="shared" si="1877"/>
        <v>3.851132686</v>
      </c>
      <c r="AP691" s="55">
        <f t="shared" si="1878"/>
        <v>3.26296</v>
      </c>
      <c r="AQ691" s="55">
        <f t="shared" si="1879"/>
        <v>4.06</v>
      </c>
      <c r="AR691" s="57">
        <f t="shared" ref="AR691:AS691" si="2264">AI691/94</f>
        <v>7.146382979</v>
      </c>
      <c r="AS691" s="57">
        <f t="shared" si="2264"/>
        <v>6.329787234</v>
      </c>
      <c r="AT691" s="58">
        <f t="shared" ref="AT691:AU691" si="2265">AI691/24</f>
        <v>27.99</v>
      </c>
      <c r="AU691" s="58">
        <f t="shared" si="2265"/>
        <v>24.79166667</v>
      </c>
      <c r="AV691" s="58">
        <f t="shared" ref="AV691:AW691" si="2266">AI691/125</f>
        <v>5.37408</v>
      </c>
      <c r="AW691" s="58">
        <f t="shared" si="2266"/>
        <v>4.76</v>
      </c>
      <c r="AX691" s="47"/>
      <c r="AY691" s="47"/>
    </row>
    <row r="692" ht="15.75" customHeight="1">
      <c r="A692" s="42"/>
      <c r="B692" s="42" t="s">
        <v>1364</v>
      </c>
      <c r="C692" s="42" t="s">
        <v>1365</v>
      </c>
      <c r="D692" s="45">
        <v>90.0</v>
      </c>
      <c r="E692" s="42">
        <v>0.0</v>
      </c>
      <c r="F692" s="44">
        <v>40.0</v>
      </c>
      <c r="G692" s="45">
        <v>9.40490099E8</v>
      </c>
      <c r="H692" s="46">
        <v>0.05</v>
      </c>
      <c r="I692" s="42">
        <f t="shared" si="1792"/>
        <v>4.5</v>
      </c>
      <c r="J692" s="47"/>
      <c r="K692" s="44">
        <v>20.0</v>
      </c>
      <c r="L692" s="48">
        <f t="shared" si="1708"/>
        <v>154.5</v>
      </c>
      <c r="M692" s="42">
        <f t="shared" si="1853"/>
        <v>0.9</v>
      </c>
      <c r="N692" s="49">
        <f t="shared" si="1854"/>
        <v>12.36</v>
      </c>
      <c r="O692" s="49">
        <f t="shared" si="1855"/>
        <v>15.45</v>
      </c>
      <c r="P692" s="49">
        <f t="shared" si="1856"/>
        <v>7.725</v>
      </c>
      <c r="Q692" s="49">
        <f t="shared" si="1857"/>
        <v>3.09</v>
      </c>
      <c r="R692" s="49">
        <f t="shared" si="1858"/>
        <v>0.945</v>
      </c>
      <c r="S692" s="49">
        <f t="shared" si="1859"/>
        <v>1.545</v>
      </c>
      <c r="T692" s="50">
        <f t="shared" si="1860"/>
        <v>41.07</v>
      </c>
      <c r="U692" s="42">
        <f t="shared" si="1861"/>
        <v>1.89</v>
      </c>
      <c r="V692" s="42">
        <f t="shared" si="15"/>
        <v>9.45</v>
      </c>
      <c r="W692" s="42">
        <f t="shared" si="1862"/>
        <v>1.89</v>
      </c>
      <c r="X692" s="42">
        <f t="shared" si="1863"/>
        <v>15.12</v>
      </c>
      <c r="Y692" s="42">
        <f t="shared" si="1864"/>
        <v>28.35</v>
      </c>
      <c r="Z692" s="50">
        <f t="shared" si="1865"/>
        <v>223.92</v>
      </c>
      <c r="AA692" s="51">
        <f t="shared" si="1866"/>
        <v>44.784</v>
      </c>
      <c r="AB692" s="49">
        <f t="shared" si="1867"/>
        <v>268.704</v>
      </c>
      <c r="AC692" s="42">
        <f t="shared" si="1868"/>
        <v>189</v>
      </c>
      <c r="AD692" s="49">
        <f t="shared" si="1869"/>
        <v>79.704</v>
      </c>
      <c r="AE692" s="49">
        <f t="shared" si="1870"/>
        <v>29.66237942</v>
      </c>
      <c r="AF692" s="47">
        <v>595.0</v>
      </c>
      <c r="AG692" s="52">
        <f t="shared" si="1871"/>
        <v>285.1132686</v>
      </c>
      <c r="AH692" s="53">
        <f t="shared" si="1872"/>
        <v>0</v>
      </c>
      <c r="AI692" s="53">
        <f t="shared" si="2101"/>
        <v>671.76</v>
      </c>
      <c r="AJ692" s="47">
        <v>595.0</v>
      </c>
      <c r="AK692" s="55">
        <f t="shared" si="1730"/>
        <v>285.1132686</v>
      </c>
      <c r="AL692" s="55"/>
      <c r="AM692" s="55">
        <f t="shared" si="1875"/>
        <v>0</v>
      </c>
      <c r="AN692" s="55">
        <f t="shared" si="1876"/>
        <v>0</v>
      </c>
      <c r="AO692" s="56">
        <f t="shared" si="1877"/>
        <v>3.851132686</v>
      </c>
      <c r="AP692" s="55">
        <f t="shared" si="1878"/>
        <v>3.26296</v>
      </c>
      <c r="AQ692" s="55">
        <f t="shared" si="1879"/>
        <v>4.06</v>
      </c>
      <c r="AR692" s="57">
        <f t="shared" ref="AR692:AS692" si="2267">AI692/94</f>
        <v>7.146382979</v>
      </c>
      <c r="AS692" s="57">
        <f t="shared" si="2267"/>
        <v>6.329787234</v>
      </c>
      <c r="AT692" s="58">
        <f t="shared" ref="AT692:AU692" si="2268">AI692/24</f>
        <v>27.99</v>
      </c>
      <c r="AU692" s="58">
        <f t="shared" si="2268"/>
        <v>24.79166667</v>
      </c>
      <c r="AV692" s="58">
        <f t="shared" ref="AV692:AW692" si="2269">AI692/125</f>
        <v>5.37408</v>
      </c>
      <c r="AW692" s="58">
        <f t="shared" si="2269"/>
        <v>4.76</v>
      </c>
      <c r="AX692" s="47"/>
      <c r="AY692" s="47"/>
    </row>
    <row r="693" ht="15.75" customHeight="1">
      <c r="A693" s="42"/>
      <c r="B693" s="42" t="s">
        <v>1366</v>
      </c>
      <c r="C693" s="42" t="s">
        <v>1367</v>
      </c>
      <c r="D693" s="45">
        <v>90.0</v>
      </c>
      <c r="E693" s="42">
        <v>0.0</v>
      </c>
      <c r="F693" s="44">
        <v>40.0</v>
      </c>
      <c r="G693" s="45">
        <v>9.40490099E8</v>
      </c>
      <c r="H693" s="46">
        <v>0.05</v>
      </c>
      <c r="I693" s="42">
        <f t="shared" si="1792"/>
        <v>4.5</v>
      </c>
      <c r="J693" s="47"/>
      <c r="K693" s="44">
        <v>20.0</v>
      </c>
      <c r="L693" s="48">
        <f t="shared" si="1708"/>
        <v>154.5</v>
      </c>
      <c r="M693" s="42">
        <f t="shared" si="1853"/>
        <v>0.9</v>
      </c>
      <c r="N693" s="49">
        <f t="shared" si="1854"/>
        <v>12.36</v>
      </c>
      <c r="O693" s="49">
        <f t="shared" si="1855"/>
        <v>15.45</v>
      </c>
      <c r="P693" s="49">
        <f t="shared" si="1856"/>
        <v>7.725</v>
      </c>
      <c r="Q693" s="49">
        <f t="shared" si="1857"/>
        <v>3.09</v>
      </c>
      <c r="R693" s="49">
        <f t="shared" si="1858"/>
        <v>0.945</v>
      </c>
      <c r="S693" s="49">
        <f t="shared" si="1859"/>
        <v>1.545</v>
      </c>
      <c r="T693" s="50">
        <f t="shared" si="1860"/>
        <v>41.07</v>
      </c>
      <c r="U693" s="42">
        <f t="shared" si="1861"/>
        <v>1.89</v>
      </c>
      <c r="V693" s="42">
        <f t="shared" si="15"/>
        <v>9.45</v>
      </c>
      <c r="W693" s="42">
        <f t="shared" si="1862"/>
        <v>1.89</v>
      </c>
      <c r="X693" s="42">
        <f t="shared" si="1863"/>
        <v>15.12</v>
      </c>
      <c r="Y693" s="42">
        <f t="shared" si="1864"/>
        <v>28.35</v>
      </c>
      <c r="Z693" s="50">
        <f t="shared" si="1865"/>
        <v>223.92</v>
      </c>
      <c r="AA693" s="51">
        <f t="shared" si="1866"/>
        <v>44.784</v>
      </c>
      <c r="AB693" s="49">
        <f t="shared" si="1867"/>
        <v>268.704</v>
      </c>
      <c r="AC693" s="42">
        <f t="shared" si="1868"/>
        <v>189</v>
      </c>
      <c r="AD693" s="49">
        <f t="shared" si="1869"/>
        <v>79.704</v>
      </c>
      <c r="AE693" s="49">
        <f t="shared" si="1870"/>
        <v>29.66237942</v>
      </c>
      <c r="AF693" s="47">
        <v>595.0</v>
      </c>
      <c r="AG693" s="52">
        <f t="shared" si="1871"/>
        <v>285.1132686</v>
      </c>
      <c r="AH693" s="53">
        <f t="shared" si="1872"/>
        <v>0</v>
      </c>
      <c r="AI693" s="53">
        <f t="shared" si="2101"/>
        <v>671.76</v>
      </c>
      <c r="AJ693" s="47">
        <v>595.0</v>
      </c>
      <c r="AK693" s="55">
        <f t="shared" si="1730"/>
        <v>285.1132686</v>
      </c>
      <c r="AL693" s="55"/>
      <c r="AM693" s="55">
        <f t="shared" si="1875"/>
        <v>0</v>
      </c>
      <c r="AN693" s="55">
        <f t="shared" si="1876"/>
        <v>0</v>
      </c>
      <c r="AO693" s="56">
        <f t="shared" si="1877"/>
        <v>3.851132686</v>
      </c>
      <c r="AP693" s="55">
        <f t="shared" si="1878"/>
        <v>3.26296</v>
      </c>
      <c r="AQ693" s="55">
        <f t="shared" si="1879"/>
        <v>4.06</v>
      </c>
      <c r="AR693" s="57">
        <f t="shared" ref="AR693:AS693" si="2270">AI693/94</f>
        <v>7.146382979</v>
      </c>
      <c r="AS693" s="57">
        <f t="shared" si="2270"/>
        <v>6.329787234</v>
      </c>
      <c r="AT693" s="58">
        <f t="shared" ref="AT693:AU693" si="2271">AI693/24</f>
        <v>27.99</v>
      </c>
      <c r="AU693" s="58">
        <f t="shared" si="2271"/>
        <v>24.79166667</v>
      </c>
      <c r="AV693" s="58">
        <f t="shared" ref="AV693:AW693" si="2272">AI693/125</f>
        <v>5.37408</v>
      </c>
      <c r="AW693" s="58">
        <f t="shared" si="2272"/>
        <v>4.76</v>
      </c>
      <c r="AX693" s="47"/>
      <c r="AY693" s="47"/>
    </row>
    <row r="694" ht="15.75" customHeight="1">
      <c r="A694" s="42"/>
      <c r="B694" s="42" t="s">
        <v>1368</v>
      </c>
      <c r="C694" s="42" t="s">
        <v>1369</v>
      </c>
      <c r="D694" s="45">
        <v>90.0</v>
      </c>
      <c r="E694" s="42">
        <v>0.0</v>
      </c>
      <c r="F694" s="44">
        <v>40.0</v>
      </c>
      <c r="G694" s="45">
        <v>9.40490099E8</v>
      </c>
      <c r="H694" s="46">
        <v>0.05</v>
      </c>
      <c r="I694" s="42">
        <f t="shared" si="1792"/>
        <v>4.5</v>
      </c>
      <c r="J694" s="47"/>
      <c r="K694" s="44">
        <v>20.0</v>
      </c>
      <c r="L694" s="48">
        <f t="shared" si="1708"/>
        <v>154.5</v>
      </c>
      <c r="M694" s="42">
        <f t="shared" si="1853"/>
        <v>0.9</v>
      </c>
      <c r="N694" s="49">
        <f t="shared" si="1854"/>
        <v>12.36</v>
      </c>
      <c r="O694" s="49">
        <f t="shared" si="1855"/>
        <v>15.45</v>
      </c>
      <c r="P694" s="49">
        <f t="shared" si="1856"/>
        <v>7.725</v>
      </c>
      <c r="Q694" s="49">
        <f t="shared" si="1857"/>
        <v>3.09</v>
      </c>
      <c r="R694" s="49">
        <f t="shared" si="1858"/>
        <v>0.945</v>
      </c>
      <c r="S694" s="49">
        <f t="shared" si="1859"/>
        <v>1.545</v>
      </c>
      <c r="T694" s="50">
        <f t="shared" si="1860"/>
        <v>41.07</v>
      </c>
      <c r="U694" s="42">
        <f t="shared" si="1861"/>
        <v>1.89</v>
      </c>
      <c r="V694" s="42">
        <f t="shared" si="15"/>
        <v>9.45</v>
      </c>
      <c r="W694" s="42">
        <f t="shared" si="1862"/>
        <v>1.89</v>
      </c>
      <c r="X694" s="42">
        <f t="shared" si="1863"/>
        <v>15.12</v>
      </c>
      <c r="Y694" s="42">
        <f t="shared" si="1864"/>
        <v>28.35</v>
      </c>
      <c r="Z694" s="50">
        <f t="shared" si="1865"/>
        <v>223.92</v>
      </c>
      <c r="AA694" s="51">
        <f t="shared" si="1866"/>
        <v>44.784</v>
      </c>
      <c r="AB694" s="49">
        <f t="shared" si="1867"/>
        <v>268.704</v>
      </c>
      <c r="AC694" s="42">
        <f t="shared" si="1868"/>
        <v>189</v>
      </c>
      <c r="AD694" s="49">
        <f t="shared" si="1869"/>
        <v>79.704</v>
      </c>
      <c r="AE694" s="49">
        <f t="shared" si="1870"/>
        <v>29.66237942</v>
      </c>
      <c r="AF694" s="47">
        <v>595.0</v>
      </c>
      <c r="AG694" s="52">
        <f t="shared" si="1871"/>
        <v>285.1132686</v>
      </c>
      <c r="AH694" s="53">
        <f t="shared" si="1872"/>
        <v>0</v>
      </c>
      <c r="AI694" s="53">
        <f t="shared" si="2101"/>
        <v>671.76</v>
      </c>
      <c r="AJ694" s="47">
        <v>595.0</v>
      </c>
      <c r="AK694" s="55">
        <f t="shared" si="1730"/>
        <v>285.1132686</v>
      </c>
      <c r="AL694" s="55"/>
      <c r="AM694" s="55">
        <f t="shared" si="1875"/>
        <v>0</v>
      </c>
      <c r="AN694" s="55">
        <f t="shared" si="1876"/>
        <v>0</v>
      </c>
      <c r="AO694" s="56">
        <f t="shared" si="1877"/>
        <v>3.851132686</v>
      </c>
      <c r="AP694" s="55">
        <f t="shared" si="1878"/>
        <v>3.26296</v>
      </c>
      <c r="AQ694" s="55">
        <f t="shared" si="1879"/>
        <v>4.06</v>
      </c>
      <c r="AR694" s="57">
        <f t="shared" ref="AR694:AS694" si="2273">AI694/94</f>
        <v>7.146382979</v>
      </c>
      <c r="AS694" s="57">
        <f t="shared" si="2273"/>
        <v>6.329787234</v>
      </c>
      <c r="AT694" s="58">
        <f t="shared" ref="AT694:AU694" si="2274">AI694/24</f>
        <v>27.99</v>
      </c>
      <c r="AU694" s="58">
        <f t="shared" si="2274"/>
        <v>24.79166667</v>
      </c>
      <c r="AV694" s="58">
        <f t="shared" ref="AV694:AW694" si="2275">AI694/125</f>
        <v>5.37408</v>
      </c>
      <c r="AW694" s="58">
        <f t="shared" si="2275"/>
        <v>4.76</v>
      </c>
      <c r="AX694" s="47"/>
      <c r="AY694" s="47"/>
    </row>
    <row r="695" ht="15.75" customHeight="1">
      <c r="A695" s="42"/>
      <c r="B695" s="42" t="s">
        <v>1370</v>
      </c>
      <c r="C695" s="42" t="s">
        <v>1371</v>
      </c>
      <c r="D695" s="45">
        <v>90.0</v>
      </c>
      <c r="E695" s="42">
        <v>0.0</v>
      </c>
      <c r="F695" s="44">
        <v>40.0</v>
      </c>
      <c r="G695" s="45">
        <v>9.40490099E8</v>
      </c>
      <c r="H695" s="46">
        <v>0.05</v>
      </c>
      <c r="I695" s="42">
        <f t="shared" si="1792"/>
        <v>4.5</v>
      </c>
      <c r="J695" s="47"/>
      <c r="K695" s="44">
        <v>20.0</v>
      </c>
      <c r="L695" s="48">
        <f t="shared" si="1708"/>
        <v>154.5</v>
      </c>
      <c r="M695" s="42">
        <f t="shared" si="1853"/>
        <v>0.9</v>
      </c>
      <c r="N695" s="49">
        <f t="shared" si="1854"/>
        <v>12.36</v>
      </c>
      <c r="O695" s="49">
        <f t="shared" si="1855"/>
        <v>15.45</v>
      </c>
      <c r="P695" s="49">
        <f t="shared" si="1856"/>
        <v>7.725</v>
      </c>
      <c r="Q695" s="49">
        <f t="shared" si="1857"/>
        <v>3.09</v>
      </c>
      <c r="R695" s="49">
        <f t="shared" si="1858"/>
        <v>0.945</v>
      </c>
      <c r="S695" s="49">
        <f t="shared" si="1859"/>
        <v>1.545</v>
      </c>
      <c r="T695" s="50">
        <f t="shared" si="1860"/>
        <v>41.07</v>
      </c>
      <c r="U695" s="42">
        <f t="shared" si="1861"/>
        <v>1.89</v>
      </c>
      <c r="V695" s="42">
        <f t="shared" si="15"/>
        <v>9.45</v>
      </c>
      <c r="W695" s="42">
        <f t="shared" si="1862"/>
        <v>1.89</v>
      </c>
      <c r="X695" s="42">
        <f t="shared" si="1863"/>
        <v>15.12</v>
      </c>
      <c r="Y695" s="42">
        <f t="shared" si="1864"/>
        <v>28.35</v>
      </c>
      <c r="Z695" s="50">
        <f t="shared" si="1865"/>
        <v>223.92</v>
      </c>
      <c r="AA695" s="51">
        <f t="shared" si="1866"/>
        <v>44.784</v>
      </c>
      <c r="AB695" s="49">
        <f t="shared" si="1867"/>
        <v>268.704</v>
      </c>
      <c r="AC695" s="42">
        <f t="shared" si="1868"/>
        <v>189</v>
      </c>
      <c r="AD695" s="49">
        <f t="shared" si="1869"/>
        <v>79.704</v>
      </c>
      <c r="AE695" s="49">
        <f t="shared" si="1870"/>
        <v>29.66237942</v>
      </c>
      <c r="AF695" s="47">
        <v>595.0</v>
      </c>
      <c r="AG695" s="52">
        <f t="shared" si="1871"/>
        <v>285.1132686</v>
      </c>
      <c r="AH695" s="53">
        <f t="shared" si="1872"/>
        <v>0</v>
      </c>
      <c r="AI695" s="53">
        <f t="shared" si="2101"/>
        <v>671.76</v>
      </c>
      <c r="AJ695" s="47">
        <v>595.0</v>
      </c>
      <c r="AK695" s="55">
        <f t="shared" si="1730"/>
        <v>285.1132686</v>
      </c>
      <c r="AL695" s="55"/>
      <c r="AM695" s="55">
        <f t="shared" si="1875"/>
        <v>0</v>
      </c>
      <c r="AN695" s="55">
        <f t="shared" si="1876"/>
        <v>0</v>
      </c>
      <c r="AO695" s="56">
        <f t="shared" si="1877"/>
        <v>3.851132686</v>
      </c>
      <c r="AP695" s="55">
        <f t="shared" si="1878"/>
        <v>3.26296</v>
      </c>
      <c r="AQ695" s="55">
        <f t="shared" si="1879"/>
        <v>4.06</v>
      </c>
      <c r="AR695" s="57">
        <f t="shared" ref="AR695:AS695" si="2276">AI695/94</f>
        <v>7.146382979</v>
      </c>
      <c r="AS695" s="57">
        <f t="shared" si="2276"/>
        <v>6.329787234</v>
      </c>
      <c r="AT695" s="58">
        <f t="shared" ref="AT695:AU695" si="2277">AI695/24</f>
        <v>27.99</v>
      </c>
      <c r="AU695" s="58">
        <f t="shared" si="2277"/>
        <v>24.79166667</v>
      </c>
      <c r="AV695" s="58">
        <f t="shared" ref="AV695:AW695" si="2278">AI695/125</f>
        <v>5.37408</v>
      </c>
      <c r="AW695" s="58">
        <f t="shared" si="2278"/>
        <v>4.76</v>
      </c>
      <c r="AX695" s="47"/>
      <c r="AY695" s="47"/>
    </row>
    <row r="696" ht="15.75" customHeight="1">
      <c r="A696" s="42"/>
      <c r="B696" s="42" t="s">
        <v>1372</v>
      </c>
      <c r="C696" s="42" t="s">
        <v>1373</v>
      </c>
      <c r="D696" s="45">
        <v>90.0</v>
      </c>
      <c r="E696" s="42">
        <v>0.0</v>
      </c>
      <c r="F696" s="44">
        <v>40.0</v>
      </c>
      <c r="G696" s="45">
        <v>9.40490099E8</v>
      </c>
      <c r="H696" s="46">
        <v>0.05</v>
      </c>
      <c r="I696" s="42">
        <f t="shared" si="1792"/>
        <v>4.5</v>
      </c>
      <c r="J696" s="47"/>
      <c r="K696" s="44">
        <v>20.0</v>
      </c>
      <c r="L696" s="48">
        <f t="shared" si="1708"/>
        <v>154.5</v>
      </c>
      <c r="M696" s="42">
        <f t="shared" si="1853"/>
        <v>0.9</v>
      </c>
      <c r="N696" s="49">
        <f t="shared" si="1854"/>
        <v>12.36</v>
      </c>
      <c r="O696" s="49">
        <f t="shared" si="1855"/>
        <v>15.45</v>
      </c>
      <c r="P696" s="49">
        <f t="shared" si="1856"/>
        <v>7.725</v>
      </c>
      <c r="Q696" s="49">
        <f t="shared" si="1857"/>
        <v>3.09</v>
      </c>
      <c r="R696" s="49">
        <f t="shared" si="1858"/>
        <v>0.945</v>
      </c>
      <c r="S696" s="49">
        <f t="shared" si="1859"/>
        <v>1.545</v>
      </c>
      <c r="T696" s="50">
        <f t="shared" si="1860"/>
        <v>41.07</v>
      </c>
      <c r="U696" s="42">
        <f t="shared" si="1861"/>
        <v>1.89</v>
      </c>
      <c r="V696" s="42">
        <f t="shared" si="15"/>
        <v>9.45</v>
      </c>
      <c r="W696" s="42">
        <f t="shared" si="1862"/>
        <v>1.89</v>
      </c>
      <c r="X696" s="42">
        <f t="shared" si="1863"/>
        <v>15.12</v>
      </c>
      <c r="Y696" s="42">
        <f t="shared" si="1864"/>
        <v>28.35</v>
      </c>
      <c r="Z696" s="50">
        <f t="shared" si="1865"/>
        <v>223.92</v>
      </c>
      <c r="AA696" s="51">
        <f t="shared" si="1866"/>
        <v>44.784</v>
      </c>
      <c r="AB696" s="49">
        <f t="shared" si="1867"/>
        <v>268.704</v>
      </c>
      <c r="AC696" s="42">
        <f t="shared" si="1868"/>
        <v>189</v>
      </c>
      <c r="AD696" s="49">
        <f t="shared" si="1869"/>
        <v>79.704</v>
      </c>
      <c r="AE696" s="49">
        <f t="shared" si="1870"/>
        <v>29.66237942</v>
      </c>
      <c r="AF696" s="47">
        <v>595.0</v>
      </c>
      <c r="AG696" s="52">
        <f t="shared" si="1871"/>
        <v>285.1132686</v>
      </c>
      <c r="AH696" s="53">
        <f t="shared" si="1872"/>
        <v>0</v>
      </c>
      <c r="AI696" s="53">
        <f t="shared" si="2101"/>
        <v>671.76</v>
      </c>
      <c r="AJ696" s="47">
        <v>595.0</v>
      </c>
      <c r="AK696" s="55">
        <f t="shared" si="1730"/>
        <v>285.1132686</v>
      </c>
      <c r="AL696" s="55"/>
      <c r="AM696" s="55">
        <f t="shared" si="1875"/>
        <v>0</v>
      </c>
      <c r="AN696" s="55">
        <f t="shared" si="1876"/>
        <v>0</v>
      </c>
      <c r="AO696" s="56">
        <f t="shared" si="1877"/>
        <v>3.851132686</v>
      </c>
      <c r="AP696" s="55">
        <f t="shared" si="1878"/>
        <v>3.26296</v>
      </c>
      <c r="AQ696" s="55">
        <f t="shared" si="1879"/>
        <v>4.06</v>
      </c>
      <c r="AR696" s="57">
        <f t="shared" ref="AR696:AS696" si="2279">AI696/94</f>
        <v>7.146382979</v>
      </c>
      <c r="AS696" s="57">
        <f t="shared" si="2279"/>
        <v>6.329787234</v>
      </c>
      <c r="AT696" s="58">
        <f t="shared" ref="AT696:AU696" si="2280">AI696/24</f>
        <v>27.99</v>
      </c>
      <c r="AU696" s="58">
        <f t="shared" si="2280"/>
        <v>24.79166667</v>
      </c>
      <c r="AV696" s="58">
        <f t="shared" ref="AV696:AW696" si="2281">AI696/125</f>
        <v>5.37408</v>
      </c>
      <c r="AW696" s="58">
        <f t="shared" si="2281"/>
        <v>4.76</v>
      </c>
      <c r="AX696" s="47"/>
      <c r="AY696" s="47"/>
    </row>
    <row r="697" ht="15.75" customHeight="1">
      <c r="A697" s="42"/>
      <c r="B697" s="42" t="s">
        <v>1374</v>
      </c>
      <c r="C697" s="42" t="s">
        <v>1375</v>
      </c>
      <c r="D697" s="45">
        <v>90.0</v>
      </c>
      <c r="E697" s="42">
        <v>0.0</v>
      </c>
      <c r="F697" s="44">
        <v>40.0</v>
      </c>
      <c r="G697" s="45">
        <v>9.40490099E8</v>
      </c>
      <c r="H697" s="46">
        <v>0.05</v>
      </c>
      <c r="I697" s="42">
        <f t="shared" si="1792"/>
        <v>4.5</v>
      </c>
      <c r="J697" s="47"/>
      <c r="K697" s="44">
        <v>20.0</v>
      </c>
      <c r="L697" s="48">
        <f t="shared" si="1708"/>
        <v>154.5</v>
      </c>
      <c r="M697" s="42">
        <f t="shared" si="1853"/>
        <v>0.9</v>
      </c>
      <c r="N697" s="49">
        <f t="shared" si="1854"/>
        <v>12.36</v>
      </c>
      <c r="O697" s="49">
        <f t="shared" si="1855"/>
        <v>15.45</v>
      </c>
      <c r="P697" s="49">
        <f t="shared" si="1856"/>
        <v>7.725</v>
      </c>
      <c r="Q697" s="49">
        <f t="shared" si="1857"/>
        <v>3.09</v>
      </c>
      <c r="R697" s="49">
        <f t="shared" si="1858"/>
        <v>0.945</v>
      </c>
      <c r="S697" s="49">
        <f t="shared" si="1859"/>
        <v>1.545</v>
      </c>
      <c r="T697" s="50">
        <f t="shared" si="1860"/>
        <v>41.07</v>
      </c>
      <c r="U697" s="42">
        <f t="shared" si="1861"/>
        <v>1.89</v>
      </c>
      <c r="V697" s="42">
        <f t="shared" si="15"/>
        <v>9.45</v>
      </c>
      <c r="W697" s="42">
        <f t="shared" si="1862"/>
        <v>1.89</v>
      </c>
      <c r="X697" s="42">
        <f t="shared" si="1863"/>
        <v>15.12</v>
      </c>
      <c r="Y697" s="42">
        <f t="shared" si="1864"/>
        <v>28.35</v>
      </c>
      <c r="Z697" s="50">
        <f t="shared" si="1865"/>
        <v>223.92</v>
      </c>
      <c r="AA697" s="51">
        <f t="shared" si="1866"/>
        <v>44.784</v>
      </c>
      <c r="AB697" s="49">
        <f t="shared" si="1867"/>
        <v>268.704</v>
      </c>
      <c r="AC697" s="42">
        <f t="shared" si="1868"/>
        <v>189</v>
      </c>
      <c r="AD697" s="49">
        <f t="shared" si="1869"/>
        <v>79.704</v>
      </c>
      <c r="AE697" s="49">
        <f t="shared" si="1870"/>
        <v>29.66237942</v>
      </c>
      <c r="AF697" s="47">
        <v>595.0</v>
      </c>
      <c r="AG697" s="52">
        <f t="shared" si="1871"/>
        <v>285.1132686</v>
      </c>
      <c r="AH697" s="53">
        <f t="shared" si="1872"/>
        <v>0</v>
      </c>
      <c r="AI697" s="53">
        <f t="shared" si="2101"/>
        <v>671.76</v>
      </c>
      <c r="AJ697" s="47">
        <v>595.0</v>
      </c>
      <c r="AK697" s="55">
        <f t="shared" si="1730"/>
        <v>285.1132686</v>
      </c>
      <c r="AL697" s="55"/>
      <c r="AM697" s="55">
        <f t="shared" si="1875"/>
        <v>0</v>
      </c>
      <c r="AN697" s="55">
        <f t="shared" si="1876"/>
        <v>0</v>
      </c>
      <c r="AO697" s="56">
        <f t="shared" si="1877"/>
        <v>3.851132686</v>
      </c>
      <c r="AP697" s="55">
        <f t="shared" si="1878"/>
        <v>3.26296</v>
      </c>
      <c r="AQ697" s="55">
        <f t="shared" si="1879"/>
        <v>4.06</v>
      </c>
      <c r="AR697" s="57">
        <f t="shared" ref="AR697:AS697" si="2282">AI697/94</f>
        <v>7.146382979</v>
      </c>
      <c r="AS697" s="57">
        <f t="shared" si="2282"/>
        <v>6.329787234</v>
      </c>
      <c r="AT697" s="58">
        <f t="shared" ref="AT697:AU697" si="2283">AI697/24</f>
        <v>27.99</v>
      </c>
      <c r="AU697" s="58">
        <f t="shared" si="2283"/>
        <v>24.79166667</v>
      </c>
      <c r="AV697" s="58">
        <f t="shared" ref="AV697:AW697" si="2284">AI697/125</f>
        <v>5.37408</v>
      </c>
      <c r="AW697" s="58">
        <f t="shared" si="2284"/>
        <v>4.76</v>
      </c>
      <c r="AX697" s="47"/>
      <c r="AY697" s="47"/>
    </row>
    <row r="698" ht="15.75" customHeight="1">
      <c r="A698" s="42"/>
      <c r="B698" s="42" t="s">
        <v>1376</v>
      </c>
      <c r="C698" s="42" t="s">
        <v>1377</v>
      </c>
      <c r="D698" s="45">
        <v>90.0</v>
      </c>
      <c r="E698" s="42">
        <v>0.0</v>
      </c>
      <c r="F698" s="44">
        <v>40.0</v>
      </c>
      <c r="G698" s="45">
        <v>9.40490099E8</v>
      </c>
      <c r="H698" s="46">
        <v>0.05</v>
      </c>
      <c r="I698" s="42">
        <f t="shared" si="1792"/>
        <v>4.5</v>
      </c>
      <c r="J698" s="47"/>
      <c r="K698" s="44">
        <v>20.0</v>
      </c>
      <c r="L698" s="48">
        <f t="shared" si="1708"/>
        <v>154.5</v>
      </c>
      <c r="M698" s="42">
        <f t="shared" si="1853"/>
        <v>0.9</v>
      </c>
      <c r="N698" s="49">
        <f t="shared" si="1854"/>
        <v>12.36</v>
      </c>
      <c r="O698" s="49">
        <f t="shared" si="1855"/>
        <v>15.45</v>
      </c>
      <c r="P698" s="49">
        <f t="shared" si="1856"/>
        <v>7.725</v>
      </c>
      <c r="Q698" s="49">
        <f t="shared" si="1857"/>
        <v>3.09</v>
      </c>
      <c r="R698" s="49">
        <f t="shared" si="1858"/>
        <v>0.945</v>
      </c>
      <c r="S698" s="49">
        <f t="shared" si="1859"/>
        <v>1.545</v>
      </c>
      <c r="T698" s="50">
        <f t="shared" si="1860"/>
        <v>41.07</v>
      </c>
      <c r="U698" s="42">
        <f t="shared" si="1861"/>
        <v>1.89</v>
      </c>
      <c r="V698" s="42">
        <f t="shared" si="15"/>
        <v>9.45</v>
      </c>
      <c r="W698" s="42">
        <f t="shared" si="1862"/>
        <v>1.89</v>
      </c>
      <c r="X698" s="42">
        <f t="shared" si="1863"/>
        <v>15.12</v>
      </c>
      <c r="Y698" s="42">
        <f t="shared" si="1864"/>
        <v>28.35</v>
      </c>
      <c r="Z698" s="50">
        <f t="shared" si="1865"/>
        <v>223.92</v>
      </c>
      <c r="AA698" s="51">
        <f t="shared" si="1866"/>
        <v>44.784</v>
      </c>
      <c r="AB698" s="49">
        <f t="shared" si="1867"/>
        <v>268.704</v>
      </c>
      <c r="AC698" s="42">
        <f t="shared" si="1868"/>
        <v>189</v>
      </c>
      <c r="AD698" s="49">
        <f t="shared" si="1869"/>
        <v>79.704</v>
      </c>
      <c r="AE698" s="49">
        <f t="shared" si="1870"/>
        <v>29.66237942</v>
      </c>
      <c r="AF698" s="47">
        <v>595.0</v>
      </c>
      <c r="AG698" s="52">
        <f t="shared" si="1871"/>
        <v>285.1132686</v>
      </c>
      <c r="AH698" s="53">
        <f t="shared" si="1872"/>
        <v>0</v>
      </c>
      <c r="AI698" s="53">
        <f t="shared" si="2101"/>
        <v>671.76</v>
      </c>
      <c r="AJ698" s="47">
        <v>595.0</v>
      </c>
      <c r="AK698" s="55">
        <f t="shared" si="1730"/>
        <v>285.1132686</v>
      </c>
      <c r="AL698" s="55"/>
      <c r="AM698" s="55">
        <f t="shared" si="1875"/>
        <v>0</v>
      </c>
      <c r="AN698" s="55">
        <f t="shared" si="1876"/>
        <v>0</v>
      </c>
      <c r="AO698" s="56">
        <f t="shared" si="1877"/>
        <v>3.851132686</v>
      </c>
      <c r="AP698" s="55">
        <f t="shared" si="1878"/>
        <v>3.26296</v>
      </c>
      <c r="AQ698" s="55">
        <f t="shared" si="1879"/>
        <v>4.06</v>
      </c>
      <c r="AR698" s="57">
        <f t="shared" ref="AR698:AS698" si="2285">AI698/94</f>
        <v>7.146382979</v>
      </c>
      <c r="AS698" s="57">
        <f t="shared" si="2285"/>
        <v>6.329787234</v>
      </c>
      <c r="AT698" s="58">
        <f t="shared" ref="AT698:AU698" si="2286">AI698/24</f>
        <v>27.99</v>
      </c>
      <c r="AU698" s="58">
        <f t="shared" si="2286"/>
        <v>24.79166667</v>
      </c>
      <c r="AV698" s="58">
        <f t="shared" ref="AV698:AW698" si="2287">AI698/125</f>
        <v>5.37408</v>
      </c>
      <c r="AW698" s="58">
        <f t="shared" si="2287"/>
        <v>4.76</v>
      </c>
      <c r="AX698" s="47"/>
      <c r="AY698" s="47"/>
    </row>
    <row r="699" ht="15.75" customHeight="1">
      <c r="A699" s="42"/>
      <c r="B699" s="42" t="s">
        <v>1378</v>
      </c>
      <c r="C699" s="42" t="s">
        <v>1379</v>
      </c>
      <c r="D699" s="45">
        <v>165.0</v>
      </c>
      <c r="E699" s="42">
        <v>0.0</v>
      </c>
      <c r="F699" s="44">
        <v>80.0</v>
      </c>
      <c r="G699" s="45">
        <v>9.40490099E8</v>
      </c>
      <c r="H699" s="46">
        <v>0.05</v>
      </c>
      <c r="I699" s="42">
        <f t="shared" si="1792"/>
        <v>8.25</v>
      </c>
      <c r="J699" s="47"/>
      <c r="K699" s="44">
        <v>60.0</v>
      </c>
      <c r="L699" s="48">
        <f t="shared" si="1708"/>
        <v>313.25</v>
      </c>
      <c r="M699" s="42">
        <f t="shared" si="1853"/>
        <v>1.65</v>
      </c>
      <c r="N699" s="49">
        <f t="shared" si="1854"/>
        <v>25.06</v>
      </c>
      <c r="O699" s="49">
        <f t="shared" si="1855"/>
        <v>31.325</v>
      </c>
      <c r="P699" s="49">
        <f t="shared" si="1856"/>
        <v>15.6625</v>
      </c>
      <c r="Q699" s="49">
        <f t="shared" si="1857"/>
        <v>6.265</v>
      </c>
      <c r="R699" s="49">
        <f t="shared" si="1858"/>
        <v>1.7325</v>
      </c>
      <c r="S699" s="49">
        <f t="shared" si="1859"/>
        <v>3.1325</v>
      </c>
      <c r="T699" s="50">
        <f t="shared" si="1860"/>
        <v>83.095</v>
      </c>
      <c r="U699" s="42">
        <f t="shared" si="1861"/>
        <v>3.465</v>
      </c>
      <c r="V699" s="42">
        <f t="shared" si="15"/>
        <v>17.325</v>
      </c>
      <c r="W699" s="42">
        <f t="shared" si="1862"/>
        <v>3.465</v>
      </c>
      <c r="X699" s="42">
        <f t="shared" si="1863"/>
        <v>27.72</v>
      </c>
      <c r="Y699" s="42">
        <f t="shared" si="1864"/>
        <v>51.975</v>
      </c>
      <c r="Z699" s="50">
        <f t="shared" si="1865"/>
        <v>448.32</v>
      </c>
      <c r="AA699" s="51">
        <f t="shared" si="1866"/>
        <v>89.664</v>
      </c>
      <c r="AB699" s="49">
        <f t="shared" si="1867"/>
        <v>537.984</v>
      </c>
      <c r="AC699" s="42">
        <f t="shared" si="1868"/>
        <v>346.5</v>
      </c>
      <c r="AD699" s="49">
        <f t="shared" si="1869"/>
        <v>191.484</v>
      </c>
      <c r="AE699" s="49">
        <f t="shared" si="1870"/>
        <v>35.59288009</v>
      </c>
      <c r="AF699" s="47">
        <v>795.0</v>
      </c>
      <c r="AG699" s="52">
        <f t="shared" si="1871"/>
        <v>153.7909018</v>
      </c>
      <c r="AH699" s="53">
        <f t="shared" si="1872"/>
        <v>0</v>
      </c>
      <c r="AI699" s="53">
        <f t="shared" si="2101"/>
        <v>1344.96</v>
      </c>
      <c r="AJ699" s="47">
        <v>795.0</v>
      </c>
      <c r="AK699" s="55">
        <f t="shared" si="1730"/>
        <v>153.7909018</v>
      </c>
      <c r="AL699" s="55"/>
      <c r="AM699" s="55">
        <f t="shared" si="1875"/>
        <v>0</v>
      </c>
      <c r="AN699" s="55">
        <f t="shared" si="1876"/>
        <v>0</v>
      </c>
      <c r="AO699" s="56">
        <f t="shared" si="1877"/>
        <v>2.537909018</v>
      </c>
      <c r="AP699" s="55">
        <f t="shared" si="1878"/>
        <v>2.57016</v>
      </c>
      <c r="AQ699" s="55">
        <f t="shared" si="1879"/>
        <v>4.485</v>
      </c>
      <c r="AR699" s="57">
        <f t="shared" ref="AR699:AS699" si="2288">AI699/94</f>
        <v>14.30808511</v>
      </c>
      <c r="AS699" s="57">
        <f t="shared" si="2288"/>
        <v>8.457446809</v>
      </c>
      <c r="AT699" s="58">
        <f t="shared" ref="AT699:AU699" si="2289">AI699/24</f>
        <v>56.04</v>
      </c>
      <c r="AU699" s="58">
        <f t="shared" si="2289"/>
        <v>33.125</v>
      </c>
      <c r="AV699" s="58">
        <f t="shared" ref="AV699:AW699" si="2290">AI699/125</f>
        <v>10.75968</v>
      </c>
      <c r="AW699" s="58">
        <f t="shared" si="2290"/>
        <v>6.36</v>
      </c>
      <c r="AX699" s="47"/>
      <c r="AY699" s="47"/>
    </row>
    <row r="700" ht="15.75" customHeight="1">
      <c r="A700" s="42"/>
      <c r="B700" s="42" t="s">
        <v>1380</v>
      </c>
      <c r="C700" s="42" t="s">
        <v>1381</v>
      </c>
      <c r="D700" s="45">
        <v>335.0</v>
      </c>
      <c r="E700" s="42">
        <v>0.0</v>
      </c>
      <c r="F700" s="44">
        <v>120.0</v>
      </c>
      <c r="G700" s="45">
        <v>9.40490099E8</v>
      </c>
      <c r="H700" s="46">
        <v>0.05</v>
      </c>
      <c r="I700" s="42">
        <f t="shared" si="1792"/>
        <v>16.75</v>
      </c>
      <c r="J700" s="47"/>
      <c r="K700" s="44">
        <v>100.0</v>
      </c>
      <c r="L700" s="48">
        <f t="shared" si="1708"/>
        <v>571.75</v>
      </c>
      <c r="M700" s="42">
        <f t="shared" si="1853"/>
        <v>3.35</v>
      </c>
      <c r="N700" s="49">
        <f t="shared" si="1854"/>
        <v>45.74</v>
      </c>
      <c r="O700" s="49">
        <f t="shared" si="1855"/>
        <v>57.175</v>
      </c>
      <c r="P700" s="49">
        <f t="shared" si="1856"/>
        <v>28.5875</v>
      </c>
      <c r="Q700" s="49">
        <f t="shared" si="1857"/>
        <v>11.435</v>
      </c>
      <c r="R700" s="49">
        <f t="shared" si="1858"/>
        <v>3.5175</v>
      </c>
      <c r="S700" s="49">
        <f t="shared" si="1859"/>
        <v>5.7175</v>
      </c>
      <c r="T700" s="50">
        <f t="shared" si="1860"/>
        <v>152.005</v>
      </c>
      <c r="U700" s="42">
        <f t="shared" si="1861"/>
        <v>7.035</v>
      </c>
      <c r="V700" s="42">
        <f t="shared" si="15"/>
        <v>35.175</v>
      </c>
      <c r="W700" s="42">
        <f t="shared" si="1862"/>
        <v>7.035</v>
      </c>
      <c r="X700" s="42">
        <f t="shared" si="1863"/>
        <v>56.28</v>
      </c>
      <c r="Y700" s="42">
        <f t="shared" si="1864"/>
        <v>105.525</v>
      </c>
      <c r="Z700" s="50">
        <f t="shared" si="1865"/>
        <v>829.28</v>
      </c>
      <c r="AA700" s="51">
        <f t="shared" si="1866"/>
        <v>165.856</v>
      </c>
      <c r="AB700" s="49">
        <f t="shared" si="1867"/>
        <v>995.136</v>
      </c>
      <c r="AC700" s="42">
        <f t="shared" si="1868"/>
        <v>703.5</v>
      </c>
      <c r="AD700" s="49">
        <f t="shared" si="1869"/>
        <v>291.636</v>
      </c>
      <c r="AE700" s="49">
        <f t="shared" si="1870"/>
        <v>29.30614509</v>
      </c>
      <c r="AF700" s="47">
        <v>1645.0</v>
      </c>
      <c r="AG700" s="52">
        <f t="shared" si="1871"/>
        <v>187.7131613</v>
      </c>
      <c r="AH700" s="53">
        <f t="shared" si="1872"/>
        <v>0</v>
      </c>
      <c r="AI700" s="53">
        <f t="shared" si="2101"/>
        <v>2487.84</v>
      </c>
      <c r="AJ700" s="47">
        <v>1645.0</v>
      </c>
      <c r="AK700" s="55">
        <f t="shared" si="1730"/>
        <v>187.7131613</v>
      </c>
      <c r="AL700" s="55"/>
      <c r="AM700" s="55">
        <f t="shared" si="1875"/>
        <v>0</v>
      </c>
      <c r="AN700" s="55">
        <f t="shared" si="1876"/>
        <v>0</v>
      </c>
      <c r="AO700" s="56">
        <f t="shared" si="1877"/>
        <v>2.877131613</v>
      </c>
      <c r="AP700" s="55">
        <f t="shared" si="1878"/>
        <v>6.49864</v>
      </c>
      <c r="AQ700" s="55">
        <f t="shared" si="1879"/>
        <v>9.415</v>
      </c>
      <c r="AR700" s="57">
        <f t="shared" ref="AR700:AS700" si="2291">AI700/94</f>
        <v>26.46638298</v>
      </c>
      <c r="AS700" s="57">
        <f t="shared" si="2291"/>
        <v>17.5</v>
      </c>
      <c r="AT700" s="58">
        <f t="shared" ref="AT700:AU700" si="2292">AI700/24</f>
        <v>103.66</v>
      </c>
      <c r="AU700" s="58">
        <f t="shared" si="2292"/>
        <v>68.54166667</v>
      </c>
      <c r="AV700" s="58">
        <f t="shared" ref="AV700:AW700" si="2293">AI700/125</f>
        <v>19.90272</v>
      </c>
      <c r="AW700" s="58">
        <f t="shared" si="2293"/>
        <v>13.16</v>
      </c>
      <c r="AX700" s="47"/>
      <c r="AY700" s="47"/>
    </row>
    <row r="701" ht="15.75" customHeight="1">
      <c r="A701" s="42"/>
      <c r="B701" s="42" t="s">
        <v>1382</v>
      </c>
      <c r="C701" s="42" t="s">
        <v>1383</v>
      </c>
      <c r="D701" s="45">
        <v>480.0</v>
      </c>
      <c r="E701" s="42">
        <v>0.0</v>
      </c>
      <c r="F701" s="44">
        <v>150.0</v>
      </c>
      <c r="G701" s="45">
        <v>9.40490099E8</v>
      </c>
      <c r="H701" s="46">
        <v>0.05</v>
      </c>
      <c r="I701" s="42">
        <f t="shared" si="1792"/>
        <v>24</v>
      </c>
      <c r="J701" s="47"/>
      <c r="K701" s="44">
        <v>140.0</v>
      </c>
      <c r="L701" s="48">
        <f t="shared" si="1708"/>
        <v>794</v>
      </c>
      <c r="M701" s="42">
        <f t="shared" si="1853"/>
        <v>4.8</v>
      </c>
      <c r="N701" s="49">
        <f t="shared" si="1854"/>
        <v>63.52</v>
      </c>
      <c r="O701" s="49">
        <f t="shared" si="1855"/>
        <v>79.4</v>
      </c>
      <c r="P701" s="49">
        <f t="shared" si="1856"/>
        <v>39.7</v>
      </c>
      <c r="Q701" s="49">
        <f t="shared" si="1857"/>
        <v>15.88</v>
      </c>
      <c r="R701" s="49">
        <f t="shared" si="1858"/>
        <v>5.04</v>
      </c>
      <c r="S701" s="49">
        <f t="shared" si="1859"/>
        <v>7.94</v>
      </c>
      <c r="T701" s="50">
        <f t="shared" si="1860"/>
        <v>211.24</v>
      </c>
      <c r="U701" s="42">
        <f t="shared" si="1861"/>
        <v>10.08</v>
      </c>
      <c r="V701" s="42">
        <f t="shared" si="15"/>
        <v>50.4</v>
      </c>
      <c r="W701" s="42">
        <f t="shared" si="1862"/>
        <v>10.08</v>
      </c>
      <c r="X701" s="42">
        <f t="shared" si="1863"/>
        <v>80.64</v>
      </c>
      <c r="Y701" s="42">
        <f t="shared" si="1864"/>
        <v>151.2</v>
      </c>
      <c r="Z701" s="50">
        <f t="shared" si="1865"/>
        <v>1156.44</v>
      </c>
      <c r="AA701" s="51">
        <f t="shared" si="1866"/>
        <v>231.288</v>
      </c>
      <c r="AB701" s="49">
        <f t="shared" si="1867"/>
        <v>1387.728</v>
      </c>
      <c r="AC701" s="42">
        <f t="shared" si="1868"/>
        <v>1008</v>
      </c>
      <c r="AD701" s="49">
        <f t="shared" si="1869"/>
        <v>379.728</v>
      </c>
      <c r="AE701" s="49">
        <f t="shared" si="1870"/>
        <v>27.36328733</v>
      </c>
      <c r="AF701" s="47">
        <v>2245.0</v>
      </c>
      <c r="AG701" s="52">
        <f t="shared" si="1871"/>
        <v>182.7455919</v>
      </c>
      <c r="AH701" s="53">
        <f t="shared" si="1872"/>
        <v>0</v>
      </c>
      <c r="AI701" s="53">
        <f t="shared" si="2101"/>
        <v>3469.32</v>
      </c>
      <c r="AJ701" s="47">
        <v>2245.0</v>
      </c>
      <c r="AK701" s="55">
        <f t="shared" si="1730"/>
        <v>182.7455919</v>
      </c>
      <c r="AL701" s="55"/>
      <c r="AM701" s="55">
        <f t="shared" si="1875"/>
        <v>0</v>
      </c>
      <c r="AN701" s="55">
        <f t="shared" si="1876"/>
        <v>0</v>
      </c>
      <c r="AO701" s="56">
        <f t="shared" si="1877"/>
        <v>2.827455919</v>
      </c>
      <c r="AP701" s="55">
        <f t="shared" si="1878"/>
        <v>8.57272</v>
      </c>
      <c r="AQ701" s="55">
        <f t="shared" si="1879"/>
        <v>12.37</v>
      </c>
      <c r="AR701" s="57">
        <f t="shared" ref="AR701:AS701" si="2294">AI701/94</f>
        <v>36.90765957</v>
      </c>
      <c r="AS701" s="57">
        <f t="shared" si="2294"/>
        <v>23.88297872</v>
      </c>
      <c r="AT701" s="58">
        <f t="shared" ref="AT701:AU701" si="2295">AI701/24</f>
        <v>144.555</v>
      </c>
      <c r="AU701" s="58">
        <f t="shared" si="2295"/>
        <v>93.54166667</v>
      </c>
      <c r="AV701" s="58">
        <f t="shared" ref="AV701:AW701" si="2296">AI701/125</f>
        <v>27.75456</v>
      </c>
      <c r="AW701" s="58">
        <f t="shared" si="2296"/>
        <v>17.96</v>
      </c>
      <c r="AX701" s="47"/>
      <c r="AY701" s="47"/>
    </row>
    <row r="702" ht="15.75" customHeight="1">
      <c r="A702" s="2" t="s">
        <v>1384</v>
      </c>
      <c r="B702" s="2" t="s">
        <v>1385</v>
      </c>
      <c r="C702" s="2" t="s">
        <v>1386</v>
      </c>
      <c r="D702" s="10">
        <v>350.0</v>
      </c>
      <c r="E702" s="2">
        <v>55.0</v>
      </c>
      <c r="F702" s="1">
        <v>85.0</v>
      </c>
      <c r="G702" s="10">
        <v>8.3061E7</v>
      </c>
      <c r="H702" s="59">
        <v>0.05</v>
      </c>
      <c r="I702" s="2">
        <f t="shared" si="1792"/>
        <v>17.5</v>
      </c>
      <c r="K702" s="2">
        <v>40.0</v>
      </c>
      <c r="L702" s="4">
        <f t="shared" si="1708"/>
        <v>547.5</v>
      </c>
      <c r="M702" s="2">
        <f t="shared" si="1853"/>
        <v>3.5</v>
      </c>
      <c r="N702" s="12">
        <f t="shared" si="1854"/>
        <v>43.8</v>
      </c>
      <c r="O702" s="12">
        <f t="shared" si="1855"/>
        <v>54.75</v>
      </c>
      <c r="P702" s="12">
        <f t="shared" si="1856"/>
        <v>27.375</v>
      </c>
      <c r="Q702" s="12">
        <f t="shared" si="1857"/>
        <v>10.95</v>
      </c>
      <c r="R702" s="12">
        <f t="shared" si="1858"/>
        <v>3.675</v>
      </c>
      <c r="S702" s="12">
        <f t="shared" si="1859"/>
        <v>5.475</v>
      </c>
      <c r="T702" s="60">
        <f t="shared" si="1860"/>
        <v>145.85</v>
      </c>
      <c r="U702" s="2">
        <f t="shared" si="1861"/>
        <v>7.35</v>
      </c>
      <c r="V702" s="42">
        <f t="shared" si="15"/>
        <v>36.75</v>
      </c>
      <c r="W702" s="2">
        <f t="shared" si="1862"/>
        <v>7.35</v>
      </c>
      <c r="X702" s="2">
        <f t="shared" si="1863"/>
        <v>58.8</v>
      </c>
      <c r="Y702" s="2">
        <f t="shared" si="1864"/>
        <v>110.25</v>
      </c>
      <c r="Z702" s="60">
        <f t="shared" si="1865"/>
        <v>803.6</v>
      </c>
      <c r="AA702" s="11">
        <f t="shared" si="1866"/>
        <v>160.72</v>
      </c>
      <c r="AB702" s="12">
        <f t="shared" si="1867"/>
        <v>964.32</v>
      </c>
      <c r="AC702" s="2">
        <f t="shared" si="1868"/>
        <v>735</v>
      </c>
      <c r="AD702" s="12">
        <f t="shared" si="1869"/>
        <v>229.32</v>
      </c>
      <c r="AE702" s="12">
        <f t="shared" si="1870"/>
        <v>23.7804878</v>
      </c>
      <c r="AF702" s="61">
        <v>1295.0</v>
      </c>
      <c r="AG702" s="62">
        <f t="shared" si="1871"/>
        <v>136.5296804</v>
      </c>
      <c r="AH702" s="63">
        <f t="shared" si="1872"/>
        <v>-350</v>
      </c>
      <c r="AI702" s="64">
        <f t="shared" ref="AI702:AI711" si="2300">AB702</f>
        <v>964.32</v>
      </c>
      <c r="AJ702" s="76">
        <v>945.0</v>
      </c>
      <c r="AK702" s="66">
        <f t="shared" si="1730"/>
        <v>72.60273973</v>
      </c>
      <c r="AL702" s="66"/>
      <c r="AM702" s="14">
        <f t="shared" si="1875"/>
        <v>-37.03703704</v>
      </c>
      <c r="AN702" s="67">
        <f t="shared" si="1876"/>
        <v>-63.92694064</v>
      </c>
      <c r="AO702" s="68">
        <f t="shared" si="1877"/>
        <v>1.726027397</v>
      </c>
      <c r="AP702" s="69">
        <f t="shared" si="1878"/>
        <v>-0.1932</v>
      </c>
      <c r="AQ702" s="70">
        <f t="shared" si="1879"/>
        <v>2.1</v>
      </c>
      <c r="AR702" s="71">
        <f t="shared" ref="AR702:AS702" si="2297">AI702/94</f>
        <v>10.2587234</v>
      </c>
      <c r="AS702" s="71">
        <f t="shared" si="2297"/>
        <v>10.05319149</v>
      </c>
      <c r="AT702" s="72">
        <f t="shared" ref="AT702:AU702" si="2298">AI702/24</f>
        <v>40.18</v>
      </c>
      <c r="AU702" s="72">
        <f t="shared" si="2298"/>
        <v>39.375</v>
      </c>
      <c r="AV702" s="73">
        <f t="shared" ref="AV702:AW702" si="2299">AI702/125</f>
        <v>7.71456</v>
      </c>
      <c r="AW702" s="73">
        <f t="shared" si="2299"/>
        <v>7.56</v>
      </c>
    </row>
    <row r="703" ht="15.75" customHeight="1">
      <c r="A703" s="2"/>
      <c r="B703" s="1" t="s">
        <v>1387</v>
      </c>
      <c r="C703" s="2" t="s">
        <v>1388</v>
      </c>
      <c r="D703" s="10">
        <v>350.0</v>
      </c>
      <c r="E703" s="2">
        <v>55.0</v>
      </c>
      <c r="F703" s="1">
        <v>85.0</v>
      </c>
      <c r="G703" s="10">
        <v>8.3061E7</v>
      </c>
      <c r="H703" s="59">
        <v>0.05</v>
      </c>
      <c r="I703" s="2">
        <f t="shared" si="1792"/>
        <v>17.5</v>
      </c>
      <c r="K703" s="2">
        <v>40.0</v>
      </c>
      <c r="L703" s="4">
        <f t="shared" si="1708"/>
        <v>547.5</v>
      </c>
      <c r="M703" s="2">
        <f t="shared" si="1853"/>
        <v>3.5</v>
      </c>
      <c r="N703" s="12">
        <f t="shared" si="1854"/>
        <v>43.8</v>
      </c>
      <c r="O703" s="12">
        <f t="shared" si="1855"/>
        <v>54.75</v>
      </c>
      <c r="P703" s="12">
        <f t="shared" si="1856"/>
        <v>27.375</v>
      </c>
      <c r="Q703" s="12">
        <f t="shared" si="1857"/>
        <v>10.95</v>
      </c>
      <c r="R703" s="12">
        <f t="shared" si="1858"/>
        <v>3.675</v>
      </c>
      <c r="S703" s="12">
        <f t="shared" si="1859"/>
        <v>5.475</v>
      </c>
      <c r="T703" s="60">
        <f t="shared" si="1860"/>
        <v>145.85</v>
      </c>
      <c r="U703" s="2">
        <f t="shared" si="1861"/>
        <v>7.35</v>
      </c>
      <c r="V703" s="42">
        <f t="shared" si="15"/>
        <v>36.75</v>
      </c>
      <c r="W703" s="2">
        <f t="shared" si="1862"/>
        <v>7.35</v>
      </c>
      <c r="X703" s="2">
        <f t="shared" si="1863"/>
        <v>58.8</v>
      </c>
      <c r="Y703" s="2">
        <f t="shared" si="1864"/>
        <v>110.25</v>
      </c>
      <c r="Z703" s="60">
        <f t="shared" si="1865"/>
        <v>803.6</v>
      </c>
      <c r="AA703" s="11">
        <f t="shared" si="1866"/>
        <v>160.72</v>
      </c>
      <c r="AB703" s="12">
        <f t="shared" si="1867"/>
        <v>964.32</v>
      </c>
      <c r="AC703" s="2">
        <f t="shared" si="1868"/>
        <v>735</v>
      </c>
      <c r="AD703" s="12">
        <f t="shared" si="1869"/>
        <v>229.32</v>
      </c>
      <c r="AE703" s="12">
        <f t="shared" si="1870"/>
        <v>23.7804878</v>
      </c>
      <c r="AF703" s="61">
        <v>1295.0</v>
      </c>
      <c r="AG703" s="62">
        <f t="shared" si="1871"/>
        <v>136.5296804</v>
      </c>
      <c r="AH703" s="63">
        <f t="shared" si="1872"/>
        <v>-350</v>
      </c>
      <c r="AI703" s="64">
        <f t="shared" si="2300"/>
        <v>964.32</v>
      </c>
      <c r="AJ703" s="76">
        <v>945.0</v>
      </c>
      <c r="AK703" s="66">
        <f t="shared" si="1730"/>
        <v>72.60273973</v>
      </c>
      <c r="AL703" s="66"/>
      <c r="AM703" s="14">
        <f t="shared" si="1875"/>
        <v>-37.03703704</v>
      </c>
      <c r="AN703" s="67">
        <f t="shared" si="1876"/>
        <v>-63.92694064</v>
      </c>
      <c r="AO703" s="68">
        <f t="shared" si="1877"/>
        <v>1.726027397</v>
      </c>
      <c r="AP703" s="69">
        <f t="shared" si="1878"/>
        <v>-0.1932</v>
      </c>
      <c r="AQ703" s="70">
        <f t="shared" si="1879"/>
        <v>2.1</v>
      </c>
      <c r="AR703" s="71">
        <f t="shared" ref="AR703:AS703" si="2301">AI703/94</f>
        <v>10.2587234</v>
      </c>
      <c r="AS703" s="71">
        <f t="shared" si="2301"/>
        <v>10.05319149</v>
      </c>
      <c r="AT703" s="72">
        <f t="shared" ref="AT703:AU703" si="2302">AI703/24</f>
        <v>40.18</v>
      </c>
      <c r="AU703" s="72">
        <f t="shared" si="2302"/>
        <v>39.375</v>
      </c>
      <c r="AV703" s="73">
        <f t="shared" ref="AV703:AW703" si="2303">AI703/125</f>
        <v>7.71456</v>
      </c>
      <c r="AW703" s="73">
        <f t="shared" si="2303"/>
        <v>7.56</v>
      </c>
    </row>
    <row r="704" ht="15.75" customHeight="1">
      <c r="A704" s="2"/>
      <c r="B704" s="2" t="s">
        <v>1389</v>
      </c>
      <c r="C704" s="2" t="s">
        <v>1390</v>
      </c>
      <c r="D704" s="10">
        <v>350.0</v>
      </c>
      <c r="E704" s="2">
        <v>55.0</v>
      </c>
      <c r="F704" s="1">
        <v>85.0</v>
      </c>
      <c r="G704" s="10">
        <v>8.3061E7</v>
      </c>
      <c r="H704" s="59">
        <v>0.05</v>
      </c>
      <c r="I704" s="2">
        <f t="shared" si="1792"/>
        <v>17.5</v>
      </c>
      <c r="K704" s="2">
        <v>40.0</v>
      </c>
      <c r="L704" s="4">
        <f t="shared" si="1708"/>
        <v>547.5</v>
      </c>
      <c r="M704" s="2">
        <f t="shared" si="1853"/>
        <v>3.5</v>
      </c>
      <c r="N704" s="12">
        <f t="shared" si="1854"/>
        <v>43.8</v>
      </c>
      <c r="O704" s="12">
        <f t="shared" si="1855"/>
        <v>54.75</v>
      </c>
      <c r="P704" s="12">
        <f t="shared" si="1856"/>
        <v>27.375</v>
      </c>
      <c r="Q704" s="12">
        <f t="shared" si="1857"/>
        <v>10.95</v>
      </c>
      <c r="R704" s="12">
        <f t="shared" si="1858"/>
        <v>3.675</v>
      </c>
      <c r="S704" s="12">
        <f t="shared" si="1859"/>
        <v>5.475</v>
      </c>
      <c r="T704" s="60">
        <f t="shared" si="1860"/>
        <v>145.85</v>
      </c>
      <c r="U704" s="2">
        <f t="shared" si="1861"/>
        <v>7.35</v>
      </c>
      <c r="V704" s="42">
        <f t="shared" si="15"/>
        <v>36.75</v>
      </c>
      <c r="W704" s="2">
        <f t="shared" si="1862"/>
        <v>7.35</v>
      </c>
      <c r="X704" s="2">
        <f t="shared" si="1863"/>
        <v>58.8</v>
      </c>
      <c r="Y704" s="2">
        <f t="shared" si="1864"/>
        <v>110.25</v>
      </c>
      <c r="Z704" s="60">
        <f t="shared" si="1865"/>
        <v>803.6</v>
      </c>
      <c r="AA704" s="11">
        <f t="shared" si="1866"/>
        <v>160.72</v>
      </c>
      <c r="AB704" s="12">
        <f t="shared" si="1867"/>
        <v>964.32</v>
      </c>
      <c r="AC704" s="2">
        <f t="shared" si="1868"/>
        <v>735</v>
      </c>
      <c r="AD704" s="12">
        <f t="shared" si="1869"/>
        <v>229.32</v>
      </c>
      <c r="AE704" s="12">
        <f t="shared" si="1870"/>
        <v>23.7804878</v>
      </c>
      <c r="AF704" s="61">
        <v>1295.0</v>
      </c>
      <c r="AG704" s="62">
        <f t="shared" si="1871"/>
        <v>136.5296804</v>
      </c>
      <c r="AH704" s="63">
        <f t="shared" si="1872"/>
        <v>-350</v>
      </c>
      <c r="AI704" s="64">
        <f t="shared" si="2300"/>
        <v>964.32</v>
      </c>
      <c r="AJ704" s="76">
        <v>945.0</v>
      </c>
      <c r="AK704" s="66">
        <f t="shared" si="1730"/>
        <v>72.60273973</v>
      </c>
      <c r="AL704" s="66"/>
      <c r="AM704" s="14">
        <f t="shared" si="1875"/>
        <v>-37.03703704</v>
      </c>
      <c r="AN704" s="67">
        <f t="shared" si="1876"/>
        <v>-63.92694064</v>
      </c>
      <c r="AO704" s="68">
        <f t="shared" si="1877"/>
        <v>1.726027397</v>
      </c>
      <c r="AP704" s="69">
        <f t="shared" si="1878"/>
        <v>-0.1932</v>
      </c>
      <c r="AQ704" s="70">
        <f t="shared" si="1879"/>
        <v>2.1</v>
      </c>
      <c r="AR704" s="71">
        <f t="shared" ref="AR704:AS704" si="2304">AI704/94</f>
        <v>10.2587234</v>
      </c>
      <c r="AS704" s="71">
        <f t="shared" si="2304"/>
        <v>10.05319149</v>
      </c>
      <c r="AT704" s="72">
        <f t="shared" ref="AT704:AU704" si="2305">AI704/24</f>
        <v>40.18</v>
      </c>
      <c r="AU704" s="72">
        <f t="shared" si="2305"/>
        <v>39.375</v>
      </c>
      <c r="AV704" s="73">
        <f t="shared" ref="AV704:AW704" si="2306">AI704/125</f>
        <v>7.71456</v>
      </c>
      <c r="AW704" s="73">
        <f t="shared" si="2306"/>
        <v>7.56</v>
      </c>
    </row>
    <row r="705" ht="15.75" customHeight="1">
      <c r="A705" s="2"/>
      <c r="B705" s="2" t="s">
        <v>1391</v>
      </c>
      <c r="C705" s="2" t="s">
        <v>1392</v>
      </c>
      <c r="D705" s="10">
        <v>350.0</v>
      </c>
      <c r="E705" s="2">
        <v>55.0</v>
      </c>
      <c r="F705" s="1">
        <v>85.0</v>
      </c>
      <c r="G705" s="10">
        <v>8.3061E7</v>
      </c>
      <c r="H705" s="59">
        <v>0.05</v>
      </c>
      <c r="I705" s="2">
        <f t="shared" si="1792"/>
        <v>17.5</v>
      </c>
      <c r="K705" s="2">
        <v>40.0</v>
      </c>
      <c r="L705" s="4">
        <f t="shared" si="1708"/>
        <v>547.5</v>
      </c>
      <c r="M705" s="2">
        <f t="shared" si="1853"/>
        <v>3.5</v>
      </c>
      <c r="N705" s="12">
        <f t="shared" si="1854"/>
        <v>43.8</v>
      </c>
      <c r="O705" s="12">
        <f t="shared" si="1855"/>
        <v>54.75</v>
      </c>
      <c r="P705" s="12">
        <f t="shared" si="1856"/>
        <v>27.375</v>
      </c>
      <c r="Q705" s="12">
        <f t="shared" si="1857"/>
        <v>10.95</v>
      </c>
      <c r="R705" s="12">
        <f t="shared" si="1858"/>
        <v>3.675</v>
      </c>
      <c r="S705" s="12">
        <f t="shared" si="1859"/>
        <v>5.475</v>
      </c>
      <c r="T705" s="60">
        <f t="shared" si="1860"/>
        <v>145.85</v>
      </c>
      <c r="U705" s="2">
        <f t="shared" si="1861"/>
        <v>7.35</v>
      </c>
      <c r="V705" s="42">
        <f t="shared" si="15"/>
        <v>36.75</v>
      </c>
      <c r="W705" s="2">
        <f t="shared" si="1862"/>
        <v>7.35</v>
      </c>
      <c r="X705" s="2">
        <f t="shared" si="1863"/>
        <v>58.8</v>
      </c>
      <c r="Y705" s="2">
        <f t="shared" si="1864"/>
        <v>110.25</v>
      </c>
      <c r="Z705" s="60">
        <f t="shared" si="1865"/>
        <v>803.6</v>
      </c>
      <c r="AA705" s="11">
        <f t="shared" si="1866"/>
        <v>160.72</v>
      </c>
      <c r="AB705" s="12">
        <f t="shared" si="1867"/>
        <v>964.32</v>
      </c>
      <c r="AC705" s="2">
        <f t="shared" si="1868"/>
        <v>735</v>
      </c>
      <c r="AD705" s="12">
        <f t="shared" si="1869"/>
        <v>229.32</v>
      </c>
      <c r="AE705" s="12">
        <f t="shared" si="1870"/>
        <v>23.7804878</v>
      </c>
      <c r="AF705" s="61">
        <v>1295.0</v>
      </c>
      <c r="AG705" s="62">
        <f t="shared" si="1871"/>
        <v>136.5296804</v>
      </c>
      <c r="AH705" s="63">
        <f t="shared" si="1872"/>
        <v>-350</v>
      </c>
      <c r="AI705" s="64">
        <f t="shared" si="2300"/>
        <v>964.32</v>
      </c>
      <c r="AJ705" s="76">
        <v>945.0</v>
      </c>
      <c r="AK705" s="66">
        <f t="shared" si="1730"/>
        <v>72.60273973</v>
      </c>
      <c r="AL705" s="66"/>
      <c r="AM705" s="14">
        <f t="shared" si="1875"/>
        <v>-37.03703704</v>
      </c>
      <c r="AN705" s="67">
        <f t="shared" si="1876"/>
        <v>-63.92694064</v>
      </c>
      <c r="AO705" s="68">
        <f t="shared" si="1877"/>
        <v>1.726027397</v>
      </c>
      <c r="AP705" s="69">
        <f t="shared" si="1878"/>
        <v>-0.1932</v>
      </c>
      <c r="AQ705" s="70">
        <f t="shared" si="1879"/>
        <v>2.1</v>
      </c>
      <c r="AR705" s="71">
        <f t="shared" ref="AR705:AS705" si="2307">AI705/94</f>
        <v>10.2587234</v>
      </c>
      <c r="AS705" s="71">
        <f t="shared" si="2307"/>
        <v>10.05319149</v>
      </c>
      <c r="AT705" s="72">
        <f t="shared" ref="AT705:AU705" si="2308">AI705/24</f>
        <v>40.18</v>
      </c>
      <c r="AU705" s="72">
        <f t="shared" si="2308"/>
        <v>39.375</v>
      </c>
      <c r="AV705" s="73">
        <f t="shared" ref="AV705:AW705" si="2309">AI705/125</f>
        <v>7.71456</v>
      </c>
      <c r="AW705" s="73">
        <f t="shared" si="2309"/>
        <v>7.56</v>
      </c>
    </row>
    <row r="706" ht="15.75" customHeight="1">
      <c r="A706" s="2"/>
      <c r="B706" s="2" t="s">
        <v>1393</v>
      </c>
      <c r="C706" s="2" t="s">
        <v>1394</v>
      </c>
      <c r="D706" s="10">
        <v>350.0</v>
      </c>
      <c r="E706" s="2">
        <v>55.0</v>
      </c>
      <c r="F706" s="1">
        <v>85.0</v>
      </c>
      <c r="G706" s="10">
        <v>8.3061E7</v>
      </c>
      <c r="H706" s="59">
        <v>0.05</v>
      </c>
      <c r="I706" s="2">
        <f t="shared" si="1792"/>
        <v>17.5</v>
      </c>
      <c r="K706" s="2">
        <v>40.0</v>
      </c>
      <c r="L706" s="4">
        <f t="shared" si="1708"/>
        <v>547.5</v>
      </c>
      <c r="M706" s="2">
        <f t="shared" si="1853"/>
        <v>3.5</v>
      </c>
      <c r="N706" s="12">
        <f t="shared" si="1854"/>
        <v>43.8</v>
      </c>
      <c r="O706" s="12">
        <f t="shared" si="1855"/>
        <v>54.75</v>
      </c>
      <c r="P706" s="12">
        <f t="shared" si="1856"/>
        <v>27.375</v>
      </c>
      <c r="Q706" s="12">
        <f t="shared" si="1857"/>
        <v>10.95</v>
      </c>
      <c r="R706" s="12">
        <f t="shared" si="1858"/>
        <v>3.675</v>
      </c>
      <c r="S706" s="12">
        <f t="shared" si="1859"/>
        <v>5.475</v>
      </c>
      <c r="T706" s="60">
        <f t="shared" si="1860"/>
        <v>145.85</v>
      </c>
      <c r="U706" s="2">
        <f t="shared" si="1861"/>
        <v>7.35</v>
      </c>
      <c r="V706" s="42">
        <f t="shared" si="15"/>
        <v>36.75</v>
      </c>
      <c r="W706" s="2">
        <f t="shared" si="1862"/>
        <v>7.35</v>
      </c>
      <c r="X706" s="2">
        <f t="shared" si="1863"/>
        <v>58.8</v>
      </c>
      <c r="Y706" s="2">
        <f t="shared" si="1864"/>
        <v>110.25</v>
      </c>
      <c r="Z706" s="60">
        <f t="shared" si="1865"/>
        <v>803.6</v>
      </c>
      <c r="AA706" s="11">
        <f t="shared" si="1866"/>
        <v>160.72</v>
      </c>
      <c r="AB706" s="12">
        <f t="shared" si="1867"/>
        <v>964.32</v>
      </c>
      <c r="AC706" s="2">
        <f t="shared" si="1868"/>
        <v>735</v>
      </c>
      <c r="AD706" s="12">
        <f t="shared" si="1869"/>
        <v>229.32</v>
      </c>
      <c r="AE706" s="12">
        <f t="shared" si="1870"/>
        <v>23.7804878</v>
      </c>
      <c r="AF706" s="61">
        <v>1295.0</v>
      </c>
      <c r="AG706" s="62">
        <f t="shared" si="1871"/>
        <v>136.5296804</v>
      </c>
      <c r="AH706" s="63">
        <f t="shared" si="1872"/>
        <v>-350</v>
      </c>
      <c r="AI706" s="64">
        <f t="shared" si="2300"/>
        <v>964.32</v>
      </c>
      <c r="AJ706" s="76">
        <v>945.0</v>
      </c>
      <c r="AK706" s="66">
        <f t="shared" si="1730"/>
        <v>72.60273973</v>
      </c>
      <c r="AL706" s="66"/>
      <c r="AM706" s="14">
        <f t="shared" si="1875"/>
        <v>-37.03703704</v>
      </c>
      <c r="AN706" s="67">
        <f t="shared" si="1876"/>
        <v>-63.92694064</v>
      </c>
      <c r="AO706" s="68">
        <f t="shared" si="1877"/>
        <v>1.726027397</v>
      </c>
      <c r="AP706" s="69">
        <f t="shared" si="1878"/>
        <v>-0.1932</v>
      </c>
      <c r="AQ706" s="70">
        <f t="shared" si="1879"/>
        <v>2.1</v>
      </c>
      <c r="AR706" s="71">
        <f t="shared" ref="AR706:AS706" si="2310">AI706/94</f>
        <v>10.2587234</v>
      </c>
      <c r="AS706" s="71">
        <f t="shared" si="2310"/>
        <v>10.05319149</v>
      </c>
      <c r="AT706" s="72">
        <f t="shared" ref="AT706:AU706" si="2311">AI706/24</f>
        <v>40.18</v>
      </c>
      <c r="AU706" s="72">
        <f t="shared" si="2311"/>
        <v>39.375</v>
      </c>
      <c r="AV706" s="73">
        <f t="shared" ref="AV706:AW706" si="2312">AI706/125</f>
        <v>7.71456</v>
      </c>
      <c r="AW706" s="73">
        <f t="shared" si="2312"/>
        <v>7.56</v>
      </c>
    </row>
    <row r="707" ht="15.75" customHeight="1">
      <c r="A707" s="2"/>
      <c r="B707" s="2" t="s">
        <v>1395</v>
      </c>
      <c r="C707" s="2" t="s">
        <v>1396</v>
      </c>
      <c r="D707" s="10">
        <v>575.0</v>
      </c>
      <c r="E707" s="2">
        <v>55.0</v>
      </c>
      <c r="F707" s="1">
        <v>85.0</v>
      </c>
      <c r="G707" s="10">
        <v>8.3061E7</v>
      </c>
      <c r="H707" s="59">
        <v>0.05</v>
      </c>
      <c r="I707" s="2">
        <f t="shared" si="1792"/>
        <v>28.75</v>
      </c>
      <c r="K707" s="2">
        <v>40.0</v>
      </c>
      <c r="L707" s="4">
        <f t="shared" si="1708"/>
        <v>783.75</v>
      </c>
      <c r="M707" s="2">
        <f t="shared" si="1853"/>
        <v>5.75</v>
      </c>
      <c r="N707" s="12">
        <f t="shared" si="1854"/>
        <v>62.7</v>
      </c>
      <c r="O707" s="12">
        <f t="shared" si="1855"/>
        <v>78.375</v>
      </c>
      <c r="P707" s="12">
        <f t="shared" si="1856"/>
        <v>39.1875</v>
      </c>
      <c r="Q707" s="12">
        <f t="shared" si="1857"/>
        <v>15.675</v>
      </c>
      <c r="R707" s="12">
        <f t="shared" si="1858"/>
        <v>6.0375</v>
      </c>
      <c r="S707" s="12">
        <f t="shared" si="1859"/>
        <v>7.8375</v>
      </c>
      <c r="T707" s="60">
        <f t="shared" si="1860"/>
        <v>209.525</v>
      </c>
      <c r="U707" s="2">
        <f t="shared" si="1861"/>
        <v>12.075</v>
      </c>
      <c r="V707" s="42">
        <f t="shared" si="15"/>
        <v>60.375</v>
      </c>
      <c r="W707" s="2">
        <f t="shared" si="1862"/>
        <v>12.075</v>
      </c>
      <c r="X707" s="2">
        <f t="shared" si="1863"/>
        <v>96.6</v>
      </c>
      <c r="Y707" s="2">
        <f t="shared" si="1864"/>
        <v>181.125</v>
      </c>
      <c r="Z707" s="60">
        <f t="shared" si="1865"/>
        <v>1174.4</v>
      </c>
      <c r="AA707" s="11">
        <f t="shared" si="1866"/>
        <v>234.88</v>
      </c>
      <c r="AB707" s="12">
        <f t="shared" si="1867"/>
        <v>1409.28</v>
      </c>
      <c r="AC707" s="2">
        <f t="shared" si="1868"/>
        <v>1207.5</v>
      </c>
      <c r="AD707" s="12">
        <f t="shared" si="1869"/>
        <v>201.78</v>
      </c>
      <c r="AE707" s="12">
        <f t="shared" si="1870"/>
        <v>14.31794959</v>
      </c>
      <c r="AF707" s="61">
        <v>1545.0</v>
      </c>
      <c r="AG707" s="62">
        <f t="shared" si="1871"/>
        <v>97.1291866</v>
      </c>
      <c r="AH707" s="63">
        <f t="shared" si="1872"/>
        <v>-170</v>
      </c>
      <c r="AI707" s="64">
        <f t="shared" si="2300"/>
        <v>1409.28</v>
      </c>
      <c r="AJ707" s="76">
        <v>1375.0</v>
      </c>
      <c r="AK707" s="66">
        <f t="shared" si="1730"/>
        <v>75.43859649</v>
      </c>
      <c r="AL707" s="66"/>
      <c r="AM707" s="14">
        <f t="shared" si="1875"/>
        <v>-12.36363636</v>
      </c>
      <c r="AN707" s="67">
        <f t="shared" si="1876"/>
        <v>-21.69059011</v>
      </c>
      <c r="AO707" s="68">
        <f t="shared" si="1877"/>
        <v>1.754385965</v>
      </c>
      <c r="AP707" s="69">
        <f t="shared" si="1878"/>
        <v>-0.3428</v>
      </c>
      <c r="AQ707" s="70">
        <f t="shared" si="1879"/>
        <v>1.675</v>
      </c>
      <c r="AR707" s="71">
        <f t="shared" ref="AR707:AS707" si="2313">AI707/94</f>
        <v>14.99234043</v>
      </c>
      <c r="AS707" s="71">
        <f t="shared" si="2313"/>
        <v>14.62765957</v>
      </c>
      <c r="AT707" s="72">
        <f t="shared" ref="AT707:AU707" si="2314">AI707/24</f>
        <v>58.72</v>
      </c>
      <c r="AU707" s="72">
        <f t="shared" si="2314"/>
        <v>57.29166667</v>
      </c>
      <c r="AV707" s="73">
        <f t="shared" ref="AV707:AW707" si="2315">AI707/125</f>
        <v>11.27424</v>
      </c>
      <c r="AW707" s="73">
        <f t="shared" si="2315"/>
        <v>11</v>
      </c>
    </row>
    <row r="708" ht="15.75" customHeight="1">
      <c r="A708" s="2"/>
      <c r="B708" s="2" t="s">
        <v>1397</v>
      </c>
      <c r="C708" s="2" t="s">
        <v>1398</v>
      </c>
      <c r="D708" s="10">
        <v>575.0</v>
      </c>
      <c r="E708" s="2">
        <v>55.0</v>
      </c>
      <c r="F708" s="1">
        <v>85.0</v>
      </c>
      <c r="G708" s="10">
        <v>8.3061E7</v>
      </c>
      <c r="H708" s="59">
        <v>0.05</v>
      </c>
      <c r="I708" s="2">
        <f t="shared" si="1792"/>
        <v>28.75</v>
      </c>
      <c r="K708" s="2">
        <v>40.0</v>
      </c>
      <c r="L708" s="4">
        <f t="shared" si="1708"/>
        <v>783.75</v>
      </c>
      <c r="M708" s="2">
        <f t="shared" si="1853"/>
        <v>5.75</v>
      </c>
      <c r="N708" s="12">
        <f t="shared" si="1854"/>
        <v>62.7</v>
      </c>
      <c r="O708" s="12">
        <f t="shared" si="1855"/>
        <v>78.375</v>
      </c>
      <c r="P708" s="12">
        <f t="shared" si="1856"/>
        <v>39.1875</v>
      </c>
      <c r="Q708" s="12">
        <f t="shared" si="1857"/>
        <v>15.675</v>
      </c>
      <c r="R708" s="12">
        <f t="shared" si="1858"/>
        <v>6.0375</v>
      </c>
      <c r="S708" s="12">
        <f t="shared" si="1859"/>
        <v>7.8375</v>
      </c>
      <c r="T708" s="60">
        <f t="shared" si="1860"/>
        <v>209.525</v>
      </c>
      <c r="U708" s="2">
        <f t="shared" si="1861"/>
        <v>12.075</v>
      </c>
      <c r="V708" s="42">
        <f t="shared" si="15"/>
        <v>60.375</v>
      </c>
      <c r="W708" s="2">
        <f t="shared" si="1862"/>
        <v>12.075</v>
      </c>
      <c r="X708" s="2">
        <f t="shared" si="1863"/>
        <v>96.6</v>
      </c>
      <c r="Y708" s="2">
        <f t="shared" si="1864"/>
        <v>181.125</v>
      </c>
      <c r="Z708" s="60">
        <f t="shared" si="1865"/>
        <v>1174.4</v>
      </c>
      <c r="AA708" s="11">
        <f t="shared" si="1866"/>
        <v>234.88</v>
      </c>
      <c r="AB708" s="12">
        <f t="shared" si="1867"/>
        <v>1409.28</v>
      </c>
      <c r="AC708" s="2">
        <f t="shared" si="1868"/>
        <v>1207.5</v>
      </c>
      <c r="AD708" s="12">
        <f t="shared" si="1869"/>
        <v>201.78</v>
      </c>
      <c r="AE708" s="12">
        <f t="shared" si="1870"/>
        <v>14.31794959</v>
      </c>
      <c r="AF708" s="61">
        <v>1545.0</v>
      </c>
      <c r="AG708" s="62">
        <f t="shared" si="1871"/>
        <v>97.1291866</v>
      </c>
      <c r="AH708" s="63">
        <f t="shared" si="1872"/>
        <v>-170</v>
      </c>
      <c r="AI708" s="64">
        <f t="shared" si="2300"/>
        <v>1409.28</v>
      </c>
      <c r="AJ708" s="76">
        <v>1375.0</v>
      </c>
      <c r="AK708" s="66">
        <f t="shared" si="1730"/>
        <v>75.43859649</v>
      </c>
      <c r="AL708" s="66"/>
      <c r="AM708" s="14">
        <f t="shared" si="1875"/>
        <v>-12.36363636</v>
      </c>
      <c r="AN708" s="67">
        <f t="shared" si="1876"/>
        <v>-21.69059011</v>
      </c>
      <c r="AO708" s="68">
        <f t="shared" si="1877"/>
        <v>1.754385965</v>
      </c>
      <c r="AP708" s="69">
        <f t="shared" si="1878"/>
        <v>-0.3428</v>
      </c>
      <c r="AQ708" s="70">
        <f t="shared" si="1879"/>
        <v>1.675</v>
      </c>
      <c r="AR708" s="71">
        <f t="shared" ref="AR708:AS708" si="2316">AI708/94</f>
        <v>14.99234043</v>
      </c>
      <c r="AS708" s="71">
        <f t="shared" si="2316"/>
        <v>14.62765957</v>
      </c>
      <c r="AT708" s="72">
        <f t="shared" ref="AT708:AU708" si="2317">AI708/24</f>
        <v>58.72</v>
      </c>
      <c r="AU708" s="72">
        <f t="shared" si="2317"/>
        <v>57.29166667</v>
      </c>
      <c r="AV708" s="73">
        <f t="shared" ref="AV708:AW708" si="2318">AI708/125</f>
        <v>11.27424</v>
      </c>
      <c r="AW708" s="73">
        <f t="shared" si="2318"/>
        <v>11</v>
      </c>
    </row>
    <row r="709" ht="15.75" customHeight="1">
      <c r="A709" s="2"/>
      <c r="B709" s="2" t="s">
        <v>1399</v>
      </c>
      <c r="C709" s="2" t="s">
        <v>1400</v>
      </c>
      <c r="D709" s="10">
        <v>575.0</v>
      </c>
      <c r="E709" s="2">
        <v>55.0</v>
      </c>
      <c r="F709" s="1">
        <v>85.0</v>
      </c>
      <c r="G709" s="10">
        <v>8.3061E7</v>
      </c>
      <c r="H709" s="59">
        <v>0.05</v>
      </c>
      <c r="I709" s="2">
        <f t="shared" si="1792"/>
        <v>28.75</v>
      </c>
      <c r="K709" s="2">
        <v>40.0</v>
      </c>
      <c r="L709" s="4">
        <f t="shared" si="1708"/>
        <v>783.75</v>
      </c>
      <c r="M709" s="2">
        <f t="shared" si="1853"/>
        <v>5.75</v>
      </c>
      <c r="N709" s="12">
        <f t="shared" si="1854"/>
        <v>62.7</v>
      </c>
      <c r="O709" s="12">
        <f t="shared" si="1855"/>
        <v>78.375</v>
      </c>
      <c r="P709" s="12">
        <f t="shared" si="1856"/>
        <v>39.1875</v>
      </c>
      <c r="Q709" s="12">
        <f t="shared" si="1857"/>
        <v>15.675</v>
      </c>
      <c r="R709" s="12">
        <f t="shared" si="1858"/>
        <v>6.0375</v>
      </c>
      <c r="S709" s="12">
        <f t="shared" si="1859"/>
        <v>7.8375</v>
      </c>
      <c r="T709" s="60">
        <f t="shared" si="1860"/>
        <v>209.525</v>
      </c>
      <c r="U709" s="2">
        <f t="shared" si="1861"/>
        <v>12.075</v>
      </c>
      <c r="V709" s="42">
        <f t="shared" si="15"/>
        <v>60.375</v>
      </c>
      <c r="W709" s="2">
        <f t="shared" si="1862"/>
        <v>12.075</v>
      </c>
      <c r="X709" s="2">
        <f t="shared" si="1863"/>
        <v>96.6</v>
      </c>
      <c r="Y709" s="2">
        <f t="shared" si="1864"/>
        <v>181.125</v>
      </c>
      <c r="Z709" s="60">
        <f t="shared" si="1865"/>
        <v>1174.4</v>
      </c>
      <c r="AA709" s="11">
        <f t="shared" si="1866"/>
        <v>234.88</v>
      </c>
      <c r="AB709" s="12">
        <f t="shared" si="1867"/>
        <v>1409.28</v>
      </c>
      <c r="AC709" s="2">
        <f t="shared" si="1868"/>
        <v>1207.5</v>
      </c>
      <c r="AD709" s="12">
        <f t="shared" si="1869"/>
        <v>201.78</v>
      </c>
      <c r="AE709" s="12">
        <f t="shared" si="1870"/>
        <v>14.31794959</v>
      </c>
      <c r="AF709" s="61">
        <v>1545.0</v>
      </c>
      <c r="AG709" s="62">
        <f t="shared" si="1871"/>
        <v>97.1291866</v>
      </c>
      <c r="AH709" s="63">
        <f t="shared" si="1872"/>
        <v>-170</v>
      </c>
      <c r="AI709" s="64">
        <f t="shared" si="2300"/>
        <v>1409.28</v>
      </c>
      <c r="AJ709" s="76">
        <v>1375.0</v>
      </c>
      <c r="AK709" s="66">
        <f t="shared" si="1730"/>
        <v>75.43859649</v>
      </c>
      <c r="AL709" s="66"/>
      <c r="AM709" s="14">
        <f t="shared" si="1875"/>
        <v>-12.36363636</v>
      </c>
      <c r="AN709" s="67">
        <f t="shared" si="1876"/>
        <v>-21.69059011</v>
      </c>
      <c r="AO709" s="68">
        <f t="shared" si="1877"/>
        <v>1.754385965</v>
      </c>
      <c r="AP709" s="69">
        <f t="shared" si="1878"/>
        <v>-0.3428</v>
      </c>
      <c r="AQ709" s="70">
        <f t="shared" si="1879"/>
        <v>1.675</v>
      </c>
      <c r="AR709" s="71">
        <f t="shared" ref="AR709:AS709" si="2319">AI709/94</f>
        <v>14.99234043</v>
      </c>
      <c r="AS709" s="71">
        <f t="shared" si="2319"/>
        <v>14.62765957</v>
      </c>
      <c r="AT709" s="72">
        <f t="shared" ref="AT709:AU709" si="2320">AI709/24</f>
        <v>58.72</v>
      </c>
      <c r="AU709" s="72">
        <f t="shared" si="2320"/>
        <v>57.29166667</v>
      </c>
      <c r="AV709" s="73">
        <f t="shared" ref="AV709:AW709" si="2321">AI709/125</f>
        <v>11.27424</v>
      </c>
      <c r="AW709" s="73">
        <f t="shared" si="2321"/>
        <v>11</v>
      </c>
    </row>
    <row r="710" ht="15.75" customHeight="1">
      <c r="A710" s="2"/>
      <c r="B710" s="2" t="s">
        <v>1401</v>
      </c>
      <c r="C710" s="2" t="s">
        <v>1402</v>
      </c>
      <c r="D710" s="10">
        <v>575.0</v>
      </c>
      <c r="E710" s="2">
        <v>55.0</v>
      </c>
      <c r="F710" s="1">
        <v>85.0</v>
      </c>
      <c r="G710" s="10">
        <v>8.3061E7</v>
      </c>
      <c r="H710" s="59">
        <v>0.05</v>
      </c>
      <c r="I710" s="2">
        <f t="shared" si="1792"/>
        <v>28.75</v>
      </c>
      <c r="K710" s="2">
        <v>40.0</v>
      </c>
      <c r="L710" s="4">
        <f t="shared" si="1708"/>
        <v>783.75</v>
      </c>
      <c r="M710" s="2">
        <f t="shared" si="1853"/>
        <v>5.75</v>
      </c>
      <c r="N710" s="12">
        <f t="shared" si="1854"/>
        <v>62.7</v>
      </c>
      <c r="O710" s="12">
        <f t="shared" si="1855"/>
        <v>78.375</v>
      </c>
      <c r="P710" s="12">
        <f t="shared" si="1856"/>
        <v>39.1875</v>
      </c>
      <c r="Q710" s="12">
        <f t="shared" si="1857"/>
        <v>15.675</v>
      </c>
      <c r="R710" s="12">
        <f t="shared" si="1858"/>
        <v>6.0375</v>
      </c>
      <c r="S710" s="12">
        <f t="shared" si="1859"/>
        <v>7.8375</v>
      </c>
      <c r="T710" s="60">
        <f t="shared" si="1860"/>
        <v>209.525</v>
      </c>
      <c r="U710" s="2">
        <f t="shared" si="1861"/>
        <v>12.075</v>
      </c>
      <c r="V710" s="42">
        <f t="shared" si="15"/>
        <v>60.375</v>
      </c>
      <c r="W710" s="2">
        <f t="shared" si="1862"/>
        <v>12.075</v>
      </c>
      <c r="X710" s="2">
        <f t="shared" si="1863"/>
        <v>96.6</v>
      </c>
      <c r="Y710" s="2">
        <f t="shared" si="1864"/>
        <v>181.125</v>
      </c>
      <c r="Z710" s="60">
        <f t="shared" si="1865"/>
        <v>1174.4</v>
      </c>
      <c r="AA710" s="11">
        <f t="shared" si="1866"/>
        <v>234.88</v>
      </c>
      <c r="AB710" s="12">
        <f t="shared" si="1867"/>
        <v>1409.28</v>
      </c>
      <c r="AC710" s="2">
        <f t="shared" si="1868"/>
        <v>1207.5</v>
      </c>
      <c r="AD710" s="12">
        <f t="shared" si="1869"/>
        <v>201.78</v>
      </c>
      <c r="AE710" s="12">
        <f t="shared" si="1870"/>
        <v>14.31794959</v>
      </c>
      <c r="AF710" s="61">
        <v>1545.0</v>
      </c>
      <c r="AG710" s="62">
        <f t="shared" si="1871"/>
        <v>97.1291866</v>
      </c>
      <c r="AH710" s="63">
        <f t="shared" si="1872"/>
        <v>-170</v>
      </c>
      <c r="AI710" s="64">
        <f t="shared" si="2300"/>
        <v>1409.28</v>
      </c>
      <c r="AJ710" s="76">
        <v>1375.0</v>
      </c>
      <c r="AK710" s="66">
        <f t="shared" si="1730"/>
        <v>75.43859649</v>
      </c>
      <c r="AL710" s="66"/>
      <c r="AM710" s="14">
        <f t="shared" si="1875"/>
        <v>-12.36363636</v>
      </c>
      <c r="AN710" s="67">
        <f t="shared" si="1876"/>
        <v>-21.69059011</v>
      </c>
      <c r="AO710" s="68">
        <f t="shared" si="1877"/>
        <v>1.754385965</v>
      </c>
      <c r="AP710" s="69">
        <f t="shared" si="1878"/>
        <v>-0.3428</v>
      </c>
      <c r="AQ710" s="70">
        <f t="shared" si="1879"/>
        <v>1.675</v>
      </c>
      <c r="AR710" s="71">
        <f t="shared" ref="AR710:AS710" si="2322">AI710/94</f>
        <v>14.99234043</v>
      </c>
      <c r="AS710" s="71">
        <f t="shared" si="2322"/>
        <v>14.62765957</v>
      </c>
      <c r="AT710" s="72">
        <f t="shared" ref="AT710:AU710" si="2323">AI710/24</f>
        <v>58.72</v>
      </c>
      <c r="AU710" s="72">
        <f t="shared" si="2323"/>
        <v>57.29166667</v>
      </c>
      <c r="AV710" s="73">
        <f t="shared" ref="AV710:AW710" si="2324">AI710/125</f>
        <v>11.27424</v>
      </c>
      <c r="AW710" s="73">
        <f t="shared" si="2324"/>
        <v>11</v>
      </c>
    </row>
    <row r="711" ht="15.75" customHeight="1">
      <c r="A711" s="2"/>
      <c r="B711" s="2" t="s">
        <v>1403</v>
      </c>
      <c r="C711" s="2" t="s">
        <v>1404</v>
      </c>
      <c r="D711" s="10">
        <v>575.0</v>
      </c>
      <c r="E711" s="2">
        <v>55.0</v>
      </c>
      <c r="F711" s="1">
        <v>85.0</v>
      </c>
      <c r="G711" s="10">
        <v>8.3061E7</v>
      </c>
      <c r="H711" s="59">
        <v>0.05</v>
      </c>
      <c r="I711" s="2">
        <f t="shared" si="1792"/>
        <v>28.75</v>
      </c>
      <c r="K711" s="2">
        <v>40.0</v>
      </c>
      <c r="L711" s="4">
        <f t="shared" si="1708"/>
        <v>783.75</v>
      </c>
      <c r="M711" s="2">
        <f t="shared" si="1853"/>
        <v>5.75</v>
      </c>
      <c r="N711" s="12">
        <f t="shared" si="1854"/>
        <v>62.7</v>
      </c>
      <c r="O711" s="12">
        <f t="shared" si="1855"/>
        <v>78.375</v>
      </c>
      <c r="P711" s="12">
        <f t="shared" si="1856"/>
        <v>39.1875</v>
      </c>
      <c r="Q711" s="12">
        <f t="shared" si="1857"/>
        <v>15.675</v>
      </c>
      <c r="R711" s="12">
        <f t="shared" si="1858"/>
        <v>6.0375</v>
      </c>
      <c r="S711" s="12">
        <f t="shared" si="1859"/>
        <v>7.8375</v>
      </c>
      <c r="T711" s="60">
        <f t="shared" si="1860"/>
        <v>209.525</v>
      </c>
      <c r="U711" s="2">
        <f t="shared" si="1861"/>
        <v>12.075</v>
      </c>
      <c r="V711" s="42">
        <f t="shared" si="15"/>
        <v>60.375</v>
      </c>
      <c r="W711" s="2">
        <f t="shared" si="1862"/>
        <v>12.075</v>
      </c>
      <c r="X711" s="2">
        <f t="shared" si="1863"/>
        <v>96.6</v>
      </c>
      <c r="Y711" s="2">
        <f t="shared" si="1864"/>
        <v>181.125</v>
      </c>
      <c r="Z711" s="60">
        <f t="shared" si="1865"/>
        <v>1174.4</v>
      </c>
      <c r="AA711" s="11">
        <f t="shared" si="1866"/>
        <v>234.88</v>
      </c>
      <c r="AB711" s="12">
        <f t="shared" si="1867"/>
        <v>1409.28</v>
      </c>
      <c r="AC711" s="2">
        <f t="shared" si="1868"/>
        <v>1207.5</v>
      </c>
      <c r="AD711" s="12">
        <f t="shared" si="1869"/>
        <v>201.78</v>
      </c>
      <c r="AE711" s="12">
        <f t="shared" si="1870"/>
        <v>14.31794959</v>
      </c>
      <c r="AF711" s="61">
        <v>1545.0</v>
      </c>
      <c r="AG711" s="62">
        <f t="shared" si="1871"/>
        <v>97.1291866</v>
      </c>
      <c r="AH711" s="63">
        <f t="shared" si="1872"/>
        <v>-170</v>
      </c>
      <c r="AI711" s="64">
        <f t="shared" si="2300"/>
        <v>1409.28</v>
      </c>
      <c r="AJ711" s="76">
        <v>1375.0</v>
      </c>
      <c r="AK711" s="66">
        <f t="shared" si="1730"/>
        <v>75.43859649</v>
      </c>
      <c r="AL711" s="66"/>
      <c r="AM711" s="14">
        <f t="shared" si="1875"/>
        <v>-12.36363636</v>
      </c>
      <c r="AN711" s="67">
        <f t="shared" si="1876"/>
        <v>-21.69059011</v>
      </c>
      <c r="AO711" s="68">
        <f t="shared" si="1877"/>
        <v>1.754385965</v>
      </c>
      <c r="AP711" s="69">
        <f t="shared" si="1878"/>
        <v>-0.3428</v>
      </c>
      <c r="AQ711" s="70">
        <f t="shared" si="1879"/>
        <v>1.675</v>
      </c>
      <c r="AR711" s="71">
        <f t="shared" ref="AR711:AS711" si="2325">AI711/94</f>
        <v>14.99234043</v>
      </c>
      <c r="AS711" s="71">
        <f t="shared" si="2325"/>
        <v>14.62765957</v>
      </c>
      <c r="AT711" s="72">
        <f t="shared" ref="AT711:AU711" si="2326">AI711/24</f>
        <v>58.72</v>
      </c>
      <c r="AU711" s="72">
        <f t="shared" si="2326"/>
        <v>57.29166667</v>
      </c>
      <c r="AV711" s="73">
        <f t="shared" ref="AV711:AW711" si="2327">AI711/125</f>
        <v>11.27424</v>
      </c>
      <c r="AW711" s="73">
        <f t="shared" si="2327"/>
        <v>11</v>
      </c>
    </row>
    <row r="712" ht="15.0" customHeight="1">
      <c r="B712" s="2" t="s">
        <v>1405</v>
      </c>
      <c r="C712" s="2" t="s">
        <v>1406</v>
      </c>
      <c r="D712" s="10">
        <v>1150.0</v>
      </c>
      <c r="E712" s="2">
        <v>55.0</v>
      </c>
      <c r="F712" s="1">
        <v>85.0</v>
      </c>
      <c r="G712" s="10">
        <v>8.3061E7</v>
      </c>
      <c r="H712" s="59">
        <v>0.05</v>
      </c>
      <c r="I712" s="2">
        <f t="shared" si="1792"/>
        <v>57.5</v>
      </c>
      <c r="K712" s="2">
        <v>40.0</v>
      </c>
      <c r="L712" s="4">
        <f t="shared" si="1708"/>
        <v>1387.5</v>
      </c>
      <c r="M712" s="2">
        <f t="shared" si="1853"/>
        <v>11.5</v>
      </c>
      <c r="N712" s="12">
        <f t="shared" si="1854"/>
        <v>111</v>
      </c>
      <c r="O712" s="12">
        <f t="shared" si="1855"/>
        <v>138.75</v>
      </c>
      <c r="P712" s="12">
        <f t="shared" si="1856"/>
        <v>69.375</v>
      </c>
      <c r="Q712" s="12">
        <f t="shared" si="1857"/>
        <v>27.75</v>
      </c>
      <c r="R712" s="12">
        <f t="shared" si="1858"/>
        <v>12.075</v>
      </c>
      <c r="S712" s="12">
        <f t="shared" si="1859"/>
        <v>13.875</v>
      </c>
      <c r="T712" s="60">
        <f t="shared" si="1860"/>
        <v>372.25</v>
      </c>
      <c r="U712" s="2">
        <f t="shared" si="1861"/>
        <v>24.15</v>
      </c>
      <c r="V712" s="42">
        <f t="shared" si="15"/>
        <v>120.75</v>
      </c>
      <c r="W712" s="2">
        <f t="shared" si="1862"/>
        <v>24.15</v>
      </c>
      <c r="X712" s="2">
        <f t="shared" si="1863"/>
        <v>193.2</v>
      </c>
      <c r="Y712" s="2">
        <f t="shared" si="1864"/>
        <v>362.25</v>
      </c>
      <c r="Z712" s="60">
        <f t="shared" si="1865"/>
        <v>2122</v>
      </c>
      <c r="AA712" s="11">
        <f t="shared" si="1866"/>
        <v>424.4</v>
      </c>
      <c r="AB712" s="12">
        <f t="shared" si="1867"/>
        <v>2546.4</v>
      </c>
      <c r="AC712" s="2">
        <f t="shared" si="1868"/>
        <v>2415</v>
      </c>
      <c r="AD712" s="12">
        <f t="shared" si="1869"/>
        <v>131.4</v>
      </c>
      <c r="AE712" s="12">
        <f t="shared" si="1870"/>
        <v>5.160226202</v>
      </c>
      <c r="AF712" s="61">
        <v>1995.0</v>
      </c>
      <c r="AG712" s="62">
        <f t="shared" si="1871"/>
        <v>43.78378378</v>
      </c>
      <c r="AH712" s="63">
        <f t="shared" si="1872"/>
        <v>350</v>
      </c>
      <c r="AI712" s="64">
        <v>3190.0</v>
      </c>
      <c r="AJ712" s="76">
        <v>2345.0</v>
      </c>
      <c r="AK712" s="66">
        <f t="shared" si="1730"/>
        <v>69.00900901</v>
      </c>
      <c r="AL712" s="66"/>
      <c r="AM712" s="14">
        <f t="shared" si="1875"/>
        <v>14.92537313</v>
      </c>
      <c r="AN712" s="67">
        <f t="shared" si="1876"/>
        <v>25.22522523</v>
      </c>
      <c r="AO712" s="68">
        <f t="shared" si="1877"/>
        <v>1.69009009</v>
      </c>
      <c r="AP712" s="69">
        <f t="shared" si="1878"/>
        <v>-2.014</v>
      </c>
      <c r="AQ712" s="70">
        <f t="shared" si="1879"/>
        <v>-0.7</v>
      </c>
      <c r="AR712" s="71">
        <f t="shared" ref="AR712:AS712" si="2328">AI712/94</f>
        <v>33.93617021</v>
      </c>
      <c r="AS712" s="71">
        <f t="shared" si="2328"/>
        <v>24.94680851</v>
      </c>
      <c r="AT712" s="72">
        <f t="shared" ref="AT712:AU712" si="2329">AI712/24</f>
        <v>132.9166667</v>
      </c>
      <c r="AU712" s="72">
        <f t="shared" si="2329"/>
        <v>97.70833333</v>
      </c>
      <c r="AV712" s="73">
        <f t="shared" ref="AV712:AW712" si="2330">AI712/125</f>
        <v>25.52</v>
      </c>
      <c r="AW712" s="73">
        <f t="shared" si="2330"/>
        <v>18.76</v>
      </c>
    </row>
    <row r="713" ht="15.75" customHeight="1">
      <c r="A713" s="2"/>
      <c r="B713" s="2" t="s">
        <v>1407</v>
      </c>
      <c r="C713" s="2" t="s">
        <v>1408</v>
      </c>
      <c r="D713" s="10">
        <v>1150.0</v>
      </c>
      <c r="E713" s="2">
        <v>55.0</v>
      </c>
      <c r="F713" s="1">
        <v>85.0</v>
      </c>
      <c r="G713" s="10">
        <v>8.3061E7</v>
      </c>
      <c r="H713" s="59">
        <v>0.05</v>
      </c>
      <c r="I713" s="2">
        <f t="shared" si="1792"/>
        <v>57.5</v>
      </c>
      <c r="K713" s="2">
        <v>40.0</v>
      </c>
      <c r="L713" s="4">
        <f t="shared" si="1708"/>
        <v>1387.5</v>
      </c>
      <c r="M713" s="2">
        <f t="shared" si="1853"/>
        <v>11.5</v>
      </c>
      <c r="N713" s="12">
        <f t="shared" si="1854"/>
        <v>111</v>
      </c>
      <c r="O713" s="12">
        <f t="shared" si="1855"/>
        <v>138.75</v>
      </c>
      <c r="P713" s="12">
        <f t="shared" si="1856"/>
        <v>69.375</v>
      </c>
      <c r="Q713" s="12">
        <f t="shared" si="1857"/>
        <v>27.75</v>
      </c>
      <c r="R713" s="12">
        <f t="shared" si="1858"/>
        <v>12.075</v>
      </c>
      <c r="S713" s="12">
        <f t="shared" si="1859"/>
        <v>13.875</v>
      </c>
      <c r="T713" s="60">
        <f t="shared" si="1860"/>
        <v>372.25</v>
      </c>
      <c r="U713" s="2">
        <f t="shared" si="1861"/>
        <v>24.15</v>
      </c>
      <c r="V713" s="42">
        <f t="shared" si="15"/>
        <v>120.75</v>
      </c>
      <c r="W713" s="2">
        <f t="shared" si="1862"/>
        <v>24.15</v>
      </c>
      <c r="X713" s="2">
        <f t="shared" si="1863"/>
        <v>193.2</v>
      </c>
      <c r="Y713" s="2">
        <f t="shared" si="1864"/>
        <v>362.25</v>
      </c>
      <c r="Z713" s="60">
        <f t="shared" si="1865"/>
        <v>2122</v>
      </c>
      <c r="AA713" s="11">
        <f t="shared" si="1866"/>
        <v>424.4</v>
      </c>
      <c r="AB713" s="12">
        <f t="shared" si="1867"/>
        <v>2546.4</v>
      </c>
      <c r="AC713" s="2">
        <f t="shared" si="1868"/>
        <v>2415</v>
      </c>
      <c r="AD713" s="12">
        <f t="shared" si="1869"/>
        <v>131.4</v>
      </c>
      <c r="AE713" s="12">
        <f t="shared" si="1870"/>
        <v>5.160226202</v>
      </c>
      <c r="AF713" s="61">
        <v>1995.0</v>
      </c>
      <c r="AG713" s="62">
        <f t="shared" si="1871"/>
        <v>43.78378378</v>
      </c>
      <c r="AH713" s="63">
        <f t="shared" si="1872"/>
        <v>350</v>
      </c>
      <c r="AI713" s="64">
        <f t="shared" ref="AI713:AI716" si="2334">AB713</f>
        <v>2546.4</v>
      </c>
      <c r="AJ713" s="76">
        <v>2345.0</v>
      </c>
      <c r="AK713" s="66">
        <f t="shared" si="1730"/>
        <v>69.00900901</v>
      </c>
      <c r="AL713" s="66"/>
      <c r="AM713" s="14">
        <f t="shared" si="1875"/>
        <v>14.92537313</v>
      </c>
      <c r="AN713" s="67">
        <f t="shared" si="1876"/>
        <v>25.22522523</v>
      </c>
      <c r="AO713" s="68">
        <f t="shared" si="1877"/>
        <v>1.69009009</v>
      </c>
      <c r="AP713" s="69">
        <f t="shared" si="1878"/>
        <v>-2.014</v>
      </c>
      <c r="AQ713" s="70">
        <f t="shared" si="1879"/>
        <v>-0.7</v>
      </c>
      <c r="AR713" s="71">
        <f t="shared" ref="AR713:AS713" si="2331">AI713/94</f>
        <v>27.0893617</v>
      </c>
      <c r="AS713" s="71">
        <f t="shared" si="2331"/>
        <v>24.94680851</v>
      </c>
      <c r="AT713" s="72">
        <f t="shared" ref="AT713:AU713" si="2332">AI713/24</f>
        <v>106.1</v>
      </c>
      <c r="AU713" s="72">
        <f t="shared" si="2332"/>
        <v>97.70833333</v>
      </c>
      <c r="AV713" s="73">
        <f t="shared" ref="AV713:AW713" si="2333">AI713/125</f>
        <v>20.3712</v>
      </c>
      <c r="AW713" s="73">
        <f t="shared" si="2333"/>
        <v>18.76</v>
      </c>
    </row>
    <row r="714" ht="15.75" customHeight="1">
      <c r="A714" s="2"/>
      <c r="B714" s="2" t="s">
        <v>1409</v>
      </c>
      <c r="C714" s="2" t="s">
        <v>1410</v>
      </c>
      <c r="D714" s="10">
        <v>1150.0</v>
      </c>
      <c r="E714" s="2">
        <v>55.0</v>
      </c>
      <c r="F714" s="1">
        <v>85.0</v>
      </c>
      <c r="G714" s="10">
        <v>8.3061E7</v>
      </c>
      <c r="H714" s="59">
        <v>0.05</v>
      </c>
      <c r="I714" s="2">
        <f t="shared" si="1792"/>
        <v>57.5</v>
      </c>
      <c r="K714" s="2">
        <v>40.0</v>
      </c>
      <c r="L714" s="4">
        <f t="shared" si="1708"/>
        <v>1387.5</v>
      </c>
      <c r="M714" s="2">
        <f t="shared" si="1853"/>
        <v>11.5</v>
      </c>
      <c r="N714" s="12">
        <f t="shared" si="1854"/>
        <v>111</v>
      </c>
      <c r="O714" s="12">
        <f t="shared" si="1855"/>
        <v>138.75</v>
      </c>
      <c r="P714" s="12">
        <f t="shared" si="1856"/>
        <v>69.375</v>
      </c>
      <c r="Q714" s="12">
        <f t="shared" si="1857"/>
        <v>27.75</v>
      </c>
      <c r="R714" s="12">
        <f t="shared" si="1858"/>
        <v>12.075</v>
      </c>
      <c r="S714" s="12">
        <f t="shared" si="1859"/>
        <v>13.875</v>
      </c>
      <c r="T714" s="60">
        <f t="shared" si="1860"/>
        <v>372.25</v>
      </c>
      <c r="U714" s="2">
        <f t="shared" si="1861"/>
        <v>24.15</v>
      </c>
      <c r="V714" s="42">
        <f t="shared" si="15"/>
        <v>120.75</v>
      </c>
      <c r="W714" s="2">
        <f t="shared" si="1862"/>
        <v>24.15</v>
      </c>
      <c r="X714" s="2">
        <f t="shared" si="1863"/>
        <v>193.2</v>
      </c>
      <c r="Y714" s="2">
        <f t="shared" si="1864"/>
        <v>362.25</v>
      </c>
      <c r="Z714" s="60">
        <f t="shared" si="1865"/>
        <v>2122</v>
      </c>
      <c r="AA714" s="11">
        <f t="shared" si="1866"/>
        <v>424.4</v>
      </c>
      <c r="AB714" s="12">
        <f t="shared" si="1867"/>
        <v>2546.4</v>
      </c>
      <c r="AC714" s="2">
        <f t="shared" si="1868"/>
        <v>2415</v>
      </c>
      <c r="AD714" s="12">
        <f t="shared" si="1869"/>
        <v>131.4</v>
      </c>
      <c r="AE714" s="12">
        <f t="shared" si="1870"/>
        <v>5.160226202</v>
      </c>
      <c r="AF714" s="61">
        <v>1995.0</v>
      </c>
      <c r="AG714" s="62">
        <f t="shared" si="1871"/>
        <v>43.78378378</v>
      </c>
      <c r="AH714" s="63">
        <f t="shared" si="1872"/>
        <v>350</v>
      </c>
      <c r="AI714" s="64">
        <f t="shared" si="2334"/>
        <v>2546.4</v>
      </c>
      <c r="AJ714" s="76">
        <v>2345.0</v>
      </c>
      <c r="AK714" s="66">
        <f t="shared" si="1730"/>
        <v>69.00900901</v>
      </c>
      <c r="AL714" s="66"/>
      <c r="AM714" s="14">
        <f t="shared" si="1875"/>
        <v>14.92537313</v>
      </c>
      <c r="AN714" s="67">
        <f t="shared" si="1876"/>
        <v>25.22522523</v>
      </c>
      <c r="AO714" s="68">
        <f t="shared" si="1877"/>
        <v>1.69009009</v>
      </c>
      <c r="AP714" s="69">
        <f t="shared" si="1878"/>
        <v>-2.014</v>
      </c>
      <c r="AQ714" s="70">
        <f t="shared" si="1879"/>
        <v>-0.7</v>
      </c>
      <c r="AR714" s="71">
        <f t="shared" ref="AR714:AS714" si="2335">AI714/94</f>
        <v>27.0893617</v>
      </c>
      <c r="AS714" s="71">
        <f t="shared" si="2335"/>
        <v>24.94680851</v>
      </c>
      <c r="AT714" s="72">
        <f t="shared" ref="AT714:AU714" si="2336">AI714/24</f>
        <v>106.1</v>
      </c>
      <c r="AU714" s="72">
        <f t="shared" si="2336"/>
        <v>97.70833333</v>
      </c>
      <c r="AV714" s="73">
        <f t="shared" ref="AV714:AW714" si="2337">AI714/125</f>
        <v>20.3712</v>
      </c>
      <c r="AW714" s="73">
        <f t="shared" si="2337"/>
        <v>18.76</v>
      </c>
    </row>
    <row r="715" ht="15.75" customHeight="1">
      <c r="A715" s="2"/>
      <c r="B715" s="2" t="s">
        <v>1411</v>
      </c>
      <c r="C715" s="2" t="s">
        <v>1412</v>
      </c>
      <c r="D715" s="10">
        <v>1150.0</v>
      </c>
      <c r="E715" s="2">
        <v>55.0</v>
      </c>
      <c r="F715" s="1">
        <v>85.0</v>
      </c>
      <c r="G715" s="10">
        <v>8.3061E7</v>
      </c>
      <c r="H715" s="59">
        <v>0.05</v>
      </c>
      <c r="I715" s="2">
        <f t="shared" si="1792"/>
        <v>57.5</v>
      </c>
      <c r="K715" s="2">
        <v>40.0</v>
      </c>
      <c r="L715" s="4">
        <f t="shared" si="1708"/>
        <v>1387.5</v>
      </c>
      <c r="M715" s="2">
        <f t="shared" si="1853"/>
        <v>11.5</v>
      </c>
      <c r="N715" s="12">
        <f t="shared" si="1854"/>
        <v>111</v>
      </c>
      <c r="O715" s="12">
        <f t="shared" si="1855"/>
        <v>138.75</v>
      </c>
      <c r="P715" s="12">
        <f t="shared" si="1856"/>
        <v>69.375</v>
      </c>
      <c r="Q715" s="12">
        <f t="shared" si="1857"/>
        <v>27.75</v>
      </c>
      <c r="R715" s="12">
        <f t="shared" si="1858"/>
        <v>12.075</v>
      </c>
      <c r="S715" s="12">
        <f t="shared" si="1859"/>
        <v>13.875</v>
      </c>
      <c r="T715" s="60">
        <f t="shared" si="1860"/>
        <v>372.25</v>
      </c>
      <c r="U715" s="2">
        <f t="shared" si="1861"/>
        <v>24.15</v>
      </c>
      <c r="V715" s="42">
        <f t="shared" si="15"/>
        <v>120.75</v>
      </c>
      <c r="W715" s="2">
        <f t="shared" si="1862"/>
        <v>24.15</v>
      </c>
      <c r="X715" s="2">
        <f t="shared" si="1863"/>
        <v>193.2</v>
      </c>
      <c r="Y715" s="2">
        <f t="shared" si="1864"/>
        <v>362.25</v>
      </c>
      <c r="Z715" s="60">
        <f t="shared" si="1865"/>
        <v>2122</v>
      </c>
      <c r="AA715" s="11">
        <f t="shared" si="1866"/>
        <v>424.4</v>
      </c>
      <c r="AB715" s="12">
        <f t="shared" si="1867"/>
        <v>2546.4</v>
      </c>
      <c r="AC715" s="2">
        <f t="shared" si="1868"/>
        <v>2415</v>
      </c>
      <c r="AD715" s="12">
        <f t="shared" si="1869"/>
        <v>131.4</v>
      </c>
      <c r="AE715" s="12">
        <f t="shared" si="1870"/>
        <v>5.160226202</v>
      </c>
      <c r="AF715" s="61">
        <v>1995.0</v>
      </c>
      <c r="AG715" s="62">
        <f t="shared" si="1871"/>
        <v>43.78378378</v>
      </c>
      <c r="AH715" s="63">
        <f t="shared" si="1872"/>
        <v>350</v>
      </c>
      <c r="AI715" s="64">
        <f t="shared" si="2334"/>
        <v>2546.4</v>
      </c>
      <c r="AJ715" s="76">
        <v>2345.0</v>
      </c>
      <c r="AK715" s="66">
        <f t="shared" si="1730"/>
        <v>69.00900901</v>
      </c>
      <c r="AL715" s="66"/>
      <c r="AM715" s="14">
        <f t="shared" si="1875"/>
        <v>14.92537313</v>
      </c>
      <c r="AN715" s="67">
        <f t="shared" si="1876"/>
        <v>25.22522523</v>
      </c>
      <c r="AO715" s="68">
        <f t="shared" si="1877"/>
        <v>1.69009009</v>
      </c>
      <c r="AP715" s="69">
        <f t="shared" si="1878"/>
        <v>-2.014</v>
      </c>
      <c r="AQ715" s="70">
        <f t="shared" si="1879"/>
        <v>-0.7</v>
      </c>
      <c r="AR715" s="71">
        <f t="shared" ref="AR715:AS715" si="2338">AI715/94</f>
        <v>27.0893617</v>
      </c>
      <c r="AS715" s="71">
        <f t="shared" si="2338"/>
        <v>24.94680851</v>
      </c>
      <c r="AT715" s="72">
        <f t="shared" ref="AT715:AU715" si="2339">AI715/24</f>
        <v>106.1</v>
      </c>
      <c r="AU715" s="72">
        <f t="shared" si="2339"/>
        <v>97.70833333</v>
      </c>
      <c r="AV715" s="73">
        <f t="shared" ref="AV715:AW715" si="2340">AI715/125</f>
        <v>20.3712</v>
      </c>
      <c r="AW715" s="73">
        <f t="shared" si="2340"/>
        <v>18.76</v>
      </c>
    </row>
    <row r="716" ht="15.75" customHeight="1">
      <c r="A716" s="2"/>
      <c r="B716" s="2" t="s">
        <v>1413</v>
      </c>
      <c r="C716" s="2" t="s">
        <v>1414</v>
      </c>
      <c r="D716" s="10">
        <v>1150.0</v>
      </c>
      <c r="E716" s="2">
        <v>55.0</v>
      </c>
      <c r="F716" s="1">
        <v>85.0</v>
      </c>
      <c r="G716" s="10">
        <v>8.3061E7</v>
      </c>
      <c r="H716" s="59">
        <v>0.05</v>
      </c>
      <c r="I716" s="2">
        <f t="shared" si="1792"/>
        <v>57.5</v>
      </c>
      <c r="K716" s="2">
        <v>40.0</v>
      </c>
      <c r="L716" s="4">
        <f t="shared" si="1708"/>
        <v>1387.5</v>
      </c>
      <c r="M716" s="2">
        <f t="shared" si="1853"/>
        <v>11.5</v>
      </c>
      <c r="N716" s="12">
        <f t="shared" si="1854"/>
        <v>111</v>
      </c>
      <c r="O716" s="12">
        <f t="shared" si="1855"/>
        <v>138.75</v>
      </c>
      <c r="P716" s="12">
        <f t="shared" si="1856"/>
        <v>69.375</v>
      </c>
      <c r="Q716" s="12">
        <f t="shared" si="1857"/>
        <v>27.75</v>
      </c>
      <c r="R716" s="12">
        <f t="shared" si="1858"/>
        <v>12.075</v>
      </c>
      <c r="S716" s="12">
        <f t="shared" si="1859"/>
        <v>13.875</v>
      </c>
      <c r="T716" s="60">
        <f t="shared" si="1860"/>
        <v>372.25</v>
      </c>
      <c r="U716" s="2">
        <f t="shared" si="1861"/>
        <v>24.15</v>
      </c>
      <c r="V716" s="42">
        <f t="shared" si="15"/>
        <v>120.75</v>
      </c>
      <c r="W716" s="2">
        <f t="shared" si="1862"/>
        <v>24.15</v>
      </c>
      <c r="X716" s="2">
        <f t="shared" si="1863"/>
        <v>193.2</v>
      </c>
      <c r="Y716" s="2">
        <f t="shared" si="1864"/>
        <v>362.25</v>
      </c>
      <c r="Z716" s="60">
        <f t="shared" si="1865"/>
        <v>2122</v>
      </c>
      <c r="AA716" s="11">
        <f t="shared" si="1866"/>
        <v>424.4</v>
      </c>
      <c r="AB716" s="12">
        <f t="shared" si="1867"/>
        <v>2546.4</v>
      </c>
      <c r="AC716" s="2">
        <f t="shared" si="1868"/>
        <v>2415</v>
      </c>
      <c r="AD716" s="12">
        <f t="shared" si="1869"/>
        <v>131.4</v>
      </c>
      <c r="AE716" s="12">
        <f t="shared" si="1870"/>
        <v>5.160226202</v>
      </c>
      <c r="AF716" s="61">
        <v>1995.0</v>
      </c>
      <c r="AG716" s="62">
        <f t="shared" si="1871"/>
        <v>43.78378378</v>
      </c>
      <c r="AH716" s="63">
        <f t="shared" si="1872"/>
        <v>350</v>
      </c>
      <c r="AI716" s="64">
        <f t="shared" si="2334"/>
        <v>2546.4</v>
      </c>
      <c r="AJ716" s="76">
        <v>2345.0</v>
      </c>
      <c r="AK716" s="66">
        <f t="shared" si="1730"/>
        <v>69.00900901</v>
      </c>
      <c r="AL716" s="66"/>
      <c r="AM716" s="14">
        <f t="shared" si="1875"/>
        <v>14.92537313</v>
      </c>
      <c r="AN716" s="67">
        <f t="shared" si="1876"/>
        <v>25.22522523</v>
      </c>
      <c r="AO716" s="68">
        <f t="shared" si="1877"/>
        <v>1.69009009</v>
      </c>
      <c r="AP716" s="69">
        <f t="shared" si="1878"/>
        <v>-2.014</v>
      </c>
      <c r="AQ716" s="70">
        <f t="shared" si="1879"/>
        <v>-0.7</v>
      </c>
      <c r="AR716" s="71">
        <f t="shared" ref="AR716:AS716" si="2341">AI716/94</f>
        <v>27.0893617</v>
      </c>
      <c r="AS716" s="71">
        <f t="shared" si="2341"/>
        <v>24.94680851</v>
      </c>
      <c r="AT716" s="72">
        <f t="shared" ref="AT716:AU716" si="2342">AI716/24</f>
        <v>106.1</v>
      </c>
      <c r="AU716" s="72">
        <f t="shared" si="2342"/>
        <v>97.70833333</v>
      </c>
      <c r="AV716" s="73">
        <f t="shared" ref="AV716:AW716" si="2343">AI716/125</f>
        <v>20.3712</v>
      </c>
      <c r="AW716" s="73">
        <f t="shared" si="2343"/>
        <v>18.76</v>
      </c>
    </row>
    <row r="717" ht="15.0" customHeight="1">
      <c r="A717" s="2" t="s">
        <v>1415</v>
      </c>
      <c r="B717" s="2" t="s">
        <v>1416</v>
      </c>
      <c r="C717" s="2" t="s">
        <v>1417</v>
      </c>
      <c r="D717" s="105">
        <v>200.0</v>
      </c>
      <c r="F717" s="1">
        <v>50.0</v>
      </c>
      <c r="G717" s="10">
        <v>9.40490099E8</v>
      </c>
      <c r="H717" s="59">
        <v>0.05</v>
      </c>
      <c r="I717" s="2">
        <f t="shared" si="1792"/>
        <v>10</v>
      </c>
      <c r="J717" s="2">
        <f t="shared" ref="J717:J718" si="2347">D717*5%</f>
        <v>10</v>
      </c>
      <c r="K717" s="2">
        <v>300.0</v>
      </c>
      <c r="L717" s="4">
        <f t="shared" si="1708"/>
        <v>570</v>
      </c>
      <c r="M717" s="2">
        <f t="shared" si="1853"/>
        <v>2</v>
      </c>
      <c r="N717" s="12">
        <f t="shared" si="1854"/>
        <v>45.6</v>
      </c>
      <c r="O717" s="12">
        <f t="shared" si="1855"/>
        <v>57</v>
      </c>
      <c r="P717" s="12">
        <f t="shared" si="1856"/>
        <v>28.5</v>
      </c>
      <c r="Q717" s="12">
        <f t="shared" si="1857"/>
        <v>11.4</v>
      </c>
      <c r="R717" s="12">
        <f t="shared" si="1858"/>
        <v>2.1</v>
      </c>
      <c r="S717" s="12">
        <f t="shared" si="1859"/>
        <v>5.7</v>
      </c>
      <c r="T717" s="60">
        <f t="shared" si="1860"/>
        <v>150.2</v>
      </c>
      <c r="U717" s="2">
        <f t="shared" si="1861"/>
        <v>4.2</v>
      </c>
      <c r="V717" s="42">
        <f t="shared" si="15"/>
        <v>21</v>
      </c>
      <c r="W717" s="2">
        <f t="shared" si="1862"/>
        <v>4.2</v>
      </c>
      <c r="X717" s="2">
        <f t="shared" si="1863"/>
        <v>33.6</v>
      </c>
      <c r="Y717" s="2">
        <f t="shared" si="1864"/>
        <v>63</v>
      </c>
      <c r="Z717" s="60">
        <f t="shared" si="1865"/>
        <v>783.2</v>
      </c>
      <c r="AA717" s="11">
        <f t="shared" si="1866"/>
        <v>156.64</v>
      </c>
      <c r="AB717" s="12">
        <f t="shared" si="1867"/>
        <v>939.84</v>
      </c>
      <c r="AC717" s="2">
        <f t="shared" si="1868"/>
        <v>420</v>
      </c>
      <c r="AD717" s="12">
        <f t="shared" si="1869"/>
        <v>519.84</v>
      </c>
      <c r="AE717" s="12">
        <f t="shared" si="1870"/>
        <v>55.31154239</v>
      </c>
      <c r="AF717" s="61">
        <v>895.0</v>
      </c>
      <c r="AG717" s="62">
        <f t="shared" si="1871"/>
        <v>57.01754386</v>
      </c>
      <c r="AH717" s="63">
        <f t="shared" si="1872"/>
        <v>30</v>
      </c>
      <c r="AI717" s="64">
        <v>949.0</v>
      </c>
      <c r="AJ717" s="65">
        <v>925.0</v>
      </c>
      <c r="AK717" s="66">
        <f t="shared" si="1730"/>
        <v>62.28070175</v>
      </c>
      <c r="AL717" s="66"/>
      <c r="AM717" s="14">
        <f t="shared" si="1875"/>
        <v>3.243243243</v>
      </c>
      <c r="AN717" s="67">
        <f t="shared" si="1876"/>
        <v>5.263157895</v>
      </c>
      <c r="AO717" s="68">
        <f t="shared" si="1877"/>
        <v>1.622807018</v>
      </c>
      <c r="AP717" s="69">
        <f t="shared" si="1878"/>
        <v>-0.1484</v>
      </c>
      <c r="AQ717" s="70">
        <f t="shared" si="1879"/>
        <v>5.05</v>
      </c>
      <c r="AR717" s="71">
        <f t="shared" ref="AR717:AS717" si="2344">AI717/94</f>
        <v>10.09574468</v>
      </c>
      <c r="AS717" s="71">
        <f t="shared" si="2344"/>
        <v>9.840425532</v>
      </c>
      <c r="AT717" s="72">
        <f t="shared" ref="AT717:AU717" si="2345">AI717/24</f>
        <v>39.54166667</v>
      </c>
      <c r="AU717" s="72">
        <f t="shared" si="2345"/>
        <v>38.54166667</v>
      </c>
      <c r="AV717" s="73">
        <f t="shared" ref="AV717:AW717" si="2346">AI717/125</f>
        <v>7.592</v>
      </c>
      <c r="AW717" s="73">
        <f t="shared" si="2346"/>
        <v>7.4</v>
      </c>
    </row>
    <row r="718" ht="15.75" customHeight="1">
      <c r="A718" s="2"/>
      <c r="B718" s="2" t="s">
        <v>1418</v>
      </c>
      <c r="C718" s="2" t="s">
        <v>1419</v>
      </c>
      <c r="D718" s="105">
        <v>150.0</v>
      </c>
      <c r="F718" s="1">
        <v>50.0</v>
      </c>
      <c r="G718" s="10">
        <v>4202.0</v>
      </c>
      <c r="H718" s="59">
        <v>0.18</v>
      </c>
      <c r="I718" s="2">
        <f t="shared" si="1792"/>
        <v>27</v>
      </c>
      <c r="J718" s="2">
        <f t="shared" si="2347"/>
        <v>7.5</v>
      </c>
      <c r="K718" s="2">
        <v>300.0</v>
      </c>
      <c r="L718" s="4">
        <f t="shared" si="1708"/>
        <v>534.5</v>
      </c>
      <c r="M718" s="2">
        <f t="shared" si="1853"/>
        <v>1.5</v>
      </c>
      <c r="N718" s="12">
        <f t="shared" si="1854"/>
        <v>42.76</v>
      </c>
      <c r="O718" s="12">
        <f t="shared" si="1855"/>
        <v>53.45</v>
      </c>
      <c r="P718" s="12">
        <f t="shared" si="1856"/>
        <v>26.725</v>
      </c>
      <c r="Q718" s="12">
        <f t="shared" si="1857"/>
        <v>10.69</v>
      </c>
      <c r="R718" s="12">
        <f t="shared" si="1858"/>
        <v>1.575</v>
      </c>
      <c r="S718" s="12">
        <f t="shared" si="1859"/>
        <v>5.345</v>
      </c>
      <c r="T718" s="60">
        <f t="shared" si="1860"/>
        <v>140.47</v>
      </c>
      <c r="U718" s="2">
        <f t="shared" si="1861"/>
        <v>3.15</v>
      </c>
      <c r="V718" s="42">
        <f t="shared" si="15"/>
        <v>15.75</v>
      </c>
      <c r="W718" s="2">
        <f t="shared" si="1862"/>
        <v>3.15</v>
      </c>
      <c r="X718" s="2">
        <f t="shared" si="1863"/>
        <v>25.2</v>
      </c>
      <c r="Y718" s="2">
        <f t="shared" si="1864"/>
        <v>47.25</v>
      </c>
      <c r="Z718" s="60">
        <f t="shared" si="1865"/>
        <v>722.22</v>
      </c>
      <c r="AA718" s="11">
        <f t="shared" si="1866"/>
        <v>144.444</v>
      </c>
      <c r="AB718" s="12">
        <f t="shared" si="1867"/>
        <v>866.664</v>
      </c>
      <c r="AC718" s="2">
        <f t="shared" si="1868"/>
        <v>315</v>
      </c>
      <c r="AD718" s="12">
        <f t="shared" si="1869"/>
        <v>551.664</v>
      </c>
      <c r="AE718" s="12">
        <f t="shared" si="1870"/>
        <v>63.65373432</v>
      </c>
      <c r="AF718" s="61">
        <v>795.0</v>
      </c>
      <c r="AG718" s="62">
        <f t="shared" si="1871"/>
        <v>48.73713751</v>
      </c>
      <c r="AH718" s="63">
        <f t="shared" si="1872"/>
        <v>60</v>
      </c>
      <c r="AI718" s="64">
        <v>890.0</v>
      </c>
      <c r="AJ718" s="65">
        <v>855.0</v>
      </c>
      <c r="AK718" s="66">
        <f t="shared" si="1730"/>
        <v>59.96258185</v>
      </c>
      <c r="AL718" s="66"/>
      <c r="AM718" s="14">
        <f t="shared" si="1875"/>
        <v>7.01754386</v>
      </c>
      <c r="AN718" s="67">
        <f t="shared" si="1876"/>
        <v>11.22544434</v>
      </c>
      <c r="AO718" s="68">
        <f t="shared" si="1877"/>
        <v>1.599625819</v>
      </c>
      <c r="AP718" s="69">
        <f t="shared" si="1878"/>
        <v>-0.11664</v>
      </c>
      <c r="AQ718" s="70">
        <f t="shared" si="1879"/>
        <v>5.4</v>
      </c>
      <c r="AR718" s="71">
        <f t="shared" ref="AR718:AS718" si="2348">AI718/94</f>
        <v>9.468085106</v>
      </c>
      <c r="AS718" s="71">
        <f t="shared" si="2348"/>
        <v>9.095744681</v>
      </c>
      <c r="AT718" s="72">
        <f t="shared" ref="AT718:AU718" si="2349">AI718/24</f>
        <v>37.08333333</v>
      </c>
      <c r="AU718" s="72">
        <f t="shared" si="2349"/>
        <v>35.625</v>
      </c>
      <c r="AV718" s="73">
        <f t="shared" ref="AV718:AW718" si="2350">AI718/125</f>
        <v>7.12</v>
      </c>
      <c r="AW718" s="73">
        <f t="shared" si="2350"/>
        <v>6.84</v>
      </c>
    </row>
    <row r="719" ht="15.0" customHeight="1">
      <c r="A719" s="2" t="s">
        <v>1420</v>
      </c>
      <c r="B719" s="2" t="s">
        <v>274</v>
      </c>
      <c r="C719" s="2" t="s">
        <v>1421</v>
      </c>
      <c r="D719" s="105">
        <v>2000.0</v>
      </c>
      <c r="E719" s="2">
        <v>150.0</v>
      </c>
      <c r="F719" s="1">
        <v>145.0</v>
      </c>
      <c r="G719" s="10">
        <v>4.42019E7</v>
      </c>
      <c r="H719" s="59">
        <v>0.05</v>
      </c>
      <c r="I719" s="2">
        <f t="shared" si="1792"/>
        <v>100</v>
      </c>
      <c r="K719" s="1">
        <v>800.0</v>
      </c>
      <c r="L719" s="4">
        <f t="shared" si="1708"/>
        <v>3195</v>
      </c>
      <c r="M719" s="2">
        <f t="shared" si="1853"/>
        <v>20</v>
      </c>
      <c r="N719" s="12">
        <f t="shared" si="1854"/>
        <v>255.6</v>
      </c>
      <c r="O719" s="12">
        <f t="shared" si="1855"/>
        <v>319.5</v>
      </c>
      <c r="P719" s="12">
        <f t="shared" si="1856"/>
        <v>159.75</v>
      </c>
      <c r="Q719" s="12">
        <f t="shared" si="1857"/>
        <v>63.9</v>
      </c>
      <c r="R719" s="12">
        <f t="shared" si="1858"/>
        <v>21</v>
      </c>
      <c r="S719" s="12">
        <f t="shared" si="1859"/>
        <v>31.95</v>
      </c>
      <c r="T719" s="60">
        <f t="shared" si="1860"/>
        <v>850.7</v>
      </c>
      <c r="U719" s="2">
        <f t="shared" si="1861"/>
        <v>42</v>
      </c>
      <c r="V719" s="42">
        <f t="shared" si="15"/>
        <v>210</v>
      </c>
      <c r="W719" s="2">
        <f t="shared" si="1862"/>
        <v>42</v>
      </c>
      <c r="X719" s="2">
        <f t="shared" si="1863"/>
        <v>336</v>
      </c>
      <c r="Y719" s="2">
        <f t="shared" si="1864"/>
        <v>630</v>
      </c>
      <c r="Z719" s="60">
        <f t="shared" si="1865"/>
        <v>4675.7</v>
      </c>
      <c r="AA719" s="11">
        <f t="shared" si="1866"/>
        <v>935.14</v>
      </c>
      <c r="AB719" s="12">
        <f t="shared" si="1867"/>
        <v>5610.84</v>
      </c>
      <c r="AC719" s="2">
        <f t="shared" si="1868"/>
        <v>4200</v>
      </c>
      <c r="AD719" s="12">
        <f t="shared" si="1869"/>
        <v>1410.84</v>
      </c>
      <c r="AE719" s="12">
        <f t="shared" si="1870"/>
        <v>25.14489809</v>
      </c>
      <c r="AF719" s="61">
        <v>6650.0</v>
      </c>
      <c r="AG719" s="62">
        <f t="shared" si="1871"/>
        <v>108.1377152</v>
      </c>
      <c r="AH719" s="63">
        <f t="shared" si="1872"/>
        <v>0</v>
      </c>
      <c r="AI719" s="64">
        <v>7990.0</v>
      </c>
      <c r="AJ719" s="65">
        <v>6650.0</v>
      </c>
      <c r="AK719" s="66">
        <f t="shared" si="1730"/>
        <v>108.1377152</v>
      </c>
      <c r="AL719" s="66"/>
      <c r="AM719" s="14">
        <f t="shared" si="1875"/>
        <v>0</v>
      </c>
      <c r="AN719" s="67">
        <f t="shared" si="1876"/>
        <v>0</v>
      </c>
      <c r="AO719" s="68">
        <f t="shared" si="1877"/>
        <v>2.081377152</v>
      </c>
      <c r="AP719" s="69">
        <f t="shared" si="1878"/>
        <v>10.3916</v>
      </c>
      <c r="AQ719" s="70">
        <f t="shared" si="1879"/>
        <v>24.5</v>
      </c>
      <c r="AR719" s="71">
        <f t="shared" ref="AR719:AS719" si="2351">AI719/94</f>
        <v>85</v>
      </c>
      <c r="AS719" s="71">
        <f t="shared" si="2351"/>
        <v>70.74468085</v>
      </c>
      <c r="AT719" s="72">
        <f t="shared" ref="AT719:AU719" si="2352">AI719/24</f>
        <v>332.9166667</v>
      </c>
      <c r="AU719" s="72">
        <f t="shared" si="2352"/>
        <v>277.0833333</v>
      </c>
      <c r="AV719" s="73">
        <f t="shared" ref="AV719:AW719" si="2353">AI719/125</f>
        <v>63.92</v>
      </c>
      <c r="AW719" s="73">
        <f t="shared" si="2353"/>
        <v>53.2</v>
      </c>
    </row>
    <row r="720" ht="15.75" customHeight="1">
      <c r="A720" s="2"/>
      <c r="B720" s="2" t="s">
        <v>72</v>
      </c>
      <c r="C720" s="2" t="s">
        <v>1422</v>
      </c>
      <c r="D720" s="105">
        <v>2000.0</v>
      </c>
      <c r="E720" s="2">
        <v>150.0</v>
      </c>
      <c r="F720" s="1">
        <v>145.0</v>
      </c>
      <c r="G720" s="10">
        <v>4.42019E7</v>
      </c>
      <c r="H720" s="59">
        <v>0.05</v>
      </c>
      <c r="I720" s="2">
        <f t="shared" si="1792"/>
        <v>100</v>
      </c>
      <c r="K720" s="1">
        <v>800.0</v>
      </c>
      <c r="L720" s="4">
        <f t="shared" si="1708"/>
        <v>3195</v>
      </c>
      <c r="M720" s="2">
        <f t="shared" si="1853"/>
        <v>20</v>
      </c>
      <c r="N720" s="12">
        <f t="shared" si="1854"/>
        <v>255.6</v>
      </c>
      <c r="O720" s="12">
        <f t="shared" si="1855"/>
        <v>319.5</v>
      </c>
      <c r="P720" s="12">
        <f t="shared" si="1856"/>
        <v>159.75</v>
      </c>
      <c r="Q720" s="12">
        <f t="shared" si="1857"/>
        <v>63.9</v>
      </c>
      <c r="R720" s="12">
        <f t="shared" si="1858"/>
        <v>21</v>
      </c>
      <c r="S720" s="12">
        <f t="shared" si="1859"/>
        <v>31.95</v>
      </c>
      <c r="T720" s="60">
        <f t="shared" si="1860"/>
        <v>850.7</v>
      </c>
      <c r="U720" s="2">
        <f t="shared" si="1861"/>
        <v>42</v>
      </c>
      <c r="V720" s="42">
        <f t="shared" si="15"/>
        <v>210</v>
      </c>
      <c r="W720" s="2">
        <f t="shared" si="1862"/>
        <v>42</v>
      </c>
      <c r="X720" s="2">
        <f t="shared" si="1863"/>
        <v>336</v>
      </c>
      <c r="Y720" s="2">
        <f t="shared" si="1864"/>
        <v>630</v>
      </c>
      <c r="Z720" s="60">
        <f t="shared" si="1865"/>
        <v>4675.7</v>
      </c>
      <c r="AA720" s="11">
        <f t="shared" si="1866"/>
        <v>935.14</v>
      </c>
      <c r="AB720" s="12">
        <f t="shared" si="1867"/>
        <v>5610.84</v>
      </c>
      <c r="AC720" s="2">
        <f t="shared" si="1868"/>
        <v>4200</v>
      </c>
      <c r="AD720" s="12">
        <f t="shared" si="1869"/>
        <v>1410.84</v>
      </c>
      <c r="AE720" s="12">
        <f t="shared" si="1870"/>
        <v>25.14489809</v>
      </c>
      <c r="AF720" s="61">
        <v>6650.0</v>
      </c>
      <c r="AG720" s="62">
        <f t="shared" si="1871"/>
        <v>108.1377152</v>
      </c>
      <c r="AH720" s="63">
        <f t="shared" si="1872"/>
        <v>0</v>
      </c>
      <c r="AI720" s="64">
        <v>7990.0</v>
      </c>
      <c r="AJ720" s="65">
        <v>6650.0</v>
      </c>
      <c r="AK720" s="66">
        <f t="shared" si="1730"/>
        <v>108.1377152</v>
      </c>
      <c r="AL720" s="66"/>
      <c r="AM720" s="14">
        <f t="shared" si="1875"/>
        <v>0</v>
      </c>
      <c r="AN720" s="67">
        <f t="shared" si="1876"/>
        <v>0</v>
      </c>
      <c r="AO720" s="68">
        <f t="shared" si="1877"/>
        <v>2.081377152</v>
      </c>
      <c r="AP720" s="69">
        <f t="shared" si="1878"/>
        <v>10.3916</v>
      </c>
      <c r="AQ720" s="70">
        <f t="shared" si="1879"/>
        <v>24.5</v>
      </c>
      <c r="AR720" s="71">
        <f t="shared" ref="AR720:AS720" si="2354">AI720/94</f>
        <v>85</v>
      </c>
      <c r="AS720" s="71">
        <f t="shared" si="2354"/>
        <v>70.74468085</v>
      </c>
      <c r="AT720" s="72">
        <f t="shared" ref="AT720:AU720" si="2355">AI720/24</f>
        <v>332.9166667</v>
      </c>
      <c r="AU720" s="72">
        <f t="shared" si="2355"/>
        <v>277.0833333</v>
      </c>
      <c r="AV720" s="73">
        <f t="shared" ref="AV720:AW720" si="2356">AI720/125</f>
        <v>63.92</v>
      </c>
      <c r="AW720" s="73">
        <f t="shared" si="2356"/>
        <v>53.2</v>
      </c>
    </row>
    <row r="721" ht="15.0" customHeight="1">
      <c r="A721" s="77" t="s">
        <v>1423</v>
      </c>
      <c r="B721" s="77" t="s">
        <v>551</v>
      </c>
      <c r="C721" s="77" t="s">
        <v>1424</v>
      </c>
      <c r="D721" s="78">
        <v>60.0</v>
      </c>
      <c r="E721" s="77">
        <v>40.0</v>
      </c>
      <c r="F721" s="80">
        <v>40.0</v>
      </c>
      <c r="G721" s="78">
        <v>7.3269099E7</v>
      </c>
      <c r="H721" s="81">
        <v>0.18</v>
      </c>
      <c r="I721" s="77">
        <f t="shared" si="1792"/>
        <v>10.8</v>
      </c>
      <c r="J721" s="79"/>
      <c r="K721" s="80">
        <v>2.0</v>
      </c>
      <c r="L721" s="82">
        <f t="shared" si="1708"/>
        <v>152.8</v>
      </c>
      <c r="M721" s="77">
        <f t="shared" si="1853"/>
        <v>0.6</v>
      </c>
      <c r="N721" s="83">
        <f t="shared" si="1854"/>
        <v>12.224</v>
      </c>
      <c r="O721" s="83">
        <f t="shared" si="1855"/>
        <v>15.28</v>
      </c>
      <c r="P721" s="83">
        <f t="shared" si="1856"/>
        <v>7.64</v>
      </c>
      <c r="Q721" s="83">
        <f t="shared" si="1857"/>
        <v>3.056</v>
      </c>
      <c r="R721" s="83">
        <f t="shared" si="1858"/>
        <v>0.63</v>
      </c>
      <c r="S721" s="83">
        <f t="shared" si="1859"/>
        <v>1.528</v>
      </c>
      <c r="T721" s="84">
        <f t="shared" si="1860"/>
        <v>40.328</v>
      </c>
      <c r="U721" s="77">
        <f t="shared" si="1861"/>
        <v>1.26</v>
      </c>
      <c r="V721" s="42">
        <f t="shared" si="15"/>
        <v>6.3</v>
      </c>
      <c r="W721" s="77">
        <f t="shared" si="1862"/>
        <v>1.26</v>
      </c>
      <c r="X721" s="77">
        <f t="shared" si="1863"/>
        <v>10.08</v>
      </c>
      <c r="Y721" s="77">
        <f t="shared" si="1864"/>
        <v>18.9</v>
      </c>
      <c r="Z721" s="84">
        <f t="shared" si="1865"/>
        <v>212.028</v>
      </c>
      <c r="AA721" s="85">
        <f t="shared" si="1866"/>
        <v>42.4056</v>
      </c>
      <c r="AB721" s="83">
        <f t="shared" si="1867"/>
        <v>254.4336</v>
      </c>
      <c r="AC721" s="77">
        <f t="shared" si="1868"/>
        <v>126</v>
      </c>
      <c r="AD721" s="83">
        <f t="shared" si="1869"/>
        <v>128.4336</v>
      </c>
      <c r="AE721" s="83">
        <f t="shared" si="1870"/>
        <v>50.47823872</v>
      </c>
      <c r="AF721" s="79">
        <v>175.0</v>
      </c>
      <c r="AG721" s="86">
        <f t="shared" si="1871"/>
        <v>14.52879581</v>
      </c>
      <c r="AH721" s="63">
        <f t="shared" si="1872"/>
        <v>24</v>
      </c>
      <c r="AI721" s="63">
        <f t="shared" ref="AI721:AI761" si="2360">AB721</f>
        <v>254.4336</v>
      </c>
      <c r="AJ721" s="90">
        <v>199.0</v>
      </c>
      <c r="AK721" s="14">
        <f t="shared" si="1730"/>
        <v>30.23560209</v>
      </c>
      <c r="AL721" s="14"/>
      <c r="AM721" s="14">
        <f t="shared" si="1875"/>
        <v>12.06030151</v>
      </c>
      <c r="AN721" s="14">
        <f t="shared" si="1876"/>
        <v>15.70680628</v>
      </c>
      <c r="AO721" s="87">
        <f t="shared" si="1877"/>
        <v>1.302356021</v>
      </c>
      <c r="AP721" s="14">
        <f t="shared" si="1878"/>
        <v>-0.554336</v>
      </c>
      <c r="AQ721" s="14">
        <f t="shared" si="1879"/>
        <v>0.73</v>
      </c>
      <c r="AR721" s="88">
        <f t="shared" ref="AR721:AS721" si="2357">AI721/94</f>
        <v>2.706740426</v>
      </c>
      <c r="AS721" s="88">
        <f t="shared" si="2357"/>
        <v>2.117021277</v>
      </c>
      <c r="AT721" s="89">
        <f t="shared" ref="AT721:AU721" si="2358">AI721/24</f>
        <v>10.6014</v>
      </c>
      <c r="AU721" s="89">
        <f t="shared" si="2358"/>
        <v>8.291666667</v>
      </c>
      <c r="AV721" s="89">
        <f t="shared" ref="AV721:AW721" si="2359">AI721/125</f>
        <v>2.0354688</v>
      </c>
      <c r="AW721" s="89">
        <f t="shared" si="2359"/>
        <v>1.592</v>
      </c>
      <c r="AX721" s="79"/>
      <c r="AY721" s="79"/>
    </row>
    <row r="722" ht="15.75" customHeight="1">
      <c r="A722" s="77"/>
      <c r="B722" s="77" t="s">
        <v>554</v>
      </c>
      <c r="C722" s="77" t="s">
        <v>1425</v>
      </c>
      <c r="D722" s="78">
        <v>120.0</v>
      </c>
      <c r="E722" s="77">
        <v>40.0</v>
      </c>
      <c r="F722" s="80">
        <v>40.0</v>
      </c>
      <c r="G722" s="78">
        <v>7.3269099E7</v>
      </c>
      <c r="H722" s="81">
        <v>0.18</v>
      </c>
      <c r="I722" s="77">
        <f t="shared" si="1792"/>
        <v>21.6</v>
      </c>
      <c r="J722" s="79"/>
      <c r="K722" s="80">
        <v>2.0</v>
      </c>
      <c r="L722" s="82">
        <f t="shared" si="1708"/>
        <v>223.6</v>
      </c>
      <c r="M722" s="77">
        <f t="shared" si="1853"/>
        <v>1.2</v>
      </c>
      <c r="N722" s="83">
        <f t="shared" si="1854"/>
        <v>17.888</v>
      </c>
      <c r="O722" s="83">
        <f t="shared" si="1855"/>
        <v>22.36</v>
      </c>
      <c r="P722" s="83">
        <f t="shared" si="1856"/>
        <v>11.18</v>
      </c>
      <c r="Q722" s="83">
        <f t="shared" si="1857"/>
        <v>4.472</v>
      </c>
      <c r="R722" s="83">
        <f t="shared" si="1858"/>
        <v>1.26</v>
      </c>
      <c r="S722" s="83">
        <f t="shared" si="1859"/>
        <v>2.236</v>
      </c>
      <c r="T722" s="84">
        <f t="shared" si="1860"/>
        <v>59.336</v>
      </c>
      <c r="U722" s="77">
        <f t="shared" si="1861"/>
        <v>2.52</v>
      </c>
      <c r="V722" s="42">
        <f t="shared" si="15"/>
        <v>12.6</v>
      </c>
      <c r="W722" s="77">
        <f t="shared" si="1862"/>
        <v>2.52</v>
      </c>
      <c r="X722" s="77">
        <f t="shared" si="1863"/>
        <v>20.16</v>
      </c>
      <c r="Y722" s="77">
        <f t="shared" si="1864"/>
        <v>37.8</v>
      </c>
      <c r="Z722" s="84">
        <f t="shared" si="1865"/>
        <v>320.736</v>
      </c>
      <c r="AA722" s="85">
        <f t="shared" si="1866"/>
        <v>64.1472</v>
      </c>
      <c r="AB722" s="83">
        <f t="shared" si="1867"/>
        <v>384.8832</v>
      </c>
      <c r="AC722" s="77">
        <f t="shared" si="1868"/>
        <v>252</v>
      </c>
      <c r="AD722" s="83">
        <f t="shared" si="1869"/>
        <v>132.8832</v>
      </c>
      <c r="AE722" s="83">
        <f t="shared" si="1870"/>
        <v>34.52559114</v>
      </c>
      <c r="AF722" s="79">
        <v>245.0</v>
      </c>
      <c r="AG722" s="86">
        <f t="shared" si="1871"/>
        <v>9.570661896</v>
      </c>
      <c r="AH722" s="63">
        <f t="shared" si="1872"/>
        <v>54</v>
      </c>
      <c r="AI722" s="63">
        <f t="shared" si="2360"/>
        <v>384.8832</v>
      </c>
      <c r="AJ722" s="90">
        <v>299.0</v>
      </c>
      <c r="AK722" s="14">
        <f t="shared" si="1730"/>
        <v>33.72093023</v>
      </c>
      <c r="AL722" s="14"/>
      <c r="AM722" s="14">
        <f t="shared" si="1875"/>
        <v>18.06020067</v>
      </c>
      <c r="AN722" s="14">
        <f t="shared" si="1876"/>
        <v>24.15026834</v>
      </c>
      <c r="AO722" s="87">
        <f t="shared" si="1877"/>
        <v>1.337209302</v>
      </c>
      <c r="AP722" s="14">
        <f t="shared" si="1878"/>
        <v>-0.858832</v>
      </c>
      <c r="AQ722" s="14">
        <f t="shared" si="1879"/>
        <v>0.47</v>
      </c>
      <c r="AR722" s="88">
        <f t="shared" ref="AR722:AS722" si="2361">AI722/94</f>
        <v>4.094502128</v>
      </c>
      <c r="AS722" s="88">
        <f t="shared" si="2361"/>
        <v>3.180851064</v>
      </c>
      <c r="AT722" s="89">
        <f t="shared" ref="AT722:AU722" si="2362">AI722/24</f>
        <v>16.0368</v>
      </c>
      <c r="AU722" s="89">
        <f t="shared" si="2362"/>
        <v>12.45833333</v>
      </c>
      <c r="AV722" s="89">
        <f t="shared" ref="AV722:AW722" si="2363">AI722/125</f>
        <v>3.0790656</v>
      </c>
      <c r="AW722" s="89">
        <f t="shared" si="2363"/>
        <v>2.392</v>
      </c>
      <c r="AX722" s="79"/>
      <c r="AY722" s="79"/>
    </row>
    <row r="723" ht="15.0" customHeight="1">
      <c r="A723" s="2" t="s">
        <v>1426</v>
      </c>
      <c r="B723" s="2" t="s">
        <v>1427</v>
      </c>
      <c r="C723" s="2" t="s">
        <v>1428</v>
      </c>
      <c r="D723" s="10">
        <v>1700.0</v>
      </c>
      <c r="E723" s="2">
        <v>150.0</v>
      </c>
      <c r="F723" s="1">
        <v>75.0</v>
      </c>
      <c r="G723" s="10">
        <v>8.3061E7</v>
      </c>
      <c r="H723" s="59">
        <v>0.05</v>
      </c>
      <c r="I723" s="2">
        <f t="shared" si="1792"/>
        <v>85</v>
      </c>
      <c r="K723" s="2">
        <v>100.0</v>
      </c>
      <c r="L723" s="4">
        <f t="shared" si="1708"/>
        <v>2110</v>
      </c>
      <c r="M723" s="2">
        <f t="shared" si="1853"/>
        <v>17</v>
      </c>
      <c r="N723" s="12">
        <f t="shared" si="1854"/>
        <v>168.8</v>
      </c>
      <c r="O723" s="12">
        <f t="shared" si="1855"/>
        <v>211</v>
      </c>
      <c r="P723" s="12">
        <f t="shared" si="1856"/>
        <v>105.5</v>
      </c>
      <c r="Q723" s="12">
        <f t="shared" si="1857"/>
        <v>42.2</v>
      </c>
      <c r="R723" s="12">
        <f t="shared" si="1858"/>
        <v>17.85</v>
      </c>
      <c r="S723" s="12">
        <f t="shared" si="1859"/>
        <v>21.1</v>
      </c>
      <c r="T723" s="60">
        <f t="shared" si="1860"/>
        <v>565.6</v>
      </c>
      <c r="U723" s="2">
        <f t="shared" si="1861"/>
        <v>35.7</v>
      </c>
      <c r="V723" s="42">
        <f t="shared" si="15"/>
        <v>178.5</v>
      </c>
      <c r="W723" s="2">
        <f t="shared" si="1862"/>
        <v>35.7</v>
      </c>
      <c r="X723" s="2">
        <f t="shared" si="1863"/>
        <v>285.6</v>
      </c>
      <c r="Y723" s="2">
        <f t="shared" si="1864"/>
        <v>535.5</v>
      </c>
      <c r="Z723" s="60">
        <f t="shared" si="1865"/>
        <v>3211.1</v>
      </c>
      <c r="AA723" s="11">
        <f t="shared" si="1866"/>
        <v>642.22</v>
      </c>
      <c r="AB723" s="12">
        <f t="shared" si="1867"/>
        <v>3853.32</v>
      </c>
      <c r="AC723" s="2">
        <f t="shared" si="1868"/>
        <v>3570</v>
      </c>
      <c r="AD723" s="12">
        <f t="shared" si="1869"/>
        <v>283.32</v>
      </c>
      <c r="AE723" s="12">
        <f t="shared" si="1870"/>
        <v>7.352620597</v>
      </c>
      <c r="AF723" s="61">
        <v>6895.0</v>
      </c>
      <c r="AG723" s="62">
        <f t="shared" si="1871"/>
        <v>226.7772512</v>
      </c>
      <c r="AH723" s="63">
        <f t="shared" si="1872"/>
        <v>-1045</v>
      </c>
      <c r="AI723" s="64">
        <f t="shared" si="2360"/>
        <v>3853.32</v>
      </c>
      <c r="AJ723" s="65">
        <v>5850.0</v>
      </c>
      <c r="AK723" s="66">
        <f t="shared" si="1730"/>
        <v>177.2511848</v>
      </c>
      <c r="AL723" s="66"/>
      <c r="AM723" s="14">
        <f t="shared" si="1875"/>
        <v>-17.86324786</v>
      </c>
      <c r="AN723" s="67">
        <f t="shared" si="1876"/>
        <v>-49.52606635</v>
      </c>
      <c r="AO723" s="68">
        <f t="shared" si="1877"/>
        <v>2.772511848</v>
      </c>
      <c r="AP723" s="69">
        <f t="shared" si="1878"/>
        <v>19.9668</v>
      </c>
      <c r="AQ723" s="70">
        <f t="shared" si="1879"/>
        <v>22.8</v>
      </c>
      <c r="AR723" s="71">
        <f t="shared" ref="AR723:AS723" si="2364">AI723/94</f>
        <v>40.99276596</v>
      </c>
      <c r="AS723" s="71">
        <f t="shared" si="2364"/>
        <v>62.23404255</v>
      </c>
      <c r="AT723" s="72">
        <f t="shared" ref="AT723:AU723" si="2365">AI723/24</f>
        <v>160.555</v>
      </c>
      <c r="AU723" s="72">
        <f t="shared" si="2365"/>
        <v>243.75</v>
      </c>
      <c r="AV723" s="73">
        <f t="shared" ref="AV723:AW723" si="2366">AI723/125</f>
        <v>30.82656</v>
      </c>
      <c r="AW723" s="73">
        <f t="shared" si="2366"/>
        <v>46.8</v>
      </c>
    </row>
    <row r="724" ht="15.75" customHeight="1">
      <c r="A724" s="2"/>
      <c r="B724" s="2" t="s">
        <v>1429</v>
      </c>
      <c r="C724" s="2" t="s">
        <v>1430</v>
      </c>
      <c r="D724" s="10">
        <v>1950.0</v>
      </c>
      <c r="E724" s="2">
        <v>150.0</v>
      </c>
      <c r="F724" s="1">
        <v>75.0</v>
      </c>
      <c r="G724" s="10">
        <v>8.3061E7</v>
      </c>
      <c r="H724" s="59">
        <v>0.05</v>
      </c>
      <c r="I724" s="2">
        <f t="shared" si="1792"/>
        <v>97.5</v>
      </c>
      <c r="K724" s="2">
        <v>130.0</v>
      </c>
      <c r="L724" s="4">
        <f t="shared" si="1708"/>
        <v>2402.5</v>
      </c>
      <c r="M724" s="2">
        <f t="shared" si="1853"/>
        <v>19.5</v>
      </c>
      <c r="N724" s="12">
        <f t="shared" si="1854"/>
        <v>192.2</v>
      </c>
      <c r="O724" s="12">
        <f t="shared" si="1855"/>
        <v>240.25</v>
      </c>
      <c r="P724" s="12">
        <f t="shared" si="1856"/>
        <v>120.125</v>
      </c>
      <c r="Q724" s="12">
        <f t="shared" si="1857"/>
        <v>48.05</v>
      </c>
      <c r="R724" s="12">
        <f t="shared" si="1858"/>
        <v>20.475</v>
      </c>
      <c r="S724" s="12">
        <f t="shared" si="1859"/>
        <v>24.025</v>
      </c>
      <c r="T724" s="60">
        <f t="shared" si="1860"/>
        <v>644.15</v>
      </c>
      <c r="U724" s="2">
        <f t="shared" si="1861"/>
        <v>40.95</v>
      </c>
      <c r="V724" s="42">
        <f t="shared" si="15"/>
        <v>204.75</v>
      </c>
      <c r="W724" s="2">
        <f t="shared" si="1862"/>
        <v>40.95</v>
      </c>
      <c r="X724" s="2">
        <f t="shared" si="1863"/>
        <v>327.6</v>
      </c>
      <c r="Y724" s="2">
        <f t="shared" si="1864"/>
        <v>614.25</v>
      </c>
      <c r="Z724" s="60">
        <f t="shared" si="1865"/>
        <v>3660.9</v>
      </c>
      <c r="AA724" s="11">
        <f t="shared" si="1866"/>
        <v>732.18</v>
      </c>
      <c r="AB724" s="12">
        <f t="shared" si="1867"/>
        <v>4393.08</v>
      </c>
      <c r="AC724" s="2">
        <f t="shared" si="1868"/>
        <v>4095</v>
      </c>
      <c r="AD724" s="12">
        <f t="shared" si="1869"/>
        <v>298.08</v>
      </c>
      <c r="AE724" s="12">
        <f t="shared" si="1870"/>
        <v>6.78521675</v>
      </c>
      <c r="AF724" s="61">
        <v>8250.0</v>
      </c>
      <c r="AG724" s="62">
        <f t="shared" si="1871"/>
        <v>243.3922997</v>
      </c>
      <c r="AH724" s="63">
        <f t="shared" si="1872"/>
        <v>-1800</v>
      </c>
      <c r="AI724" s="64">
        <f t="shared" si="2360"/>
        <v>4393.08</v>
      </c>
      <c r="AJ724" s="65">
        <v>6450.0</v>
      </c>
      <c r="AK724" s="66">
        <f t="shared" si="1730"/>
        <v>168.4703434</v>
      </c>
      <c r="AL724" s="66"/>
      <c r="AM724" s="14">
        <f t="shared" si="1875"/>
        <v>-27.90697674</v>
      </c>
      <c r="AN724" s="67">
        <f t="shared" si="1876"/>
        <v>-74.9219563</v>
      </c>
      <c r="AO724" s="68">
        <f t="shared" si="1877"/>
        <v>2.684703434</v>
      </c>
      <c r="AP724" s="69">
        <f t="shared" si="1878"/>
        <v>20.5692</v>
      </c>
      <c r="AQ724" s="70">
        <f t="shared" si="1879"/>
        <v>23.55</v>
      </c>
      <c r="AR724" s="71">
        <f t="shared" ref="AR724:AS724" si="2367">AI724/94</f>
        <v>46.73489362</v>
      </c>
      <c r="AS724" s="71">
        <f t="shared" si="2367"/>
        <v>68.61702128</v>
      </c>
      <c r="AT724" s="72">
        <f t="shared" ref="AT724:AU724" si="2368">AI724/24</f>
        <v>183.045</v>
      </c>
      <c r="AU724" s="72">
        <f t="shared" si="2368"/>
        <v>268.75</v>
      </c>
      <c r="AV724" s="73">
        <f t="shared" ref="AV724:AW724" si="2369">AI724/125</f>
        <v>35.14464</v>
      </c>
      <c r="AW724" s="73">
        <f t="shared" si="2369"/>
        <v>51.6</v>
      </c>
    </row>
    <row r="725" ht="15.0" customHeight="1">
      <c r="A725" s="42" t="s">
        <v>1431</v>
      </c>
      <c r="B725" s="42" t="s">
        <v>1432</v>
      </c>
      <c r="C725" s="95" t="s">
        <v>1433</v>
      </c>
      <c r="D725" s="45">
        <v>750.0</v>
      </c>
      <c r="E725" s="47"/>
      <c r="F725" s="42">
        <v>10.0</v>
      </c>
      <c r="G725" s="45">
        <v>9.404299E7</v>
      </c>
      <c r="H725" s="46">
        <v>0.05</v>
      </c>
      <c r="I725" s="42">
        <f t="shared" si="1792"/>
        <v>37.5</v>
      </c>
      <c r="J725" s="47"/>
      <c r="K725" s="42">
        <v>300.0</v>
      </c>
      <c r="L725" s="48">
        <f t="shared" si="1708"/>
        <v>1097.5</v>
      </c>
      <c r="M725" s="42">
        <f t="shared" si="1853"/>
        <v>7.5</v>
      </c>
      <c r="N725" s="49">
        <f t="shared" si="1854"/>
        <v>87.8</v>
      </c>
      <c r="O725" s="49">
        <f t="shared" si="1855"/>
        <v>109.75</v>
      </c>
      <c r="P725" s="49">
        <f t="shared" si="1856"/>
        <v>54.875</v>
      </c>
      <c r="Q725" s="49">
        <f t="shared" si="1857"/>
        <v>21.95</v>
      </c>
      <c r="R725" s="49">
        <f t="shared" si="1858"/>
        <v>7.875</v>
      </c>
      <c r="S725" s="49">
        <f t="shared" si="1859"/>
        <v>10.975</v>
      </c>
      <c r="T725" s="50">
        <f t="shared" si="1860"/>
        <v>292.85</v>
      </c>
      <c r="U725" s="42">
        <f t="shared" si="1861"/>
        <v>15.75</v>
      </c>
      <c r="V725" s="42">
        <f t="shared" si="15"/>
        <v>78.75</v>
      </c>
      <c r="W725" s="42">
        <f t="shared" si="1862"/>
        <v>15.75</v>
      </c>
      <c r="X725" s="42">
        <f t="shared" si="1863"/>
        <v>126</v>
      </c>
      <c r="Y725" s="42">
        <f t="shared" si="1864"/>
        <v>236.25</v>
      </c>
      <c r="Z725" s="50">
        <f t="shared" si="1865"/>
        <v>1626.6</v>
      </c>
      <c r="AA725" s="51">
        <f t="shared" si="1866"/>
        <v>325.32</v>
      </c>
      <c r="AB725" s="49">
        <f t="shared" si="1867"/>
        <v>1951.92</v>
      </c>
      <c r="AC725" s="42">
        <f t="shared" si="1868"/>
        <v>1575</v>
      </c>
      <c r="AD725" s="49">
        <f t="shared" si="1869"/>
        <v>376.92</v>
      </c>
      <c r="AE725" s="49">
        <f t="shared" si="1870"/>
        <v>19.31021763</v>
      </c>
      <c r="AF725" s="47"/>
      <c r="AG725" s="52">
        <f t="shared" si="1871"/>
        <v>-100</v>
      </c>
      <c r="AH725" s="53">
        <f t="shared" si="1872"/>
        <v>1890</v>
      </c>
      <c r="AI725" s="53">
        <f t="shared" si="2360"/>
        <v>1951.92</v>
      </c>
      <c r="AJ725" s="54">
        <v>1890.0</v>
      </c>
      <c r="AK725" s="55">
        <f t="shared" si="1730"/>
        <v>72.2095672</v>
      </c>
      <c r="AL725" s="55"/>
      <c r="AM725" s="55">
        <f t="shared" si="1875"/>
        <v>100</v>
      </c>
      <c r="AN725" s="55">
        <f t="shared" si="1876"/>
        <v>172.2095672</v>
      </c>
      <c r="AO725" s="56">
        <f t="shared" si="1877"/>
        <v>1.722095672</v>
      </c>
      <c r="AP725" s="55">
        <f t="shared" si="1878"/>
        <v>-0.6192</v>
      </c>
      <c r="AQ725" s="55">
        <f t="shared" si="1879"/>
        <v>3.15</v>
      </c>
      <c r="AR725" s="57">
        <f t="shared" ref="AR725:AS725" si="2370">AI725/94</f>
        <v>20.76510638</v>
      </c>
      <c r="AS725" s="57">
        <f t="shared" si="2370"/>
        <v>20.10638298</v>
      </c>
      <c r="AT725" s="58">
        <f t="shared" ref="AT725:AU725" si="2371">AI725/24</f>
        <v>81.33</v>
      </c>
      <c r="AU725" s="58">
        <f t="shared" si="2371"/>
        <v>78.75</v>
      </c>
      <c r="AV725" s="58">
        <f t="shared" ref="AV725:AW725" si="2372">AI725/125</f>
        <v>15.61536</v>
      </c>
      <c r="AW725" s="58">
        <f t="shared" si="2372"/>
        <v>15.12</v>
      </c>
      <c r="AX725" s="47"/>
      <c r="AY725" s="47"/>
    </row>
    <row r="726" ht="15.75" customHeight="1">
      <c r="A726" s="42"/>
      <c r="B726" s="42" t="s">
        <v>1434</v>
      </c>
      <c r="C726" s="44" t="s">
        <v>1435</v>
      </c>
      <c r="D726" s="45">
        <v>1100.0</v>
      </c>
      <c r="E726" s="47"/>
      <c r="F726" s="42">
        <v>10.0</v>
      </c>
      <c r="G726" s="45">
        <v>9.404299E7</v>
      </c>
      <c r="H726" s="46">
        <v>0.05</v>
      </c>
      <c r="I726" s="42">
        <f t="shared" si="1792"/>
        <v>55</v>
      </c>
      <c r="J726" s="42">
        <f>D726*5%</f>
        <v>55</v>
      </c>
      <c r="K726" s="42">
        <v>600.0</v>
      </c>
      <c r="L726" s="48">
        <f t="shared" si="1708"/>
        <v>1820</v>
      </c>
      <c r="M726" s="42">
        <f t="shared" si="1853"/>
        <v>11</v>
      </c>
      <c r="N726" s="49">
        <f t="shared" si="1854"/>
        <v>145.6</v>
      </c>
      <c r="O726" s="49">
        <f t="shared" si="1855"/>
        <v>182</v>
      </c>
      <c r="P726" s="49">
        <f t="shared" si="1856"/>
        <v>91</v>
      </c>
      <c r="Q726" s="49">
        <f t="shared" si="1857"/>
        <v>36.4</v>
      </c>
      <c r="R726" s="49">
        <f t="shared" si="1858"/>
        <v>11.55</v>
      </c>
      <c r="S726" s="49">
        <f t="shared" si="1859"/>
        <v>18.2</v>
      </c>
      <c r="T726" s="50">
        <f t="shared" si="1860"/>
        <v>484.2</v>
      </c>
      <c r="U726" s="42">
        <f t="shared" si="1861"/>
        <v>23.1</v>
      </c>
      <c r="V726" s="42">
        <f t="shared" si="15"/>
        <v>115.5</v>
      </c>
      <c r="W726" s="42">
        <f t="shared" si="1862"/>
        <v>23.1</v>
      </c>
      <c r="X726" s="42">
        <f t="shared" si="1863"/>
        <v>184.8</v>
      </c>
      <c r="Y726" s="42">
        <f t="shared" si="1864"/>
        <v>346.5</v>
      </c>
      <c r="Z726" s="50">
        <f t="shared" si="1865"/>
        <v>2650.7</v>
      </c>
      <c r="AA726" s="51">
        <f t="shared" si="1866"/>
        <v>530.14</v>
      </c>
      <c r="AB726" s="49">
        <f t="shared" si="1867"/>
        <v>3180.84</v>
      </c>
      <c r="AC726" s="42">
        <f t="shared" si="1868"/>
        <v>2310</v>
      </c>
      <c r="AD726" s="49">
        <f t="shared" si="1869"/>
        <v>870.84</v>
      </c>
      <c r="AE726" s="49">
        <f t="shared" si="1870"/>
        <v>27.37767382</v>
      </c>
      <c r="AF726" s="47"/>
      <c r="AG726" s="52">
        <f t="shared" si="1871"/>
        <v>-100</v>
      </c>
      <c r="AH726" s="53">
        <f t="shared" si="1872"/>
        <v>2990</v>
      </c>
      <c r="AI726" s="53">
        <f t="shared" si="2360"/>
        <v>3180.84</v>
      </c>
      <c r="AJ726" s="54">
        <v>2990.0</v>
      </c>
      <c r="AK726" s="55">
        <f t="shared" si="1730"/>
        <v>64.28571429</v>
      </c>
      <c r="AL726" s="55"/>
      <c r="AM726" s="55">
        <f t="shared" si="1875"/>
        <v>100</v>
      </c>
      <c r="AN726" s="55">
        <f t="shared" si="1876"/>
        <v>164.2857143</v>
      </c>
      <c r="AO726" s="56">
        <f t="shared" si="1877"/>
        <v>1.642857143</v>
      </c>
      <c r="AP726" s="55">
        <f t="shared" si="1878"/>
        <v>-1.9084</v>
      </c>
      <c r="AQ726" s="55">
        <f t="shared" si="1879"/>
        <v>6.8</v>
      </c>
      <c r="AR726" s="57">
        <f t="shared" ref="AR726:AS726" si="2373">AI726/94</f>
        <v>33.8387234</v>
      </c>
      <c r="AS726" s="57">
        <f t="shared" si="2373"/>
        <v>31.80851064</v>
      </c>
      <c r="AT726" s="58">
        <f t="shared" ref="AT726:AU726" si="2374">AI726/24</f>
        <v>132.535</v>
      </c>
      <c r="AU726" s="58">
        <f t="shared" si="2374"/>
        <v>124.5833333</v>
      </c>
      <c r="AV726" s="58">
        <f t="shared" ref="AV726:AW726" si="2375">AI726/125</f>
        <v>25.44672</v>
      </c>
      <c r="AW726" s="58">
        <f t="shared" si="2375"/>
        <v>23.92</v>
      </c>
      <c r="AX726" s="47"/>
      <c r="AY726" s="47"/>
    </row>
    <row r="727" ht="15.75" customHeight="1">
      <c r="A727" s="42" t="s">
        <v>1436</v>
      </c>
      <c r="B727" s="42" t="s">
        <v>218</v>
      </c>
      <c r="C727" s="95" t="s">
        <v>1437</v>
      </c>
      <c r="D727" s="96">
        <v>24000.0</v>
      </c>
      <c r="E727" s="44">
        <v>500.0</v>
      </c>
      <c r="F727" s="44">
        <v>145.0</v>
      </c>
      <c r="G727" s="45">
        <v>8.3061E7</v>
      </c>
      <c r="H727" s="46">
        <v>0.05</v>
      </c>
      <c r="I727" s="42">
        <f t="shared" si="1792"/>
        <v>1200</v>
      </c>
      <c r="J727" s="47"/>
      <c r="K727" s="42">
        <v>800.0</v>
      </c>
      <c r="L727" s="48">
        <f t="shared" si="1708"/>
        <v>26645</v>
      </c>
      <c r="M727" s="42">
        <f t="shared" si="1853"/>
        <v>240</v>
      </c>
      <c r="N727" s="49">
        <f t="shared" si="1854"/>
        <v>2131.6</v>
      </c>
      <c r="O727" s="49">
        <f t="shared" si="1855"/>
        <v>2664.5</v>
      </c>
      <c r="P727" s="49">
        <f t="shared" si="1856"/>
        <v>1332.25</v>
      </c>
      <c r="Q727" s="49">
        <f t="shared" si="1857"/>
        <v>532.9</v>
      </c>
      <c r="R727" s="49">
        <f t="shared" si="1858"/>
        <v>252</v>
      </c>
      <c r="S727" s="49">
        <f t="shared" si="1859"/>
        <v>266.45</v>
      </c>
      <c r="T727" s="50">
        <f t="shared" si="1860"/>
        <v>7167.7</v>
      </c>
      <c r="U727" s="42">
        <f t="shared" si="1861"/>
        <v>504</v>
      </c>
      <c r="V727" s="42">
        <f t="shared" si="15"/>
        <v>2520</v>
      </c>
      <c r="W727" s="42">
        <f t="shared" si="1862"/>
        <v>504</v>
      </c>
      <c r="X727" s="42">
        <f t="shared" si="1863"/>
        <v>4032</v>
      </c>
      <c r="Y727" s="42">
        <f t="shared" si="1864"/>
        <v>7560</v>
      </c>
      <c r="Z727" s="50">
        <f t="shared" si="1865"/>
        <v>41372.7</v>
      </c>
      <c r="AA727" s="51">
        <f t="shared" si="1866"/>
        <v>8274.54</v>
      </c>
      <c r="AB727" s="49">
        <f t="shared" si="1867"/>
        <v>49647.24</v>
      </c>
      <c r="AC727" s="42">
        <f t="shared" si="1868"/>
        <v>50400</v>
      </c>
      <c r="AD727" s="49">
        <f t="shared" si="1869"/>
        <v>-752.76</v>
      </c>
      <c r="AE727" s="49">
        <f t="shared" si="1870"/>
        <v>-1.516217216</v>
      </c>
      <c r="AF727" s="97">
        <v>36900.0</v>
      </c>
      <c r="AG727" s="52">
        <f t="shared" si="1871"/>
        <v>38.48752111</v>
      </c>
      <c r="AH727" s="53">
        <f t="shared" si="1872"/>
        <v>3090</v>
      </c>
      <c r="AI727" s="53">
        <f t="shared" si="2360"/>
        <v>49647.24</v>
      </c>
      <c r="AJ727" s="54">
        <v>39990.0</v>
      </c>
      <c r="AK727" s="55">
        <f t="shared" si="1730"/>
        <v>50.08444361</v>
      </c>
      <c r="AL727" s="55"/>
      <c r="AM727" s="55">
        <f t="shared" si="1875"/>
        <v>7.726931733</v>
      </c>
      <c r="AN727" s="55">
        <f t="shared" si="1876"/>
        <v>11.5969225</v>
      </c>
      <c r="AO727" s="56">
        <f t="shared" si="1877"/>
        <v>1.500844436</v>
      </c>
      <c r="AP727" s="55">
        <f t="shared" si="1878"/>
        <v>-96.5724</v>
      </c>
      <c r="AQ727" s="55">
        <f t="shared" si="1879"/>
        <v>-104.1</v>
      </c>
      <c r="AR727" s="57">
        <f t="shared" ref="AR727:AS727" si="2376">AI727/94</f>
        <v>528.1621277</v>
      </c>
      <c r="AS727" s="57">
        <f t="shared" si="2376"/>
        <v>425.4255319</v>
      </c>
      <c r="AT727" s="58">
        <f t="shared" ref="AT727:AU727" si="2377">AI727/24</f>
        <v>2068.635</v>
      </c>
      <c r="AU727" s="58">
        <f t="shared" si="2377"/>
        <v>1666.25</v>
      </c>
      <c r="AV727" s="58">
        <f t="shared" ref="AV727:AW727" si="2378">AI727/125</f>
        <v>397.17792</v>
      </c>
      <c r="AW727" s="58">
        <f t="shared" si="2378"/>
        <v>319.92</v>
      </c>
      <c r="AX727" s="47"/>
      <c r="AY727" s="47"/>
    </row>
    <row r="728" ht="15.75" customHeight="1">
      <c r="A728" s="42" t="s">
        <v>1438</v>
      </c>
      <c r="B728" s="42" t="s">
        <v>218</v>
      </c>
      <c r="C728" s="95" t="s">
        <v>1439</v>
      </c>
      <c r="D728" s="96">
        <v>6600.0</v>
      </c>
      <c r="E728" s="44">
        <v>200.0</v>
      </c>
      <c r="F728" s="44">
        <v>125.0</v>
      </c>
      <c r="G728" s="45">
        <v>8.3061E7</v>
      </c>
      <c r="H728" s="46">
        <v>0.05</v>
      </c>
      <c r="I728" s="42">
        <f t="shared" si="1792"/>
        <v>330</v>
      </c>
      <c r="J728" s="47"/>
      <c r="K728" s="44">
        <v>200.0</v>
      </c>
      <c r="L728" s="48">
        <f t="shared" si="1708"/>
        <v>7455</v>
      </c>
      <c r="M728" s="42">
        <f t="shared" si="1853"/>
        <v>66</v>
      </c>
      <c r="N728" s="49">
        <f t="shared" si="1854"/>
        <v>596.4</v>
      </c>
      <c r="O728" s="49">
        <f t="shared" si="1855"/>
        <v>745.5</v>
      </c>
      <c r="P728" s="49">
        <f t="shared" si="1856"/>
        <v>372.75</v>
      </c>
      <c r="Q728" s="49">
        <f t="shared" si="1857"/>
        <v>149.1</v>
      </c>
      <c r="R728" s="49">
        <f t="shared" si="1858"/>
        <v>69.3</v>
      </c>
      <c r="S728" s="49">
        <f t="shared" si="1859"/>
        <v>74.55</v>
      </c>
      <c r="T728" s="50">
        <f t="shared" si="1860"/>
        <v>2004.3</v>
      </c>
      <c r="U728" s="42">
        <f t="shared" si="1861"/>
        <v>138.6</v>
      </c>
      <c r="V728" s="42">
        <f t="shared" si="15"/>
        <v>693</v>
      </c>
      <c r="W728" s="42">
        <f t="shared" si="1862"/>
        <v>138.6</v>
      </c>
      <c r="X728" s="42">
        <f t="shared" si="1863"/>
        <v>1108.8</v>
      </c>
      <c r="Y728" s="42">
        <f t="shared" si="1864"/>
        <v>2079</v>
      </c>
      <c r="Z728" s="50">
        <f t="shared" si="1865"/>
        <v>11538.3</v>
      </c>
      <c r="AA728" s="51">
        <f t="shared" si="1866"/>
        <v>2307.66</v>
      </c>
      <c r="AB728" s="49">
        <f t="shared" si="1867"/>
        <v>13845.96</v>
      </c>
      <c r="AC728" s="42">
        <f t="shared" si="1868"/>
        <v>13860</v>
      </c>
      <c r="AD728" s="49">
        <f t="shared" si="1869"/>
        <v>-14.04</v>
      </c>
      <c r="AE728" s="49">
        <f t="shared" si="1870"/>
        <v>-0.1014014196</v>
      </c>
      <c r="AF728" s="97">
        <v>9990.0</v>
      </c>
      <c r="AG728" s="52">
        <f t="shared" si="1871"/>
        <v>34.00402414</v>
      </c>
      <c r="AH728" s="53">
        <f t="shared" si="1872"/>
        <v>2000</v>
      </c>
      <c r="AI728" s="53">
        <f t="shared" si="2360"/>
        <v>13845.96</v>
      </c>
      <c r="AJ728" s="54">
        <v>11990.0</v>
      </c>
      <c r="AK728" s="55">
        <f t="shared" si="1730"/>
        <v>60.83165661</v>
      </c>
      <c r="AL728" s="55"/>
      <c r="AM728" s="55">
        <f t="shared" si="1875"/>
        <v>16.68056714</v>
      </c>
      <c r="AN728" s="55">
        <f t="shared" si="1876"/>
        <v>26.82763246</v>
      </c>
      <c r="AO728" s="56">
        <f t="shared" si="1877"/>
        <v>1.608316566</v>
      </c>
      <c r="AP728" s="55">
        <f t="shared" si="1878"/>
        <v>-18.5596</v>
      </c>
      <c r="AQ728" s="55">
        <f t="shared" si="1879"/>
        <v>-18.7</v>
      </c>
      <c r="AR728" s="57">
        <f t="shared" ref="AR728:AS728" si="2379">AI728/94</f>
        <v>147.2974468</v>
      </c>
      <c r="AS728" s="57">
        <f t="shared" si="2379"/>
        <v>127.5531915</v>
      </c>
      <c r="AT728" s="58">
        <f t="shared" ref="AT728:AU728" si="2380">AI728/24</f>
        <v>576.915</v>
      </c>
      <c r="AU728" s="58">
        <f t="shared" si="2380"/>
        <v>499.5833333</v>
      </c>
      <c r="AV728" s="58">
        <f t="shared" ref="AV728:AW728" si="2381">AI728/125</f>
        <v>110.76768</v>
      </c>
      <c r="AW728" s="58">
        <f t="shared" si="2381"/>
        <v>95.92</v>
      </c>
      <c r="AX728" s="47"/>
      <c r="AY728" s="47"/>
    </row>
    <row r="729" ht="15.75" customHeight="1">
      <c r="A729" s="42" t="s">
        <v>1440</v>
      </c>
      <c r="B729" s="42" t="s">
        <v>218</v>
      </c>
      <c r="C729" s="95" t="s">
        <v>1441</v>
      </c>
      <c r="D729" s="96">
        <v>20000.0</v>
      </c>
      <c r="E729" s="44">
        <v>500.0</v>
      </c>
      <c r="F729" s="44">
        <v>145.0</v>
      </c>
      <c r="G729" s="45">
        <v>8.3061E7</v>
      </c>
      <c r="H729" s="46">
        <v>0.05</v>
      </c>
      <c r="I729" s="42">
        <f t="shared" si="1792"/>
        <v>1000</v>
      </c>
      <c r="J729" s="47"/>
      <c r="K729" s="44">
        <v>600.0</v>
      </c>
      <c r="L729" s="48">
        <f t="shared" si="1708"/>
        <v>22245</v>
      </c>
      <c r="M729" s="42">
        <f t="shared" si="1853"/>
        <v>200</v>
      </c>
      <c r="N729" s="49">
        <f t="shared" si="1854"/>
        <v>1779.6</v>
      </c>
      <c r="O729" s="49">
        <f t="shared" si="1855"/>
        <v>2224.5</v>
      </c>
      <c r="P729" s="49">
        <f t="shared" si="1856"/>
        <v>1112.25</v>
      </c>
      <c r="Q729" s="49">
        <f t="shared" si="1857"/>
        <v>444.9</v>
      </c>
      <c r="R729" s="49">
        <f t="shared" si="1858"/>
        <v>210</v>
      </c>
      <c r="S729" s="49">
        <f t="shared" si="1859"/>
        <v>222.45</v>
      </c>
      <c r="T729" s="50">
        <f t="shared" si="1860"/>
        <v>5983.7</v>
      </c>
      <c r="U729" s="42">
        <f t="shared" si="1861"/>
        <v>420</v>
      </c>
      <c r="V729" s="42">
        <f t="shared" si="15"/>
        <v>2100</v>
      </c>
      <c r="W729" s="42">
        <f t="shared" si="1862"/>
        <v>420</v>
      </c>
      <c r="X729" s="42">
        <f t="shared" si="1863"/>
        <v>3360</v>
      </c>
      <c r="Y729" s="42">
        <f t="shared" si="1864"/>
        <v>6300</v>
      </c>
      <c r="Z729" s="50">
        <f t="shared" si="1865"/>
        <v>34528.7</v>
      </c>
      <c r="AA729" s="51">
        <f t="shared" si="1866"/>
        <v>6905.74</v>
      </c>
      <c r="AB729" s="49">
        <f t="shared" si="1867"/>
        <v>41434.44</v>
      </c>
      <c r="AC729" s="42">
        <f t="shared" si="1868"/>
        <v>42000</v>
      </c>
      <c r="AD729" s="49">
        <f t="shared" si="1869"/>
        <v>-565.56</v>
      </c>
      <c r="AE729" s="49">
        <f t="shared" si="1870"/>
        <v>-1.364951475</v>
      </c>
      <c r="AF729" s="97">
        <v>29900.0</v>
      </c>
      <c r="AG729" s="52">
        <f t="shared" si="1871"/>
        <v>34.41222747</v>
      </c>
      <c r="AH729" s="53">
        <f t="shared" si="1872"/>
        <v>5090</v>
      </c>
      <c r="AI729" s="53">
        <f t="shared" si="2360"/>
        <v>41434.44</v>
      </c>
      <c r="AJ729" s="54">
        <v>34990.0</v>
      </c>
      <c r="AK729" s="55">
        <f t="shared" si="1730"/>
        <v>57.29377388</v>
      </c>
      <c r="AL729" s="55"/>
      <c r="AM729" s="55">
        <f t="shared" si="1875"/>
        <v>14.54701343</v>
      </c>
      <c r="AN729" s="55">
        <f t="shared" si="1876"/>
        <v>22.88154641</v>
      </c>
      <c r="AO729" s="56">
        <f t="shared" si="1877"/>
        <v>1.572937739</v>
      </c>
      <c r="AP729" s="55">
        <f t="shared" si="1878"/>
        <v>-64.4444</v>
      </c>
      <c r="AQ729" s="55">
        <f t="shared" si="1879"/>
        <v>-70.1</v>
      </c>
      <c r="AR729" s="57">
        <f t="shared" ref="AR729:AS729" si="2382">AI729/94</f>
        <v>440.7919149</v>
      </c>
      <c r="AS729" s="57">
        <f t="shared" si="2382"/>
        <v>372.2340426</v>
      </c>
      <c r="AT729" s="58">
        <f t="shared" ref="AT729:AU729" si="2383">AI729/24</f>
        <v>1726.435</v>
      </c>
      <c r="AU729" s="58">
        <f t="shared" si="2383"/>
        <v>1457.916667</v>
      </c>
      <c r="AV729" s="58">
        <f t="shared" ref="AV729:AW729" si="2384">AI729/125</f>
        <v>331.47552</v>
      </c>
      <c r="AW729" s="58">
        <f t="shared" si="2384"/>
        <v>279.92</v>
      </c>
      <c r="AX729" s="47"/>
      <c r="AY729" s="47"/>
    </row>
    <row r="730" ht="15.75" customHeight="1">
      <c r="A730" s="42" t="s">
        <v>1442</v>
      </c>
      <c r="B730" s="42" t="s">
        <v>218</v>
      </c>
      <c r="C730" s="95" t="s">
        <v>1443</v>
      </c>
      <c r="D730" s="96">
        <v>4000.0</v>
      </c>
      <c r="E730" s="44">
        <v>200.0</v>
      </c>
      <c r="F730" s="44">
        <v>125.0</v>
      </c>
      <c r="G730" s="45">
        <v>8.3061E7</v>
      </c>
      <c r="H730" s="46">
        <v>0.05</v>
      </c>
      <c r="I730" s="42">
        <f t="shared" si="1792"/>
        <v>200</v>
      </c>
      <c r="J730" s="47"/>
      <c r="K730" s="44">
        <v>200.0</v>
      </c>
      <c r="L730" s="48">
        <f t="shared" si="1708"/>
        <v>4725</v>
      </c>
      <c r="M730" s="42">
        <f t="shared" si="1853"/>
        <v>40</v>
      </c>
      <c r="N730" s="49">
        <f t="shared" si="1854"/>
        <v>378</v>
      </c>
      <c r="O730" s="49">
        <f t="shared" si="1855"/>
        <v>472.5</v>
      </c>
      <c r="P730" s="49">
        <f t="shared" si="1856"/>
        <v>236.25</v>
      </c>
      <c r="Q730" s="49">
        <f t="shared" si="1857"/>
        <v>94.5</v>
      </c>
      <c r="R730" s="49">
        <f t="shared" si="1858"/>
        <v>42</v>
      </c>
      <c r="S730" s="49">
        <f t="shared" si="1859"/>
        <v>47.25</v>
      </c>
      <c r="T730" s="50">
        <f t="shared" si="1860"/>
        <v>1268.5</v>
      </c>
      <c r="U730" s="42">
        <f t="shared" si="1861"/>
        <v>84</v>
      </c>
      <c r="V730" s="42">
        <f t="shared" si="15"/>
        <v>420</v>
      </c>
      <c r="W730" s="42">
        <f t="shared" si="1862"/>
        <v>84</v>
      </c>
      <c r="X730" s="42">
        <f t="shared" si="1863"/>
        <v>672</v>
      </c>
      <c r="Y730" s="42">
        <f t="shared" si="1864"/>
        <v>1260</v>
      </c>
      <c r="Z730" s="50">
        <f t="shared" si="1865"/>
        <v>7253.5</v>
      </c>
      <c r="AA730" s="51">
        <f t="shared" si="1866"/>
        <v>1450.7</v>
      </c>
      <c r="AB730" s="49">
        <f t="shared" si="1867"/>
        <v>8704.2</v>
      </c>
      <c r="AC730" s="42">
        <f t="shared" si="1868"/>
        <v>8400</v>
      </c>
      <c r="AD730" s="49">
        <f t="shared" si="1869"/>
        <v>304.2</v>
      </c>
      <c r="AE730" s="49">
        <f t="shared" si="1870"/>
        <v>3.494864548</v>
      </c>
      <c r="AF730" s="47"/>
      <c r="AG730" s="52">
        <f t="shared" si="1871"/>
        <v>-100</v>
      </c>
      <c r="AH730" s="53">
        <f t="shared" si="1872"/>
        <v>7990</v>
      </c>
      <c r="AI730" s="53">
        <f t="shared" si="2360"/>
        <v>8704.2</v>
      </c>
      <c r="AJ730" s="54">
        <v>7990.0</v>
      </c>
      <c r="AK730" s="55">
        <f t="shared" si="1730"/>
        <v>69.1005291</v>
      </c>
      <c r="AL730" s="55"/>
      <c r="AM730" s="55">
        <f t="shared" si="1875"/>
        <v>100</v>
      </c>
      <c r="AN730" s="55">
        <f t="shared" si="1876"/>
        <v>169.1005291</v>
      </c>
      <c r="AO730" s="56">
        <f t="shared" si="1877"/>
        <v>1.691005291</v>
      </c>
      <c r="AP730" s="55">
        <f t="shared" si="1878"/>
        <v>-7.142</v>
      </c>
      <c r="AQ730" s="55">
        <f t="shared" si="1879"/>
        <v>-4.1</v>
      </c>
      <c r="AR730" s="57">
        <f t="shared" ref="AR730:AS730" si="2385">AI730/94</f>
        <v>92.59787234</v>
      </c>
      <c r="AS730" s="57">
        <f t="shared" si="2385"/>
        <v>85</v>
      </c>
      <c r="AT730" s="58">
        <f t="shared" ref="AT730:AU730" si="2386">AI730/24</f>
        <v>362.675</v>
      </c>
      <c r="AU730" s="58">
        <f t="shared" si="2386"/>
        <v>332.9166667</v>
      </c>
      <c r="AV730" s="58">
        <f t="shared" ref="AV730:AW730" si="2387">AI730/125</f>
        <v>69.6336</v>
      </c>
      <c r="AW730" s="58">
        <f t="shared" si="2387"/>
        <v>63.92</v>
      </c>
      <c r="AX730" s="47"/>
      <c r="AY730" s="47"/>
    </row>
    <row r="731" ht="15.0" customHeight="1">
      <c r="A731" s="42" t="s">
        <v>1444</v>
      </c>
      <c r="B731" s="42" t="s">
        <v>1445</v>
      </c>
      <c r="C731" s="95" t="s">
        <v>1446</v>
      </c>
      <c r="D731" s="97">
        <v>400.0</v>
      </c>
      <c r="E731" s="42"/>
      <c r="F731" s="44">
        <v>65.0</v>
      </c>
      <c r="G731" s="45">
        <v>9.206E7</v>
      </c>
      <c r="H731" s="46">
        <v>0.05</v>
      </c>
      <c r="I731" s="42">
        <f t="shared" si="1792"/>
        <v>20</v>
      </c>
      <c r="J731" s="47"/>
      <c r="K731" s="42">
        <v>300.0</v>
      </c>
      <c r="L731" s="48">
        <f t="shared" si="1708"/>
        <v>785</v>
      </c>
      <c r="M731" s="42">
        <f t="shared" si="1853"/>
        <v>4</v>
      </c>
      <c r="N731" s="49">
        <f t="shared" si="1854"/>
        <v>62.8</v>
      </c>
      <c r="O731" s="49">
        <f t="shared" si="1855"/>
        <v>78.5</v>
      </c>
      <c r="P731" s="49">
        <f t="shared" si="1856"/>
        <v>39.25</v>
      </c>
      <c r="Q731" s="49">
        <f t="shared" si="1857"/>
        <v>15.7</v>
      </c>
      <c r="R731" s="49">
        <f t="shared" si="1858"/>
        <v>4.2</v>
      </c>
      <c r="S731" s="49">
        <f t="shared" si="1859"/>
        <v>7.85</v>
      </c>
      <c r="T731" s="50">
        <f t="shared" si="1860"/>
        <v>208.1</v>
      </c>
      <c r="U731" s="42">
        <f t="shared" si="1861"/>
        <v>8.4</v>
      </c>
      <c r="V731" s="42">
        <f t="shared" si="15"/>
        <v>42</v>
      </c>
      <c r="W731" s="42">
        <f t="shared" si="1862"/>
        <v>8.4</v>
      </c>
      <c r="X731" s="42">
        <f t="shared" si="1863"/>
        <v>67.2</v>
      </c>
      <c r="Y731" s="42">
        <f t="shared" si="1864"/>
        <v>126</v>
      </c>
      <c r="Z731" s="50">
        <f t="shared" si="1865"/>
        <v>1119.1</v>
      </c>
      <c r="AA731" s="51">
        <f t="shared" si="1866"/>
        <v>223.82</v>
      </c>
      <c r="AB731" s="49">
        <f t="shared" si="1867"/>
        <v>1342.92</v>
      </c>
      <c r="AC731" s="42">
        <f t="shared" si="1868"/>
        <v>840</v>
      </c>
      <c r="AD731" s="49">
        <f t="shared" si="1869"/>
        <v>502.92</v>
      </c>
      <c r="AE731" s="49">
        <f t="shared" si="1870"/>
        <v>37.4497364</v>
      </c>
      <c r="AF731" s="47"/>
      <c r="AG731" s="52">
        <f t="shared" si="1871"/>
        <v>-100</v>
      </c>
      <c r="AH731" s="53">
        <f t="shared" si="1872"/>
        <v>1490</v>
      </c>
      <c r="AI731" s="53">
        <f t="shared" si="2360"/>
        <v>1342.92</v>
      </c>
      <c r="AJ731" s="54">
        <v>1490.0</v>
      </c>
      <c r="AK731" s="55">
        <f t="shared" si="1730"/>
        <v>89.8089172</v>
      </c>
      <c r="AL731" s="55"/>
      <c r="AM731" s="55">
        <f t="shared" si="1875"/>
        <v>100</v>
      </c>
      <c r="AN731" s="55">
        <f t="shared" si="1876"/>
        <v>189.8089172</v>
      </c>
      <c r="AO731" s="56">
        <f t="shared" si="1877"/>
        <v>1.898089172</v>
      </c>
      <c r="AP731" s="55">
        <f t="shared" si="1878"/>
        <v>1.4708</v>
      </c>
      <c r="AQ731" s="55">
        <f t="shared" si="1879"/>
        <v>6.5</v>
      </c>
      <c r="AR731" s="57">
        <f t="shared" ref="AR731:AS731" si="2388">AI731/94</f>
        <v>14.28638298</v>
      </c>
      <c r="AS731" s="57">
        <f t="shared" si="2388"/>
        <v>15.85106383</v>
      </c>
      <c r="AT731" s="58">
        <f t="shared" ref="AT731:AU731" si="2389">AI731/24</f>
        <v>55.955</v>
      </c>
      <c r="AU731" s="58">
        <f t="shared" si="2389"/>
        <v>62.08333333</v>
      </c>
      <c r="AV731" s="58">
        <f t="shared" ref="AV731:AW731" si="2390">AI731/125</f>
        <v>10.74336</v>
      </c>
      <c r="AW731" s="58">
        <f t="shared" si="2390"/>
        <v>11.92</v>
      </c>
      <c r="AX731" s="47"/>
      <c r="AY731" s="47"/>
    </row>
    <row r="732" ht="15.75" customHeight="1">
      <c r="A732" s="42"/>
      <c r="B732" s="42" t="s">
        <v>1447</v>
      </c>
      <c r="C732" s="95" t="s">
        <v>1448</v>
      </c>
      <c r="D732" s="43">
        <v>450.0</v>
      </c>
      <c r="E732" s="47"/>
      <c r="F732" s="44">
        <v>65.0</v>
      </c>
      <c r="G732" s="45">
        <v>9.206E7</v>
      </c>
      <c r="H732" s="46">
        <v>0.05</v>
      </c>
      <c r="I732" s="42">
        <f t="shared" si="1792"/>
        <v>22.5</v>
      </c>
      <c r="J732" s="47"/>
      <c r="K732" s="42">
        <v>300.0</v>
      </c>
      <c r="L732" s="48">
        <f t="shared" si="1708"/>
        <v>837.5</v>
      </c>
      <c r="M732" s="42">
        <f t="shared" si="1853"/>
        <v>4.5</v>
      </c>
      <c r="N732" s="49">
        <f t="shared" si="1854"/>
        <v>67</v>
      </c>
      <c r="O732" s="49">
        <f t="shared" si="1855"/>
        <v>83.75</v>
      </c>
      <c r="P732" s="49">
        <f t="shared" si="1856"/>
        <v>41.875</v>
      </c>
      <c r="Q732" s="49">
        <f t="shared" si="1857"/>
        <v>16.75</v>
      </c>
      <c r="R732" s="49">
        <f t="shared" si="1858"/>
        <v>4.725</v>
      </c>
      <c r="S732" s="49">
        <f t="shared" si="1859"/>
        <v>8.375</v>
      </c>
      <c r="T732" s="50">
        <f t="shared" si="1860"/>
        <v>222.25</v>
      </c>
      <c r="U732" s="42">
        <f t="shared" si="1861"/>
        <v>9.45</v>
      </c>
      <c r="V732" s="42">
        <f t="shared" si="15"/>
        <v>47.25</v>
      </c>
      <c r="W732" s="42">
        <f t="shared" si="1862"/>
        <v>9.45</v>
      </c>
      <c r="X732" s="42">
        <f t="shared" si="1863"/>
        <v>75.6</v>
      </c>
      <c r="Y732" s="42">
        <f t="shared" si="1864"/>
        <v>141.75</v>
      </c>
      <c r="Z732" s="50">
        <f t="shared" si="1865"/>
        <v>1201.5</v>
      </c>
      <c r="AA732" s="51">
        <f t="shared" si="1866"/>
        <v>240.3</v>
      </c>
      <c r="AB732" s="49">
        <f t="shared" si="1867"/>
        <v>1441.8</v>
      </c>
      <c r="AC732" s="42">
        <f t="shared" si="1868"/>
        <v>945</v>
      </c>
      <c r="AD732" s="49">
        <f t="shared" si="1869"/>
        <v>496.8</v>
      </c>
      <c r="AE732" s="49">
        <f t="shared" si="1870"/>
        <v>34.45692884</v>
      </c>
      <c r="AF732" s="47"/>
      <c r="AG732" s="52">
        <f t="shared" si="1871"/>
        <v>-100</v>
      </c>
      <c r="AH732" s="53">
        <f t="shared" si="1872"/>
        <v>1690</v>
      </c>
      <c r="AI732" s="53">
        <f t="shared" si="2360"/>
        <v>1441.8</v>
      </c>
      <c r="AJ732" s="54">
        <v>1690.0</v>
      </c>
      <c r="AK732" s="55">
        <f t="shared" si="1730"/>
        <v>101.7910448</v>
      </c>
      <c r="AL732" s="55"/>
      <c r="AM732" s="55">
        <f t="shared" si="1875"/>
        <v>100</v>
      </c>
      <c r="AN732" s="55">
        <f t="shared" si="1876"/>
        <v>201.7910448</v>
      </c>
      <c r="AO732" s="56">
        <f t="shared" si="1877"/>
        <v>2.017910448</v>
      </c>
      <c r="AP732" s="55">
        <f t="shared" si="1878"/>
        <v>2.482</v>
      </c>
      <c r="AQ732" s="55">
        <f t="shared" si="1879"/>
        <v>7.45</v>
      </c>
      <c r="AR732" s="57">
        <f t="shared" ref="AR732:AS732" si="2391">AI732/94</f>
        <v>15.33829787</v>
      </c>
      <c r="AS732" s="57">
        <f t="shared" si="2391"/>
        <v>17.9787234</v>
      </c>
      <c r="AT732" s="58">
        <f t="shared" ref="AT732:AU732" si="2392">AI732/24</f>
        <v>60.075</v>
      </c>
      <c r="AU732" s="58">
        <f t="shared" si="2392"/>
        <v>70.41666667</v>
      </c>
      <c r="AV732" s="58">
        <f t="shared" ref="AV732:AW732" si="2393">AI732/125</f>
        <v>11.5344</v>
      </c>
      <c r="AW732" s="58">
        <f t="shared" si="2393"/>
        <v>13.52</v>
      </c>
      <c r="AX732" s="47"/>
      <c r="AY732" s="47"/>
    </row>
    <row r="733" ht="15.75" customHeight="1">
      <c r="A733" s="42"/>
      <c r="B733" s="42" t="s">
        <v>1449</v>
      </c>
      <c r="C733" s="95" t="s">
        <v>1450</v>
      </c>
      <c r="D733" s="43">
        <v>500.0</v>
      </c>
      <c r="E733" s="47"/>
      <c r="F733" s="44">
        <v>65.0</v>
      </c>
      <c r="G733" s="45">
        <v>9.206E7</v>
      </c>
      <c r="H733" s="46">
        <v>0.05</v>
      </c>
      <c r="I733" s="42">
        <f t="shared" si="1792"/>
        <v>25</v>
      </c>
      <c r="J733" s="47"/>
      <c r="K733" s="42">
        <v>300.0</v>
      </c>
      <c r="L733" s="48">
        <f t="shared" si="1708"/>
        <v>890</v>
      </c>
      <c r="M733" s="42">
        <f t="shared" si="1853"/>
        <v>5</v>
      </c>
      <c r="N733" s="49">
        <f t="shared" si="1854"/>
        <v>71.2</v>
      </c>
      <c r="O733" s="49">
        <f t="shared" si="1855"/>
        <v>89</v>
      </c>
      <c r="P733" s="49">
        <f t="shared" si="1856"/>
        <v>44.5</v>
      </c>
      <c r="Q733" s="49">
        <f t="shared" si="1857"/>
        <v>17.8</v>
      </c>
      <c r="R733" s="49">
        <f t="shared" si="1858"/>
        <v>5.25</v>
      </c>
      <c r="S733" s="49">
        <f t="shared" si="1859"/>
        <v>8.9</v>
      </c>
      <c r="T733" s="50">
        <f t="shared" si="1860"/>
        <v>236.4</v>
      </c>
      <c r="U733" s="42">
        <f t="shared" si="1861"/>
        <v>10.5</v>
      </c>
      <c r="V733" s="42">
        <f t="shared" si="15"/>
        <v>52.5</v>
      </c>
      <c r="W733" s="42">
        <f t="shared" si="1862"/>
        <v>10.5</v>
      </c>
      <c r="X733" s="42">
        <f t="shared" si="1863"/>
        <v>84</v>
      </c>
      <c r="Y733" s="42">
        <f t="shared" si="1864"/>
        <v>157.5</v>
      </c>
      <c r="Z733" s="50">
        <f t="shared" si="1865"/>
        <v>1283.9</v>
      </c>
      <c r="AA733" s="51">
        <f t="shared" si="1866"/>
        <v>256.78</v>
      </c>
      <c r="AB733" s="49">
        <f t="shared" si="1867"/>
        <v>1540.68</v>
      </c>
      <c r="AC733" s="42">
        <f t="shared" si="1868"/>
        <v>1050</v>
      </c>
      <c r="AD733" s="49">
        <f t="shared" si="1869"/>
        <v>490.68</v>
      </c>
      <c r="AE733" s="49">
        <f t="shared" si="1870"/>
        <v>31.84827479</v>
      </c>
      <c r="AF733" s="47"/>
      <c r="AG733" s="52">
        <f t="shared" si="1871"/>
        <v>-100</v>
      </c>
      <c r="AH733" s="53">
        <f t="shared" si="1872"/>
        <v>1890</v>
      </c>
      <c r="AI733" s="53">
        <f t="shared" si="2360"/>
        <v>1540.68</v>
      </c>
      <c r="AJ733" s="54">
        <v>1890.0</v>
      </c>
      <c r="AK733" s="55">
        <f t="shared" si="1730"/>
        <v>112.3595506</v>
      </c>
      <c r="AL733" s="55"/>
      <c r="AM733" s="55">
        <f t="shared" si="1875"/>
        <v>100</v>
      </c>
      <c r="AN733" s="55">
        <f t="shared" si="1876"/>
        <v>212.3595506</v>
      </c>
      <c r="AO733" s="56">
        <f t="shared" si="1877"/>
        <v>2.123595506</v>
      </c>
      <c r="AP733" s="55">
        <f t="shared" si="1878"/>
        <v>3.4932</v>
      </c>
      <c r="AQ733" s="55">
        <f t="shared" si="1879"/>
        <v>8.4</v>
      </c>
      <c r="AR733" s="57">
        <f t="shared" ref="AR733:AS733" si="2394">AI733/94</f>
        <v>16.39021277</v>
      </c>
      <c r="AS733" s="57">
        <f t="shared" si="2394"/>
        <v>20.10638298</v>
      </c>
      <c r="AT733" s="58">
        <f t="shared" ref="AT733:AU733" si="2395">AI733/24</f>
        <v>64.195</v>
      </c>
      <c r="AU733" s="58">
        <f t="shared" si="2395"/>
        <v>78.75</v>
      </c>
      <c r="AV733" s="58">
        <f t="shared" ref="AV733:AW733" si="2396">AI733/125</f>
        <v>12.32544</v>
      </c>
      <c r="AW733" s="58">
        <f t="shared" si="2396"/>
        <v>15.12</v>
      </c>
      <c r="AX733" s="47"/>
      <c r="AY733" s="47"/>
    </row>
    <row r="734" ht="15.0" customHeight="1">
      <c r="A734" s="232" t="s">
        <v>1451</v>
      </c>
      <c r="B734" s="232" t="s">
        <v>363</v>
      </c>
      <c r="C734" s="232" t="s">
        <v>1452</v>
      </c>
      <c r="D734" s="233">
        <v>690.0</v>
      </c>
      <c r="E734" s="234">
        <v>50.0</v>
      </c>
      <c r="F734" s="235">
        <v>55.0</v>
      </c>
      <c r="G734" s="236">
        <v>8306.0</v>
      </c>
      <c r="H734" s="237">
        <v>0.05</v>
      </c>
      <c r="I734" s="232">
        <f t="shared" si="1792"/>
        <v>34.5</v>
      </c>
      <c r="J734" s="232">
        <f t="shared" ref="J734:J736" si="2400">D734*5%</f>
        <v>34.5</v>
      </c>
      <c r="K734" s="235">
        <v>50.0</v>
      </c>
      <c r="L734" s="238">
        <f t="shared" si="1708"/>
        <v>914</v>
      </c>
      <c r="M734" s="232">
        <f t="shared" si="1853"/>
        <v>6.9</v>
      </c>
      <c r="N734" s="239">
        <f t="shared" si="1854"/>
        <v>73.12</v>
      </c>
      <c r="O734" s="239">
        <f t="shared" si="1855"/>
        <v>91.4</v>
      </c>
      <c r="P734" s="239">
        <f t="shared" si="1856"/>
        <v>45.7</v>
      </c>
      <c r="Q734" s="239">
        <f t="shared" si="1857"/>
        <v>18.28</v>
      </c>
      <c r="R734" s="239">
        <f t="shared" si="1858"/>
        <v>7.245</v>
      </c>
      <c r="S734" s="239">
        <f t="shared" si="1859"/>
        <v>9.14</v>
      </c>
      <c r="T734" s="240">
        <f t="shared" si="1860"/>
        <v>244.54</v>
      </c>
      <c r="U734" s="232">
        <f t="shared" si="1861"/>
        <v>14.49</v>
      </c>
      <c r="V734" s="42">
        <f t="shared" si="15"/>
        <v>72.45</v>
      </c>
      <c r="W734" s="232">
        <f t="shared" si="1862"/>
        <v>14.49</v>
      </c>
      <c r="X734" s="232">
        <f t="shared" si="1863"/>
        <v>115.92</v>
      </c>
      <c r="Y734" s="232">
        <f t="shared" si="1864"/>
        <v>217.35</v>
      </c>
      <c r="Z734" s="240">
        <f t="shared" si="1865"/>
        <v>1375.89</v>
      </c>
      <c r="AA734" s="241">
        <f t="shared" si="1866"/>
        <v>275.178</v>
      </c>
      <c r="AB734" s="239">
        <f t="shared" si="1867"/>
        <v>1651.068</v>
      </c>
      <c r="AC734" s="232">
        <f t="shared" si="1868"/>
        <v>1449</v>
      </c>
      <c r="AD734" s="239">
        <f t="shared" si="1869"/>
        <v>202.068</v>
      </c>
      <c r="AE734" s="239">
        <f t="shared" si="1870"/>
        <v>12.23862373</v>
      </c>
      <c r="AF734" s="242">
        <v>1350.0</v>
      </c>
      <c r="AG734" s="243">
        <f t="shared" si="1871"/>
        <v>47.702407</v>
      </c>
      <c r="AH734" s="244">
        <f t="shared" si="1872"/>
        <v>140</v>
      </c>
      <c r="AI734" s="244">
        <f t="shared" si="2360"/>
        <v>1651.068</v>
      </c>
      <c r="AJ734" s="245">
        <v>1490.0</v>
      </c>
      <c r="AK734" s="246">
        <f t="shared" si="1730"/>
        <v>63.01969365</v>
      </c>
      <c r="AL734" s="246"/>
      <c r="AM734" s="246">
        <f t="shared" si="1875"/>
        <v>9.395973154</v>
      </c>
      <c r="AN734" s="246">
        <f t="shared" si="1876"/>
        <v>15.31728665</v>
      </c>
      <c r="AO734" s="247">
        <f t="shared" si="1877"/>
        <v>1.630196937</v>
      </c>
      <c r="AP734" s="246">
        <f t="shared" si="1878"/>
        <v>-1.61068</v>
      </c>
      <c r="AQ734" s="246">
        <f t="shared" si="1879"/>
        <v>0.41</v>
      </c>
      <c r="AR734" s="248">
        <f t="shared" ref="AR734:AS734" si="2397">AI734/94</f>
        <v>17.56455319</v>
      </c>
      <c r="AS734" s="248">
        <f t="shared" si="2397"/>
        <v>15.85106383</v>
      </c>
      <c r="AT734" s="249">
        <f t="shared" ref="AT734:AU734" si="2398">AI734/24</f>
        <v>68.7945</v>
      </c>
      <c r="AU734" s="249">
        <f t="shared" si="2398"/>
        <v>62.08333333</v>
      </c>
      <c r="AV734" s="249">
        <f t="shared" ref="AV734:AW734" si="2399">AI734/125</f>
        <v>13.208544</v>
      </c>
      <c r="AW734" s="249">
        <f t="shared" si="2399"/>
        <v>11.92</v>
      </c>
      <c r="AX734" s="242"/>
      <c r="AY734" s="242"/>
    </row>
    <row r="735" ht="15.75" customHeight="1">
      <c r="A735" s="232"/>
      <c r="B735" s="232" t="s">
        <v>218</v>
      </c>
      <c r="C735" s="232" t="s">
        <v>1453</v>
      </c>
      <c r="D735" s="233">
        <v>790.0</v>
      </c>
      <c r="E735" s="234">
        <v>50.0</v>
      </c>
      <c r="F735" s="235">
        <v>55.0</v>
      </c>
      <c r="G735" s="236">
        <v>8306.0</v>
      </c>
      <c r="H735" s="237">
        <v>0.05</v>
      </c>
      <c r="I735" s="232">
        <f t="shared" si="1792"/>
        <v>39.5</v>
      </c>
      <c r="J735" s="232">
        <f t="shared" si="2400"/>
        <v>39.5</v>
      </c>
      <c r="K735" s="235">
        <v>50.0</v>
      </c>
      <c r="L735" s="238">
        <f t="shared" si="1708"/>
        <v>1024</v>
      </c>
      <c r="M735" s="232">
        <f t="shared" si="1853"/>
        <v>7.9</v>
      </c>
      <c r="N735" s="239">
        <f t="shared" si="1854"/>
        <v>81.92</v>
      </c>
      <c r="O735" s="239">
        <f t="shared" si="1855"/>
        <v>102.4</v>
      </c>
      <c r="P735" s="239">
        <f t="shared" si="1856"/>
        <v>51.2</v>
      </c>
      <c r="Q735" s="239">
        <f t="shared" si="1857"/>
        <v>20.48</v>
      </c>
      <c r="R735" s="239">
        <f t="shared" si="1858"/>
        <v>8.295</v>
      </c>
      <c r="S735" s="239">
        <f t="shared" si="1859"/>
        <v>10.24</v>
      </c>
      <c r="T735" s="240">
        <f t="shared" si="1860"/>
        <v>274.14</v>
      </c>
      <c r="U735" s="232">
        <f t="shared" si="1861"/>
        <v>16.59</v>
      </c>
      <c r="V735" s="42">
        <f t="shared" si="15"/>
        <v>82.95</v>
      </c>
      <c r="W735" s="232">
        <f t="shared" si="1862"/>
        <v>16.59</v>
      </c>
      <c r="X735" s="232">
        <f t="shared" si="1863"/>
        <v>132.72</v>
      </c>
      <c r="Y735" s="232">
        <f t="shared" si="1864"/>
        <v>248.85</v>
      </c>
      <c r="Z735" s="240">
        <f t="shared" si="1865"/>
        <v>1546.99</v>
      </c>
      <c r="AA735" s="241">
        <f t="shared" si="1866"/>
        <v>309.398</v>
      </c>
      <c r="AB735" s="239">
        <f t="shared" si="1867"/>
        <v>1856.388</v>
      </c>
      <c r="AC735" s="232">
        <f t="shared" si="1868"/>
        <v>1659</v>
      </c>
      <c r="AD735" s="239">
        <f t="shared" si="1869"/>
        <v>197.388</v>
      </c>
      <c r="AE735" s="239">
        <f t="shared" si="1870"/>
        <v>10.63290648</v>
      </c>
      <c r="AF735" s="242">
        <v>1650.0</v>
      </c>
      <c r="AG735" s="243">
        <f t="shared" si="1871"/>
        <v>61.1328125</v>
      </c>
      <c r="AH735" s="244">
        <f t="shared" si="1872"/>
        <v>40</v>
      </c>
      <c r="AI735" s="244">
        <f t="shared" si="2360"/>
        <v>1856.388</v>
      </c>
      <c r="AJ735" s="245">
        <v>1690.0</v>
      </c>
      <c r="AK735" s="246">
        <f t="shared" si="1730"/>
        <v>65.0390625</v>
      </c>
      <c r="AL735" s="246"/>
      <c r="AM735" s="246">
        <f t="shared" si="1875"/>
        <v>2.366863905</v>
      </c>
      <c r="AN735" s="246">
        <f t="shared" si="1876"/>
        <v>3.90625</v>
      </c>
      <c r="AO735" s="247">
        <f t="shared" si="1877"/>
        <v>1.650390625</v>
      </c>
      <c r="AP735" s="246">
        <f t="shared" si="1878"/>
        <v>-1.66388</v>
      </c>
      <c r="AQ735" s="246">
        <f t="shared" si="1879"/>
        <v>0.31</v>
      </c>
      <c r="AR735" s="248">
        <f t="shared" ref="AR735:AS735" si="2401">AI735/94</f>
        <v>19.74880851</v>
      </c>
      <c r="AS735" s="248">
        <f t="shared" si="2401"/>
        <v>17.9787234</v>
      </c>
      <c r="AT735" s="249">
        <f t="shared" ref="AT735:AU735" si="2402">AI735/24</f>
        <v>77.3495</v>
      </c>
      <c r="AU735" s="249">
        <f t="shared" si="2402"/>
        <v>70.41666667</v>
      </c>
      <c r="AV735" s="249">
        <f t="shared" ref="AV735:AW735" si="2403">AI735/125</f>
        <v>14.851104</v>
      </c>
      <c r="AW735" s="249">
        <f t="shared" si="2403"/>
        <v>13.52</v>
      </c>
      <c r="AX735" s="242"/>
      <c r="AY735" s="242"/>
    </row>
    <row r="736" ht="15.75" customHeight="1">
      <c r="A736" s="232"/>
      <c r="B736" s="232" t="s">
        <v>367</v>
      </c>
      <c r="C736" s="232" t="s">
        <v>1454</v>
      </c>
      <c r="D736" s="233">
        <v>890.0</v>
      </c>
      <c r="E736" s="234">
        <v>80.0</v>
      </c>
      <c r="F736" s="235">
        <v>75.0</v>
      </c>
      <c r="G736" s="236">
        <v>8306.0</v>
      </c>
      <c r="H736" s="237">
        <v>0.05</v>
      </c>
      <c r="I736" s="232">
        <f t="shared" si="1792"/>
        <v>44.5</v>
      </c>
      <c r="J736" s="232">
        <f t="shared" si="2400"/>
        <v>44.5</v>
      </c>
      <c r="K736" s="235">
        <v>100.0</v>
      </c>
      <c r="L736" s="238">
        <f t="shared" si="1708"/>
        <v>1234</v>
      </c>
      <c r="M736" s="232">
        <f t="shared" si="1853"/>
        <v>8.9</v>
      </c>
      <c r="N736" s="239">
        <f t="shared" si="1854"/>
        <v>98.72</v>
      </c>
      <c r="O736" s="239">
        <f t="shared" si="1855"/>
        <v>123.4</v>
      </c>
      <c r="P736" s="239">
        <f t="shared" si="1856"/>
        <v>61.7</v>
      </c>
      <c r="Q736" s="239">
        <f t="shared" si="1857"/>
        <v>24.68</v>
      </c>
      <c r="R736" s="239">
        <f t="shared" si="1858"/>
        <v>9.345</v>
      </c>
      <c r="S736" s="239">
        <f t="shared" si="1859"/>
        <v>12.34</v>
      </c>
      <c r="T736" s="240">
        <f t="shared" si="1860"/>
        <v>329.74</v>
      </c>
      <c r="U736" s="232">
        <f t="shared" si="1861"/>
        <v>18.69</v>
      </c>
      <c r="V736" s="42">
        <f t="shared" si="15"/>
        <v>93.45</v>
      </c>
      <c r="W736" s="232">
        <f t="shared" si="1862"/>
        <v>18.69</v>
      </c>
      <c r="X736" s="232">
        <f t="shared" si="1863"/>
        <v>149.52</v>
      </c>
      <c r="Y736" s="232">
        <f t="shared" si="1864"/>
        <v>280.35</v>
      </c>
      <c r="Z736" s="240">
        <f t="shared" si="1865"/>
        <v>1844.09</v>
      </c>
      <c r="AA736" s="241">
        <f t="shared" si="1866"/>
        <v>368.818</v>
      </c>
      <c r="AB736" s="239">
        <f t="shared" si="1867"/>
        <v>2212.908</v>
      </c>
      <c r="AC736" s="232">
        <f t="shared" si="1868"/>
        <v>1869</v>
      </c>
      <c r="AD736" s="239">
        <f t="shared" si="1869"/>
        <v>343.908</v>
      </c>
      <c r="AE736" s="239">
        <f t="shared" si="1870"/>
        <v>15.54099854</v>
      </c>
      <c r="AF736" s="242">
        <v>1850.0</v>
      </c>
      <c r="AG736" s="243">
        <f t="shared" si="1871"/>
        <v>49.91896272</v>
      </c>
      <c r="AH736" s="244">
        <f t="shared" si="1872"/>
        <v>40</v>
      </c>
      <c r="AI736" s="244">
        <f t="shared" si="2360"/>
        <v>2212.908</v>
      </c>
      <c r="AJ736" s="245">
        <v>1890.0</v>
      </c>
      <c r="AK736" s="246">
        <f t="shared" si="1730"/>
        <v>53.16045381</v>
      </c>
      <c r="AL736" s="246"/>
      <c r="AM736" s="246">
        <f t="shared" si="1875"/>
        <v>2.116402116</v>
      </c>
      <c r="AN736" s="246">
        <f t="shared" si="1876"/>
        <v>3.241491086</v>
      </c>
      <c r="AO736" s="247">
        <f t="shared" si="1877"/>
        <v>1.531604538</v>
      </c>
      <c r="AP736" s="246">
        <f t="shared" si="1878"/>
        <v>-3.22908</v>
      </c>
      <c r="AQ736" s="246">
        <f t="shared" si="1879"/>
        <v>0.21</v>
      </c>
      <c r="AR736" s="248">
        <f t="shared" ref="AR736:AS736" si="2404">AI736/94</f>
        <v>23.54157447</v>
      </c>
      <c r="AS736" s="248">
        <f t="shared" si="2404"/>
        <v>20.10638298</v>
      </c>
      <c r="AT736" s="249">
        <f t="shared" ref="AT736:AU736" si="2405">AI736/24</f>
        <v>92.2045</v>
      </c>
      <c r="AU736" s="249">
        <f t="shared" si="2405"/>
        <v>78.75</v>
      </c>
      <c r="AV736" s="249">
        <f t="shared" ref="AV736:AW736" si="2406">AI736/125</f>
        <v>17.703264</v>
      </c>
      <c r="AW736" s="249">
        <f t="shared" si="2406"/>
        <v>15.12</v>
      </c>
      <c r="AX736" s="242"/>
      <c r="AY736" s="242"/>
    </row>
    <row r="737" ht="15.75" customHeight="1">
      <c r="A737" s="232"/>
      <c r="B737" s="232" t="s">
        <v>1455</v>
      </c>
      <c r="C737" s="250" t="s">
        <v>1456</v>
      </c>
      <c r="D737" s="233">
        <v>990.0</v>
      </c>
      <c r="E737" s="234">
        <v>100.0</v>
      </c>
      <c r="F737" s="235">
        <v>100.0</v>
      </c>
      <c r="G737" s="236">
        <v>8306.0</v>
      </c>
      <c r="H737" s="237">
        <v>0.05</v>
      </c>
      <c r="I737" s="232">
        <f t="shared" si="1792"/>
        <v>49.5</v>
      </c>
      <c r="J737" s="242"/>
      <c r="K737" s="235">
        <v>200.0</v>
      </c>
      <c r="L737" s="238">
        <f t="shared" si="1708"/>
        <v>1439.5</v>
      </c>
      <c r="M737" s="232">
        <f t="shared" si="1853"/>
        <v>9.9</v>
      </c>
      <c r="N737" s="239">
        <f t="shared" si="1854"/>
        <v>115.16</v>
      </c>
      <c r="O737" s="239">
        <f t="shared" si="1855"/>
        <v>143.95</v>
      </c>
      <c r="P737" s="239">
        <f t="shared" si="1856"/>
        <v>71.975</v>
      </c>
      <c r="Q737" s="239">
        <f t="shared" si="1857"/>
        <v>28.79</v>
      </c>
      <c r="R737" s="239">
        <f t="shared" si="1858"/>
        <v>10.395</v>
      </c>
      <c r="S737" s="239">
        <f t="shared" si="1859"/>
        <v>14.395</v>
      </c>
      <c r="T737" s="240">
        <f t="shared" si="1860"/>
        <v>384.17</v>
      </c>
      <c r="U737" s="232">
        <f t="shared" si="1861"/>
        <v>20.79</v>
      </c>
      <c r="V737" s="42">
        <f t="shared" si="15"/>
        <v>103.95</v>
      </c>
      <c r="W737" s="232">
        <f t="shared" si="1862"/>
        <v>20.79</v>
      </c>
      <c r="X737" s="232">
        <f t="shared" si="1863"/>
        <v>166.32</v>
      </c>
      <c r="Y737" s="232">
        <f t="shared" si="1864"/>
        <v>311.85</v>
      </c>
      <c r="Z737" s="240">
        <f t="shared" si="1865"/>
        <v>2135.52</v>
      </c>
      <c r="AA737" s="241">
        <f t="shared" si="1866"/>
        <v>427.104</v>
      </c>
      <c r="AB737" s="239">
        <f t="shared" si="1867"/>
        <v>2562.624</v>
      </c>
      <c r="AC737" s="232">
        <f t="shared" si="1868"/>
        <v>2079</v>
      </c>
      <c r="AD737" s="239">
        <f t="shared" si="1869"/>
        <v>483.624</v>
      </c>
      <c r="AE737" s="239">
        <f t="shared" si="1870"/>
        <v>18.87221848</v>
      </c>
      <c r="AF737" s="242"/>
      <c r="AG737" s="243">
        <f t="shared" si="1871"/>
        <v>-100</v>
      </c>
      <c r="AH737" s="244">
        <f t="shared" si="1872"/>
        <v>2090</v>
      </c>
      <c r="AI737" s="244">
        <f t="shared" si="2360"/>
        <v>2562.624</v>
      </c>
      <c r="AJ737" s="245">
        <v>2090.0</v>
      </c>
      <c r="AK737" s="246">
        <f t="shared" si="1730"/>
        <v>45.18930184</v>
      </c>
      <c r="AL737" s="246"/>
      <c r="AM737" s="246">
        <f t="shared" si="1875"/>
        <v>100</v>
      </c>
      <c r="AN737" s="246">
        <f t="shared" si="1876"/>
        <v>145.1893018</v>
      </c>
      <c r="AO737" s="247">
        <f t="shared" si="1877"/>
        <v>1.451893018</v>
      </c>
      <c r="AP737" s="246">
        <f t="shared" si="1878"/>
        <v>-4.72624</v>
      </c>
      <c r="AQ737" s="246">
        <f t="shared" si="1879"/>
        <v>0.11</v>
      </c>
      <c r="AR737" s="248">
        <f t="shared" ref="AR737:AS737" si="2407">AI737/94</f>
        <v>27.26195745</v>
      </c>
      <c r="AS737" s="248">
        <f t="shared" si="2407"/>
        <v>22.23404255</v>
      </c>
      <c r="AT737" s="249">
        <f t="shared" ref="AT737:AU737" si="2408">AI737/24</f>
        <v>106.776</v>
      </c>
      <c r="AU737" s="249">
        <f t="shared" si="2408"/>
        <v>87.08333333</v>
      </c>
      <c r="AV737" s="249">
        <f t="shared" ref="AV737:AW737" si="2409">AI737/125</f>
        <v>20.500992</v>
      </c>
      <c r="AW737" s="249">
        <f t="shared" si="2409"/>
        <v>16.72</v>
      </c>
      <c r="AX737" s="242"/>
      <c r="AY737" s="242"/>
    </row>
    <row r="738" ht="15.0" customHeight="1">
      <c r="A738" s="232" t="s">
        <v>1457</v>
      </c>
      <c r="B738" s="235" t="s">
        <v>1458</v>
      </c>
      <c r="C738" s="250" t="s">
        <v>1459</v>
      </c>
      <c r="D738" s="251">
        <v>600.0</v>
      </c>
      <c r="E738" s="232">
        <v>80.0</v>
      </c>
      <c r="F738" s="235">
        <v>50.0</v>
      </c>
      <c r="G738" s="236">
        <v>8306.0</v>
      </c>
      <c r="H738" s="237">
        <v>0.05</v>
      </c>
      <c r="I738" s="232">
        <f t="shared" si="1792"/>
        <v>30</v>
      </c>
      <c r="J738" s="242"/>
      <c r="K738" s="232">
        <v>40.0</v>
      </c>
      <c r="L738" s="238">
        <f t="shared" si="1708"/>
        <v>800</v>
      </c>
      <c r="M738" s="232">
        <f t="shared" si="1853"/>
        <v>6</v>
      </c>
      <c r="N738" s="239">
        <f t="shared" si="1854"/>
        <v>64</v>
      </c>
      <c r="O738" s="239">
        <f t="shared" si="1855"/>
        <v>80</v>
      </c>
      <c r="P738" s="239">
        <f t="shared" si="1856"/>
        <v>40</v>
      </c>
      <c r="Q738" s="239">
        <f t="shared" si="1857"/>
        <v>16</v>
      </c>
      <c r="R738" s="239">
        <f t="shared" si="1858"/>
        <v>6.3</v>
      </c>
      <c r="S738" s="239">
        <f t="shared" si="1859"/>
        <v>8</v>
      </c>
      <c r="T738" s="240">
        <f t="shared" si="1860"/>
        <v>214</v>
      </c>
      <c r="U738" s="232">
        <f t="shared" si="1861"/>
        <v>12.6</v>
      </c>
      <c r="V738" s="42">
        <f t="shared" si="15"/>
        <v>63</v>
      </c>
      <c r="W738" s="232">
        <f t="shared" si="1862"/>
        <v>12.6</v>
      </c>
      <c r="X738" s="232">
        <f t="shared" si="1863"/>
        <v>100.8</v>
      </c>
      <c r="Y738" s="232">
        <f t="shared" si="1864"/>
        <v>189</v>
      </c>
      <c r="Z738" s="240">
        <f t="shared" si="1865"/>
        <v>1203</v>
      </c>
      <c r="AA738" s="241">
        <f t="shared" si="1866"/>
        <v>240.6</v>
      </c>
      <c r="AB738" s="239">
        <f t="shared" si="1867"/>
        <v>1443.6</v>
      </c>
      <c r="AC738" s="232">
        <f t="shared" si="1868"/>
        <v>1260</v>
      </c>
      <c r="AD738" s="239">
        <f t="shared" si="1869"/>
        <v>183.6</v>
      </c>
      <c r="AE738" s="239">
        <f t="shared" si="1870"/>
        <v>12.71820449</v>
      </c>
      <c r="AF738" s="242"/>
      <c r="AG738" s="243">
        <f t="shared" si="1871"/>
        <v>-100</v>
      </c>
      <c r="AH738" s="244">
        <f t="shared" si="1872"/>
        <v>1290</v>
      </c>
      <c r="AI738" s="244">
        <f t="shared" si="2360"/>
        <v>1443.6</v>
      </c>
      <c r="AJ738" s="245">
        <v>1290.0</v>
      </c>
      <c r="AK738" s="246">
        <f t="shared" si="1730"/>
        <v>61.25</v>
      </c>
      <c r="AL738" s="246"/>
      <c r="AM738" s="246">
        <f t="shared" si="1875"/>
        <v>100</v>
      </c>
      <c r="AN738" s="246">
        <f t="shared" si="1876"/>
        <v>161.25</v>
      </c>
      <c r="AO738" s="247">
        <f t="shared" si="1877"/>
        <v>1.6125</v>
      </c>
      <c r="AP738" s="246">
        <f t="shared" si="1878"/>
        <v>-1.536</v>
      </c>
      <c r="AQ738" s="246">
        <f t="shared" si="1879"/>
        <v>0.3</v>
      </c>
      <c r="AR738" s="248">
        <f t="shared" ref="AR738:AS738" si="2410">AI738/94</f>
        <v>15.35744681</v>
      </c>
      <c r="AS738" s="248">
        <f t="shared" si="2410"/>
        <v>13.72340426</v>
      </c>
      <c r="AT738" s="249">
        <f t="shared" ref="AT738:AU738" si="2411">AI738/24</f>
        <v>60.15</v>
      </c>
      <c r="AU738" s="249">
        <f t="shared" si="2411"/>
        <v>53.75</v>
      </c>
      <c r="AV738" s="249">
        <f t="shared" ref="AV738:AW738" si="2412">AI738/125</f>
        <v>11.5488</v>
      </c>
      <c r="AW738" s="249">
        <f t="shared" si="2412"/>
        <v>10.32</v>
      </c>
      <c r="AX738" s="242"/>
      <c r="AY738" s="242"/>
    </row>
    <row r="739" ht="15.75" customHeight="1">
      <c r="A739" s="232"/>
      <c r="B739" s="235" t="s">
        <v>1460</v>
      </c>
      <c r="C739" s="250" t="s">
        <v>1461</v>
      </c>
      <c r="D739" s="251">
        <v>770.0</v>
      </c>
      <c r="E739" s="232">
        <v>80.0</v>
      </c>
      <c r="F739" s="235">
        <v>50.0</v>
      </c>
      <c r="G739" s="236">
        <v>8306.0</v>
      </c>
      <c r="H739" s="237">
        <v>0.05</v>
      </c>
      <c r="I739" s="232">
        <f t="shared" si="1792"/>
        <v>38.5</v>
      </c>
      <c r="J739" s="242"/>
      <c r="K739" s="232">
        <v>40.0</v>
      </c>
      <c r="L739" s="238">
        <f t="shared" si="1708"/>
        <v>978.5</v>
      </c>
      <c r="M739" s="232">
        <f t="shared" si="1853"/>
        <v>7.7</v>
      </c>
      <c r="N739" s="239">
        <f t="shared" si="1854"/>
        <v>78.28</v>
      </c>
      <c r="O739" s="239">
        <f t="shared" si="1855"/>
        <v>97.85</v>
      </c>
      <c r="P739" s="239">
        <f t="shared" si="1856"/>
        <v>48.925</v>
      </c>
      <c r="Q739" s="239">
        <f t="shared" si="1857"/>
        <v>19.57</v>
      </c>
      <c r="R739" s="239">
        <f t="shared" si="1858"/>
        <v>8.085</v>
      </c>
      <c r="S739" s="239">
        <f t="shared" si="1859"/>
        <v>9.785</v>
      </c>
      <c r="T739" s="240">
        <f t="shared" si="1860"/>
        <v>262.11</v>
      </c>
      <c r="U739" s="232">
        <f t="shared" si="1861"/>
        <v>16.17</v>
      </c>
      <c r="V739" s="42">
        <f t="shared" si="15"/>
        <v>80.85</v>
      </c>
      <c r="W739" s="232">
        <f t="shared" si="1862"/>
        <v>16.17</v>
      </c>
      <c r="X739" s="232">
        <f t="shared" si="1863"/>
        <v>129.36</v>
      </c>
      <c r="Y739" s="232">
        <f t="shared" si="1864"/>
        <v>242.55</v>
      </c>
      <c r="Z739" s="240">
        <f t="shared" si="1865"/>
        <v>1483.16</v>
      </c>
      <c r="AA739" s="241">
        <f t="shared" si="1866"/>
        <v>296.632</v>
      </c>
      <c r="AB739" s="239">
        <f t="shared" si="1867"/>
        <v>1779.792</v>
      </c>
      <c r="AC739" s="232">
        <f t="shared" si="1868"/>
        <v>1617</v>
      </c>
      <c r="AD739" s="239">
        <f t="shared" si="1869"/>
        <v>162.792</v>
      </c>
      <c r="AE739" s="239">
        <f t="shared" si="1870"/>
        <v>9.146686804</v>
      </c>
      <c r="AF739" s="242"/>
      <c r="AG739" s="243">
        <f t="shared" si="1871"/>
        <v>-100</v>
      </c>
      <c r="AH739" s="244">
        <f t="shared" si="1872"/>
        <v>1390</v>
      </c>
      <c r="AI739" s="244">
        <f t="shared" si="2360"/>
        <v>1779.792</v>
      </c>
      <c r="AJ739" s="245">
        <v>1390.0</v>
      </c>
      <c r="AK739" s="246">
        <f t="shared" si="1730"/>
        <v>42.05416454</v>
      </c>
      <c r="AL739" s="246"/>
      <c r="AM739" s="246">
        <f t="shared" si="1875"/>
        <v>100</v>
      </c>
      <c r="AN739" s="246">
        <f t="shared" si="1876"/>
        <v>142.0541645</v>
      </c>
      <c r="AO739" s="247">
        <f t="shared" si="1877"/>
        <v>1.420541645</v>
      </c>
      <c r="AP739" s="246">
        <f t="shared" si="1878"/>
        <v>-3.89792</v>
      </c>
      <c r="AQ739" s="246">
        <f t="shared" si="1879"/>
        <v>-2.27</v>
      </c>
      <c r="AR739" s="248">
        <f t="shared" ref="AR739:AS739" si="2413">AI739/94</f>
        <v>18.93395745</v>
      </c>
      <c r="AS739" s="248">
        <f t="shared" si="2413"/>
        <v>14.78723404</v>
      </c>
      <c r="AT739" s="249">
        <f t="shared" ref="AT739:AU739" si="2414">AI739/24</f>
        <v>74.158</v>
      </c>
      <c r="AU739" s="249">
        <f t="shared" si="2414"/>
        <v>57.91666667</v>
      </c>
      <c r="AV739" s="249">
        <f t="shared" ref="AV739:AW739" si="2415">AI739/125</f>
        <v>14.238336</v>
      </c>
      <c r="AW739" s="249">
        <f t="shared" si="2415"/>
        <v>11.12</v>
      </c>
      <c r="AX739" s="242"/>
      <c r="AY739" s="242"/>
    </row>
    <row r="740" ht="15.75" customHeight="1">
      <c r="A740" s="232"/>
      <c r="B740" s="232" t="s">
        <v>1462</v>
      </c>
      <c r="C740" s="250" t="s">
        <v>1463</v>
      </c>
      <c r="D740" s="251">
        <v>620.0</v>
      </c>
      <c r="E740" s="232">
        <v>80.0</v>
      </c>
      <c r="F740" s="235">
        <v>50.0</v>
      </c>
      <c r="G740" s="236">
        <v>8306.0</v>
      </c>
      <c r="H740" s="237">
        <v>0.05</v>
      </c>
      <c r="I740" s="232">
        <f t="shared" si="1792"/>
        <v>31</v>
      </c>
      <c r="J740" s="242"/>
      <c r="K740" s="232">
        <v>40.0</v>
      </c>
      <c r="L740" s="238">
        <f t="shared" si="1708"/>
        <v>821</v>
      </c>
      <c r="M740" s="232">
        <f t="shared" si="1853"/>
        <v>6.2</v>
      </c>
      <c r="N740" s="239">
        <f t="shared" si="1854"/>
        <v>65.68</v>
      </c>
      <c r="O740" s="239">
        <f t="shared" si="1855"/>
        <v>82.1</v>
      </c>
      <c r="P740" s="239">
        <f t="shared" si="1856"/>
        <v>41.05</v>
      </c>
      <c r="Q740" s="239">
        <f t="shared" si="1857"/>
        <v>16.42</v>
      </c>
      <c r="R740" s="239">
        <f t="shared" si="1858"/>
        <v>6.51</v>
      </c>
      <c r="S740" s="239">
        <f t="shared" si="1859"/>
        <v>8.21</v>
      </c>
      <c r="T740" s="240">
        <f t="shared" si="1860"/>
        <v>219.66</v>
      </c>
      <c r="U740" s="232">
        <f t="shared" si="1861"/>
        <v>13.02</v>
      </c>
      <c r="V740" s="42">
        <f t="shared" si="15"/>
        <v>65.1</v>
      </c>
      <c r="W740" s="232">
        <f t="shared" si="1862"/>
        <v>13.02</v>
      </c>
      <c r="X740" s="232">
        <f t="shared" si="1863"/>
        <v>104.16</v>
      </c>
      <c r="Y740" s="232">
        <f t="shared" si="1864"/>
        <v>195.3</v>
      </c>
      <c r="Z740" s="240">
        <f t="shared" si="1865"/>
        <v>1235.96</v>
      </c>
      <c r="AA740" s="241">
        <f t="shared" si="1866"/>
        <v>247.192</v>
      </c>
      <c r="AB740" s="239">
        <f t="shared" si="1867"/>
        <v>1483.152</v>
      </c>
      <c r="AC740" s="232">
        <f t="shared" si="1868"/>
        <v>1302</v>
      </c>
      <c r="AD740" s="239">
        <f t="shared" si="1869"/>
        <v>181.152</v>
      </c>
      <c r="AE740" s="239">
        <f t="shared" si="1870"/>
        <v>12.21398751</v>
      </c>
      <c r="AF740" s="242"/>
      <c r="AG740" s="243">
        <f t="shared" si="1871"/>
        <v>-100</v>
      </c>
      <c r="AH740" s="244">
        <f t="shared" si="1872"/>
        <v>1290</v>
      </c>
      <c r="AI740" s="244">
        <f t="shared" si="2360"/>
        <v>1483.152</v>
      </c>
      <c r="AJ740" s="245">
        <v>1290.0</v>
      </c>
      <c r="AK740" s="246">
        <f t="shared" si="1730"/>
        <v>57.12545676</v>
      </c>
      <c r="AL740" s="246"/>
      <c r="AM740" s="246">
        <f t="shared" si="1875"/>
        <v>100</v>
      </c>
      <c r="AN740" s="246">
        <f t="shared" si="1876"/>
        <v>157.1254568</v>
      </c>
      <c r="AO740" s="247">
        <f t="shared" si="1877"/>
        <v>1.571254568</v>
      </c>
      <c r="AP740" s="246">
        <f t="shared" si="1878"/>
        <v>-1.93152</v>
      </c>
      <c r="AQ740" s="246">
        <f t="shared" si="1879"/>
        <v>-0.12</v>
      </c>
      <c r="AR740" s="248">
        <f t="shared" ref="AR740:AS740" si="2416">AI740/94</f>
        <v>15.77821277</v>
      </c>
      <c r="AS740" s="248">
        <f t="shared" si="2416"/>
        <v>13.72340426</v>
      </c>
      <c r="AT740" s="249">
        <f t="shared" ref="AT740:AU740" si="2417">AI740/24</f>
        <v>61.798</v>
      </c>
      <c r="AU740" s="249">
        <f t="shared" si="2417"/>
        <v>53.75</v>
      </c>
      <c r="AV740" s="249">
        <f t="shared" ref="AV740:AW740" si="2418">AI740/125</f>
        <v>11.865216</v>
      </c>
      <c r="AW740" s="249">
        <f t="shared" si="2418"/>
        <v>10.32</v>
      </c>
      <c r="AX740" s="242"/>
      <c r="AY740" s="242"/>
    </row>
    <row r="741" ht="15.75" customHeight="1">
      <c r="A741" s="232"/>
      <c r="B741" s="235" t="s">
        <v>1464</v>
      </c>
      <c r="C741" s="250" t="s">
        <v>1465</v>
      </c>
      <c r="D741" s="251">
        <v>790.0</v>
      </c>
      <c r="E741" s="232">
        <v>80.0</v>
      </c>
      <c r="F741" s="235">
        <v>50.0</v>
      </c>
      <c r="G741" s="236">
        <v>8306.0</v>
      </c>
      <c r="H741" s="237">
        <v>0.05</v>
      </c>
      <c r="I741" s="232">
        <f t="shared" si="1792"/>
        <v>39.5</v>
      </c>
      <c r="J741" s="242"/>
      <c r="K741" s="232">
        <v>40.0</v>
      </c>
      <c r="L741" s="238">
        <f t="shared" si="1708"/>
        <v>999.5</v>
      </c>
      <c r="M741" s="232">
        <f t="shared" si="1853"/>
        <v>7.9</v>
      </c>
      <c r="N741" s="239">
        <f t="shared" si="1854"/>
        <v>79.96</v>
      </c>
      <c r="O741" s="239">
        <f t="shared" si="1855"/>
        <v>99.95</v>
      </c>
      <c r="P741" s="239">
        <f t="shared" si="1856"/>
        <v>49.975</v>
      </c>
      <c r="Q741" s="239">
        <f t="shared" si="1857"/>
        <v>19.99</v>
      </c>
      <c r="R741" s="239">
        <f t="shared" si="1858"/>
        <v>8.295</v>
      </c>
      <c r="S741" s="239">
        <f t="shared" si="1859"/>
        <v>9.995</v>
      </c>
      <c r="T741" s="240">
        <f t="shared" si="1860"/>
        <v>267.77</v>
      </c>
      <c r="U741" s="232">
        <f t="shared" si="1861"/>
        <v>16.59</v>
      </c>
      <c r="V741" s="42">
        <f t="shared" si="15"/>
        <v>82.95</v>
      </c>
      <c r="W741" s="232">
        <f t="shared" si="1862"/>
        <v>16.59</v>
      </c>
      <c r="X741" s="232">
        <f t="shared" si="1863"/>
        <v>132.72</v>
      </c>
      <c r="Y741" s="232">
        <f t="shared" si="1864"/>
        <v>248.85</v>
      </c>
      <c r="Z741" s="240">
        <f t="shared" si="1865"/>
        <v>1516.12</v>
      </c>
      <c r="AA741" s="241">
        <f t="shared" si="1866"/>
        <v>303.224</v>
      </c>
      <c r="AB741" s="239">
        <f t="shared" si="1867"/>
        <v>1819.344</v>
      </c>
      <c r="AC741" s="232">
        <f t="shared" si="1868"/>
        <v>1659</v>
      </c>
      <c r="AD741" s="239">
        <f t="shared" si="1869"/>
        <v>160.344</v>
      </c>
      <c r="AE741" s="239">
        <f t="shared" si="1870"/>
        <v>8.813286547</v>
      </c>
      <c r="AF741" s="242"/>
      <c r="AG741" s="243">
        <f t="shared" si="1871"/>
        <v>-100</v>
      </c>
      <c r="AH741" s="244">
        <f t="shared" si="1872"/>
        <v>1390</v>
      </c>
      <c r="AI741" s="244">
        <f t="shared" si="2360"/>
        <v>1819.344</v>
      </c>
      <c r="AJ741" s="245">
        <v>1390.0</v>
      </c>
      <c r="AK741" s="246">
        <f t="shared" si="1730"/>
        <v>39.06953477</v>
      </c>
      <c r="AL741" s="246"/>
      <c r="AM741" s="246">
        <f t="shared" si="1875"/>
        <v>100</v>
      </c>
      <c r="AN741" s="246">
        <f t="shared" si="1876"/>
        <v>139.0695348</v>
      </c>
      <c r="AO741" s="247">
        <f t="shared" si="1877"/>
        <v>1.390695348</v>
      </c>
      <c r="AP741" s="246">
        <f t="shared" si="1878"/>
        <v>-4.29344</v>
      </c>
      <c r="AQ741" s="246">
        <f t="shared" si="1879"/>
        <v>-2.69</v>
      </c>
      <c r="AR741" s="248">
        <f t="shared" ref="AR741:AS741" si="2419">AI741/94</f>
        <v>19.3547234</v>
      </c>
      <c r="AS741" s="248">
        <f t="shared" si="2419"/>
        <v>14.78723404</v>
      </c>
      <c r="AT741" s="249">
        <f t="shared" ref="AT741:AU741" si="2420">AI741/24</f>
        <v>75.806</v>
      </c>
      <c r="AU741" s="249">
        <f t="shared" si="2420"/>
        <v>57.91666667</v>
      </c>
      <c r="AV741" s="249">
        <f t="shared" ref="AV741:AW741" si="2421">AI741/125</f>
        <v>14.554752</v>
      </c>
      <c r="AW741" s="249">
        <f t="shared" si="2421"/>
        <v>11.12</v>
      </c>
      <c r="AX741" s="242"/>
      <c r="AY741" s="242"/>
    </row>
    <row r="742" ht="15.75" customHeight="1">
      <c r="A742" s="232"/>
      <c r="B742" s="235" t="s">
        <v>1466</v>
      </c>
      <c r="C742" s="250" t="s">
        <v>1467</v>
      </c>
      <c r="D742" s="251">
        <v>690.0</v>
      </c>
      <c r="E742" s="232">
        <v>80.0</v>
      </c>
      <c r="F742" s="235">
        <v>50.0</v>
      </c>
      <c r="G742" s="236">
        <v>8306.0</v>
      </c>
      <c r="H742" s="237">
        <v>0.05</v>
      </c>
      <c r="I742" s="232">
        <f t="shared" si="1792"/>
        <v>34.5</v>
      </c>
      <c r="J742" s="242"/>
      <c r="K742" s="232">
        <v>40.0</v>
      </c>
      <c r="L742" s="238">
        <f t="shared" si="1708"/>
        <v>894.5</v>
      </c>
      <c r="M742" s="232">
        <f t="shared" si="1853"/>
        <v>6.9</v>
      </c>
      <c r="N742" s="239">
        <f t="shared" si="1854"/>
        <v>71.56</v>
      </c>
      <c r="O742" s="239">
        <f t="shared" si="1855"/>
        <v>89.45</v>
      </c>
      <c r="P742" s="239">
        <f t="shared" si="1856"/>
        <v>44.725</v>
      </c>
      <c r="Q742" s="239">
        <f t="shared" si="1857"/>
        <v>17.89</v>
      </c>
      <c r="R742" s="239">
        <f t="shared" si="1858"/>
        <v>7.245</v>
      </c>
      <c r="S742" s="239">
        <f t="shared" si="1859"/>
        <v>8.945</v>
      </c>
      <c r="T742" s="240">
        <f t="shared" si="1860"/>
        <v>239.47</v>
      </c>
      <c r="U742" s="232">
        <f t="shared" si="1861"/>
        <v>14.49</v>
      </c>
      <c r="V742" s="42">
        <f t="shared" si="15"/>
        <v>72.45</v>
      </c>
      <c r="W742" s="232">
        <f t="shared" si="1862"/>
        <v>14.49</v>
      </c>
      <c r="X742" s="232">
        <f t="shared" si="1863"/>
        <v>115.92</v>
      </c>
      <c r="Y742" s="232">
        <f t="shared" si="1864"/>
        <v>217.35</v>
      </c>
      <c r="Z742" s="240">
        <f t="shared" si="1865"/>
        <v>1351.32</v>
      </c>
      <c r="AA742" s="241">
        <f t="shared" si="1866"/>
        <v>270.264</v>
      </c>
      <c r="AB742" s="239">
        <f t="shared" si="1867"/>
        <v>1621.584</v>
      </c>
      <c r="AC742" s="232">
        <f t="shared" si="1868"/>
        <v>1449</v>
      </c>
      <c r="AD742" s="239">
        <f t="shared" si="1869"/>
        <v>172.584</v>
      </c>
      <c r="AE742" s="239">
        <f t="shared" si="1870"/>
        <v>10.64292692</v>
      </c>
      <c r="AF742" s="242"/>
      <c r="AG742" s="243">
        <f t="shared" si="1871"/>
        <v>-100</v>
      </c>
      <c r="AH742" s="244">
        <f t="shared" si="1872"/>
        <v>1340</v>
      </c>
      <c r="AI742" s="244">
        <f t="shared" si="2360"/>
        <v>1621.584</v>
      </c>
      <c r="AJ742" s="245">
        <v>1340.0</v>
      </c>
      <c r="AK742" s="246">
        <f t="shared" si="1730"/>
        <v>49.80435998</v>
      </c>
      <c r="AL742" s="246"/>
      <c r="AM742" s="246">
        <f t="shared" si="1875"/>
        <v>100</v>
      </c>
      <c r="AN742" s="246">
        <f t="shared" si="1876"/>
        <v>149.80436</v>
      </c>
      <c r="AO742" s="247">
        <f t="shared" si="1877"/>
        <v>1.4980436</v>
      </c>
      <c r="AP742" s="246">
        <f t="shared" si="1878"/>
        <v>-2.81584</v>
      </c>
      <c r="AQ742" s="246">
        <f t="shared" si="1879"/>
        <v>-1.09</v>
      </c>
      <c r="AR742" s="248">
        <f t="shared" ref="AR742:AS742" si="2422">AI742/94</f>
        <v>17.25089362</v>
      </c>
      <c r="AS742" s="248">
        <f t="shared" si="2422"/>
        <v>14.25531915</v>
      </c>
      <c r="AT742" s="249">
        <f t="shared" ref="AT742:AU742" si="2423">AI742/24</f>
        <v>67.566</v>
      </c>
      <c r="AU742" s="249">
        <f t="shared" si="2423"/>
        <v>55.83333333</v>
      </c>
      <c r="AV742" s="249">
        <f t="shared" ref="AV742:AW742" si="2424">AI742/125</f>
        <v>12.972672</v>
      </c>
      <c r="AW742" s="249">
        <f t="shared" si="2424"/>
        <v>10.72</v>
      </c>
      <c r="AX742" s="242"/>
      <c r="AY742" s="242"/>
    </row>
    <row r="743" ht="15.75" customHeight="1">
      <c r="A743" s="232"/>
      <c r="B743" s="235" t="s">
        <v>1468</v>
      </c>
      <c r="C743" s="250" t="s">
        <v>1469</v>
      </c>
      <c r="D743" s="251">
        <v>850.0</v>
      </c>
      <c r="E743" s="232">
        <v>80.0</v>
      </c>
      <c r="F743" s="235">
        <v>50.0</v>
      </c>
      <c r="G743" s="236">
        <v>8306.0</v>
      </c>
      <c r="H743" s="237">
        <v>0.05</v>
      </c>
      <c r="I743" s="232">
        <f t="shared" si="1792"/>
        <v>42.5</v>
      </c>
      <c r="J743" s="242"/>
      <c r="K743" s="232">
        <v>40.0</v>
      </c>
      <c r="L743" s="238">
        <f t="shared" si="1708"/>
        <v>1062.5</v>
      </c>
      <c r="M743" s="232">
        <f t="shared" si="1853"/>
        <v>8.5</v>
      </c>
      <c r="N743" s="239">
        <f t="shared" si="1854"/>
        <v>85</v>
      </c>
      <c r="O743" s="239">
        <f t="shared" si="1855"/>
        <v>106.25</v>
      </c>
      <c r="P743" s="239">
        <f t="shared" si="1856"/>
        <v>53.125</v>
      </c>
      <c r="Q743" s="239">
        <f t="shared" si="1857"/>
        <v>21.25</v>
      </c>
      <c r="R743" s="239">
        <f t="shared" si="1858"/>
        <v>8.925</v>
      </c>
      <c r="S743" s="239">
        <f t="shared" si="1859"/>
        <v>10.625</v>
      </c>
      <c r="T743" s="240">
        <f t="shared" si="1860"/>
        <v>284.75</v>
      </c>
      <c r="U743" s="232">
        <f t="shared" si="1861"/>
        <v>17.85</v>
      </c>
      <c r="V743" s="42">
        <f t="shared" si="15"/>
        <v>89.25</v>
      </c>
      <c r="W743" s="232">
        <f t="shared" si="1862"/>
        <v>17.85</v>
      </c>
      <c r="X743" s="232">
        <f t="shared" si="1863"/>
        <v>142.8</v>
      </c>
      <c r="Y743" s="232">
        <f t="shared" si="1864"/>
        <v>267.75</v>
      </c>
      <c r="Z743" s="240">
        <f t="shared" si="1865"/>
        <v>1615</v>
      </c>
      <c r="AA743" s="241">
        <f t="shared" si="1866"/>
        <v>323</v>
      </c>
      <c r="AB743" s="239">
        <f t="shared" si="1867"/>
        <v>1938</v>
      </c>
      <c r="AC743" s="232">
        <f t="shared" si="1868"/>
        <v>1785</v>
      </c>
      <c r="AD743" s="239">
        <f t="shared" si="1869"/>
        <v>153</v>
      </c>
      <c r="AE743" s="239">
        <f t="shared" si="1870"/>
        <v>7.894736842</v>
      </c>
      <c r="AF743" s="242"/>
      <c r="AG743" s="243">
        <f t="shared" si="1871"/>
        <v>-100</v>
      </c>
      <c r="AH743" s="244">
        <f t="shared" si="1872"/>
        <v>1440</v>
      </c>
      <c r="AI743" s="244">
        <f t="shared" si="2360"/>
        <v>1938</v>
      </c>
      <c r="AJ743" s="245">
        <v>1440.0</v>
      </c>
      <c r="AK743" s="246">
        <f t="shared" si="1730"/>
        <v>35.52941176</v>
      </c>
      <c r="AL743" s="246"/>
      <c r="AM743" s="246">
        <f t="shared" si="1875"/>
        <v>100</v>
      </c>
      <c r="AN743" s="246">
        <f t="shared" si="1876"/>
        <v>135.5294118</v>
      </c>
      <c r="AO743" s="247">
        <f t="shared" si="1877"/>
        <v>1.355294118</v>
      </c>
      <c r="AP743" s="246">
        <f t="shared" si="1878"/>
        <v>-4.98</v>
      </c>
      <c r="AQ743" s="246">
        <f t="shared" si="1879"/>
        <v>-3.45</v>
      </c>
      <c r="AR743" s="248">
        <f t="shared" ref="AR743:AS743" si="2425">AI743/94</f>
        <v>20.61702128</v>
      </c>
      <c r="AS743" s="248">
        <f t="shared" si="2425"/>
        <v>15.31914894</v>
      </c>
      <c r="AT743" s="249">
        <f t="shared" ref="AT743:AU743" si="2426">AI743/24</f>
        <v>80.75</v>
      </c>
      <c r="AU743" s="249">
        <f t="shared" si="2426"/>
        <v>60</v>
      </c>
      <c r="AV743" s="249">
        <f t="shared" ref="AV743:AW743" si="2427">AI743/125</f>
        <v>15.504</v>
      </c>
      <c r="AW743" s="249">
        <f t="shared" si="2427"/>
        <v>11.52</v>
      </c>
      <c r="AX743" s="242"/>
      <c r="AY743" s="242"/>
    </row>
    <row r="744" ht="15.0" customHeight="1">
      <c r="A744" s="42" t="s">
        <v>1470</v>
      </c>
      <c r="B744" s="42" t="s">
        <v>1471</v>
      </c>
      <c r="C744" s="42" t="s">
        <v>1472</v>
      </c>
      <c r="D744" s="43">
        <v>600.0</v>
      </c>
      <c r="E744" s="47"/>
      <c r="F744" s="44">
        <v>50.0</v>
      </c>
      <c r="G744" s="45">
        <v>9023.0</v>
      </c>
      <c r="H744" s="46">
        <v>0.18</v>
      </c>
      <c r="I744" s="42">
        <f t="shared" si="1792"/>
        <v>108</v>
      </c>
      <c r="J744" s="47"/>
      <c r="K744" s="44">
        <v>50.0</v>
      </c>
      <c r="L744" s="48">
        <f t="shared" si="1708"/>
        <v>808</v>
      </c>
      <c r="M744" s="42">
        <f t="shared" si="1853"/>
        <v>6</v>
      </c>
      <c r="N744" s="49">
        <f t="shared" si="1854"/>
        <v>64.64</v>
      </c>
      <c r="O744" s="49">
        <f t="shared" si="1855"/>
        <v>80.8</v>
      </c>
      <c r="P744" s="49">
        <f t="shared" si="1856"/>
        <v>40.4</v>
      </c>
      <c r="Q744" s="49">
        <f t="shared" si="1857"/>
        <v>16.16</v>
      </c>
      <c r="R744" s="49">
        <f t="shared" si="1858"/>
        <v>6.3</v>
      </c>
      <c r="S744" s="49">
        <f t="shared" si="1859"/>
        <v>8.08</v>
      </c>
      <c r="T744" s="50">
        <f t="shared" si="1860"/>
        <v>216.08</v>
      </c>
      <c r="U744" s="42">
        <f t="shared" si="1861"/>
        <v>12.6</v>
      </c>
      <c r="V744" s="42">
        <f t="shared" si="15"/>
        <v>63</v>
      </c>
      <c r="W744" s="42">
        <f t="shared" si="1862"/>
        <v>12.6</v>
      </c>
      <c r="X744" s="42">
        <f t="shared" si="1863"/>
        <v>100.8</v>
      </c>
      <c r="Y744" s="42">
        <f t="shared" si="1864"/>
        <v>189</v>
      </c>
      <c r="Z744" s="50">
        <f t="shared" si="1865"/>
        <v>1213.08</v>
      </c>
      <c r="AA744" s="51">
        <f t="shared" si="1866"/>
        <v>242.616</v>
      </c>
      <c r="AB744" s="49">
        <f t="shared" si="1867"/>
        <v>1455.696</v>
      </c>
      <c r="AC744" s="42">
        <f t="shared" si="1868"/>
        <v>1260</v>
      </c>
      <c r="AD744" s="49">
        <f t="shared" si="1869"/>
        <v>195.696</v>
      </c>
      <c r="AE744" s="49">
        <f t="shared" si="1870"/>
        <v>13.44346622</v>
      </c>
      <c r="AF744" s="47">
        <v>2290.0</v>
      </c>
      <c r="AG744" s="52">
        <f t="shared" si="1871"/>
        <v>183.4158416</v>
      </c>
      <c r="AH744" s="53">
        <f t="shared" si="1872"/>
        <v>-500</v>
      </c>
      <c r="AI744" s="53">
        <f t="shared" si="2360"/>
        <v>1455.696</v>
      </c>
      <c r="AJ744" s="54">
        <v>1790.0</v>
      </c>
      <c r="AK744" s="55">
        <f t="shared" si="1730"/>
        <v>121.5346535</v>
      </c>
      <c r="AL744" s="55"/>
      <c r="AM744" s="55">
        <f t="shared" si="1875"/>
        <v>-27.93296089</v>
      </c>
      <c r="AN744" s="55">
        <f t="shared" si="1876"/>
        <v>-61.88118812</v>
      </c>
      <c r="AO744" s="56">
        <f t="shared" si="1877"/>
        <v>2.215346535</v>
      </c>
      <c r="AP744" s="55">
        <f t="shared" si="1878"/>
        <v>3.34304</v>
      </c>
      <c r="AQ744" s="55">
        <f t="shared" si="1879"/>
        <v>5.3</v>
      </c>
      <c r="AR744" s="57">
        <f t="shared" ref="AR744:AS744" si="2428">AI744/94</f>
        <v>15.48612766</v>
      </c>
      <c r="AS744" s="57">
        <f t="shared" si="2428"/>
        <v>19.04255319</v>
      </c>
      <c r="AT744" s="58">
        <f t="shared" ref="AT744:AU744" si="2429">AI744/24</f>
        <v>60.654</v>
      </c>
      <c r="AU744" s="58">
        <f t="shared" si="2429"/>
        <v>74.58333333</v>
      </c>
      <c r="AV744" s="58">
        <f t="shared" ref="AV744:AW744" si="2430">AI744/125</f>
        <v>11.645568</v>
      </c>
      <c r="AW744" s="58">
        <f t="shared" si="2430"/>
        <v>14.32</v>
      </c>
      <c r="AX744" s="47"/>
      <c r="AY744" s="47"/>
    </row>
    <row r="745" ht="15.75" customHeight="1">
      <c r="A745" s="42"/>
      <c r="B745" s="42" t="s">
        <v>1473</v>
      </c>
      <c r="C745" s="42" t="s">
        <v>1474</v>
      </c>
      <c r="D745" s="43">
        <v>600.0</v>
      </c>
      <c r="E745" s="47"/>
      <c r="F745" s="44">
        <v>50.0</v>
      </c>
      <c r="G745" s="45">
        <v>9023.0</v>
      </c>
      <c r="H745" s="46">
        <v>0.18</v>
      </c>
      <c r="I745" s="42">
        <f t="shared" si="1792"/>
        <v>108</v>
      </c>
      <c r="J745" s="47"/>
      <c r="K745" s="44">
        <v>50.0</v>
      </c>
      <c r="L745" s="48">
        <f t="shared" si="1708"/>
        <v>808</v>
      </c>
      <c r="M745" s="42">
        <f t="shared" si="1853"/>
        <v>6</v>
      </c>
      <c r="N745" s="49">
        <f t="shared" si="1854"/>
        <v>64.64</v>
      </c>
      <c r="O745" s="49">
        <f t="shared" si="1855"/>
        <v>80.8</v>
      </c>
      <c r="P745" s="49">
        <f t="shared" si="1856"/>
        <v>40.4</v>
      </c>
      <c r="Q745" s="49">
        <f t="shared" si="1857"/>
        <v>16.16</v>
      </c>
      <c r="R745" s="49">
        <f t="shared" si="1858"/>
        <v>6.3</v>
      </c>
      <c r="S745" s="49">
        <f t="shared" si="1859"/>
        <v>8.08</v>
      </c>
      <c r="T745" s="50">
        <f t="shared" si="1860"/>
        <v>216.08</v>
      </c>
      <c r="U745" s="42">
        <f t="shared" si="1861"/>
        <v>12.6</v>
      </c>
      <c r="V745" s="42">
        <f t="shared" si="15"/>
        <v>63</v>
      </c>
      <c r="W745" s="42">
        <f t="shared" si="1862"/>
        <v>12.6</v>
      </c>
      <c r="X745" s="42">
        <f t="shared" si="1863"/>
        <v>100.8</v>
      </c>
      <c r="Y745" s="42">
        <f t="shared" si="1864"/>
        <v>189</v>
      </c>
      <c r="Z745" s="50">
        <f t="shared" si="1865"/>
        <v>1213.08</v>
      </c>
      <c r="AA745" s="51">
        <f t="shared" si="1866"/>
        <v>242.616</v>
      </c>
      <c r="AB745" s="49">
        <f t="shared" si="1867"/>
        <v>1455.696</v>
      </c>
      <c r="AC745" s="42">
        <f t="shared" si="1868"/>
        <v>1260</v>
      </c>
      <c r="AD745" s="49">
        <f t="shared" si="1869"/>
        <v>195.696</v>
      </c>
      <c r="AE745" s="49">
        <f t="shared" si="1870"/>
        <v>13.44346622</v>
      </c>
      <c r="AF745" s="47">
        <v>1990.0</v>
      </c>
      <c r="AG745" s="52">
        <f t="shared" si="1871"/>
        <v>146.2871287</v>
      </c>
      <c r="AH745" s="53">
        <f t="shared" si="1872"/>
        <v>-200</v>
      </c>
      <c r="AI745" s="53">
        <f t="shared" si="2360"/>
        <v>1455.696</v>
      </c>
      <c r="AJ745" s="54">
        <v>1790.0</v>
      </c>
      <c r="AK745" s="55">
        <f t="shared" si="1730"/>
        <v>121.5346535</v>
      </c>
      <c r="AL745" s="55"/>
      <c r="AM745" s="55">
        <f t="shared" si="1875"/>
        <v>-11.17318436</v>
      </c>
      <c r="AN745" s="55">
        <f t="shared" si="1876"/>
        <v>-24.75247525</v>
      </c>
      <c r="AO745" s="56">
        <f t="shared" si="1877"/>
        <v>2.215346535</v>
      </c>
      <c r="AP745" s="55">
        <f t="shared" si="1878"/>
        <v>3.34304</v>
      </c>
      <c r="AQ745" s="55">
        <f t="shared" si="1879"/>
        <v>5.3</v>
      </c>
      <c r="AR745" s="57">
        <f t="shared" ref="AR745:AS745" si="2431">AI745/94</f>
        <v>15.48612766</v>
      </c>
      <c r="AS745" s="57">
        <f t="shared" si="2431"/>
        <v>19.04255319</v>
      </c>
      <c r="AT745" s="58">
        <f t="shared" ref="AT745:AU745" si="2432">AI745/24</f>
        <v>60.654</v>
      </c>
      <c r="AU745" s="58">
        <f t="shared" si="2432"/>
        <v>74.58333333</v>
      </c>
      <c r="AV745" s="58">
        <f t="shared" ref="AV745:AW745" si="2433">AI745/125</f>
        <v>11.645568</v>
      </c>
      <c r="AW745" s="58">
        <f t="shared" si="2433"/>
        <v>14.32</v>
      </c>
      <c r="AX745" s="47"/>
      <c r="AY745" s="47"/>
    </row>
    <row r="746" ht="15.75" customHeight="1">
      <c r="A746" s="42"/>
      <c r="B746" s="42" t="s">
        <v>1475</v>
      </c>
      <c r="C746" s="42" t="s">
        <v>1476</v>
      </c>
      <c r="D746" s="43">
        <v>600.0</v>
      </c>
      <c r="E746" s="47"/>
      <c r="F746" s="44">
        <v>50.0</v>
      </c>
      <c r="G746" s="45">
        <v>9023.0</v>
      </c>
      <c r="H746" s="46">
        <v>0.18</v>
      </c>
      <c r="I746" s="42">
        <f t="shared" si="1792"/>
        <v>108</v>
      </c>
      <c r="J746" s="47"/>
      <c r="K746" s="44">
        <v>50.0</v>
      </c>
      <c r="L746" s="48">
        <f t="shared" si="1708"/>
        <v>808</v>
      </c>
      <c r="M746" s="42">
        <f t="shared" si="1853"/>
        <v>6</v>
      </c>
      <c r="N746" s="49">
        <f t="shared" si="1854"/>
        <v>64.64</v>
      </c>
      <c r="O746" s="49">
        <f t="shared" si="1855"/>
        <v>80.8</v>
      </c>
      <c r="P746" s="49">
        <f t="shared" si="1856"/>
        <v>40.4</v>
      </c>
      <c r="Q746" s="49">
        <f t="shared" si="1857"/>
        <v>16.16</v>
      </c>
      <c r="R746" s="49">
        <f t="shared" si="1858"/>
        <v>6.3</v>
      </c>
      <c r="S746" s="49">
        <f t="shared" si="1859"/>
        <v>8.08</v>
      </c>
      <c r="T746" s="50">
        <f t="shared" si="1860"/>
        <v>216.08</v>
      </c>
      <c r="U746" s="42">
        <f t="shared" si="1861"/>
        <v>12.6</v>
      </c>
      <c r="V746" s="42">
        <f t="shared" si="15"/>
        <v>63</v>
      </c>
      <c r="W746" s="42">
        <f t="shared" si="1862"/>
        <v>12.6</v>
      </c>
      <c r="X746" s="42">
        <f t="shared" si="1863"/>
        <v>100.8</v>
      </c>
      <c r="Y746" s="42">
        <f t="shared" si="1864"/>
        <v>189</v>
      </c>
      <c r="Z746" s="50">
        <f t="shared" si="1865"/>
        <v>1213.08</v>
      </c>
      <c r="AA746" s="51">
        <f t="shared" si="1866"/>
        <v>242.616</v>
      </c>
      <c r="AB746" s="49">
        <f t="shared" si="1867"/>
        <v>1455.696</v>
      </c>
      <c r="AC746" s="42">
        <f t="shared" si="1868"/>
        <v>1260</v>
      </c>
      <c r="AD746" s="49">
        <f t="shared" si="1869"/>
        <v>195.696</v>
      </c>
      <c r="AE746" s="49">
        <f t="shared" si="1870"/>
        <v>13.44346622</v>
      </c>
      <c r="AF746" s="47">
        <v>1990.0</v>
      </c>
      <c r="AG746" s="52">
        <f t="shared" si="1871"/>
        <v>146.2871287</v>
      </c>
      <c r="AH746" s="53">
        <f t="shared" si="1872"/>
        <v>-200</v>
      </c>
      <c r="AI746" s="53">
        <f t="shared" si="2360"/>
        <v>1455.696</v>
      </c>
      <c r="AJ746" s="54">
        <v>1790.0</v>
      </c>
      <c r="AK746" s="55">
        <f t="shared" si="1730"/>
        <v>121.5346535</v>
      </c>
      <c r="AL746" s="55"/>
      <c r="AM746" s="55">
        <f t="shared" si="1875"/>
        <v>-11.17318436</v>
      </c>
      <c r="AN746" s="55">
        <f t="shared" si="1876"/>
        <v>-24.75247525</v>
      </c>
      <c r="AO746" s="56">
        <f t="shared" si="1877"/>
        <v>2.215346535</v>
      </c>
      <c r="AP746" s="55">
        <f t="shared" si="1878"/>
        <v>3.34304</v>
      </c>
      <c r="AQ746" s="55">
        <f t="shared" si="1879"/>
        <v>5.3</v>
      </c>
      <c r="AR746" s="57">
        <f t="shared" ref="AR746:AS746" si="2434">AI746/94</f>
        <v>15.48612766</v>
      </c>
      <c r="AS746" s="57">
        <f t="shared" si="2434"/>
        <v>19.04255319</v>
      </c>
      <c r="AT746" s="58">
        <f t="shared" ref="AT746:AU746" si="2435">AI746/24</f>
        <v>60.654</v>
      </c>
      <c r="AU746" s="58">
        <f t="shared" si="2435"/>
        <v>74.58333333</v>
      </c>
      <c r="AV746" s="58">
        <f t="shared" ref="AV746:AW746" si="2436">AI746/125</f>
        <v>11.645568</v>
      </c>
      <c r="AW746" s="58">
        <f t="shared" si="2436"/>
        <v>14.32</v>
      </c>
      <c r="AX746" s="47"/>
      <c r="AY746" s="47"/>
    </row>
    <row r="747" ht="15.75" customHeight="1">
      <c r="A747" s="42"/>
      <c r="B747" s="42" t="s">
        <v>1477</v>
      </c>
      <c r="C747" s="42" t="s">
        <v>1478</v>
      </c>
      <c r="D747" s="43">
        <v>750.0</v>
      </c>
      <c r="E747" s="47"/>
      <c r="F747" s="44">
        <v>50.0</v>
      </c>
      <c r="G747" s="45">
        <v>9023.0</v>
      </c>
      <c r="H747" s="46">
        <v>0.18</v>
      </c>
      <c r="I747" s="42">
        <f t="shared" si="1792"/>
        <v>135</v>
      </c>
      <c r="J747" s="47"/>
      <c r="K747" s="44">
        <v>50.0</v>
      </c>
      <c r="L747" s="48">
        <f t="shared" si="1708"/>
        <v>985</v>
      </c>
      <c r="M747" s="42">
        <f t="shared" si="1853"/>
        <v>7.5</v>
      </c>
      <c r="N747" s="49">
        <f t="shared" si="1854"/>
        <v>78.8</v>
      </c>
      <c r="O747" s="49">
        <f t="shared" si="1855"/>
        <v>98.5</v>
      </c>
      <c r="P747" s="49">
        <f t="shared" si="1856"/>
        <v>49.25</v>
      </c>
      <c r="Q747" s="49">
        <f t="shared" si="1857"/>
        <v>19.7</v>
      </c>
      <c r="R747" s="49">
        <f t="shared" si="1858"/>
        <v>7.875</v>
      </c>
      <c r="S747" s="49">
        <f t="shared" si="1859"/>
        <v>9.85</v>
      </c>
      <c r="T747" s="50">
        <f t="shared" si="1860"/>
        <v>263.6</v>
      </c>
      <c r="U747" s="42">
        <f t="shared" si="1861"/>
        <v>15.75</v>
      </c>
      <c r="V747" s="42">
        <f t="shared" si="15"/>
        <v>78.75</v>
      </c>
      <c r="W747" s="42">
        <f t="shared" si="1862"/>
        <v>15.75</v>
      </c>
      <c r="X747" s="42">
        <f t="shared" si="1863"/>
        <v>126</v>
      </c>
      <c r="Y747" s="42">
        <f t="shared" si="1864"/>
        <v>236.25</v>
      </c>
      <c r="Z747" s="50">
        <f t="shared" si="1865"/>
        <v>1484.85</v>
      </c>
      <c r="AA747" s="51">
        <f t="shared" si="1866"/>
        <v>296.97</v>
      </c>
      <c r="AB747" s="49">
        <f t="shared" si="1867"/>
        <v>1781.82</v>
      </c>
      <c r="AC747" s="42">
        <f t="shared" si="1868"/>
        <v>1575</v>
      </c>
      <c r="AD747" s="49">
        <f t="shared" si="1869"/>
        <v>206.82</v>
      </c>
      <c r="AE747" s="49">
        <f t="shared" si="1870"/>
        <v>11.60723305</v>
      </c>
      <c r="AF747" s="47"/>
      <c r="AG747" s="52">
        <f t="shared" si="1871"/>
        <v>-100</v>
      </c>
      <c r="AH747" s="53">
        <f t="shared" si="1872"/>
        <v>1990</v>
      </c>
      <c r="AI747" s="53">
        <f t="shared" si="2360"/>
        <v>1781.82</v>
      </c>
      <c r="AJ747" s="54">
        <v>1990.0</v>
      </c>
      <c r="AK747" s="55">
        <f t="shared" si="1730"/>
        <v>102.0304569</v>
      </c>
      <c r="AL747" s="55"/>
      <c r="AM747" s="55">
        <f t="shared" si="1875"/>
        <v>100</v>
      </c>
      <c r="AN747" s="55">
        <f t="shared" si="1876"/>
        <v>202.0304569</v>
      </c>
      <c r="AO747" s="56">
        <f t="shared" si="1877"/>
        <v>2.020304569</v>
      </c>
      <c r="AP747" s="55">
        <f t="shared" si="1878"/>
        <v>2.0818</v>
      </c>
      <c r="AQ747" s="55">
        <f t="shared" si="1879"/>
        <v>4.15</v>
      </c>
      <c r="AR747" s="57">
        <f t="shared" ref="AR747:AS747" si="2437">AI747/94</f>
        <v>18.95553191</v>
      </c>
      <c r="AS747" s="57">
        <f t="shared" si="2437"/>
        <v>21.17021277</v>
      </c>
      <c r="AT747" s="58">
        <f t="shared" ref="AT747:AU747" si="2438">AI747/24</f>
        <v>74.2425</v>
      </c>
      <c r="AU747" s="58">
        <f t="shared" si="2438"/>
        <v>82.91666667</v>
      </c>
      <c r="AV747" s="58">
        <f t="shared" ref="AV747:AW747" si="2439">AI747/125</f>
        <v>14.25456</v>
      </c>
      <c r="AW747" s="58">
        <f t="shared" si="2439"/>
        <v>15.92</v>
      </c>
      <c r="AX747" s="47"/>
      <c r="AY747" s="47"/>
    </row>
    <row r="748" ht="15.75" customHeight="1">
      <c r="A748" s="42"/>
      <c r="B748" s="42" t="s">
        <v>1479</v>
      </c>
      <c r="C748" s="95" t="s">
        <v>1480</v>
      </c>
      <c r="D748" s="43">
        <v>750.0</v>
      </c>
      <c r="E748" s="47"/>
      <c r="F748" s="44">
        <v>50.0</v>
      </c>
      <c r="G748" s="45">
        <v>9023.0</v>
      </c>
      <c r="H748" s="46">
        <v>0.18</v>
      </c>
      <c r="I748" s="42">
        <f t="shared" si="1792"/>
        <v>135</v>
      </c>
      <c r="J748" s="47"/>
      <c r="K748" s="44">
        <v>50.0</v>
      </c>
      <c r="L748" s="48">
        <f t="shared" si="1708"/>
        <v>985</v>
      </c>
      <c r="M748" s="42">
        <f t="shared" si="1853"/>
        <v>7.5</v>
      </c>
      <c r="N748" s="49">
        <f t="shared" si="1854"/>
        <v>78.8</v>
      </c>
      <c r="O748" s="49">
        <f t="shared" si="1855"/>
        <v>98.5</v>
      </c>
      <c r="P748" s="49">
        <f t="shared" si="1856"/>
        <v>49.25</v>
      </c>
      <c r="Q748" s="49">
        <f t="shared" si="1857"/>
        <v>19.7</v>
      </c>
      <c r="R748" s="49">
        <f t="shared" si="1858"/>
        <v>7.875</v>
      </c>
      <c r="S748" s="49">
        <f t="shared" si="1859"/>
        <v>9.85</v>
      </c>
      <c r="T748" s="50">
        <f t="shared" si="1860"/>
        <v>263.6</v>
      </c>
      <c r="U748" s="42">
        <f t="shared" si="1861"/>
        <v>15.75</v>
      </c>
      <c r="V748" s="42">
        <f t="shared" si="15"/>
        <v>78.75</v>
      </c>
      <c r="W748" s="42">
        <f t="shared" si="1862"/>
        <v>15.75</v>
      </c>
      <c r="X748" s="42">
        <f t="shared" si="1863"/>
        <v>126</v>
      </c>
      <c r="Y748" s="42">
        <f t="shared" si="1864"/>
        <v>236.25</v>
      </c>
      <c r="Z748" s="50">
        <f t="shared" si="1865"/>
        <v>1484.85</v>
      </c>
      <c r="AA748" s="51">
        <f t="shared" si="1866"/>
        <v>296.97</v>
      </c>
      <c r="AB748" s="49">
        <f t="shared" si="1867"/>
        <v>1781.82</v>
      </c>
      <c r="AC748" s="42">
        <f t="shared" si="1868"/>
        <v>1575</v>
      </c>
      <c r="AD748" s="49">
        <f t="shared" si="1869"/>
        <v>206.82</v>
      </c>
      <c r="AE748" s="49">
        <f t="shared" si="1870"/>
        <v>11.60723305</v>
      </c>
      <c r="AF748" s="47"/>
      <c r="AG748" s="52">
        <f t="shared" si="1871"/>
        <v>-100</v>
      </c>
      <c r="AH748" s="53">
        <f t="shared" si="1872"/>
        <v>1990</v>
      </c>
      <c r="AI748" s="53">
        <f t="shared" si="2360"/>
        <v>1781.82</v>
      </c>
      <c r="AJ748" s="54">
        <v>1990.0</v>
      </c>
      <c r="AK748" s="55">
        <f t="shared" si="1730"/>
        <v>102.0304569</v>
      </c>
      <c r="AL748" s="55"/>
      <c r="AM748" s="55">
        <f t="shared" si="1875"/>
        <v>100</v>
      </c>
      <c r="AN748" s="55">
        <f t="shared" si="1876"/>
        <v>202.0304569</v>
      </c>
      <c r="AO748" s="56">
        <f t="shared" si="1877"/>
        <v>2.020304569</v>
      </c>
      <c r="AP748" s="55">
        <f t="shared" si="1878"/>
        <v>2.0818</v>
      </c>
      <c r="AQ748" s="55">
        <f t="shared" si="1879"/>
        <v>4.15</v>
      </c>
      <c r="AR748" s="57">
        <f t="shared" ref="AR748:AS748" si="2440">AI748/94</f>
        <v>18.95553191</v>
      </c>
      <c r="AS748" s="57">
        <f t="shared" si="2440"/>
        <v>21.17021277</v>
      </c>
      <c r="AT748" s="58">
        <f t="shared" ref="AT748:AU748" si="2441">AI748/24</f>
        <v>74.2425</v>
      </c>
      <c r="AU748" s="58">
        <f t="shared" si="2441"/>
        <v>82.91666667</v>
      </c>
      <c r="AV748" s="58">
        <f t="shared" ref="AV748:AW748" si="2442">AI748/125</f>
        <v>14.25456</v>
      </c>
      <c r="AW748" s="58">
        <f t="shared" si="2442"/>
        <v>15.92</v>
      </c>
      <c r="AX748" s="47"/>
      <c r="AY748" s="47"/>
    </row>
    <row r="749" ht="15.75" customHeight="1">
      <c r="A749" s="42"/>
      <c r="B749" s="42" t="s">
        <v>1481</v>
      </c>
      <c r="C749" s="95" t="s">
        <v>1482</v>
      </c>
      <c r="D749" s="43">
        <v>600.0</v>
      </c>
      <c r="E749" s="47"/>
      <c r="F749" s="44">
        <v>50.0</v>
      </c>
      <c r="G749" s="45">
        <v>9023.0</v>
      </c>
      <c r="H749" s="46">
        <v>0.18</v>
      </c>
      <c r="I749" s="42">
        <f t="shared" si="1792"/>
        <v>108</v>
      </c>
      <c r="J749" s="47"/>
      <c r="K749" s="44">
        <v>50.0</v>
      </c>
      <c r="L749" s="48">
        <f t="shared" si="1708"/>
        <v>808</v>
      </c>
      <c r="M749" s="42">
        <f t="shared" si="1853"/>
        <v>6</v>
      </c>
      <c r="N749" s="49">
        <f t="shared" si="1854"/>
        <v>64.64</v>
      </c>
      <c r="O749" s="49">
        <f t="shared" si="1855"/>
        <v>80.8</v>
      </c>
      <c r="P749" s="49">
        <f t="shared" si="1856"/>
        <v>40.4</v>
      </c>
      <c r="Q749" s="49">
        <f t="shared" si="1857"/>
        <v>16.16</v>
      </c>
      <c r="R749" s="49">
        <f t="shared" si="1858"/>
        <v>6.3</v>
      </c>
      <c r="S749" s="49">
        <f t="shared" si="1859"/>
        <v>8.08</v>
      </c>
      <c r="T749" s="50">
        <f t="shared" si="1860"/>
        <v>216.08</v>
      </c>
      <c r="U749" s="42">
        <f t="shared" si="1861"/>
        <v>12.6</v>
      </c>
      <c r="V749" s="42">
        <f t="shared" si="15"/>
        <v>63</v>
      </c>
      <c r="W749" s="42">
        <f t="shared" si="1862"/>
        <v>12.6</v>
      </c>
      <c r="X749" s="42">
        <f t="shared" si="1863"/>
        <v>100.8</v>
      </c>
      <c r="Y749" s="42">
        <f t="shared" si="1864"/>
        <v>189</v>
      </c>
      <c r="Z749" s="50">
        <f t="shared" si="1865"/>
        <v>1213.08</v>
      </c>
      <c r="AA749" s="51">
        <f t="shared" si="1866"/>
        <v>242.616</v>
      </c>
      <c r="AB749" s="49">
        <f t="shared" si="1867"/>
        <v>1455.696</v>
      </c>
      <c r="AC749" s="42">
        <f t="shared" si="1868"/>
        <v>1260</v>
      </c>
      <c r="AD749" s="49">
        <f t="shared" si="1869"/>
        <v>195.696</v>
      </c>
      <c r="AE749" s="49">
        <f t="shared" si="1870"/>
        <v>13.44346622</v>
      </c>
      <c r="AF749" s="47"/>
      <c r="AG749" s="52">
        <f t="shared" si="1871"/>
        <v>-100</v>
      </c>
      <c r="AH749" s="53">
        <f t="shared" si="1872"/>
        <v>1790</v>
      </c>
      <c r="AI749" s="53">
        <f t="shared" si="2360"/>
        <v>1455.696</v>
      </c>
      <c r="AJ749" s="54">
        <v>1790.0</v>
      </c>
      <c r="AK749" s="55">
        <f t="shared" si="1730"/>
        <v>121.5346535</v>
      </c>
      <c r="AL749" s="55"/>
      <c r="AM749" s="55">
        <f t="shared" si="1875"/>
        <v>100</v>
      </c>
      <c r="AN749" s="55">
        <f t="shared" si="1876"/>
        <v>221.5346535</v>
      </c>
      <c r="AO749" s="56">
        <f t="shared" si="1877"/>
        <v>2.215346535</v>
      </c>
      <c r="AP749" s="55">
        <f t="shared" si="1878"/>
        <v>3.34304</v>
      </c>
      <c r="AQ749" s="55">
        <f t="shared" si="1879"/>
        <v>5.3</v>
      </c>
      <c r="AR749" s="57">
        <f t="shared" ref="AR749:AS749" si="2443">AI749/94</f>
        <v>15.48612766</v>
      </c>
      <c r="AS749" s="57">
        <f t="shared" si="2443"/>
        <v>19.04255319</v>
      </c>
      <c r="AT749" s="58">
        <f t="shared" ref="AT749:AU749" si="2444">AI749/24</f>
        <v>60.654</v>
      </c>
      <c r="AU749" s="58">
        <f t="shared" si="2444"/>
        <v>74.58333333</v>
      </c>
      <c r="AV749" s="58">
        <f t="shared" ref="AV749:AW749" si="2445">AI749/125</f>
        <v>11.645568</v>
      </c>
      <c r="AW749" s="58">
        <f t="shared" si="2445"/>
        <v>14.32</v>
      </c>
      <c r="AX749" s="47"/>
      <c r="AY749" s="47"/>
    </row>
    <row r="750" ht="15.75" customHeight="1">
      <c r="A750" s="42"/>
      <c r="B750" s="42" t="s">
        <v>1483</v>
      </c>
      <c r="C750" s="95" t="s">
        <v>1484</v>
      </c>
      <c r="D750" s="43">
        <v>750.0</v>
      </c>
      <c r="E750" s="47"/>
      <c r="F750" s="44">
        <v>50.0</v>
      </c>
      <c r="G750" s="45">
        <v>9023.0</v>
      </c>
      <c r="H750" s="46">
        <v>0.18</v>
      </c>
      <c r="I750" s="42">
        <f t="shared" si="1792"/>
        <v>135</v>
      </c>
      <c r="J750" s="47"/>
      <c r="K750" s="44">
        <v>50.0</v>
      </c>
      <c r="L750" s="48">
        <f t="shared" si="1708"/>
        <v>985</v>
      </c>
      <c r="M750" s="42">
        <f t="shared" si="1853"/>
        <v>7.5</v>
      </c>
      <c r="N750" s="49">
        <f t="shared" si="1854"/>
        <v>78.8</v>
      </c>
      <c r="O750" s="49">
        <f t="shared" si="1855"/>
        <v>98.5</v>
      </c>
      <c r="P750" s="49">
        <f t="shared" si="1856"/>
        <v>49.25</v>
      </c>
      <c r="Q750" s="49">
        <f t="shared" si="1857"/>
        <v>19.7</v>
      </c>
      <c r="R750" s="49">
        <f t="shared" si="1858"/>
        <v>7.875</v>
      </c>
      <c r="S750" s="49">
        <f t="shared" si="1859"/>
        <v>9.85</v>
      </c>
      <c r="T750" s="50">
        <f t="shared" si="1860"/>
        <v>263.6</v>
      </c>
      <c r="U750" s="42">
        <f t="shared" si="1861"/>
        <v>15.75</v>
      </c>
      <c r="V750" s="42">
        <f t="shared" si="15"/>
        <v>78.75</v>
      </c>
      <c r="W750" s="42">
        <f t="shared" si="1862"/>
        <v>15.75</v>
      </c>
      <c r="X750" s="42">
        <f t="shared" si="1863"/>
        <v>126</v>
      </c>
      <c r="Y750" s="42">
        <f t="shared" si="1864"/>
        <v>236.25</v>
      </c>
      <c r="Z750" s="50">
        <f t="shared" si="1865"/>
        <v>1484.85</v>
      </c>
      <c r="AA750" s="51">
        <f t="shared" si="1866"/>
        <v>296.97</v>
      </c>
      <c r="AB750" s="49">
        <f t="shared" si="1867"/>
        <v>1781.82</v>
      </c>
      <c r="AC750" s="42">
        <f t="shared" si="1868"/>
        <v>1575</v>
      </c>
      <c r="AD750" s="49">
        <f t="shared" si="1869"/>
        <v>206.82</v>
      </c>
      <c r="AE750" s="49">
        <f t="shared" si="1870"/>
        <v>11.60723305</v>
      </c>
      <c r="AF750" s="47"/>
      <c r="AG750" s="52">
        <f t="shared" si="1871"/>
        <v>-100</v>
      </c>
      <c r="AH750" s="53">
        <f t="shared" si="1872"/>
        <v>1990</v>
      </c>
      <c r="AI750" s="53">
        <f t="shared" si="2360"/>
        <v>1781.82</v>
      </c>
      <c r="AJ750" s="54">
        <v>1990.0</v>
      </c>
      <c r="AK750" s="55">
        <f t="shared" si="1730"/>
        <v>102.0304569</v>
      </c>
      <c r="AL750" s="55"/>
      <c r="AM750" s="55">
        <f t="shared" si="1875"/>
        <v>100</v>
      </c>
      <c r="AN750" s="55">
        <f t="shared" si="1876"/>
        <v>202.0304569</v>
      </c>
      <c r="AO750" s="56">
        <f t="shared" si="1877"/>
        <v>2.020304569</v>
      </c>
      <c r="AP750" s="55">
        <f t="shared" si="1878"/>
        <v>2.0818</v>
      </c>
      <c r="AQ750" s="55">
        <f t="shared" si="1879"/>
        <v>4.15</v>
      </c>
      <c r="AR750" s="57">
        <f t="shared" ref="AR750:AS750" si="2446">AI750/94</f>
        <v>18.95553191</v>
      </c>
      <c r="AS750" s="57">
        <f t="shared" si="2446"/>
        <v>21.17021277</v>
      </c>
      <c r="AT750" s="58">
        <f t="shared" ref="AT750:AU750" si="2447">AI750/24</f>
        <v>74.2425</v>
      </c>
      <c r="AU750" s="58">
        <f t="shared" si="2447"/>
        <v>82.91666667</v>
      </c>
      <c r="AV750" s="58">
        <f t="shared" ref="AV750:AW750" si="2448">AI750/125</f>
        <v>14.25456</v>
      </c>
      <c r="AW750" s="58">
        <f t="shared" si="2448"/>
        <v>15.92</v>
      </c>
      <c r="AX750" s="47"/>
      <c r="AY750" s="47"/>
    </row>
    <row r="751" ht="15.75" customHeight="1">
      <c r="A751" s="42"/>
      <c r="B751" s="42" t="s">
        <v>1485</v>
      </c>
      <c r="C751" s="95" t="s">
        <v>1486</v>
      </c>
      <c r="D751" s="43">
        <v>600.0</v>
      </c>
      <c r="E751" s="47"/>
      <c r="F751" s="44">
        <v>50.0</v>
      </c>
      <c r="G751" s="45">
        <v>9023.0</v>
      </c>
      <c r="H751" s="46">
        <v>0.18</v>
      </c>
      <c r="I751" s="42">
        <f t="shared" si="1792"/>
        <v>108</v>
      </c>
      <c r="J751" s="47"/>
      <c r="K751" s="44">
        <v>50.0</v>
      </c>
      <c r="L751" s="48">
        <f t="shared" si="1708"/>
        <v>808</v>
      </c>
      <c r="M751" s="42">
        <f t="shared" si="1853"/>
        <v>6</v>
      </c>
      <c r="N751" s="49">
        <f t="shared" si="1854"/>
        <v>64.64</v>
      </c>
      <c r="O751" s="49">
        <f t="shared" si="1855"/>
        <v>80.8</v>
      </c>
      <c r="P751" s="49">
        <f t="shared" si="1856"/>
        <v>40.4</v>
      </c>
      <c r="Q751" s="49">
        <f t="shared" si="1857"/>
        <v>16.16</v>
      </c>
      <c r="R751" s="49">
        <f t="shared" si="1858"/>
        <v>6.3</v>
      </c>
      <c r="S751" s="49">
        <f t="shared" si="1859"/>
        <v>8.08</v>
      </c>
      <c r="T751" s="50">
        <f t="shared" si="1860"/>
        <v>216.08</v>
      </c>
      <c r="U751" s="42">
        <f t="shared" si="1861"/>
        <v>12.6</v>
      </c>
      <c r="V751" s="42">
        <f t="shared" si="15"/>
        <v>63</v>
      </c>
      <c r="W751" s="42">
        <f t="shared" si="1862"/>
        <v>12.6</v>
      </c>
      <c r="X751" s="42">
        <f t="shared" si="1863"/>
        <v>100.8</v>
      </c>
      <c r="Y751" s="42">
        <f t="shared" si="1864"/>
        <v>189</v>
      </c>
      <c r="Z751" s="50">
        <f t="shared" si="1865"/>
        <v>1213.08</v>
      </c>
      <c r="AA751" s="51">
        <f t="shared" si="1866"/>
        <v>242.616</v>
      </c>
      <c r="AB751" s="49">
        <f t="shared" si="1867"/>
        <v>1455.696</v>
      </c>
      <c r="AC751" s="42">
        <f t="shared" si="1868"/>
        <v>1260</v>
      </c>
      <c r="AD751" s="49">
        <f t="shared" si="1869"/>
        <v>195.696</v>
      </c>
      <c r="AE751" s="49">
        <f t="shared" si="1870"/>
        <v>13.44346622</v>
      </c>
      <c r="AF751" s="47"/>
      <c r="AG751" s="52">
        <f t="shared" si="1871"/>
        <v>-100</v>
      </c>
      <c r="AH751" s="53">
        <f t="shared" si="1872"/>
        <v>1790</v>
      </c>
      <c r="AI751" s="53">
        <f t="shared" si="2360"/>
        <v>1455.696</v>
      </c>
      <c r="AJ751" s="54">
        <v>1790.0</v>
      </c>
      <c r="AK751" s="55">
        <f t="shared" si="1730"/>
        <v>121.5346535</v>
      </c>
      <c r="AL751" s="55"/>
      <c r="AM751" s="55">
        <f t="shared" si="1875"/>
        <v>100</v>
      </c>
      <c r="AN751" s="55">
        <f t="shared" si="1876"/>
        <v>221.5346535</v>
      </c>
      <c r="AO751" s="56">
        <f t="shared" si="1877"/>
        <v>2.215346535</v>
      </c>
      <c r="AP751" s="55">
        <f t="shared" si="1878"/>
        <v>3.34304</v>
      </c>
      <c r="AQ751" s="55">
        <f t="shared" si="1879"/>
        <v>5.3</v>
      </c>
      <c r="AR751" s="57">
        <f t="shared" ref="AR751:AS751" si="2449">AI751/94</f>
        <v>15.48612766</v>
      </c>
      <c r="AS751" s="57">
        <f t="shared" si="2449"/>
        <v>19.04255319</v>
      </c>
      <c r="AT751" s="58">
        <f t="shared" ref="AT751:AU751" si="2450">AI751/24</f>
        <v>60.654</v>
      </c>
      <c r="AU751" s="58">
        <f t="shared" si="2450"/>
        <v>74.58333333</v>
      </c>
      <c r="AV751" s="58">
        <f t="shared" ref="AV751:AW751" si="2451">AI751/125</f>
        <v>11.645568</v>
      </c>
      <c r="AW751" s="58">
        <f t="shared" si="2451"/>
        <v>14.32</v>
      </c>
      <c r="AX751" s="47"/>
      <c r="AY751" s="47"/>
    </row>
    <row r="752" ht="15.75" customHeight="1">
      <c r="A752" s="42"/>
      <c r="B752" s="42" t="s">
        <v>1487</v>
      </c>
      <c r="C752" s="95" t="s">
        <v>1488</v>
      </c>
      <c r="D752" s="43">
        <v>600.0</v>
      </c>
      <c r="E752" s="47"/>
      <c r="F752" s="44">
        <v>50.0</v>
      </c>
      <c r="G752" s="45">
        <v>9023.0</v>
      </c>
      <c r="H752" s="46">
        <v>0.18</v>
      </c>
      <c r="I752" s="42">
        <f t="shared" si="1792"/>
        <v>108</v>
      </c>
      <c r="J752" s="47"/>
      <c r="K752" s="44">
        <v>50.0</v>
      </c>
      <c r="L752" s="48">
        <f t="shared" si="1708"/>
        <v>808</v>
      </c>
      <c r="M752" s="42">
        <f t="shared" si="1853"/>
        <v>6</v>
      </c>
      <c r="N752" s="49">
        <f t="shared" si="1854"/>
        <v>64.64</v>
      </c>
      <c r="O752" s="49">
        <f t="shared" si="1855"/>
        <v>80.8</v>
      </c>
      <c r="P752" s="49">
        <f t="shared" si="1856"/>
        <v>40.4</v>
      </c>
      <c r="Q752" s="49">
        <f t="shared" si="1857"/>
        <v>16.16</v>
      </c>
      <c r="R752" s="49">
        <f t="shared" si="1858"/>
        <v>6.3</v>
      </c>
      <c r="S752" s="49">
        <f t="shared" si="1859"/>
        <v>8.08</v>
      </c>
      <c r="T752" s="50">
        <f t="shared" si="1860"/>
        <v>216.08</v>
      </c>
      <c r="U752" s="42">
        <f t="shared" si="1861"/>
        <v>12.6</v>
      </c>
      <c r="V752" s="42">
        <f t="shared" si="15"/>
        <v>63</v>
      </c>
      <c r="W752" s="42">
        <f t="shared" si="1862"/>
        <v>12.6</v>
      </c>
      <c r="X752" s="42">
        <f t="shared" si="1863"/>
        <v>100.8</v>
      </c>
      <c r="Y752" s="42">
        <f t="shared" si="1864"/>
        <v>189</v>
      </c>
      <c r="Z752" s="50">
        <f t="shared" si="1865"/>
        <v>1213.08</v>
      </c>
      <c r="AA752" s="51">
        <f t="shared" si="1866"/>
        <v>242.616</v>
      </c>
      <c r="AB752" s="49">
        <f t="shared" si="1867"/>
        <v>1455.696</v>
      </c>
      <c r="AC752" s="42">
        <f t="shared" si="1868"/>
        <v>1260</v>
      </c>
      <c r="AD752" s="49">
        <f t="shared" si="1869"/>
        <v>195.696</v>
      </c>
      <c r="AE752" s="49">
        <f t="shared" si="1870"/>
        <v>13.44346622</v>
      </c>
      <c r="AF752" s="47"/>
      <c r="AG752" s="52">
        <f t="shared" si="1871"/>
        <v>-100</v>
      </c>
      <c r="AH752" s="53">
        <f t="shared" si="1872"/>
        <v>1790</v>
      </c>
      <c r="AI752" s="53">
        <f t="shared" si="2360"/>
        <v>1455.696</v>
      </c>
      <c r="AJ752" s="54">
        <v>1790.0</v>
      </c>
      <c r="AK752" s="55">
        <f t="shared" si="1730"/>
        <v>121.5346535</v>
      </c>
      <c r="AL752" s="55"/>
      <c r="AM752" s="55">
        <f t="shared" si="1875"/>
        <v>100</v>
      </c>
      <c r="AN752" s="55">
        <f t="shared" si="1876"/>
        <v>221.5346535</v>
      </c>
      <c r="AO752" s="56">
        <f t="shared" si="1877"/>
        <v>2.215346535</v>
      </c>
      <c r="AP752" s="55">
        <f t="shared" si="1878"/>
        <v>3.34304</v>
      </c>
      <c r="AQ752" s="55">
        <f t="shared" si="1879"/>
        <v>5.3</v>
      </c>
      <c r="AR752" s="57">
        <f t="shared" ref="AR752:AS752" si="2452">AI752/94</f>
        <v>15.48612766</v>
      </c>
      <c r="AS752" s="57">
        <f t="shared" si="2452"/>
        <v>19.04255319</v>
      </c>
      <c r="AT752" s="58">
        <f t="shared" ref="AT752:AU752" si="2453">AI752/24</f>
        <v>60.654</v>
      </c>
      <c r="AU752" s="58">
        <f t="shared" si="2453"/>
        <v>74.58333333</v>
      </c>
      <c r="AV752" s="58">
        <f t="shared" ref="AV752:AW752" si="2454">AI752/125</f>
        <v>11.645568</v>
      </c>
      <c r="AW752" s="58">
        <f t="shared" si="2454"/>
        <v>14.32</v>
      </c>
      <c r="AX752" s="47"/>
      <c r="AY752" s="47"/>
    </row>
    <row r="753" ht="15.75" customHeight="1">
      <c r="A753" s="42"/>
      <c r="B753" s="42" t="s">
        <v>1489</v>
      </c>
      <c r="C753" s="95" t="s">
        <v>1490</v>
      </c>
      <c r="D753" s="45">
        <v>365.0</v>
      </c>
      <c r="E753" s="47"/>
      <c r="F753" s="44">
        <v>50.0</v>
      </c>
      <c r="G753" s="45">
        <v>9023.0</v>
      </c>
      <c r="H753" s="46">
        <v>0.18</v>
      </c>
      <c r="I753" s="42">
        <f t="shared" si="1792"/>
        <v>65.7</v>
      </c>
      <c r="J753" s="47"/>
      <c r="K753" s="44">
        <v>50.0</v>
      </c>
      <c r="L753" s="48">
        <f t="shared" si="1708"/>
        <v>530.7</v>
      </c>
      <c r="M753" s="42">
        <f t="shared" si="1853"/>
        <v>3.65</v>
      </c>
      <c r="N753" s="49">
        <f t="shared" si="1854"/>
        <v>42.456</v>
      </c>
      <c r="O753" s="49">
        <f t="shared" si="1855"/>
        <v>53.07</v>
      </c>
      <c r="P753" s="49">
        <f t="shared" si="1856"/>
        <v>26.535</v>
      </c>
      <c r="Q753" s="49">
        <f t="shared" si="1857"/>
        <v>10.614</v>
      </c>
      <c r="R753" s="49">
        <f t="shared" si="1858"/>
        <v>3.8325</v>
      </c>
      <c r="S753" s="49">
        <f t="shared" si="1859"/>
        <v>5.307</v>
      </c>
      <c r="T753" s="50">
        <f t="shared" si="1860"/>
        <v>141.632</v>
      </c>
      <c r="U753" s="42">
        <f t="shared" si="1861"/>
        <v>7.665</v>
      </c>
      <c r="V753" s="42">
        <f t="shared" si="15"/>
        <v>38.325</v>
      </c>
      <c r="W753" s="42">
        <f t="shared" si="1862"/>
        <v>7.665</v>
      </c>
      <c r="X753" s="42">
        <f t="shared" si="1863"/>
        <v>61.32</v>
      </c>
      <c r="Y753" s="42">
        <f t="shared" si="1864"/>
        <v>114.975</v>
      </c>
      <c r="Z753" s="50">
        <f t="shared" si="1865"/>
        <v>787.307</v>
      </c>
      <c r="AA753" s="51">
        <f t="shared" si="1866"/>
        <v>157.4614</v>
      </c>
      <c r="AB753" s="49">
        <f t="shared" si="1867"/>
        <v>944.7684</v>
      </c>
      <c r="AC753" s="42">
        <f t="shared" si="1868"/>
        <v>766.5</v>
      </c>
      <c r="AD753" s="49">
        <f t="shared" si="1869"/>
        <v>178.2684</v>
      </c>
      <c r="AE753" s="49">
        <f t="shared" si="1870"/>
        <v>18.86900536</v>
      </c>
      <c r="AF753" s="47"/>
      <c r="AG753" s="52">
        <f t="shared" si="1871"/>
        <v>-100</v>
      </c>
      <c r="AH753" s="53">
        <f t="shared" si="1872"/>
        <v>1390</v>
      </c>
      <c r="AI753" s="53">
        <f t="shared" si="2360"/>
        <v>944.7684</v>
      </c>
      <c r="AJ753" s="54">
        <v>1390.0</v>
      </c>
      <c r="AK753" s="55">
        <f t="shared" si="1730"/>
        <v>161.9182212</v>
      </c>
      <c r="AL753" s="55"/>
      <c r="AM753" s="55">
        <f t="shared" si="1875"/>
        <v>100</v>
      </c>
      <c r="AN753" s="55">
        <f t="shared" si="1876"/>
        <v>261.9182212</v>
      </c>
      <c r="AO753" s="56">
        <f t="shared" si="1877"/>
        <v>2.619182212</v>
      </c>
      <c r="AP753" s="55">
        <f t="shared" si="1878"/>
        <v>4.452316</v>
      </c>
      <c r="AQ753" s="55">
        <f t="shared" si="1879"/>
        <v>6.235</v>
      </c>
      <c r="AR753" s="57">
        <f t="shared" ref="AR753:AS753" si="2455">AI753/94</f>
        <v>10.05072766</v>
      </c>
      <c r="AS753" s="57">
        <f t="shared" si="2455"/>
        <v>14.78723404</v>
      </c>
      <c r="AT753" s="58">
        <f t="shared" ref="AT753:AU753" si="2456">AI753/24</f>
        <v>39.36535</v>
      </c>
      <c r="AU753" s="58">
        <f t="shared" si="2456"/>
        <v>57.91666667</v>
      </c>
      <c r="AV753" s="58">
        <f t="shared" ref="AV753:AW753" si="2457">AI753/125</f>
        <v>7.5581472</v>
      </c>
      <c r="AW753" s="58">
        <f t="shared" si="2457"/>
        <v>11.12</v>
      </c>
      <c r="AX753" s="47"/>
      <c r="AY753" s="47"/>
    </row>
    <row r="754" ht="15.75" customHeight="1">
      <c r="A754" s="42"/>
      <c r="B754" s="44" t="s">
        <v>1491</v>
      </c>
      <c r="C754" s="95" t="s">
        <v>1492</v>
      </c>
      <c r="D754" s="45">
        <v>365.0</v>
      </c>
      <c r="E754" s="47"/>
      <c r="F754" s="44">
        <v>50.0</v>
      </c>
      <c r="G754" s="45">
        <v>9023.0</v>
      </c>
      <c r="H754" s="46">
        <v>0.18</v>
      </c>
      <c r="I754" s="42">
        <f t="shared" si="1792"/>
        <v>65.7</v>
      </c>
      <c r="J754" s="47"/>
      <c r="K754" s="44">
        <v>50.0</v>
      </c>
      <c r="L754" s="48">
        <f t="shared" si="1708"/>
        <v>530.7</v>
      </c>
      <c r="M754" s="42">
        <f t="shared" si="1853"/>
        <v>3.65</v>
      </c>
      <c r="N754" s="49">
        <f t="shared" si="1854"/>
        <v>42.456</v>
      </c>
      <c r="O754" s="49">
        <f t="shared" si="1855"/>
        <v>53.07</v>
      </c>
      <c r="P754" s="49">
        <f t="shared" si="1856"/>
        <v>26.535</v>
      </c>
      <c r="Q754" s="49">
        <f t="shared" si="1857"/>
        <v>10.614</v>
      </c>
      <c r="R754" s="49">
        <f t="shared" si="1858"/>
        <v>3.8325</v>
      </c>
      <c r="S754" s="49">
        <f t="shared" si="1859"/>
        <v>5.307</v>
      </c>
      <c r="T754" s="50">
        <f t="shared" si="1860"/>
        <v>141.632</v>
      </c>
      <c r="U754" s="42">
        <f t="shared" si="1861"/>
        <v>7.665</v>
      </c>
      <c r="V754" s="42">
        <f t="shared" si="15"/>
        <v>38.325</v>
      </c>
      <c r="W754" s="42">
        <f t="shared" si="1862"/>
        <v>7.665</v>
      </c>
      <c r="X754" s="42">
        <f t="shared" si="1863"/>
        <v>61.32</v>
      </c>
      <c r="Y754" s="42">
        <f t="shared" si="1864"/>
        <v>114.975</v>
      </c>
      <c r="Z754" s="50">
        <f t="shared" si="1865"/>
        <v>787.307</v>
      </c>
      <c r="AA754" s="51">
        <f t="shared" si="1866"/>
        <v>157.4614</v>
      </c>
      <c r="AB754" s="49">
        <f t="shared" si="1867"/>
        <v>944.7684</v>
      </c>
      <c r="AC754" s="42">
        <f t="shared" si="1868"/>
        <v>766.5</v>
      </c>
      <c r="AD754" s="49">
        <f t="shared" si="1869"/>
        <v>178.2684</v>
      </c>
      <c r="AE754" s="49">
        <f t="shared" si="1870"/>
        <v>18.86900536</v>
      </c>
      <c r="AF754" s="47"/>
      <c r="AG754" s="52">
        <f t="shared" si="1871"/>
        <v>-100</v>
      </c>
      <c r="AH754" s="53">
        <f t="shared" si="1872"/>
        <v>1390</v>
      </c>
      <c r="AI754" s="53">
        <f t="shared" si="2360"/>
        <v>944.7684</v>
      </c>
      <c r="AJ754" s="54">
        <v>1390.0</v>
      </c>
      <c r="AK754" s="55">
        <f t="shared" si="1730"/>
        <v>161.9182212</v>
      </c>
      <c r="AL754" s="55"/>
      <c r="AM754" s="55">
        <f t="shared" si="1875"/>
        <v>100</v>
      </c>
      <c r="AN754" s="55">
        <f t="shared" si="1876"/>
        <v>261.9182212</v>
      </c>
      <c r="AO754" s="56">
        <f t="shared" si="1877"/>
        <v>2.619182212</v>
      </c>
      <c r="AP754" s="55">
        <f t="shared" si="1878"/>
        <v>4.452316</v>
      </c>
      <c r="AQ754" s="55">
        <f t="shared" si="1879"/>
        <v>6.235</v>
      </c>
      <c r="AR754" s="57">
        <f t="shared" ref="AR754:AS754" si="2458">AI754/94</f>
        <v>10.05072766</v>
      </c>
      <c r="AS754" s="57">
        <f t="shared" si="2458"/>
        <v>14.78723404</v>
      </c>
      <c r="AT754" s="58">
        <f t="shared" ref="AT754:AU754" si="2459">AI754/24</f>
        <v>39.36535</v>
      </c>
      <c r="AU754" s="58">
        <f t="shared" si="2459"/>
        <v>57.91666667</v>
      </c>
      <c r="AV754" s="58">
        <f t="shared" ref="AV754:AW754" si="2460">AI754/125</f>
        <v>7.5581472</v>
      </c>
      <c r="AW754" s="58">
        <f t="shared" si="2460"/>
        <v>11.12</v>
      </c>
      <c r="AX754" s="47"/>
      <c r="AY754" s="47"/>
    </row>
    <row r="755" ht="15.75" customHeight="1">
      <c r="A755" s="42"/>
      <c r="B755" s="44" t="s">
        <v>1493</v>
      </c>
      <c r="C755" s="95" t="s">
        <v>1494</v>
      </c>
      <c r="D755" s="45">
        <v>365.0</v>
      </c>
      <c r="E755" s="47"/>
      <c r="F755" s="44">
        <v>50.0</v>
      </c>
      <c r="G755" s="45">
        <v>9023.0</v>
      </c>
      <c r="H755" s="46">
        <v>0.18</v>
      </c>
      <c r="I755" s="42">
        <f t="shared" si="1792"/>
        <v>65.7</v>
      </c>
      <c r="J755" s="47"/>
      <c r="K755" s="44">
        <v>50.0</v>
      </c>
      <c r="L755" s="48">
        <f t="shared" si="1708"/>
        <v>530.7</v>
      </c>
      <c r="M755" s="42">
        <f t="shared" si="1853"/>
        <v>3.65</v>
      </c>
      <c r="N755" s="49">
        <f t="shared" si="1854"/>
        <v>42.456</v>
      </c>
      <c r="O755" s="49">
        <f t="shared" si="1855"/>
        <v>53.07</v>
      </c>
      <c r="P755" s="49">
        <f t="shared" si="1856"/>
        <v>26.535</v>
      </c>
      <c r="Q755" s="49">
        <f t="shared" si="1857"/>
        <v>10.614</v>
      </c>
      <c r="R755" s="49">
        <f t="shared" si="1858"/>
        <v>3.8325</v>
      </c>
      <c r="S755" s="49">
        <f t="shared" si="1859"/>
        <v>5.307</v>
      </c>
      <c r="T755" s="50">
        <f t="shared" si="1860"/>
        <v>141.632</v>
      </c>
      <c r="U755" s="42">
        <f t="shared" si="1861"/>
        <v>7.665</v>
      </c>
      <c r="V755" s="42">
        <f t="shared" si="15"/>
        <v>38.325</v>
      </c>
      <c r="W755" s="42">
        <f t="shared" si="1862"/>
        <v>7.665</v>
      </c>
      <c r="X755" s="42">
        <f t="shared" si="1863"/>
        <v>61.32</v>
      </c>
      <c r="Y755" s="42">
        <f t="shared" si="1864"/>
        <v>114.975</v>
      </c>
      <c r="Z755" s="50">
        <f t="shared" si="1865"/>
        <v>787.307</v>
      </c>
      <c r="AA755" s="51">
        <f t="shared" si="1866"/>
        <v>157.4614</v>
      </c>
      <c r="AB755" s="49">
        <f t="shared" si="1867"/>
        <v>944.7684</v>
      </c>
      <c r="AC755" s="42">
        <f t="shared" si="1868"/>
        <v>766.5</v>
      </c>
      <c r="AD755" s="49">
        <f t="shared" si="1869"/>
        <v>178.2684</v>
      </c>
      <c r="AE755" s="49">
        <f t="shared" si="1870"/>
        <v>18.86900536</v>
      </c>
      <c r="AF755" s="47"/>
      <c r="AG755" s="52">
        <f t="shared" si="1871"/>
        <v>-100</v>
      </c>
      <c r="AH755" s="53">
        <f t="shared" si="1872"/>
        <v>1390</v>
      </c>
      <c r="AI755" s="53">
        <f t="shared" si="2360"/>
        <v>944.7684</v>
      </c>
      <c r="AJ755" s="54">
        <v>1390.0</v>
      </c>
      <c r="AK755" s="55">
        <f t="shared" si="1730"/>
        <v>161.9182212</v>
      </c>
      <c r="AL755" s="55"/>
      <c r="AM755" s="55">
        <f t="shared" si="1875"/>
        <v>100</v>
      </c>
      <c r="AN755" s="55">
        <f t="shared" si="1876"/>
        <v>261.9182212</v>
      </c>
      <c r="AO755" s="56">
        <f t="shared" si="1877"/>
        <v>2.619182212</v>
      </c>
      <c r="AP755" s="55">
        <f t="shared" si="1878"/>
        <v>4.452316</v>
      </c>
      <c r="AQ755" s="55">
        <f t="shared" si="1879"/>
        <v>6.235</v>
      </c>
      <c r="AR755" s="57">
        <f t="shared" ref="AR755:AS755" si="2461">AI755/94</f>
        <v>10.05072766</v>
      </c>
      <c r="AS755" s="57">
        <f t="shared" si="2461"/>
        <v>14.78723404</v>
      </c>
      <c r="AT755" s="58">
        <f t="shared" ref="AT755:AU755" si="2462">AI755/24</f>
        <v>39.36535</v>
      </c>
      <c r="AU755" s="58">
        <f t="shared" si="2462"/>
        <v>57.91666667</v>
      </c>
      <c r="AV755" s="58">
        <f t="shared" ref="AV755:AW755" si="2463">AI755/125</f>
        <v>7.5581472</v>
      </c>
      <c r="AW755" s="58">
        <f t="shared" si="2463"/>
        <v>11.12</v>
      </c>
      <c r="AX755" s="47"/>
      <c r="AY755" s="47"/>
    </row>
    <row r="756" ht="15.75" customHeight="1">
      <c r="A756" s="42"/>
      <c r="B756" s="42" t="s">
        <v>1495</v>
      </c>
      <c r="C756" s="95" t="s">
        <v>1496</v>
      </c>
      <c r="D756" s="45">
        <v>365.0</v>
      </c>
      <c r="E756" s="47"/>
      <c r="F756" s="44">
        <v>50.0</v>
      </c>
      <c r="G756" s="45">
        <v>9023.0</v>
      </c>
      <c r="H756" s="46">
        <v>0.18</v>
      </c>
      <c r="I756" s="42">
        <f t="shared" si="1792"/>
        <v>65.7</v>
      </c>
      <c r="J756" s="47"/>
      <c r="K756" s="44">
        <v>50.0</v>
      </c>
      <c r="L756" s="48">
        <f t="shared" si="1708"/>
        <v>530.7</v>
      </c>
      <c r="M756" s="42">
        <f t="shared" si="1853"/>
        <v>3.65</v>
      </c>
      <c r="N756" s="49">
        <f t="shared" si="1854"/>
        <v>42.456</v>
      </c>
      <c r="O756" s="49">
        <f t="shared" si="1855"/>
        <v>53.07</v>
      </c>
      <c r="P756" s="49">
        <f t="shared" si="1856"/>
        <v>26.535</v>
      </c>
      <c r="Q756" s="49">
        <f t="shared" si="1857"/>
        <v>10.614</v>
      </c>
      <c r="R756" s="49">
        <f t="shared" si="1858"/>
        <v>3.8325</v>
      </c>
      <c r="S756" s="49">
        <f t="shared" si="1859"/>
        <v>5.307</v>
      </c>
      <c r="T756" s="50">
        <f t="shared" si="1860"/>
        <v>141.632</v>
      </c>
      <c r="U756" s="42">
        <f t="shared" si="1861"/>
        <v>7.665</v>
      </c>
      <c r="V756" s="42">
        <f t="shared" si="15"/>
        <v>38.325</v>
      </c>
      <c r="W756" s="42">
        <f t="shared" si="1862"/>
        <v>7.665</v>
      </c>
      <c r="X756" s="42">
        <f t="shared" si="1863"/>
        <v>61.32</v>
      </c>
      <c r="Y756" s="42">
        <f t="shared" si="1864"/>
        <v>114.975</v>
      </c>
      <c r="Z756" s="50">
        <f t="shared" si="1865"/>
        <v>787.307</v>
      </c>
      <c r="AA756" s="51">
        <f t="shared" si="1866"/>
        <v>157.4614</v>
      </c>
      <c r="AB756" s="49">
        <f t="shared" si="1867"/>
        <v>944.7684</v>
      </c>
      <c r="AC756" s="42">
        <f t="shared" si="1868"/>
        <v>766.5</v>
      </c>
      <c r="AD756" s="49">
        <f t="shared" si="1869"/>
        <v>178.2684</v>
      </c>
      <c r="AE756" s="49">
        <f t="shared" si="1870"/>
        <v>18.86900536</v>
      </c>
      <c r="AF756" s="47"/>
      <c r="AG756" s="52">
        <f t="shared" si="1871"/>
        <v>-100</v>
      </c>
      <c r="AH756" s="53">
        <f t="shared" si="1872"/>
        <v>1390</v>
      </c>
      <c r="AI756" s="53">
        <f t="shared" si="2360"/>
        <v>944.7684</v>
      </c>
      <c r="AJ756" s="54">
        <v>1390.0</v>
      </c>
      <c r="AK756" s="55">
        <f t="shared" si="1730"/>
        <v>161.9182212</v>
      </c>
      <c r="AL756" s="55"/>
      <c r="AM756" s="55">
        <f t="shared" si="1875"/>
        <v>100</v>
      </c>
      <c r="AN756" s="55">
        <f t="shared" si="1876"/>
        <v>261.9182212</v>
      </c>
      <c r="AO756" s="56">
        <f t="shared" si="1877"/>
        <v>2.619182212</v>
      </c>
      <c r="AP756" s="55">
        <f t="shared" si="1878"/>
        <v>4.452316</v>
      </c>
      <c r="AQ756" s="55">
        <f t="shared" si="1879"/>
        <v>6.235</v>
      </c>
      <c r="AR756" s="57">
        <f t="shared" ref="AR756:AS756" si="2464">AI756/94</f>
        <v>10.05072766</v>
      </c>
      <c r="AS756" s="57">
        <f t="shared" si="2464"/>
        <v>14.78723404</v>
      </c>
      <c r="AT756" s="58">
        <f t="shared" ref="AT756:AU756" si="2465">AI756/24</f>
        <v>39.36535</v>
      </c>
      <c r="AU756" s="58">
        <f t="shared" si="2465"/>
        <v>57.91666667</v>
      </c>
      <c r="AV756" s="58">
        <f t="shared" ref="AV756:AW756" si="2466">AI756/125</f>
        <v>7.5581472</v>
      </c>
      <c r="AW756" s="58">
        <f t="shared" si="2466"/>
        <v>11.12</v>
      </c>
      <c r="AX756" s="47"/>
      <c r="AY756" s="47"/>
    </row>
    <row r="757" ht="15.75" customHeight="1">
      <c r="A757" s="42"/>
      <c r="B757" s="42" t="s">
        <v>1497</v>
      </c>
      <c r="C757" s="95" t="s">
        <v>1498</v>
      </c>
      <c r="D757" s="45">
        <v>365.0</v>
      </c>
      <c r="E757" s="47"/>
      <c r="F757" s="44">
        <v>50.0</v>
      </c>
      <c r="G757" s="45">
        <v>9023.0</v>
      </c>
      <c r="H757" s="46">
        <v>0.18</v>
      </c>
      <c r="I757" s="42">
        <f t="shared" si="1792"/>
        <v>65.7</v>
      </c>
      <c r="J757" s="47"/>
      <c r="K757" s="44">
        <v>50.0</v>
      </c>
      <c r="L757" s="48">
        <f t="shared" si="1708"/>
        <v>530.7</v>
      </c>
      <c r="M757" s="42">
        <f t="shared" si="1853"/>
        <v>3.65</v>
      </c>
      <c r="N757" s="49">
        <f t="shared" si="1854"/>
        <v>42.456</v>
      </c>
      <c r="O757" s="49">
        <f t="shared" si="1855"/>
        <v>53.07</v>
      </c>
      <c r="P757" s="49">
        <f t="shared" si="1856"/>
        <v>26.535</v>
      </c>
      <c r="Q757" s="49">
        <f t="shared" si="1857"/>
        <v>10.614</v>
      </c>
      <c r="R757" s="49">
        <f t="shared" si="1858"/>
        <v>3.8325</v>
      </c>
      <c r="S757" s="49">
        <f t="shared" si="1859"/>
        <v>5.307</v>
      </c>
      <c r="T757" s="50">
        <f t="shared" si="1860"/>
        <v>141.632</v>
      </c>
      <c r="U757" s="42">
        <f t="shared" si="1861"/>
        <v>7.665</v>
      </c>
      <c r="V757" s="42">
        <f t="shared" si="15"/>
        <v>38.325</v>
      </c>
      <c r="W757" s="42">
        <f t="shared" si="1862"/>
        <v>7.665</v>
      </c>
      <c r="X757" s="42">
        <f t="shared" si="1863"/>
        <v>61.32</v>
      </c>
      <c r="Y757" s="42">
        <f t="shared" si="1864"/>
        <v>114.975</v>
      </c>
      <c r="Z757" s="50">
        <f t="shared" si="1865"/>
        <v>787.307</v>
      </c>
      <c r="AA757" s="51">
        <f t="shared" si="1866"/>
        <v>157.4614</v>
      </c>
      <c r="AB757" s="49">
        <f t="shared" si="1867"/>
        <v>944.7684</v>
      </c>
      <c r="AC757" s="42">
        <f t="shared" si="1868"/>
        <v>766.5</v>
      </c>
      <c r="AD757" s="49">
        <f t="shared" si="1869"/>
        <v>178.2684</v>
      </c>
      <c r="AE757" s="49">
        <f t="shared" si="1870"/>
        <v>18.86900536</v>
      </c>
      <c r="AF757" s="47"/>
      <c r="AG757" s="52">
        <f t="shared" si="1871"/>
        <v>-100</v>
      </c>
      <c r="AH757" s="53">
        <f t="shared" si="1872"/>
        <v>1390</v>
      </c>
      <c r="AI757" s="53">
        <f t="shared" si="2360"/>
        <v>944.7684</v>
      </c>
      <c r="AJ757" s="54">
        <v>1390.0</v>
      </c>
      <c r="AK757" s="55">
        <f t="shared" si="1730"/>
        <v>161.9182212</v>
      </c>
      <c r="AL757" s="55"/>
      <c r="AM757" s="55">
        <f t="shared" si="1875"/>
        <v>100</v>
      </c>
      <c r="AN757" s="55">
        <f t="shared" si="1876"/>
        <v>261.9182212</v>
      </c>
      <c r="AO757" s="56">
        <f t="shared" si="1877"/>
        <v>2.619182212</v>
      </c>
      <c r="AP757" s="55">
        <f t="shared" si="1878"/>
        <v>4.452316</v>
      </c>
      <c r="AQ757" s="55">
        <f t="shared" si="1879"/>
        <v>6.235</v>
      </c>
      <c r="AR757" s="57">
        <f t="shared" ref="AR757:AS757" si="2467">AI757/94</f>
        <v>10.05072766</v>
      </c>
      <c r="AS757" s="57">
        <f t="shared" si="2467"/>
        <v>14.78723404</v>
      </c>
      <c r="AT757" s="58">
        <f t="shared" ref="AT757:AU757" si="2468">AI757/24</f>
        <v>39.36535</v>
      </c>
      <c r="AU757" s="58">
        <f t="shared" si="2468"/>
        <v>57.91666667</v>
      </c>
      <c r="AV757" s="58">
        <f t="shared" ref="AV757:AW757" si="2469">AI757/125</f>
        <v>7.5581472</v>
      </c>
      <c r="AW757" s="58">
        <f t="shared" si="2469"/>
        <v>11.12</v>
      </c>
      <c r="AX757" s="47"/>
      <c r="AY757" s="47"/>
    </row>
    <row r="758" ht="15.75" customHeight="1">
      <c r="A758" s="42"/>
      <c r="B758" s="44" t="s">
        <v>1499</v>
      </c>
      <c r="C758" s="95" t="s">
        <v>1500</v>
      </c>
      <c r="D758" s="45">
        <v>365.0</v>
      </c>
      <c r="E758" s="47"/>
      <c r="F758" s="44">
        <v>50.0</v>
      </c>
      <c r="G758" s="45">
        <v>9023.0</v>
      </c>
      <c r="H758" s="46">
        <v>0.18</v>
      </c>
      <c r="I758" s="42">
        <f t="shared" si="1792"/>
        <v>65.7</v>
      </c>
      <c r="J758" s="47"/>
      <c r="K758" s="44">
        <v>50.0</v>
      </c>
      <c r="L758" s="48">
        <f t="shared" si="1708"/>
        <v>530.7</v>
      </c>
      <c r="M758" s="42">
        <f t="shared" si="1853"/>
        <v>3.65</v>
      </c>
      <c r="N758" s="49">
        <f t="shared" si="1854"/>
        <v>42.456</v>
      </c>
      <c r="O758" s="49">
        <f t="shared" si="1855"/>
        <v>53.07</v>
      </c>
      <c r="P758" s="49">
        <f t="shared" si="1856"/>
        <v>26.535</v>
      </c>
      <c r="Q758" s="49">
        <f t="shared" si="1857"/>
        <v>10.614</v>
      </c>
      <c r="R758" s="49">
        <f t="shared" si="1858"/>
        <v>3.8325</v>
      </c>
      <c r="S758" s="49">
        <f t="shared" si="1859"/>
        <v>5.307</v>
      </c>
      <c r="T758" s="50">
        <f t="shared" si="1860"/>
        <v>141.632</v>
      </c>
      <c r="U758" s="42">
        <f t="shared" si="1861"/>
        <v>7.665</v>
      </c>
      <c r="V758" s="42">
        <f t="shared" si="15"/>
        <v>38.325</v>
      </c>
      <c r="W758" s="42">
        <f t="shared" si="1862"/>
        <v>7.665</v>
      </c>
      <c r="X758" s="42">
        <f t="shared" si="1863"/>
        <v>61.32</v>
      </c>
      <c r="Y758" s="42">
        <f t="shared" si="1864"/>
        <v>114.975</v>
      </c>
      <c r="Z758" s="50">
        <f t="shared" si="1865"/>
        <v>787.307</v>
      </c>
      <c r="AA758" s="51">
        <f t="shared" si="1866"/>
        <v>157.4614</v>
      </c>
      <c r="AB758" s="49">
        <f t="shared" si="1867"/>
        <v>944.7684</v>
      </c>
      <c r="AC758" s="42">
        <f t="shared" si="1868"/>
        <v>766.5</v>
      </c>
      <c r="AD758" s="49">
        <f t="shared" si="1869"/>
        <v>178.2684</v>
      </c>
      <c r="AE758" s="49">
        <f t="shared" si="1870"/>
        <v>18.86900536</v>
      </c>
      <c r="AF758" s="47"/>
      <c r="AG758" s="52">
        <f t="shared" si="1871"/>
        <v>-100</v>
      </c>
      <c r="AH758" s="53">
        <f t="shared" si="1872"/>
        <v>1390</v>
      </c>
      <c r="AI758" s="53">
        <f t="shared" si="2360"/>
        <v>944.7684</v>
      </c>
      <c r="AJ758" s="54">
        <v>1390.0</v>
      </c>
      <c r="AK758" s="55">
        <f t="shared" si="1730"/>
        <v>161.9182212</v>
      </c>
      <c r="AL758" s="55"/>
      <c r="AM758" s="55">
        <f t="shared" si="1875"/>
        <v>100</v>
      </c>
      <c r="AN758" s="55">
        <f t="shared" si="1876"/>
        <v>261.9182212</v>
      </c>
      <c r="AO758" s="56">
        <f t="shared" si="1877"/>
        <v>2.619182212</v>
      </c>
      <c r="AP758" s="55">
        <f t="shared" si="1878"/>
        <v>4.452316</v>
      </c>
      <c r="AQ758" s="55">
        <f t="shared" si="1879"/>
        <v>6.235</v>
      </c>
      <c r="AR758" s="57">
        <f t="shared" ref="AR758:AS758" si="2470">AI758/94</f>
        <v>10.05072766</v>
      </c>
      <c r="AS758" s="57">
        <f t="shared" si="2470"/>
        <v>14.78723404</v>
      </c>
      <c r="AT758" s="58">
        <f t="shared" ref="AT758:AU758" si="2471">AI758/24</f>
        <v>39.36535</v>
      </c>
      <c r="AU758" s="58">
        <f t="shared" si="2471"/>
        <v>57.91666667</v>
      </c>
      <c r="AV758" s="58">
        <f t="shared" ref="AV758:AW758" si="2472">AI758/125</f>
        <v>7.5581472</v>
      </c>
      <c r="AW758" s="58">
        <f t="shared" si="2472"/>
        <v>11.12</v>
      </c>
      <c r="AX758" s="47"/>
      <c r="AY758" s="47"/>
    </row>
    <row r="759" ht="15.75" customHeight="1">
      <c r="A759" s="42"/>
      <c r="B759" s="42" t="s">
        <v>1501</v>
      </c>
      <c r="C759" s="95" t="s">
        <v>1502</v>
      </c>
      <c r="D759" s="45">
        <v>365.0</v>
      </c>
      <c r="E759" s="47"/>
      <c r="F759" s="44">
        <v>50.0</v>
      </c>
      <c r="G759" s="45">
        <v>9023.0</v>
      </c>
      <c r="H759" s="46">
        <v>0.18</v>
      </c>
      <c r="I759" s="42">
        <f t="shared" si="1792"/>
        <v>65.7</v>
      </c>
      <c r="J759" s="47"/>
      <c r="K759" s="44">
        <v>50.0</v>
      </c>
      <c r="L759" s="48">
        <f t="shared" si="1708"/>
        <v>530.7</v>
      </c>
      <c r="M759" s="42">
        <f t="shared" si="1853"/>
        <v>3.65</v>
      </c>
      <c r="N759" s="49">
        <f t="shared" si="1854"/>
        <v>42.456</v>
      </c>
      <c r="O759" s="49">
        <f t="shared" si="1855"/>
        <v>53.07</v>
      </c>
      <c r="P759" s="49">
        <f t="shared" si="1856"/>
        <v>26.535</v>
      </c>
      <c r="Q759" s="49">
        <f t="shared" si="1857"/>
        <v>10.614</v>
      </c>
      <c r="R759" s="49">
        <f t="shared" si="1858"/>
        <v>3.8325</v>
      </c>
      <c r="S759" s="49">
        <f t="shared" si="1859"/>
        <v>5.307</v>
      </c>
      <c r="T759" s="50">
        <f t="shared" si="1860"/>
        <v>141.632</v>
      </c>
      <c r="U759" s="42">
        <f t="shared" si="1861"/>
        <v>7.665</v>
      </c>
      <c r="V759" s="42">
        <f t="shared" si="15"/>
        <v>38.325</v>
      </c>
      <c r="W759" s="42">
        <f t="shared" si="1862"/>
        <v>7.665</v>
      </c>
      <c r="X759" s="42">
        <f t="shared" si="1863"/>
        <v>61.32</v>
      </c>
      <c r="Y759" s="42">
        <f t="shared" si="1864"/>
        <v>114.975</v>
      </c>
      <c r="Z759" s="50">
        <f t="shared" si="1865"/>
        <v>787.307</v>
      </c>
      <c r="AA759" s="51">
        <f t="shared" si="1866"/>
        <v>157.4614</v>
      </c>
      <c r="AB759" s="49">
        <f t="shared" si="1867"/>
        <v>944.7684</v>
      </c>
      <c r="AC759" s="42">
        <f t="shared" si="1868"/>
        <v>766.5</v>
      </c>
      <c r="AD759" s="49">
        <f t="shared" si="1869"/>
        <v>178.2684</v>
      </c>
      <c r="AE759" s="49">
        <f t="shared" si="1870"/>
        <v>18.86900536</v>
      </c>
      <c r="AF759" s="47"/>
      <c r="AG759" s="52">
        <f t="shared" si="1871"/>
        <v>-100</v>
      </c>
      <c r="AH759" s="53">
        <f t="shared" si="1872"/>
        <v>1390</v>
      </c>
      <c r="AI759" s="53">
        <f t="shared" si="2360"/>
        <v>944.7684</v>
      </c>
      <c r="AJ759" s="54">
        <v>1390.0</v>
      </c>
      <c r="AK759" s="55">
        <f t="shared" si="1730"/>
        <v>161.9182212</v>
      </c>
      <c r="AL759" s="55"/>
      <c r="AM759" s="55">
        <f t="shared" si="1875"/>
        <v>100</v>
      </c>
      <c r="AN759" s="55">
        <f t="shared" si="1876"/>
        <v>261.9182212</v>
      </c>
      <c r="AO759" s="56">
        <f t="shared" si="1877"/>
        <v>2.619182212</v>
      </c>
      <c r="AP759" s="55">
        <f t="shared" si="1878"/>
        <v>4.452316</v>
      </c>
      <c r="AQ759" s="55">
        <f t="shared" si="1879"/>
        <v>6.235</v>
      </c>
      <c r="AR759" s="57">
        <f t="shared" ref="AR759:AS759" si="2473">AI759/94</f>
        <v>10.05072766</v>
      </c>
      <c r="AS759" s="57">
        <f t="shared" si="2473"/>
        <v>14.78723404</v>
      </c>
      <c r="AT759" s="58">
        <f t="shared" ref="AT759:AU759" si="2474">AI759/24</f>
        <v>39.36535</v>
      </c>
      <c r="AU759" s="58">
        <f t="shared" si="2474"/>
        <v>57.91666667</v>
      </c>
      <c r="AV759" s="58">
        <f t="shared" ref="AV759:AW759" si="2475">AI759/125</f>
        <v>7.5581472</v>
      </c>
      <c r="AW759" s="58">
        <f t="shared" si="2475"/>
        <v>11.12</v>
      </c>
      <c r="AX759" s="47"/>
      <c r="AY759" s="47"/>
    </row>
    <row r="760" ht="15.75" customHeight="1">
      <c r="A760" s="42"/>
      <c r="B760" s="42" t="s">
        <v>1503</v>
      </c>
      <c r="C760" s="95" t="s">
        <v>1504</v>
      </c>
      <c r="D760" s="45">
        <v>365.0</v>
      </c>
      <c r="E760" s="47"/>
      <c r="F760" s="44">
        <v>50.0</v>
      </c>
      <c r="G760" s="45">
        <v>9023.0</v>
      </c>
      <c r="H760" s="46">
        <v>0.18</v>
      </c>
      <c r="I760" s="42">
        <f t="shared" si="1792"/>
        <v>65.7</v>
      </c>
      <c r="J760" s="47"/>
      <c r="K760" s="44">
        <v>50.0</v>
      </c>
      <c r="L760" s="48">
        <f t="shared" si="1708"/>
        <v>530.7</v>
      </c>
      <c r="M760" s="42">
        <f t="shared" si="1853"/>
        <v>3.65</v>
      </c>
      <c r="N760" s="49">
        <f t="shared" si="1854"/>
        <v>42.456</v>
      </c>
      <c r="O760" s="49">
        <f t="shared" si="1855"/>
        <v>53.07</v>
      </c>
      <c r="P760" s="49">
        <f t="shared" si="1856"/>
        <v>26.535</v>
      </c>
      <c r="Q760" s="49">
        <f t="shared" si="1857"/>
        <v>10.614</v>
      </c>
      <c r="R760" s="49">
        <f t="shared" si="1858"/>
        <v>3.8325</v>
      </c>
      <c r="S760" s="49">
        <f t="shared" si="1859"/>
        <v>5.307</v>
      </c>
      <c r="T760" s="50">
        <f t="shared" si="1860"/>
        <v>141.632</v>
      </c>
      <c r="U760" s="42">
        <f t="shared" si="1861"/>
        <v>7.665</v>
      </c>
      <c r="V760" s="42">
        <f t="shared" si="15"/>
        <v>38.325</v>
      </c>
      <c r="W760" s="42">
        <f t="shared" si="1862"/>
        <v>7.665</v>
      </c>
      <c r="X760" s="42">
        <f t="shared" si="1863"/>
        <v>61.32</v>
      </c>
      <c r="Y760" s="42">
        <f t="shared" si="1864"/>
        <v>114.975</v>
      </c>
      <c r="Z760" s="50">
        <f t="shared" si="1865"/>
        <v>787.307</v>
      </c>
      <c r="AA760" s="51">
        <f t="shared" si="1866"/>
        <v>157.4614</v>
      </c>
      <c r="AB760" s="49">
        <f t="shared" si="1867"/>
        <v>944.7684</v>
      </c>
      <c r="AC760" s="42">
        <f t="shared" si="1868"/>
        <v>766.5</v>
      </c>
      <c r="AD760" s="49">
        <f t="shared" si="1869"/>
        <v>178.2684</v>
      </c>
      <c r="AE760" s="49">
        <f t="shared" si="1870"/>
        <v>18.86900536</v>
      </c>
      <c r="AF760" s="47"/>
      <c r="AG760" s="52">
        <f t="shared" si="1871"/>
        <v>-100</v>
      </c>
      <c r="AH760" s="53">
        <f t="shared" si="1872"/>
        <v>1390</v>
      </c>
      <c r="AI760" s="53">
        <f t="shared" si="2360"/>
        <v>944.7684</v>
      </c>
      <c r="AJ760" s="54">
        <v>1390.0</v>
      </c>
      <c r="AK760" s="55">
        <f t="shared" si="1730"/>
        <v>161.9182212</v>
      </c>
      <c r="AL760" s="55"/>
      <c r="AM760" s="55">
        <f t="shared" si="1875"/>
        <v>100</v>
      </c>
      <c r="AN760" s="55">
        <f t="shared" si="1876"/>
        <v>261.9182212</v>
      </c>
      <c r="AO760" s="56">
        <f t="shared" si="1877"/>
        <v>2.619182212</v>
      </c>
      <c r="AP760" s="55">
        <f t="shared" si="1878"/>
        <v>4.452316</v>
      </c>
      <c r="AQ760" s="55">
        <f t="shared" si="1879"/>
        <v>6.235</v>
      </c>
      <c r="AR760" s="57">
        <f t="shared" ref="AR760:AS760" si="2476">AI760/94</f>
        <v>10.05072766</v>
      </c>
      <c r="AS760" s="57">
        <f t="shared" si="2476"/>
        <v>14.78723404</v>
      </c>
      <c r="AT760" s="58">
        <f t="shared" ref="AT760:AU760" si="2477">AI760/24</f>
        <v>39.36535</v>
      </c>
      <c r="AU760" s="58">
        <f t="shared" si="2477"/>
        <v>57.91666667</v>
      </c>
      <c r="AV760" s="58">
        <f t="shared" ref="AV760:AW760" si="2478">AI760/125</f>
        <v>7.5581472</v>
      </c>
      <c r="AW760" s="58">
        <f t="shared" si="2478"/>
        <v>11.12</v>
      </c>
      <c r="AX760" s="47"/>
      <c r="AY760" s="47"/>
    </row>
    <row r="761" ht="15.75" customHeight="1">
      <c r="A761" s="42"/>
      <c r="B761" s="42" t="s">
        <v>1505</v>
      </c>
      <c r="C761" s="95" t="s">
        <v>1506</v>
      </c>
      <c r="D761" s="45">
        <v>365.0</v>
      </c>
      <c r="E761" s="47"/>
      <c r="F761" s="44">
        <v>50.0</v>
      </c>
      <c r="G761" s="45">
        <v>9023.0</v>
      </c>
      <c r="H761" s="46">
        <v>0.18</v>
      </c>
      <c r="I761" s="42">
        <f t="shared" si="1792"/>
        <v>65.7</v>
      </c>
      <c r="J761" s="47"/>
      <c r="K761" s="44">
        <v>50.0</v>
      </c>
      <c r="L761" s="48">
        <f t="shared" si="1708"/>
        <v>530.7</v>
      </c>
      <c r="M761" s="42">
        <f t="shared" si="1853"/>
        <v>3.65</v>
      </c>
      <c r="N761" s="49">
        <f t="shared" si="1854"/>
        <v>42.456</v>
      </c>
      <c r="O761" s="49">
        <f t="shared" si="1855"/>
        <v>53.07</v>
      </c>
      <c r="P761" s="49">
        <f t="shared" si="1856"/>
        <v>26.535</v>
      </c>
      <c r="Q761" s="49">
        <f t="shared" si="1857"/>
        <v>10.614</v>
      </c>
      <c r="R761" s="49">
        <f t="shared" si="1858"/>
        <v>3.8325</v>
      </c>
      <c r="S761" s="49">
        <f t="shared" si="1859"/>
        <v>5.307</v>
      </c>
      <c r="T761" s="50">
        <f t="shared" si="1860"/>
        <v>141.632</v>
      </c>
      <c r="U761" s="42">
        <f t="shared" si="1861"/>
        <v>7.665</v>
      </c>
      <c r="V761" s="42">
        <f t="shared" si="15"/>
        <v>38.325</v>
      </c>
      <c r="W761" s="42">
        <f t="shared" si="1862"/>
        <v>7.665</v>
      </c>
      <c r="X761" s="42">
        <f t="shared" si="1863"/>
        <v>61.32</v>
      </c>
      <c r="Y761" s="42">
        <f t="shared" si="1864"/>
        <v>114.975</v>
      </c>
      <c r="Z761" s="50">
        <f t="shared" si="1865"/>
        <v>787.307</v>
      </c>
      <c r="AA761" s="51">
        <f t="shared" si="1866"/>
        <v>157.4614</v>
      </c>
      <c r="AB761" s="49">
        <f t="shared" si="1867"/>
        <v>944.7684</v>
      </c>
      <c r="AC761" s="42">
        <f t="shared" si="1868"/>
        <v>766.5</v>
      </c>
      <c r="AD761" s="49">
        <f t="shared" si="1869"/>
        <v>178.2684</v>
      </c>
      <c r="AE761" s="49">
        <f t="shared" si="1870"/>
        <v>18.86900536</v>
      </c>
      <c r="AF761" s="47"/>
      <c r="AG761" s="52">
        <f t="shared" si="1871"/>
        <v>-100</v>
      </c>
      <c r="AH761" s="53">
        <f t="shared" si="1872"/>
        <v>1390</v>
      </c>
      <c r="AI761" s="53">
        <f t="shared" si="2360"/>
        <v>944.7684</v>
      </c>
      <c r="AJ761" s="54">
        <v>1390.0</v>
      </c>
      <c r="AK761" s="55">
        <f t="shared" si="1730"/>
        <v>161.9182212</v>
      </c>
      <c r="AL761" s="55"/>
      <c r="AM761" s="55">
        <f t="shared" si="1875"/>
        <v>100</v>
      </c>
      <c r="AN761" s="55">
        <f t="shared" si="1876"/>
        <v>261.9182212</v>
      </c>
      <c r="AO761" s="56">
        <f t="shared" si="1877"/>
        <v>2.619182212</v>
      </c>
      <c r="AP761" s="55">
        <f t="shared" si="1878"/>
        <v>4.452316</v>
      </c>
      <c r="AQ761" s="55">
        <f t="shared" si="1879"/>
        <v>6.235</v>
      </c>
      <c r="AR761" s="57">
        <f t="shared" ref="AR761:AS761" si="2479">AI761/94</f>
        <v>10.05072766</v>
      </c>
      <c r="AS761" s="57">
        <f t="shared" si="2479"/>
        <v>14.78723404</v>
      </c>
      <c r="AT761" s="58">
        <f t="shared" ref="AT761:AU761" si="2480">AI761/24</f>
        <v>39.36535</v>
      </c>
      <c r="AU761" s="58">
        <f t="shared" si="2480"/>
        <v>57.91666667</v>
      </c>
      <c r="AV761" s="58">
        <f t="shared" ref="AV761:AW761" si="2481">AI761/125</f>
        <v>7.5581472</v>
      </c>
      <c r="AW761" s="58">
        <f t="shared" si="2481"/>
        <v>11.12</v>
      </c>
      <c r="AX761" s="47"/>
      <c r="AY761" s="47"/>
    </row>
    <row r="762" ht="15.0" customHeight="1">
      <c r="A762" s="42" t="s">
        <v>1507</v>
      </c>
      <c r="B762" s="42" t="s">
        <v>1508</v>
      </c>
      <c r="C762" s="42" t="s">
        <v>1509</v>
      </c>
      <c r="D762" s="43">
        <v>400.0</v>
      </c>
      <c r="E762" s="47"/>
      <c r="F762" s="44">
        <v>40.0</v>
      </c>
      <c r="G762" s="45">
        <v>9202.0</v>
      </c>
      <c r="H762" s="46">
        <v>0.18</v>
      </c>
      <c r="I762" s="42">
        <f t="shared" si="1792"/>
        <v>72</v>
      </c>
      <c r="J762" s="47"/>
      <c r="K762" s="44">
        <v>50.0</v>
      </c>
      <c r="L762" s="48">
        <f t="shared" si="1708"/>
        <v>562</v>
      </c>
      <c r="M762" s="42">
        <f t="shared" si="1853"/>
        <v>4</v>
      </c>
      <c r="N762" s="49">
        <f t="shared" si="1854"/>
        <v>44.96</v>
      </c>
      <c r="O762" s="49">
        <f t="shared" si="1855"/>
        <v>56.2</v>
      </c>
      <c r="P762" s="49">
        <f t="shared" si="1856"/>
        <v>28.1</v>
      </c>
      <c r="Q762" s="49">
        <f t="shared" si="1857"/>
        <v>11.24</v>
      </c>
      <c r="R762" s="49">
        <f t="shared" si="1858"/>
        <v>4.2</v>
      </c>
      <c r="S762" s="49">
        <f t="shared" si="1859"/>
        <v>5.62</v>
      </c>
      <c r="T762" s="50">
        <f t="shared" si="1860"/>
        <v>150.12</v>
      </c>
      <c r="U762" s="42">
        <f t="shared" si="1861"/>
        <v>8.4</v>
      </c>
      <c r="V762" s="42">
        <f t="shared" si="15"/>
        <v>42</v>
      </c>
      <c r="W762" s="42">
        <f t="shared" si="1862"/>
        <v>8.4</v>
      </c>
      <c r="X762" s="42">
        <f t="shared" si="1863"/>
        <v>67.2</v>
      </c>
      <c r="Y762" s="42">
        <f t="shared" si="1864"/>
        <v>126</v>
      </c>
      <c r="Z762" s="50">
        <f t="shared" si="1865"/>
        <v>838.12</v>
      </c>
      <c r="AA762" s="51">
        <f t="shared" si="1866"/>
        <v>167.624</v>
      </c>
      <c r="AB762" s="49">
        <f t="shared" si="1867"/>
        <v>1005.744</v>
      </c>
      <c r="AC762" s="42">
        <f t="shared" si="1868"/>
        <v>840</v>
      </c>
      <c r="AD762" s="49">
        <f t="shared" si="1869"/>
        <v>165.744</v>
      </c>
      <c r="AE762" s="49">
        <f t="shared" si="1870"/>
        <v>16.47974037</v>
      </c>
      <c r="AF762" s="47">
        <v>2350.0</v>
      </c>
      <c r="AG762" s="52">
        <f t="shared" si="1871"/>
        <v>318.1494662</v>
      </c>
      <c r="AH762" s="53">
        <f t="shared" si="1872"/>
        <v>-860</v>
      </c>
      <c r="AI762" s="53">
        <v>3290.0</v>
      </c>
      <c r="AJ762" s="54">
        <v>1490.0</v>
      </c>
      <c r="AK762" s="55">
        <f t="shared" si="1730"/>
        <v>165.1245552</v>
      </c>
      <c r="AL762" s="55"/>
      <c r="AM762" s="55">
        <f t="shared" ref="AM762:AM764" si="2485">(AH762/AJ762)*100</f>
        <v>-57.71812081</v>
      </c>
      <c r="AN762" s="55">
        <f t="shared" si="1876"/>
        <v>-153.024911</v>
      </c>
      <c r="AO762" s="56">
        <f t="shared" si="1877"/>
        <v>2.651245552</v>
      </c>
      <c r="AP762" s="55">
        <f t="shared" si="1878"/>
        <v>4.84256</v>
      </c>
      <c r="AQ762" s="55">
        <f t="shared" si="1879"/>
        <v>6.5</v>
      </c>
      <c r="AR762" s="57">
        <f t="shared" ref="AR762:AS762" si="2482">AI762/94</f>
        <v>35</v>
      </c>
      <c r="AS762" s="57">
        <f t="shared" si="2482"/>
        <v>15.85106383</v>
      </c>
      <c r="AT762" s="58">
        <f t="shared" ref="AT762:AU762" si="2483">AI762/24</f>
        <v>137.0833333</v>
      </c>
      <c r="AU762" s="58">
        <f t="shared" si="2483"/>
        <v>62.08333333</v>
      </c>
      <c r="AV762" s="58">
        <f t="shared" ref="AV762:AW762" si="2484">AI762/125</f>
        <v>26.32</v>
      </c>
      <c r="AW762" s="58">
        <f t="shared" si="2484"/>
        <v>11.92</v>
      </c>
      <c r="AX762" s="47"/>
      <c r="AY762" s="47"/>
    </row>
    <row r="763" ht="15.75" customHeight="1">
      <c r="A763" s="42"/>
      <c r="B763" s="42" t="s">
        <v>1510</v>
      </c>
      <c r="C763" s="42" t="s">
        <v>1511</v>
      </c>
      <c r="D763" s="43">
        <v>400.0</v>
      </c>
      <c r="E763" s="47"/>
      <c r="F763" s="44">
        <v>40.0</v>
      </c>
      <c r="G763" s="45">
        <v>9202.0</v>
      </c>
      <c r="H763" s="46">
        <v>0.18</v>
      </c>
      <c r="I763" s="42">
        <f t="shared" si="1792"/>
        <v>72</v>
      </c>
      <c r="J763" s="47"/>
      <c r="K763" s="44">
        <v>50.0</v>
      </c>
      <c r="L763" s="48">
        <f t="shared" si="1708"/>
        <v>562</v>
      </c>
      <c r="M763" s="42">
        <f t="shared" si="1853"/>
        <v>4</v>
      </c>
      <c r="N763" s="49">
        <f t="shared" si="1854"/>
        <v>44.96</v>
      </c>
      <c r="O763" s="49">
        <f t="shared" si="1855"/>
        <v>56.2</v>
      </c>
      <c r="P763" s="49">
        <f t="shared" si="1856"/>
        <v>28.1</v>
      </c>
      <c r="Q763" s="49">
        <f t="shared" si="1857"/>
        <v>11.24</v>
      </c>
      <c r="R763" s="49">
        <f t="shared" si="1858"/>
        <v>4.2</v>
      </c>
      <c r="S763" s="49">
        <f t="shared" si="1859"/>
        <v>5.62</v>
      </c>
      <c r="T763" s="50">
        <f t="shared" si="1860"/>
        <v>150.12</v>
      </c>
      <c r="U763" s="42">
        <f t="shared" si="1861"/>
        <v>8.4</v>
      </c>
      <c r="V763" s="42">
        <f t="shared" si="15"/>
        <v>42</v>
      </c>
      <c r="W763" s="42">
        <f t="shared" si="1862"/>
        <v>8.4</v>
      </c>
      <c r="X763" s="42">
        <f t="shared" si="1863"/>
        <v>67.2</v>
      </c>
      <c r="Y763" s="42">
        <f t="shared" si="1864"/>
        <v>126</v>
      </c>
      <c r="Z763" s="50">
        <f t="shared" si="1865"/>
        <v>838.12</v>
      </c>
      <c r="AA763" s="51">
        <f t="shared" si="1866"/>
        <v>167.624</v>
      </c>
      <c r="AB763" s="49">
        <f t="shared" si="1867"/>
        <v>1005.744</v>
      </c>
      <c r="AC763" s="42">
        <f t="shared" si="1868"/>
        <v>840</v>
      </c>
      <c r="AD763" s="49">
        <f t="shared" si="1869"/>
        <v>165.744</v>
      </c>
      <c r="AE763" s="49">
        <f t="shared" si="1870"/>
        <v>16.47974037</v>
      </c>
      <c r="AF763" s="47">
        <v>2550.0</v>
      </c>
      <c r="AG763" s="52">
        <f t="shared" si="1871"/>
        <v>353.7366548</v>
      </c>
      <c r="AH763" s="53">
        <f t="shared" si="1872"/>
        <v>-1060</v>
      </c>
      <c r="AI763" s="53">
        <v>3490.0</v>
      </c>
      <c r="AJ763" s="54">
        <v>1490.0</v>
      </c>
      <c r="AK763" s="55">
        <f t="shared" si="1730"/>
        <v>165.1245552</v>
      </c>
      <c r="AL763" s="55"/>
      <c r="AM763" s="55">
        <f t="shared" si="2485"/>
        <v>-71.1409396</v>
      </c>
      <c r="AN763" s="55">
        <f t="shared" si="1876"/>
        <v>-188.6120996</v>
      </c>
      <c r="AO763" s="56">
        <f t="shared" si="1877"/>
        <v>2.651245552</v>
      </c>
      <c r="AP763" s="55">
        <f t="shared" si="1878"/>
        <v>4.84256</v>
      </c>
      <c r="AQ763" s="55">
        <f t="shared" si="1879"/>
        <v>6.5</v>
      </c>
      <c r="AR763" s="57">
        <f t="shared" ref="AR763:AS763" si="2486">AI763/94</f>
        <v>37.12765957</v>
      </c>
      <c r="AS763" s="57">
        <f t="shared" si="2486"/>
        <v>15.85106383</v>
      </c>
      <c r="AT763" s="58">
        <f t="shared" ref="AT763:AU763" si="2487">AI763/24</f>
        <v>145.4166667</v>
      </c>
      <c r="AU763" s="58">
        <f t="shared" si="2487"/>
        <v>62.08333333</v>
      </c>
      <c r="AV763" s="58">
        <f t="shared" ref="AV763:AW763" si="2488">AI763/125</f>
        <v>27.92</v>
      </c>
      <c r="AW763" s="58">
        <f t="shared" si="2488"/>
        <v>11.92</v>
      </c>
      <c r="AX763" s="47"/>
      <c r="AY763" s="47"/>
    </row>
    <row r="764" ht="15.75" customHeight="1">
      <c r="A764" s="42"/>
      <c r="B764" s="42" t="s">
        <v>1512</v>
      </c>
      <c r="C764" s="42" t="s">
        <v>1513</v>
      </c>
      <c r="D764" s="43">
        <v>400.0</v>
      </c>
      <c r="E764" s="47"/>
      <c r="F764" s="44">
        <v>40.0</v>
      </c>
      <c r="G764" s="45">
        <v>9202.0</v>
      </c>
      <c r="H764" s="46">
        <v>0.18</v>
      </c>
      <c r="I764" s="42">
        <f t="shared" si="1792"/>
        <v>72</v>
      </c>
      <c r="J764" s="47"/>
      <c r="K764" s="44">
        <v>50.0</v>
      </c>
      <c r="L764" s="48">
        <f t="shared" si="1708"/>
        <v>562</v>
      </c>
      <c r="M764" s="42">
        <f t="shared" si="1853"/>
        <v>4</v>
      </c>
      <c r="N764" s="49">
        <f t="shared" si="1854"/>
        <v>44.96</v>
      </c>
      <c r="O764" s="49">
        <f t="shared" si="1855"/>
        <v>56.2</v>
      </c>
      <c r="P764" s="49">
        <f t="shared" si="1856"/>
        <v>28.1</v>
      </c>
      <c r="Q764" s="49">
        <f t="shared" si="1857"/>
        <v>11.24</v>
      </c>
      <c r="R764" s="49">
        <f t="shared" si="1858"/>
        <v>4.2</v>
      </c>
      <c r="S764" s="49">
        <f t="shared" si="1859"/>
        <v>5.62</v>
      </c>
      <c r="T764" s="50">
        <f t="shared" si="1860"/>
        <v>150.12</v>
      </c>
      <c r="U764" s="42">
        <f t="shared" si="1861"/>
        <v>8.4</v>
      </c>
      <c r="V764" s="42">
        <f t="shared" si="15"/>
        <v>42</v>
      </c>
      <c r="W764" s="42">
        <f t="shared" si="1862"/>
        <v>8.4</v>
      </c>
      <c r="X764" s="42">
        <f t="shared" si="1863"/>
        <v>67.2</v>
      </c>
      <c r="Y764" s="42">
        <f t="shared" si="1864"/>
        <v>126</v>
      </c>
      <c r="Z764" s="50">
        <f t="shared" si="1865"/>
        <v>838.12</v>
      </c>
      <c r="AA764" s="51">
        <f t="shared" si="1866"/>
        <v>167.624</v>
      </c>
      <c r="AB764" s="49">
        <f t="shared" si="1867"/>
        <v>1005.744</v>
      </c>
      <c r="AC764" s="42">
        <f t="shared" si="1868"/>
        <v>840</v>
      </c>
      <c r="AD764" s="49">
        <f t="shared" si="1869"/>
        <v>165.744</v>
      </c>
      <c r="AE764" s="49">
        <f t="shared" si="1870"/>
        <v>16.47974037</v>
      </c>
      <c r="AF764" s="47">
        <v>2750.0</v>
      </c>
      <c r="AG764" s="52">
        <f t="shared" si="1871"/>
        <v>389.3238434</v>
      </c>
      <c r="AH764" s="53">
        <f t="shared" si="1872"/>
        <v>-1260</v>
      </c>
      <c r="AI764" s="53">
        <v>3690.0</v>
      </c>
      <c r="AJ764" s="54">
        <v>1490.0</v>
      </c>
      <c r="AK764" s="55">
        <f t="shared" si="1730"/>
        <v>165.1245552</v>
      </c>
      <c r="AL764" s="55"/>
      <c r="AM764" s="55">
        <f t="shared" si="2485"/>
        <v>-84.56375839</v>
      </c>
      <c r="AN764" s="55">
        <f t="shared" si="1876"/>
        <v>-224.1992883</v>
      </c>
      <c r="AO764" s="56">
        <f t="shared" si="1877"/>
        <v>2.651245552</v>
      </c>
      <c r="AP764" s="55">
        <f t="shared" si="1878"/>
        <v>4.84256</v>
      </c>
      <c r="AQ764" s="55">
        <f t="shared" si="1879"/>
        <v>6.5</v>
      </c>
      <c r="AR764" s="57">
        <f t="shared" ref="AR764:AS764" si="2489">AI764/94</f>
        <v>39.25531915</v>
      </c>
      <c r="AS764" s="57">
        <f t="shared" si="2489"/>
        <v>15.85106383</v>
      </c>
      <c r="AT764" s="58">
        <f t="shared" ref="AT764:AU764" si="2490">AI764/24</f>
        <v>153.75</v>
      </c>
      <c r="AU764" s="58">
        <f t="shared" si="2490"/>
        <v>62.08333333</v>
      </c>
      <c r="AV764" s="58">
        <f t="shared" ref="AV764:AW764" si="2491">AI764/125</f>
        <v>29.52</v>
      </c>
      <c r="AW764" s="58">
        <f t="shared" si="2491"/>
        <v>11.92</v>
      </c>
      <c r="AX764" s="47"/>
      <c r="AY764" s="47"/>
    </row>
    <row r="765" ht="15.75" customHeight="1">
      <c r="A765" s="42"/>
      <c r="B765" s="44" t="s">
        <v>1514</v>
      </c>
      <c r="C765" s="44" t="s">
        <v>1515</v>
      </c>
      <c r="D765" s="43">
        <v>1200.0</v>
      </c>
      <c r="E765" s="47"/>
      <c r="F765" s="44">
        <v>40.0</v>
      </c>
      <c r="G765" s="45"/>
      <c r="H765" s="46"/>
      <c r="I765" s="42"/>
      <c r="J765" s="47"/>
      <c r="K765" s="44">
        <v>50.0</v>
      </c>
      <c r="L765" s="48">
        <f t="shared" si="1708"/>
        <v>1290</v>
      </c>
      <c r="M765" s="42"/>
      <c r="N765" s="49"/>
      <c r="O765" s="49"/>
      <c r="P765" s="49"/>
      <c r="Q765" s="49"/>
      <c r="R765" s="49"/>
      <c r="S765" s="49"/>
      <c r="T765" s="50"/>
      <c r="U765" s="42"/>
      <c r="V765" s="42">
        <f t="shared" si="15"/>
        <v>0</v>
      </c>
      <c r="W765" s="42"/>
      <c r="X765" s="42"/>
      <c r="Y765" s="42"/>
      <c r="Z765" s="50"/>
      <c r="AA765" s="51"/>
      <c r="AB765" s="49"/>
      <c r="AC765" s="42"/>
      <c r="AD765" s="49"/>
      <c r="AE765" s="49"/>
      <c r="AF765" s="47"/>
      <c r="AG765" s="52"/>
      <c r="AH765" s="53"/>
      <c r="AI765" s="53"/>
      <c r="AJ765" s="54">
        <v>3290.0</v>
      </c>
      <c r="AK765" s="55">
        <f t="shared" si="1730"/>
        <v>155.0387597</v>
      </c>
      <c r="AL765" s="55"/>
      <c r="AM765" s="55"/>
      <c r="AN765" s="55"/>
      <c r="AO765" s="56"/>
      <c r="AP765" s="55"/>
      <c r="AQ765" s="55"/>
      <c r="AR765" s="57"/>
      <c r="AS765" s="57"/>
      <c r="AT765" s="58"/>
      <c r="AU765" s="58"/>
      <c r="AV765" s="58"/>
      <c r="AW765" s="58"/>
      <c r="AX765" s="47"/>
      <c r="AY765" s="47"/>
    </row>
    <row r="766" ht="15.0" customHeight="1">
      <c r="A766" s="2" t="s">
        <v>1516</v>
      </c>
      <c r="B766" s="2" t="s">
        <v>1517</v>
      </c>
      <c r="C766" s="2" t="s">
        <v>1518</v>
      </c>
      <c r="D766" s="10">
        <v>1160.0</v>
      </c>
      <c r="F766" s="1">
        <v>40.0</v>
      </c>
      <c r="G766" s="10">
        <v>9202.0</v>
      </c>
      <c r="H766" s="59">
        <v>0.18</v>
      </c>
      <c r="I766" s="2">
        <f>D766*H766</f>
        <v>208.8</v>
      </c>
      <c r="K766" s="1">
        <v>20.0</v>
      </c>
      <c r="L766" s="4">
        <f t="shared" si="1708"/>
        <v>1428.8</v>
      </c>
      <c r="M766" s="2">
        <f t="shared" ref="M766:M777" si="2495">D766*1%</f>
        <v>11.6</v>
      </c>
      <c r="N766" s="12">
        <f t="shared" ref="N766:N795" si="2496">L766*8%</f>
        <v>114.304</v>
      </c>
      <c r="O766" s="12">
        <f t="shared" ref="O766:O795" si="2497">L766*10%</f>
        <v>142.88</v>
      </c>
      <c r="P766" s="12">
        <f t="shared" ref="P766:P795" si="2498">L766*5%</f>
        <v>71.44</v>
      </c>
      <c r="Q766" s="12">
        <f t="shared" ref="Q766:Q795" si="2499">L766*2%</f>
        <v>28.576</v>
      </c>
      <c r="R766" s="12">
        <f t="shared" ref="R766:R795" si="2500">AC766*0.5%</f>
        <v>12.18</v>
      </c>
      <c r="S766" s="12">
        <f t="shared" ref="S766:S795" si="2501">L766*1%</f>
        <v>14.288</v>
      </c>
      <c r="T766" s="60">
        <f t="shared" ref="T766:T795" si="2502">S766+Q766+P766+O766+N766+M766</f>
        <v>383.088</v>
      </c>
      <c r="U766" s="2">
        <f t="shared" ref="U766:U795" si="2503">AC766*1%</f>
        <v>24.36</v>
      </c>
      <c r="V766" s="42">
        <f t="shared" si="15"/>
        <v>121.8</v>
      </c>
      <c r="W766" s="2">
        <f t="shared" ref="W766:W795" si="2504">AC766*1%</f>
        <v>24.36</v>
      </c>
      <c r="X766" s="2">
        <f t="shared" ref="X766:X795" si="2505">AC766*8%</f>
        <v>194.88</v>
      </c>
      <c r="Y766" s="2">
        <f t="shared" ref="Y766:Y795" si="2506">U766+V766+W766+X766</f>
        <v>365.4</v>
      </c>
      <c r="Z766" s="60">
        <f t="shared" ref="Z766:Z795" si="2507">Y766+T766+L766</f>
        <v>2177.288</v>
      </c>
      <c r="AA766" s="11">
        <f t="shared" ref="AA766:AA795" si="2508">Z766*20%</f>
        <v>435.4576</v>
      </c>
      <c r="AB766" s="12">
        <f t="shared" ref="AB766:AB795" si="2509">Z766+AA766</f>
        <v>2612.7456</v>
      </c>
      <c r="AC766" s="2">
        <f t="shared" ref="AC766:AC795" si="2510">D766*2.1</f>
        <v>2436</v>
      </c>
      <c r="AD766" s="12">
        <f t="shared" ref="AD766:AD795" si="2511">AB766-AC766</f>
        <v>176.7456</v>
      </c>
      <c r="AE766" s="12">
        <f t="shared" ref="AE766:AE795" si="2512">AD766/AB766*100</f>
        <v>6.764745867</v>
      </c>
      <c r="AF766" s="61">
        <v>3380.0</v>
      </c>
      <c r="AG766" s="62">
        <f t="shared" ref="AG766:AG795" si="2513">((AF766-L766)/L766)*100</f>
        <v>136.5621501</v>
      </c>
      <c r="AH766" s="63">
        <f t="shared" ref="AH766:AH795" si="2514">AJ766-AF766</f>
        <v>-390</v>
      </c>
      <c r="AI766" s="64">
        <v>3990.0</v>
      </c>
      <c r="AJ766" s="65">
        <v>2990.0</v>
      </c>
      <c r="AK766" s="66">
        <f t="shared" si="1730"/>
        <v>109.2665174</v>
      </c>
      <c r="AL766" s="66"/>
      <c r="AM766" s="14">
        <f t="shared" ref="AM766:AM767" si="2515">(AH766/AJ766)*100</f>
        <v>-13.04347826</v>
      </c>
      <c r="AN766" s="67">
        <f t="shared" ref="AN766:AN795" si="2516">AK766-AG766</f>
        <v>-27.2956327</v>
      </c>
      <c r="AO766" s="68">
        <f t="shared" ref="AO766:AO795" si="2517">AJ766/L766</f>
        <v>2.092665174</v>
      </c>
      <c r="AP766" s="69">
        <f t="shared" ref="AP766:AP795" si="2518">(AJ766-AB766)/100</f>
        <v>3.772544</v>
      </c>
      <c r="AQ766" s="70">
        <f t="shared" ref="AQ766:AQ795" si="2519">(AJ766-AC766)/100</f>
        <v>5.54</v>
      </c>
      <c r="AR766" s="71">
        <f t="shared" ref="AR766:AS766" si="2492">AI766/94</f>
        <v>42.44680851</v>
      </c>
      <c r="AS766" s="71">
        <f t="shared" si="2492"/>
        <v>31.80851064</v>
      </c>
      <c r="AT766" s="72">
        <f t="shared" ref="AT766:AU766" si="2493">AI766/24</f>
        <v>166.25</v>
      </c>
      <c r="AU766" s="72">
        <f t="shared" si="2493"/>
        <v>124.5833333</v>
      </c>
      <c r="AV766" s="73">
        <f t="shared" ref="AV766:AW766" si="2494">AI766/125</f>
        <v>31.92</v>
      </c>
      <c r="AW766" s="73">
        <f t="shared" si="2494"/>
        <v>23.92</v>
      </c>
    </row>
    <row r="767" ht="15.75" customHeight="1">
      <c r="A767" s="2"/>
      <c r="B767" s="2" t="s">
        <v>1519</v>
      </c>
      <c r="C767" s="2" t="s">
        <v>1518</v>
      </c>
      <c r="D767" s="10">
        <v>750.0</v>
      </c>
      <c r="F767" s="1">
        <v>40.0</v>
      </c>
      <c r="G767" s="10">
        <v>9202.0</v>
      </c>
      <c r="H767" s="59">
        <v>0.18</v>
      </c>
      <c r="I767" s="2">
        <f>D767*H766</f>
        <v>135</v>
      </c>
      <c r="K767" s="1">
        <v>20.0</v>
      </c>
      <c r="L767" s="4">
        <f t="shared" si="1708"/>
        <v>945</v>
      </c>
      <c r="M767" s="2">
        <f t="shared" si="2495"/>
        <v>7.5</v>
      </c>
      <c r="N767" s="12">
        <f t="shared" si="2496"/>
        <v>75.6</v>
      </c>
      <c r="O767" s="12">
        <f t="shared" si="2497"/>
        <v>94.5</v>
      </c>
      <c r="P767" s="12">
        <f t="shared" si="2498"/>
        <v>47.25</v>
      </c>
      <c r="Q767" s="12">
        <f t="shared" si="2499"/>
        <v>18.9</v>
      </c>
      <c r="R767" s="12">
        <f t="shared" si="2500"/>
        <v>7.875</v>
      </c>
      <c r="S767" s="12">
        <f t="shared" si="2501"/>
        <v>9.45</v>
      </c>
      <c r="T767" s="60">
        <f t="shared" si="2502"/>
        <v>253.2</v>
      </c>
      <c r="U767" s="2">
        <f t="shared" si="2503"/>
        <v>15.75</v>
      </c>
      <c r="V767" s="42">
        <f t="shared" si="15"/>
        <v>78.75</v>
      </c>
      <c r="W767" s="2">
        <f t="shared" si="2504"/>
        <v>15.75</v>
      </c>
      <c r="X767" s="2">
        <f t="shared" si="2505"/>
        <v>126</v>
      </c>
      <c r="Y767" s="2">
        <f t="shared" si="2506"/>
        <v>236.25</v>
      </c>
      <c r="Z767" s="60">
        <f t="shared" si="2507"/>
        <v>1434.45</v>
      </c>
      <c r="AA767" s="11">
        <f t="shared" si="2508"/>
        <v>286.89</v>
      </c>
      <c r="AB767" s="12">
        <f t="shared" si="2509"/>
        <v>1721.34</v>
      </c>
      <c r="AC767" s="2">
        <f t="shared" si="2510"/>
        <v>1575</v>
      </c>
      <c r="AD767" s="12">
        <f t="shared" si="2511"/>
        <v>146.34</v>
      </c>
      <c r="AE767" s="12">
        <f t="shared" si="2512"/>
        <v>8.501516261</v>
      </c>
      <c r="AF767" s="61">
        <v>3380.0</v>
      </c>
      <c r="AG767" s="62">
        <f t="shared" si="2513"/>
        <v>257.6719577</v>
      </c>
      <c r="AH767" s="63">
        <f t="shared" si="2514"/>
        <v>-1390</v>
      </c>
      <c r="AI767" s="64">
        <v>3990.0</v>
      </c>
      <c r="AJ767" s="65">
        <v>1990.0</v>
      </c>
      <c r="AK767" s="66">
        <f t="shared" si="1730"/>
        <v>110.5820106</v>
      </c>
      <c r="AL767" s="66"/>
      <c r="AM767" s="14">
        <f t="shared" si="2515"/>
        <v>-69.84924623</v>
      </c>
      <c r="AN767" s="67">
        <f t="shared" si="2516"/>
        <v>-147.0899471</v>
      </c>
      <c r="AO767" s="68">
        <f t="shared" si="2517"/>
        <v>2.105820106</v>
      </c>
      <c r="AP767" s="69">
        <f t="shared" si="2518"/>
        <v>2.6866</v>
      </c>
      <c r="AQ767" s="70">
        <f t="shared" si="2519"/>
        <v>4.15</v>
      </c>
      <c r="AR767" s="71">
        <f t="shared" ref="AR767:AS767" si="2520">AI767/94</f>
        <v>42.44680851</v>
      </c>
      <c r="AS767" s="71">
        <f t="shared" si="2520"/>
        <v>21.17021277</v>
      </c>
      <c r="AT767" s="72">
        <f t="shared" ref="AT767:AU767" si="2521">AI767/24</f>
        <v>166.25</v>
      </c>
      <c r="AU767" s="72">
        <f t="shared" si="2521"/>
        <v>82.91666667</v>
      </c>
      <c r="AV767" s="73">
        <f t="shared" ref="AV767:AW767" si="2522">AI767/125</f>
        <v>31.92</v>
      </c>
      <c r="AW767" s="73">
        <f t="shared" si="2522"/>
        <v>15.92</v>
      </c>
    </row>
    <row r="768" ht="15.0" customHeight="1">
      <c r="A768" s="42" t="s">
        <v>1520</v>
      </c>
      <c r="B768" s="42" t="s">
        <v>1521</v>
      </c>
      <c r="C768" s="95" t="s">
        <v>1522</v>
      </c>
      <c r="D768" s="45">
        <v>50.0</v>
      </c>
      <c r="E768" s="47"/>
      <c r="F768" s="44">
        <v>50.0</v>
      </c>
      <c r="G768" s="45">
        <v>9023.0</v>
      </c>
      <c r="H768" s="46">
        <v>0.18</v>
      </c>
      <c r="I768" s="42">
        <f t="shared" ref="I768:I793" si="2526">D768*H768</f>
        <v>9</v>
      </c>
      <c r="J768" s="47"/>
      <c r="K768" s="44">
        <v>20.0</v>
      </c>
      <c r="L768" s="48">
        <f t="shared" si="1708"/>
        <v>129</v>
      </c>
      <c r="M768" s="42">
        <f t="shared" si="2495"/>
        <v>0.5</v>
      </c>
      <c r="N768" s="49">
        <f t="shared" si="2496"/>
        <v>10.32</v>
      </c>
      <c r="O768" s="49">
        <f t="shared" si="2497"/>
        <v>12.9</v>
      </c>
      <c r="P768" s="49">
        <f t="shared" si="2498"/>
        <v>6.45</v>
      </c>
      <c r="Q768" s="49">
        <f t="shared" si="2499"/>
        <v>2.58</v>
      </c>
      <c r="R768" s="49">
        <f t="shared" si="2500"/>
        <v>0.525</v>
      </c>
      <c r="S768" s="49">
        <f t="shared" si="2501"/>
        <v>1.29</v>
      </c>
      <c r="T768" s="50">
        <f t="shared" si="2502"/>
        <v>34.04</v>
      </c>
      <c r="U768" s="42">
        <f t="shared" si="2503"/>
        <v>1.05</v>
      </c>
      <c r="V768" s="42">
        <f t="shared" si="15"/>
        <v>5.25</v>
      </c>
      <c r="W768" s="42">
        <f t="shared" si="2504"/>
        <v>1.05</v>
      </c>
      <c r="X768" s="42">
        <f t="shared" si="2505"/>
        <v>8.4</v>
      </c>
      <c r="Y768" s="42">
        <f t="shared" si="2506"/>
        <v>15.75</v>
      </c>
      <c r="Z768" s="50">
        <f t="shared" si="2507"/>
        <v>178.79</v>
      </c>
      <c r="AA768" s="51">
        <f t="shared" si="2508"/>
        <v>35.758</v>
      </c>
      <c r="AB768" s="49">
        <f t="shared" si="2509"/>
        <v>214.548</v>
      </c>
      <c r="AC768" s="42">
        <f t="shared" si="2510"/>
        <v>105</v>
      </c>
      <c r="AD768" s="49">
        <f t="shared" si="2511"/>
        <v>109.548</v>
      </c>
      <c r="AE768" s="49">
        <f t="shared" si="2512"/>
        <v>51.05990268</v>
      </c>
      <c r="AF768" s="97">
        <v>150.0</v>
      </c>
      <c r="AG768" s="52">
        <f t="shared" si="2513"/>
        <v>16.27906977</v>
      </c>
      <c r="AH768" s="53">
        <f t="shared" si="2514"/>
        <v>65</v>
      </c>
      <c r="AI768" s="53">
        <f t="shared" ref="AI768:AI795" si="2527">AB768</f>
        <v>214.548</v>
      </c>
      <c r="AJ768" s="54">
        <v>215.0</v>
      </c>
      <c r="AK768" s="55">
        <f t="shared" si="1730"/>
        <v>66.66666667</v>
      </c>
      <c r="AL768" s="55"/>
      <c r="AM768" s="55">
        <f t="shared" ref="AM768:AM795" si="2528">AH768/AJ768%</f>
        <v>30.23255814</v>
      </c>
      <c r="AN768" s="55">
        <f t="shared" si="2516"/>
        <v>50.3875969</v>
      </c>
      <c r="AO768" s="56">
        <f t="shared" si="2517"/>
        <v>1.666666667</v>
      </c>
      <c r="AP768" s="55">
        <f t="shared" si="2518"/>
        <v>0.00452</v>
      </c>
      <c r="AQ768" s="55">
        <f t="shared" si="2519"/>
        <v>1.1</v>
      </c>
      <c r="AR768" s="57">
        <f t="shared" ref="AR768:AS768" si="2523">AI768/94</f>
        <v>2.282425532</v>
      </c>
      <c r="AS768" s="57">
        <f t="shared" si="2523"/>
        <v>2.287234043</v>
      </c>
      <c r="AT768" s="58">
        <f t="shared" ref="AT768:AU768" si="2524">AI768/24</f>
        <v>8.9395</v>
      </c>
      <c r="AU768" s="58">
        <f t="shared" si="2524"/>
        <v>8.958333333</v>
      </c>
      <c r="AV768" s="58">
        <f t="shared" ref="AV768:AW768" si="2525">AI768/125</f>
        <v>1.716384</v>
      </c>
      <c r="AW768" s="58">
        <f t="shared" si="2525"/>
        <v>1.72</v>
      </c>
      <c r="AX768" s="47"/>
      <c r="AY768" s="47"/>
    </row>
    <row r="769" ht="15.75" customHeight="1">
      <c r="A769" s="42"/>
      <c r="B769" s="42" t="s">
        <v>1523</v>
      </c>
      <c r="C769" s="95" t="s">
        <v>1524</v>
      </c>
      <c r="D769" s="45">
        <v>50.0</v>
      </c>
      <c r="E769" s="47"/>
      <c r="F769" s="44">
        <v>50.0</v>
      </c>
      <c r="G769" s="45">
        <v>9202.0</v>
      </c>
      <c r="H769" s="46">
        <v>0.18</v>
      </c>
      <c r="I769" s="42">
        <f t="shared" si="2526"/>
        <v>9</v>
      </c>
      <c r="J769" s="47"/>
      <c r="K769" s="44">
        <v>20.0</v>
      </c>
      <c r="L769" s="48">
        <f t="shared" si="1708"/>
        <v>129</v>
      </c>
      <c r="M769" s="42">
        <f t="shared" si="2495"/>
        <v>0.5</v>
      </c>
      <c r="N769" s="49">
        <f t="shared" si="2496"/>
        <v>10.32</v>
      </c>
      <c r="O769" s="49">
        <f t="shared" si="2497"/>
        <v>12.9</v>
      </c>
      <c r="P769" s="49">
        <f t="shared" si="2498"/>
        <v>6.45</v>
      </c>
      <c r="Q769" s="49">
        <f t="shared" si="2499"/>
        <v>2.58</v>
      </c>
      <c r="R769" s="49">
        <f t="shared" si="2500"/>
        <v>0.525</v>
      </c>
      <c r="S769" s="49">
        <f t="shared" si="2501"/>
        <v>1.29</v>
      </c>
      <c r="T769" s="50">
        <f t="shared" si="2502"/>
        <v>34.04</v>
      </c>
      <c r="U769" s="42">
        <f t="shared" si="2503"/>
        <v>1.05</v>
      </c>
      <c r="V769" s="42">
        <f t="shared" si="15"/>
        <v>5.25</v>
      </c>
      <c r="W769" s="42">
        <f t="shared" si="2504"/>
        <v>1.05</v>
      </c>
      <c r="X769" s="42">
        <f t="shared" si="2505"/>
        <v>8.4</v>
      </c>
      <c r="Y769" s="42">
        <f t="shared" si="2506"/>
        <v>15.75</v>
      </c>
      <c r="Z769" s="50">
        <f t="shared" si="2507"/>
        <v>178.79</v>
      </c>
      <c r="AA769" s="51">
        <f t="shared" si="2508"/>
        <v>35.758</v>
      </c>
      <c r="AB769" s="49">
        <f t="shared" si="2509"/>
        <v>214.548</v>
      </c>
      <c r="AC769" s="42">
        <f t="shared" si="2510"/>
        <v>105</v>
      </c>
      <c r="AD769" s="49">
        <f t="shared" si="2511"/>
        <v>109.548</v>
      </c>
      <c r="AE769" s="49">
        <f t="shared" si="2512"/>
        <v>51.05990268</v>
      </c>
      <c r="AF769" s="97">
        <v>150.0</v>
      </c>
      <c r="AG769" s="52">
        <f t="shared" si="2513"/>
        <v>16.27906977</v>
      </c>
      <c r="AH769" s="53">
        <f t="shared" si="2514"/>
        <v>65</v>
      </c>
      <c r="AI769" s="53">
        <f t="shared" si="2527"/>
        <v>214.548</v>
      </c>
      <c r="AJ769" s="54">
        <v>215.0</v>
      </c>
      <c r="AK769" s="55">
        <f t="shared" si="1730"/>
        <v>66.66666667</v>
      </c>
      <c r="AL769" s="55"/>
      <c r="AM769" s="55">
        <f t="shared" si="2528"/>
        <v>30.23255814</v>
      </c>
      <c r="AN769" s="55">
        <f t="shared" si="2516"/>
        <v>50.3875969</v>
      </c>
      <c r="AO769" s="56">
        <f t="shared" si="2517"/>
        <v>1.666666667</v>
      </c>
      <c r="AP769" s="55">
        <f t="shared" si="2518"/>
        <v>0.00452</v>
      </c>
      <c r="AQ769" s="55">
        <f t="shared" si="2519"/>
        <v>1.1</v>
      </c>
      <c r="AR769" s="57">
        <f t="shared" ref="AR769:AS769" si="2529">AI769/94</f>
        <v>2.282425532</v>
      </c>
      <c r="AS769" s="57">
        <f t="shared" si="2529"/>
        <v>2.287234043</v>
      </c>
      <c r="AT769" s="58">
        <f t="shared" ref="AT769:AU769" si="2530">AI769/24</f>
        <v>8.9395</v>
      </c>
      <c r="AU769" s="58">
        <f t="shared" si="2530"/>
        <v>8.958333333</v>
      </c>
      <c r="AV769" s="58">
        <f t="shared" ref="AV769:AW769" si="2531">AI769/125</f>
        <v>1.716384</v>
      </c>
      <c r="AW769" s="58">
        <f t="shared" si="2531"/>
        <v>1.72</v>
      </c>
      <c r="AX769" s="47"/>
      <c r="AY769" s="47"/>
    </row>
    <row r="770" ht="15.75" customHeight="1">
      <c r="A770" s="42"/>
      <c r="B770" s="42" t="s">
        <v>1525</v>
      </c>
      <c r="C770" s="95" t="s">
        <v>1526</v>
      </c>
      <c r="D770" s="45">
        <v>100.0</v>
      </c>
      <c r="E770" s="47"/>
      <c r="F770" s="44">
        <v>50.0</v>
      </c>
      <c r="G770" s="45">
        <v>9202.0</v>
      </c>
      <c r="H770" s="46">
        <v>0.18</v>
      </c>
      <c r="I770" s="42">
        <f t="shared" si="2526"/>
        <v>18</v>
      </c>
      <c r="J770" s="47"/>
      <c r="K770" s="42">
        <v>40.0</v>
      </c>
      <c r="L770" s="48">
        <f t="shared" si="1708"/>
        <v>208</v>
      </c>
      <c r="M770" s="42">
        <f t="shared" si="2495"/>
        <v>1</v>
      </c>
      <c r="N770" s="49">
        <f t="shared" si="2496"/>
        <v>16.64</v>
      </c>
      <c r="O770" s="49">
        <f t="shared" si="2497"/>
        <v>20.8</v>
      </c>
      <c r="P770" s="49">
        <f t="shared" si="2498"/>
        <v>10.4</v>
      </c>
      <c r="Q770" s="49">
        <f t="shared" si="2499"/>
        <v>4.16</v>
      </c>
      <c r="R770" s="49">
        <f t="shared" si="2500"/>
        <v>1.05</v>
      </c>
      <c r="S770" s="49">
        <f t="shared" si="2501"/>
        <v>2.08</v>
      </c>
      <c r="T770" s="50">
        <f t="shared" si="2502"/>
        <v>55.08</v>
      </c>
      <c r="U770" s="42">
        <f t="shared" si="2503"/>
        <v>2.1</v>
      </c>
      <c r="V770" s="42">
        <f t="shared" si="15"/>
        <v>10.5</v>
      </c>
      <c r="W770" s="42">
        <f t="shared" si="2504"/>
        <v>2.1</v>
      </c>
      <c r="X770" s="42">
        <f t="shared" si="2505"/>
        <v>16.8</v>
      </c>
      <c r="Y770" s="42">
        <f t="shared" si="2506"/>
        <v>31.5</v>
      </c>
      <c r="Z770" s="50">
        <f t="shared" si="2507"/>
        <v>294.58</v>
      </c>
      <c r="AA770" s="51">
        <f t="shared" si="2508"/>
        <v>58.916</v>
      </c>
      <c r="AB770" s="49">
        <f t="shared" si="2509"/>
        <v>353.496</v>
      </c>
      <c r="AC770" s="42">
        <f t="shared" si="2510"/>
        <v>210</v>
      </c>
      <c r="AD770" s="49">
        <f t="shared" si="2511"/>
        <v>143.496</v>
      </c>
      <c r="AE770" s="49">
        <f t="shared" si="2512"/>
        <v>40.5933872</v>
      </c>
      <c r="AF770" s="97">
        <v>250.0</v>
      </c>
      <c r="AG770" s="52">
        <f t="shared" si="2513"/>
        <v>20.19230769</v>
      </c>
      <c r="AH770" s="53">
        <f t="shared" si="2514"/>
        <v>145</v>
      </c>
      <c r="AI770" s="53">
        <f t="shared" si="2527"/>
        <v>353.496</v>
      </c>
      <c r="AJ770" s="54">
        <v>395.0</v>
      </c>
      <c r="AK770" s="55">
        <f t="shared" si="1730"/>
        <v>89.90384615</v>
      </c>
      <c r="AL770" s="55"/>
      <c r="AM770" s="55">
        <f t="shared" si="2528"/>
        <v>36.70886076</v>
      </c>
      <c r="AN770" s="55">
        <f t="shared" si="2516"/>
        <v>69.71153846</v>
      </c>
      <c r="AO770" s="56">
        <f t="shared" si="2517"/>
        <v>1.899038462</v>
      </c>
      <c r="AP770" s="55">
        <f t="shared" si="2518"/>
        <v>0.41504</v>
      </c>
      <c r="AQ770" s="55">
        <f t="shared" si="2519"/>
        <v>1.85</v>
      </c>
      <c r="AR770" s="57">
        <f t="shared" ref="AR770:AS770" si="2532">AI770/94</f>
        <v>3.760595745</v>
      </c>
      <c r="AS770" s="57">
        <f t="shared" si="2532"/>
        <v>4.20212766</v>
      </c>
      <c r="AT770" s="58">
        <f t="shared" ref="AT770:AU770" si="2533">AI770/24</f>
        <v>14.729</v>
      </c>
      <c r="AU770" s="58">
        <f t="shared" si="2533"/>
        <v>16.45833333</v>
      </c>
      <c r="AV770" s="58">
        <f t="shared" ref="AV770:AW770" si="2534">AI770/125</f>
        <v>2.827968</v>
      </c>
      <c r="AW770" s="58">
        <f t="shared" si="2534"/>
        <v>3.16</v>
      </c>
      <c r="AX770" s="47"/>
      <c r="AY770" s="47"/>
    </row>
    <row r="771" ht="15.0" customHeight="1">
      <c r="A771" s="42" t="s">
        <v>1527</v>
      </c>
      <c r="B771" s="42" t="s">
        <v>1528</v>
      </c>
      <c r="C771" s="95" t="s">
        <v>1529</v>
      </c>
      <c r="D771" s="45">
        <v>200.0</v>
      </c>
      <c r="E771" s="47"/>
      <c r="F771" s="44">
        <v>50.0</v>
      </c>
      <c r="G771" s="45">
        <v>9202.0</v>
      </c>
      <c r="H771" s="46">
        <v>0.18</v>
      </c>
      <c r="I771" s="42">
        <f t="shared" si="2526"/>
        <v>36</v>
      </c>
      <c r="J771" s="47"/>
      <c r="K771" s="42">
        <v>40.0</v>
      </c>
      <c r="L771" s="48">
        <f t="shared" si="1708"/>
        <v>326</v>
      </c>
      <c r="M771" s="42">
        <f t="shared" si="2495"/>
        <v>2</v>
      </c>
      <c r="N771" s="49">
        <f t="shared" si="2496"/>
        <v>26.08</v>
      </c>
      <c r="O771" s="49">
        <f t="shared" si="2497"/>
        <v>32.6</v>
      </c>
      <c r="P771" s="49">
        <f t="shared" si="2498"/>
        <v>16.3</v>
      </c>
      <c r="Q771" s="49">
        <f t="shared" si="2499"/>
        <v>6.52</v>
      </c>
      <c r="R771" s="49">
        <f t="shared" si="2500"/>
        <v>2.1</v>
      </c>
      <c r="S771" s="49">
        <f t="shared" si="2501"/>
        <v>3.26</v>
      </c>
      <c r="T771" s="50">
        <f t="shared" si="2502"/>
        <v>86.76</v>
      </c>
      <c r="U771" s="42">
        <f t="shared" si="2503"/>
        <v>4.2</v>
      </c>
      <c r="V771" s="42">
        <f t="shared" si="15"/>
        <v>21</v>
      </c>
      <c r="W771" s="42">
        <f t="shared" si="2504"/>
        <v>4.2</v>
      </c>
      <c r="X771" s="42">
        <f t="shared" si="2505"/>
        <v>33.6</v>
      </c>
      <c r="Y771" s="42">
        <f t="shared" si="2506"/>
        <v>63</v>
      </c>
      <c r="Z771" s="50">
        <f t="shared" si="2507"/>
        <v>475.76</v>
      </c>
      <c r="AA771" s="51">
        <f t="shared" si="2508"/>
        <v>95.152</v>
      </c>
      <c r="AB771" s="49">
        <f t="shared" si="2509"/>
        <v>570.912</v>
      </c>
      <c r="AC771" s="42">
        <f t="shared" si="2510"/>
        <v>420</v>
      </c>
      <c r="AD771" s="49">
        <f t="shared" si="2511"/>
        <v>150.912</v>
      </c>
      <c r="AE771" s="49">
        <f t="shared" si="2512"/>
        <v>26.43349588</v>
      </c>
      <c r="AF771" s="54">
        <v>450.0</v>
      </c>
      <c r="AG771" s="52">
        <f t="shared" si="2513"/>
        <v>38.03680982</v>
      </c>
      <c r="AH771" s="53">
        <f t="shared" si="2514"/>
        <v>195</v>
      </c>
      <c r="AI771" s="53">
        <f t="shared" si="2527"/>
        <v>570.912</v>
      </c>
      <c r="AJ771" s="54">
        <v>645.0</v>
      </c>
      <c r="AK771" s="55">
        <f t="shared" si="1730"/>
        <v>97.85276074</v>
      </c>
      <c r="AL771" s="55"/>
      <c r="AM771" s="55">
        <f t="shared" si="2528"/>
        <v>30.23255814</v>
      </c>
      <c r="AN771" s="55">
        <f t="shared" si="2516"/>
        <v>59.81595092</v>
      </c>
      <c r="AO771" s="56">
        <f t="shared" si="2517"/>
        <v>1.978527607</v>
      </c>
      <c r="AP771" s="55">
        <f t="shared" si="2518"/>
        <v>0.74088</v>
      </c>
      <c r="AQ771" s="55">
        <f t="shared" si="2519"/>
        <v>2.25</v>
      </c>
      <c r="AR771" s="57">
        <f t="shared" ref="AR771:AS771" si="2535">AI771/94</f>
        <v>6.073531915</v>
      </c>
      <c r="AS771" s="57">
        <f t="shared" si="2535"/>
        <v>6.861702128</v>
      </c>
      <c r="AT771" s="58">
        <f t="shared" ref="AT771:AU771" si="2536">AI771/24</f>
        <v>23.788</v>
      </c>
      <c r="AU771" s="58">
        <f t="shared" si="2536"/>
        <v>26.875</v>
      </c>
      <c r="AV771" s="58">
        <f t="shared" ref="AV771:AW771" si="2537">AI771/125</f>
        <v>4.567296</v>
      </c>
      <c r="AW771" s="58">
        <f t="shared" si="2537"/>
        <v>5.16</v>
      </c>
      <c r="AX771" s="47"/>
      <c r="AY771" s="47"/>
    </row>
    <row r="772" ht="15.75" customHeight="1">
      <c r="A772" s="42"/>
      <c r="B772" s="42" t="s">
        <v>1530</v>
      </c>
      <c r="C772" s="95" t="s">
        <v>1531</v>
      </c>
      <c r="D772" s="45">
        <v>400.0</v>
      </c>
      <c r="E772" s="47"/>
      <c r="F772" s="44">
        <v>50.0</v>
      </c>
      <c r="G772" s="45">
        <v>9202.0</v>
      </c>
      <c r="H772" s="46">
        <v>0.18</v>
      </c>
      <c r="I772" s="42">
        <f t="shared" si="2526"/>
        <v>72</v>
      </c>
      <c r="J772" s="47"/>
      <c r="K772" s="42">
        <v>40.0</v>
      </c>
      <c r="L772" s="48">
        <f t="shared" si="1708"/>
        <v>562</v>
      </c>
      <c r="M772" s="42">
        <f t="shared" si="2495"/>
        <v>4</v>
      </c>
      <c r="N772" s="49">
        <f t="shared" si="2496"/>
        <v>44.96</v>
      </c>
      <c r="O772" s="49">
        <f t="shared" si="2497"/>
        <v>56.2</v>
      </c>
      <c r="P772" s="49">
        <f t="shared" si="2498"/>
        <v>28.1</v>
      </c>
      <c r="Q772" s="49">
        <f t="shared" si="2499"/>
        <v>11.24</v>
      </c>
      <c r="R772" s="49">
        <f t="shared" si="2500"/>
        <v>4.2</v>
      </c>
      <c r="S772" s="49">
        <f t="shared" si="2501"/>
        <v>5.62</v>
      </c>
      <c r="T772" s="50">
        <f t="shared" si="2502"/>
        <v>150.12</v>
      </c>
      <c r="U772" s="42">
        <f t="shared" si="2503"/>
        <v>8.4</v>
      </c>
      <c r="V772" s="42">
        <f t="shared" si="15"/>
        <v>42</v>
      </c>
      <c r="W772" s="42">
        <f t="shared" si="2504"/>
        <v>8.4</v>
      </c>
      <c r="X772" s="42">
        <f t="shared" si="2505"/>
        <v>67.2</v>
      </c>
      <c r="Y772" s="42">
        <f t="shared" si="2506"/>
        <v>126</v>
      </c>
      <c r="Z772" s="50">
        <f t="shared" si="2507"/>
        <v>838.12</v>
      </c>
      <c r="AA772" s="51">
        <f t="shared" si="2508"/>
        <v>167.624</v>
      </c>
      <c r="AB772" s="49">
        <f t="shared" si="2509"/>
        <v>1005.744</v>
      </c>
      <c r="AC772" s="42">
        <f t="shared" si="2510"/>
        <v>840</v>
      </c>
      <c r="AD772" s="49">
        <f t="shared" si="2511"/>
        <v>165.744</v>
      </c>
      <c r="AE772" s="49">
        <f t="shared" si="2512"/>
        <v>16.47974037</v>
      </c>
      <c r="AF772" s="54">
        <v>690.0</v>
      </c>
      <c r="AG772" s="52">
        <f t="shared" si="2513"/>
        <v>22.77580071</v>
      </c>
      <c r="AH772" s="53">
        <f t="shared" si="2514"/>
        <v>305</v>
      </c>
      <c r="AI772" s="53">
        <f t="shared" si="2527"/>
        <v>1005.744</v>
      </c>
      <c r="AJ772" s="54">
        <v>995.0</v>
      </c>
      <c r="AK772" s="55">
        <f t="shared" si="1730"/>
        <v>77.04626335</v>
      </c>
      <c r="AL772" s="55"/>
      <c r="AM772" s="55">
        <f t="shared" si="2528"/>
        <v>30.65326633</v>
      </c>
      <c r="AN772" s="55">
        <f t="shared" si="2516"/>
        <v>54.27046263</v>
      </c>
      <c r="AO772" s="56">
        <f t="shared" si="2517"/>
        <v>1.770462633</v>
      </c>
      <c r="AP772" s="55">
        <f t="shared" si="2518"/>
        <v>-0.10744</v>
      </c>
      <c r="AQ772" s="55">
        <f t="shared" si="2519"/>
        <v>1.55</v>
      </c>
      <c r="AR772" s="57">
        <f t="shared" ref="AR772:AS772" si="2538">AI772/94</f>
        <v>10.69940426</v>
      </c>
      <c r="AS772" s="57">
        <f t="shared" si="2538"/>
        <v>10.58510638</v>
      </c>
      <c r="AT772" s="58">
        <f t="shared" ref="AT772:AU772" si="2539">AI772/24</f>
        <v>41.906</v>
      </c>
      <c r="AU772" s="58">
        <f t="shared" si="2539"/>
        <v>41.45833333</v>
      </c>
      <c r="AV772" s="58">
        <f t="shared" ref="AV772:AW772" si="2540">AI772/125</f>
        <v>8.045952</v>
      </c>
      <c r="AW772" s="58">
        <f t="shared" si="2540"/>
        <v>7.96</v>
      </c>
      <c r="AX772" s="47"/>
      <c r="AY772" s="47"/>
    </row>
    <row r="773" ht="15.75" customHeight="1">
      <c r="A773" s="42"/>
      <c r="B773" s="42" t="s">
        <v>1532</v>
      </c>
      <c r="C773" s="95" t="s">
        <v>1533</v>
      </c>
      <c r="D773" s="45">
        <v>400.0</v>
      </c>
      <c r="E773" s="47"/>
      <c r="F773" s="44">
        <v>50.0</v>
      </c>
      <c r="G773" s="45">
        <v>9202.0</v>
      </c>
      <c r="H773" s="46">
        <v>0.18</v>
      </c>
      <c r="I773" s="42">
        <f t="shared" si="2526"/>
        <v>72</v>
      </c>
      <c r="J773" s="47"/>
      <c r="K773" s="42">
        <v>40.0</v>
      </c>
      <c r="L773" s="48">
        <f t="shared" si="1708"/>
        <v>562</v>
      </c>
      <c r="M773" s="42">
        <f t="shared" si="2495"/>
        <v>4</v>
      </c>
      <c r="N773" s="49">
        <f t="shared" si="2496"/>
        <v>44.96</v>
      </c>
      <c r="O773" s="49">
        <f t="shared" si="2497"/>
        <v>56.2</v>
      </c>
      <c r="P773" s="49">
        <f t="shared" si="2498"/>
        <v>28.1</v>
      </c>
      <c r="Q773" s="49">
        <f t="shared" si="2499"/>
        <v>11.24</v>
      </c>
      <c r="R773" s="49">
        <f t="shared" si="2500"/>
        <v>4.2</v>
      </c>
      <c r="S773" s="49">
        <f t="shared" si="2501"/>
        <v>5.62</v>
      </c>
      <c r="T773" s="50">
        <f t="shared" si="2502"/>
        <v>150.12</v>
      </c>
      <c r="U773" s="42">
        <f t="shared" si="2503"/>
        <v>8.4</v>
      </c>
      <c r="V773" s="42">
        <f t="shared" si="15"/>
        <v>42</v>
      </c>
      <c r="W773" s="42">
        <f t="shared" si="2504"/>
        <v>8.4</v>
      </c>
      <c r="X773" s="42">
        <f t="shared" si="2505"/>
        <v>67.2</v>
      </c>
      <c r="Y773" s="42">
        <f t="shared" si="2506"/>
        <v>126</v>
      </c>
      <c r="Z773" s="50">
        <f t="shared" si="2507"/>
        <v>838.12</v>
      </c>
      <c r="AA773" s="51">
        <f t="shared" si="2508"/>
        <v>167.624</v>
      </c>
      <c r="AB773" s="49">
        <f t="shared" si="2509"/>
        <v>1005.744</v>
      </c>
      <c r="AC773" s="42">
        <f t="shared" si="2510"/>
        <v>840</v>
      </c>
      <c r="AD773" s="49">
        <f t="shared" si="2511"/>
        <v>165.744</v>
      </c>
      <c r="AE773" s="49">
        <f t="shared" si="2512"/>
        <v>16.47974037</v>
      </c>
      <c r="AF773" s="54">
        <v>590.0</v>
      </c>
      <c r="AG773" s="52">
        <f t="shared" si="2513"/>
        <v>4.982206406</v>
      </c>
      <c r="AH773" s="53">
        <f t="shared" si="2514"/>
        <v>405</v>
      </c>
      <c r="AI773" s="53">
        <f t="shared" si="2527"/>
        <v>1005.744</v>
      </c>
      <c r="AJ773" s="54">
        <v>995.0</v>
      </c>
      <c r="AK773" s="55">
        <f t="shared" si="1730"/>
        <v>77.04626335</v>
      </c>
      <c r="AL773" s="55"/>
      <c r="AM773" s="55">
        <f t="shared" si="2528"/>
        <v>40.70351759</v>
      </c>
      <c r="AN773" s="55">
        <f t="shared" si="2516"/>
        <v>72.06405694</v>
      </c>
      <c r="AO773" s="56">
        <f t="shared" si="2517"/>
        <v>1.770462633</v>
      </c>
      <c r="AP773" s="55">
        <f t="shared" si="2518"/>
        <v>-0.10744</v>
      </c>
      <c r="AQ773" s="55">
        <f t="shared" si="2519"/>
        <v>1.55</v>
      </c>
      <c r="AR773" s="57">
        <f t="shared" ref="AR773:AS773" si="2541">AI773/94</f>
        <v>10.69940426</v>
      </c>
      <c r="AS773" s="57">
        <f t="shared" si="2541"/>
        <v>10.58510638</v>
      </c>
      <c r="AT773" s="58">
        <f t="shared" ref="AT773:AU773" si="2542">AI773/24</f>
        <v>41.906</v>
      </c>
      <c r="AU773" s="58">
        <f t="shared" si="2542"/>
        <v>41.45833333</v>
      </c>
      <c r="AV773" s="58">
        <f t="shared" ref="AV773:AW773" si="2543">AI773/125</f>
        <v>8.045952</v>
      </c>
      <c r="AW773" s="58">
        <f t="shared" si="2543"/>
        <v>7.96</v>
      </c>
      <c r="AX773" s="47"/>
      <c r="AY773" s="47"/>
    </row>
    <row r="774" ht="15.0" customHeight="1">
      <c r="A774" s="42" t="s">
        <v>1534</v>
      </c>
      <c r="B774" s="42" t="s">
        <v>1535</v>
      </c>
      <c r="C774" s="95" t="s">
        <v>1536</v>
      </c>
      <c r="D774" s="43">
        <v>3900.0</v>
      </c>
      <c r="E774" s="47"/>
      <c r="F774" s="44">
        <v>80.0</v>
      </c>
      <c r="G774" s="45">
        <v>9202.0</v>
      </c>
      <c r="H774" s="46">
        <v>0.18</v>
      </c>
      <c r="I774" s="42">
        <f t="shared" si="2526"/>
        <v>702</v>
      </c>
      <c r="J774" s="47"/>
      <c r="K774" s="42">
        <v>200.0</v>
      </c>
      <c r="L774" s="48">
        <f t="shared" si="1708"/>
        <v>4882</v>
      </c>
      <c r="M774" s="42">
        <f t="shared" si="2495"/>
        <v>39</v>
      </c>
      <c r="N774" s="49">
        <f t="shared" si="2496"/>
        <v>390.56</v>
      </c>
      <c r="O774" s="49">
        <f t="shared" si="2497"/>
        <v>488.2</v>
      </c>
      <c r="P774" s="49">
        <f t="shared" si="2498"/>
        <v>244.1</v>
      </c>
      <c r="Q774" s="49">
        <f t="shared" si="2499"/>
        <v>97.64</v>
      </c>
      <c r="R774" s="49">
        <f t="shared" si="2500"/>
        <v>40.95</v>
      </c>
      <c r="S774" s="49">
        <f t="shared" si="2501"/>
        <v>48.82</v>
      </c>
      <c r="T774" s="50">
        <f t="shared" si="2502"/>
        <v>1308.32</v>
      </c>
      <c r="U774" s="42">
        <f t="shared" si="2503"/>
        <v>81.9</v>
      </c>
      <c r="V774" s="42">
        <f t="shared" si="15"/>
        <v>409.5</v>
      </c>
      <c r="W774" s="42">
        <f t="shared" si="2504"/>
        <v>81.9</v>
      </c>
      <c r="X774" s="42">
        <f t="shared" si="2505"/>
        <v>655.2</v>
      </c>
      <c r="Y774" s="42">
        <f t="shared" si="2506"/>
        <v>1228.5</v>
      </c>
      <c r="Z774" s="50">
        <f t="shared" si="2507"/>
        <v>7418.82</v>
      </c>
      <c r="AA774" s="51">
        <f t="shared" si="2508"/>
        <v>1483.764</v>
      </c>
      <c r="AB774" s="49">
        <f t="shared" si="2509"/>
        <v>8902.584</v>
      </c>
      <c r="AC774" s="42">
        <f t="shared" si="2510"/>
        <v>8190</v>
      </c>
      <c r="AD774" s="49">
        <f t="shared" si="2511"/>
        <v>712.584</v>
      </c>
      <c r="AE774" s="49">
        <f t="shared" si="2512"/>
        <v>8.004237871</v>
      </c>
      <c r="AF774" s="54">
        <v>10250.0</v>
      </c>
      <c r="AG774" s="52">
        <f t="shared" si="2513"/>
        <v>109.9549365</v>
      </c>
      <c r="AH774" s="53">
        <f t="shared" si="2514"/>
        <v>-500</v>
      </c>
      <c r="AI774" s="53">
        <f t="shared" si="2527"/>
        <v>8902.584</v>
      </c>
      <c r="AJ774" s="54">
        <v>9750.0</v>
      </c>
      <c r="AK774" s="55">
        <f t="shared" si="1730"/>
        <v>99.71323228</v>
      </c>
      <c r="AL774" s="55"/>
      <c r="AM774" s="55">
        <f t="shared" si="2528"/>
        <v>-5.128205128</v>
      </c>
      <c r="AN774" s="55">
        <f t="shared" si="2516"/>
        <v>-10.24170422</v>
      </c>
      <c r="AO774" s="56">
        <f t="shared" si="2517"/>
        <v>1.997132323</v>
      </c>
      <c r="AP774" s="55">
        <f t="shared" si="2518"/>
        <v>8.47416</v>
      </c>
      <c r="AQ774" s="55">
        <f t="shared" si="2519"/>
        <v>15.6</v>
      </c>
      <c r="AR774" s="57">
        <f t="shared" ref="AR774:AS774" si="2544">AI774/94</f>
        <v>94.70834043</v>
      </c>
      <c r="AS774" s="57">
        <f t="shared" si="2544"/>
        <v>103.7234043</v>
      </c>
      <c r="AT774" s="58">
        <f t="shared" ref="AT774:AU774" si="2545">AI774/24</f>
        <v>370.941</v>
      </c>
      <c r="AU774" s="58">
        <f t="shared" si="2545"/>
        <v>406.25</v>
      </c>
      <c r="AV774" s="58">
        <f t="shared" ref="AV774:AW774" si="2546">AI774/125</f>
        <v>71.220672</v>
      </c>
      <c r="AW774" s="58">
        <f t="shared" si="2546"/>
        <v>78</v>
      </c>
      <c r="AX774" s="47"/>
      <c r="AY774" s="47"/>
    </row>
    <row r="775" ht="15.75" customHeight="1">
      <c r="A775" s="42"/>
      <c r="B775" s="42" t="s">
        <v>1537</v>
      </c>
      <c r="C775" s="95" t="s">
        <v>1538</v>
      </c>
      <c r="D775" s="43">
        <v>3400.0</v>
      </c>
      <c r="E775" s="47"/>
      <c r="F775" s="44">
        <v>80.0</v>
      </c>
      <c r="G775" s="45">
        <v>9202.0</v>
      </c>
      <c r="H775" s="46">
        <v>0.18</v>
      </c>
      <c r="I775" s="42">
        <f t="shared" si="2526"/>
        <v>612</v>
      </c>
      <c r="J775" s="47"/>
      <c r="K775" s="42">
        <v>200.0</v>
      </c>
      <c r="L775" s="48">
        <f t="shared" si="1708"/>
        <v>4292</v>
      </c>
      <c r="M775" s="42">
        <f t="shared" si="2495"/>
        <v>34</v>
      </c>
      <c r="N775" s="49">
        <f t="shared" si="2496"/>
        <v>343.36</v>
      </c>
      <c r="O775" s="49">
        <f t="shared" si="2497"/>
        <v>429.2</v>
      </c>
      <c r="P775" s="49">
        <f t="shared" si="2498"/>
        <v>214.6</v>
      </c>
      <c r="Q775" s="49">
        <f t="shared" si="2499"/>
        <v>85.84</v>
      </c>
      <c r="R775" s="49">
        <f t="shared" si="2500"/>
        <v>35.7</v>
      </c>
      <c r="S775" s="49">
        <f t="shared" si="2501"/>
        <v>42.92</v>
      </c>
      <c r="T775" s="50">
        <f t="shared" si="2502"/>
        <v>1149.92</v>
      </c>
      <c r="U775" s="42">
        <f t="shared" si="2503"/>
        <v>71.4</v>
      </c>
      <c r="V775" s="42">
        <f t="shared" si="15"/>
        <v>357</v>
      </c>
      <c r="W775" s="42">
        <f t="shared" si="2504"/>
        <v>71.4</v>
      </c>
      <c r="X775" s="42">
        <f t="shared" si="2505"/>
        <v>571.2</v>
      </c>
      <c r="Y775" s="42">
        <f t="shared" si="2506"/>
        <v>1071</v>
      </c>
      <c r="Z775" s="50">
        <f t="shared" si="2507"/>
        <v>6512.92</v>
      </c>
      <c r="AA775" s="51">
        <f t="shared" si="2508"/>
        <v>1302.584</v>
      </c>
      <c r="AB775" s="49">
        <f t="shared" si="2509"/>
        <v>7815.504</v>
      </c>
      <c r="AC775" s="42">
        <f t="shared" si="2510"/>
        <v>7140</v>
      </c>
      <c r="AD775" s="49">
        <f t="shared" si="2511"/>
        <v>675.504</v>
      </c>
      <c r="AE775" s="49">
        <f t="shared" si="2512"/>
        <v>8.643127814</v>
      </c>
      <c r="AF775" s="54">
        <v>9990.0</v>
      </c>
      <c r="AG775" s="52">
        <f t="shared" si="2513"/>
        <v>132.7586207</v>
      </c>
      <c r="AH775" s="53">
        <f t="shared" si="2514"/>
        <v>-1240</v>
      </c>
      <c r="AI775" s="53">
        <f t="shared" si="2527"/>
        <v>7815.504</v>
      </c>
      <c r="AJ775" s="54">
        <v>8750.0</v>
      </c>
      <c r="AK775" s="55">
        <f t="shared" si="1730"/>
        <v>103.8676608</v>
      </c>
      <c r="AL775" s="55"/>
      <c r="AM775" s="55">
        <f t="shared" si="2528"/>
        <v>-14.17142857</v>
      </c>
      <c r="AN775" s="55">
        <f t="shared" si="2516"/>
        <v>-28.89095993</v>
      </c>
      <c r="AO775" s="56">
        <f t="shared" si="2517"/>
        <v>2.038676608</v>
      </c>
      <c r="AP775" s="55">
        <f t="shared" si="2518"/>
        <v>9.34496</v>
      </c>
      <c r="AQ775" s="55">
        <f t="shared" si="2519"/>
        <v>16.1</v>
      </c>
      <c r="AR775" s="57">
        <f t="shared" ref="AR775:AS775" si="2547">AI775/94</f>
        <v>83.14365957</v>
      </c>
      <c r="AS775" s="57">
        <f t="shared" si="2547"/>
        <v>93.08510638</v>
      </c>
      <c r="AT775" s="58">
        <f t="shared" ref="AT775:AU775" si="2548">AI775/24</f>
        <v>325.646</v>
      </c>
      <c r="AU775" s="58">
        <f t="shared" si="2548"/>
        <v>364.5833333</v>
      </c>
      <c r="AV775" s="58">
        <f t="shared" ref="AV775:AW775" si="2549">AI775/125</f>
        <v>62.524032</v>
      </c>
      <c r="AW775" s="58">
        <f t="shared" si="2549"/>
        <v>70</v>
      </c>
      <c r="AX775" s="47"/>
      <c r="AY775" s="47"/>
    </row>
    <row r="776" ht="15.75" customHeight="1">
      <c r="A776" s="42"/>
      <c r="B776" s="42" t="s">
        <v>1539</v>
      </c>
      <c r="C776" s="95" t="s">
        <v>1540</v>
      </c>
      <c r="D776" s="45">
        <v>4670.0</v>
      </c>
      <c r="E776" s="42">
        <v>0.0</v>
      </c>
      <c r="F776" s="44">
        <v>80.0</v>
      </c>
      <c r="G776" s="45">
        <v>9202.0</v>
      </c>
      <c r="H776" s="46">
        <v>0.18</v>
      </c>
      <c r="I776" s="42">
        <f t="shared" si="2526"/>
        <v>840.6</v>
      </c>
      <c r="J776" s="47"/>
      <c r="K776" s="42">
        <v>200.0</v>
      </c>
      <c r="L776" s="48">
        <f t="shared" si="1708"/>
        <v>5790.6</v>
      </c>
      <c r="M776" s="42">
        <f t="shared" si="2495"/>
        <v>46.7</v>
      </c>
      <c r="N776" s="49">
        <f t="shared" si="2496"/>
        <v>463.248</v>
      </c>
      <c r="O776" s="49">
        <f t="shared" si="2497"/>
        <v>579.06</v>
      </c>
      <c r="P776" s="49">
        <f t="shared" si="2498"/>
        <v>289.53</v>
      </c>
      <c r="Q776" s="49">
        <f t="shared" si="2499"/>
        <v>115.812</v>
      </c>
      <c r="R776" s="49">
        <f t="shared" si="2500"/>
        <v>49.035</v>
      </c>
      <c r="S776" s="49">
        <f t="shared" si="2501"/>
        <v>57.906</v>
      </c>
      <c r="T776" s="50">
        <f t="shared" si="2502"/>
        <v>1552.256</v>
      </c>
      <c r="U776" s="42">
        <f t="shared" si="2503"/>
        <v>98.07</v>
      </c>
      <c r="V776" s="42">
        <f t="shared" si="15"/>
        <v>490.35</v>
      </c>
      <c r="W776" s="42">
        <f t="shared" si="2504"/>
        <v>98.07</v>
      </c>
      <c r="X776" s="42">
        <f t="shared" si="2505"/>
        <v>784.56</v>
      </c>
      <c r="Y776" s="42">
        <f t="shared" si="2506"/>
        <v>1471.05</v>
      </c>
      <c r="Z776" s="50">
        <f t="shared" si="2507"/>
        <v>8813.906</v>
      </c>
      <c r="AA776" s="51">
        <f t="shared" si="2508"/>
        <v>1762.7812</v>
      </c>
      <c r="AB776" s="49">
        <f t="shared" si="2509"/>
        <v>10576.6872</v>
      </c>
      <c r="AC776" s="42">
        <f t="shared" si="2510"/>
        <v>9807</v>
      </c>
      <c r="AD776" s="49">
        <f t="shared" si="2511"/>
        <v>769.6872</v>
      </c>
      <c r="AE776" s="49">
        <f t="shared" si="2512"/>
        <v>7.277204908</v>
      </c>
      <c r="AF776" s="54">
        <v>11250.0</v>
      </c>
      <c r="AG776" s="52">
        <f t="shared" si="2513"/>
        <v>94.28038545</v>
      </c>
      <c r="AH776" s="53">
        <f t="shared" si="2514"/>
        <v>-300</v>
      </c>
      <c r="AI776" s="53">
        <f t="shared" si="2527"/>
        <v>10576.6872</v>
      </c>
      <c r="AJ776" s="54">
        <v>10950.0</v>
      </c>
      <c r="AK776" s="55">
        <f t="shared" si="1730"/>
        <v>89.09957517</v>
      </c>
      <c r="AL776" s="55"/>
      <c r="AM776" s="55">
        <f t="shared" si="2528"/>
        <v>-2.739726027</v>
      </c>
      <c r="AN776" s="55">
        <f t="shared" si="2516"/>
        <v>-5.180810279</v>
      </c>
      <c r="AO776" s="56">
        <f t="shared" si="2517"/>
        <v>1.890995752</v>
      </c>
      <c r="AP776" s="55">
        <f t="shared" si="2518"/>
        <v>3.733128</v>
      </c>
      <c r="AQ776" s="55">
        <f t="shared" si="2519"/>
        <v>11.43</v>
      </c>
      <c r="AR776" s="57">
        <f t="shared" ref="AR776:AS776" si="2550">AI776/94</f>
        <v>112.5179489</v>
      </c>
      <c r="AS776" s="57">
        <f t="shared" si="2550"/>
        <v>116.4893617</v>
      </c>
      <c r="AT776" s="58">
        <f t="shared" ref="AT776:AU776" si="2551">AI776/24</f>
        <v>440.6953</v>
      </c>
      <c r="AU776" s="58">
        <f t="shared" si="2551"/>
        <v>456.25</v>
      </c>
      <c r="AV776" s="58">
        <f t="shared" ref="AV776:AW776" si="2552">AI776/125</f>
        <v>84.6134976</v>
      </c>
      <c r="AW776" s="58">
        <f t="shared" si="2552"/>
        <v>87.6</v>
      </c>
      <c r="AX776" s="47"/>
      <c r="AY776" s="47"/>
    </row>
    <row r="777" ht="15.75" customHeight="1">
      <c r="A777" s="42"/>
      <c r="B777" s="42" t="s">
        <v>1541</v>
      </c>
      <c r="C777" s="95" t="s">
        <v>1542</v>
      </c>
      <c r="D777" s="45">
        <v>4170.0</v>
      </c>
      <c r="E777" s="42">
        <v>0.0</v>
      </c>
      <c r="F777" s="44">
        <v>80.0</v>
      </c>
      <c r="G777" s="45">
        <v>9202.0</v>
      </c>
      <c r="H777" s="46">
        <v>0.18</v>
      </c>
      <c r="I777" s="42">
        <f t="shared" si="2526"/>
        <v>750.6</v>
      </c>
      <c r="J777" s="47"/>
      <c r="K777" s="42">
        <v>200.0</v>
      </c>
      <c r="L777" s="48">
        <f t="shared" si="1708"/>
        <v>5200.6</v>
      </c>
      <c r="M777" s="42">
        <f t="shared" si="2495"/>
        <v>41.7</v>
      </c>
      <c r="N777" s="49">
        <f t="shared" si="2496"/>
        <v>416.048</v>
      </c>
      <c r="O777" s="49">
        <f t="shared" si="2497"/>
        <v>520.06</v>
      </c>
      <c r="P777" s="49">
        <f t="shared" si="2498"/>
        <v>260.03</v>
      </c>
      <c r="Q777" s="49">
        <f t="shared" si="2499"/>
        <v>104.012</v>
      </c>
      <c r="R777" s="49">
        <f t="shared" si="2500"/>
        <v>43.785</v>
      </c>
      <c r="S777" s="49">
        <f t="shared" si="2501"/>
        <v>52.006</v>
      </c>
      <c r="T777" s="50">
        <f t="shared" si="2502"/>
        <v>1393.856</v>
      </c>
      <c r="U777" s="42">
        <f t="shared" si="2503"/>
        <v>87.57</v>
      </c>
      <c r="V777" s="42">
        <f t="shared" si="15"/>
        <v>437.85</v>
      </c>
      <c r="W777" s="42">
        <f t="shared" si="2504"/>
        <v>87.57</v>
      </c>
      <c r="X777" s="42">
        <f t="shared" si="2505"/>
        <v>700.56</v>
      </c>
      <c r="Y777" s="42">
        <f t="shared" si="2506"/>
        <v>1313.55</v>
      </c>
      <c r="Z777" s="50">
        <f t="shared" si="2507"/>
        <v>7908.006</v>
      </c>
      <c r="AA777" s="51">
        <f t="shared" si="2508"/>
        <v>1581.6012</v>
      </c>
      <c r="AB777" s="49">
        <f t="shared" si="2509"/>
        <v>9489.6072</v>
      </c>
      <c r="AC777" s="42">
        <f t="shared" si="2510"/>
        <v>8757</v>
      </c>
      <c r="AD777" s="49">
        <f t="shared" si="2511"/>
        <v>732.6072</v>
      </c>
      <c r="AE777" s="49">
        <f t="shared" si="2512"/>
        <v>7.720100364</v>
      </c>
      <c r="AF777" s="54">
        <v>10990.0</v>
      </c>
      <c r="AG777" s="52">
        <f t="shared" si="2513"/>
        <v>111.3217706</v>
      </c>
      <c r="AH777" s="53">
        <f t="shared" si="2514"/>
        <v>-1040</v>
      </c>
      <c r="AI777" s="53">
        <f t="shared" si="2527"/>
        <v>9489.6072</v>
      </c>
      <c r="AJ777" s="54">
        <v>9950.0</v>
      </c>
      <c r="AK777" s="55">
        <f t="shared" si="1730"/>
        <v>91.32407799</v>
      </c>
      <c r="AL777" s="55"/>
      <c r="AM777" s="55">
        <f t="shared" si="2528"/>
        <v>-10.45226131</v>
      </c>
      <c r="AN777" s="55">
        <f t="shared" si="2516"/>
        <v>-19.99769257</v>
      </c>
      <c r="AO777" s="56">
        <f t="shared" si="2517"/>
        <v>1.91324078</v>
      </c>
      <c r="AP777" s="55">
        <f t="shared" si="2518"/>
        <v>4.603928</v>
      </c>
      <c r="AQ777" s="55">
        <f t="shared" si="2519"/>
        <v>11.93</v>
      </c>
      <c r="AR777" s="57">
        <f t="shared" ref="AR777:AS777" si="2553">AI777/94</f>
        <v>100.9532681</v>
      </c>
      <c r="AS777" s="57">
        <f t="shared" si="2553"/>
        <v>105.8510638</v>
      </c>
      <c r="AT777" s="58">
        <f t="shared" ref="AT777:AU777" si="2554">AI777/24</f>
        <v>395.4003</v>
      </c>
      <c r="AU777" s="58">
        <f t="shared" si="2554"/>
        <v>414.5833333</v>
      </c>
      <c r="AV777" s="58">
        <f t="shared" ref="AV777:AW777" si="2555">AI777/125</f>
        <v>75.9168576</v>
      </c>
      <c r="AW777" s="58">
        <f t="shared" si="2555"/>
        <v>79.6</v>
      </c>
      <c r="AX777" s="47"/>
      <c r="AY777" s="47"/>
    </row>
    <row r="778" ht="15.75" customHeight="1">
      <c r="A778" s="42"/>
      <c r="B778" s="44" t="s">
        <v>1543</v>
      </c>
      <c r="C778" s="95" t="s">
        <v>1544</v>
      </c>
      <c r="D778" s="45">
        <v>2900.0</v>
      </c>
      <c r="E778" s="47"/>
      <c r="F778" s="44">
        <v>80.0</v>
      </c>
      <c r="G778" s="45">
        <v>9202.0</v>
      </c>
      <c r="H778" s="46">
        <v>0.18</v>
      </c>
      <c r="I778" s="42">
        <f t="shared" si="2526"/>
        <v>522</v>
      </c>
      <c r="J778" s="47"/>
      <c r="K778" s="42">
        <v>200.0</v>
      </c>
      <c r="L778" s="48">
        <f t="shared" si="1708"/>
        <v>3702</v>
      </c>
      <c r="M778" s="42">
        <f>D775*1%</f>
        <v>34</v>
      </c>
      <c r="N778" s="49">
        <f t="shared" si="2496"/>
        <v>296.16</v>
      </c>
      <c r="O778" s="49">
        <f t="shared" si="2497"/>
        <v>370.2</v>
      </c>
      <c r="P778" s="49">
        <f t="shared" si="2498"/>
        <v>185.1</v>
      </c>
      <c r="Q778" s="49">
        <f t="shared" si="2499"/>
        <v>74.04</v>
      </c>
      <c r="R778" s="49">
        <f t="shared" si="2500"/>
        <v>30.45</v>
      </c>
      <c r="S778" s="49">
        <f t="shared" si="2501"/>
        <v>37.02</v>
      </c>
      <c r="T778" s="50">
        <f t="shared" si="2502"/>
        <v>996.52</v>
      </c>
      <c r="U778" s="42">
        <f t="shared" si="2503"/>
        <v>60.9</v>
      </c>
      <c r="V778" s="42">
        <f t="shared" si="15"/>
        <v>304.5</v>
      </c>
      <c r="W778" s="42">
        <f t="shared" si="2504"/>
        <v>60.9</v>
      </c>
      <c r="X778" s="42">
        <f t="shared" si="2505"/>
        <v>487.2</v>
      </c>
      <c r="Y778" s="42">
        <f t="shared" si="2506"/>
        <v>913.5</v>
      </c>
      <c r="Z778" s="50">
        <f t="shared" si="2507"/>
        <v>5612.02</v>
      </c>
      <c r="AA778" s="51">
        <f t="shared" si="2508"/>
        <v>1122.404</v>
      </c>
      <c r="AB778" s="49">
        <f t="shared" si="2509"/>
        <v>6734.424</v>
      </c>
      <c r="AC778" s="42">
        <f t="shared" si="2510"/>
        <v>6090</v>
      </c>
      <c r="AD778" s="49">
        <f t="shared" si="2511"/>
        <v>644.424</v>
      </c>
      <c r="AE778" s="49">
        <f t="shared" si="2512"/>
        <v>9.56910346</v>
      </c>
      <c r="AF778" s="54">
        <v>8250.0</v>
      </c>
      <c r="AG778" s="52">
        <f t="shared" si="2513"/>
        <v>122.8525122</v>
      </c>
      <c r="AH778" s="53">
        <f t="shared" si="2514"/>
        <v>-600</v>
      </c>
      <c r="AI778" s="53">
        <f t="shared" si="2527"/>
        <v>6734.424</v>
      </c>
      <c r="AJ778" s="54">
        <v>7650.0</v>
      </c>
      <c r="AK778" s="55">
        <f t="shared" si="1730"/>
        <v>106.6450567</v>
      </c>
      <c r="AL778" s="55"/>
      <c r="AM778" s="55">
        <f t="shared" si="2528"/>
        <v>-7.843137255</v>
      </c>
      <c r="AN778" s="55">
        <f t="shared" si="2516"/>
        <v>-16.20745543</v>
      </c>
      <c r="AO778" s="56">
        <f t="shared" si="2517"/>
        <v>2.066450567</v>
      </c>
      <c r="AP778" s="55">
        <f t="shared" si="2518"/>
        <v>9.15576</v>
      </c>
      <c r="AQ778" s="55">
        <f t="shared" si="2519"/>
        <v>15.6</v>
      </c>
      <c r="AR778" s="57">
        <f t="shared" ref="AR778:AS778" si="2556">AI778/94</f>
        <v>71.64280851</v>
      </c>
      <c r="AS778" s="57">
        <f t="shared" si="2556"/>
        <v>81.38297872</v>
      </c>
      <c r="AT778" s="58">
        <f t="shared" ref="AT778:AU778" si="2557">AI778/24</f>
        <v>280.601</v>
      </c>
      <c r="AU778" s="58">
        <f t="shared" si="2557"/>
        <v>318.75</v>
      </c>
      <c r="AV778" s="58">
        <f t="shared" ref="AV778:AW778" si="2558">AI778/125</f>
        <v>53.875392</v>
      </c>
      <c r="AW778" s="58">
        <f t="shared" si="2558"/>
        <v>61.2</v>
      </c>
      <c r="AX778" s="47"/>
      <c r="AY778" s="47"/>
    </row>
    <row r="779" ht="15.75" customHeight="1">
      <c r="A779" s="42"/>
      <c r="B779" s="44" t="s">
        <v>1545</v>
      </c>
      <c r="C779" s="95" t="s">
        <v>1546</v>
      </c>
      <c r="D779" s="45">
        <v>2400.0</v>
      </c>
      <c r="E779" s="42">
        <v>0.0</v>
      </c>
      <c r="F779" s="44">
        <v>80.0</v>
      </c>
      <c r="G779" s="45">
        <v>9202.0</v>
      </c>
      <c r="H779" s="46">
        <v>0.18</v>
      </c>
      <c r="I779" s="42">
        <f t="shared" si="2526"/>
        <v>432</v>
      </c>
      <c r="J779" s="47"/>
      <c r="K779" s="42">
        <v>200.0</v>
      </c>
      <c r="L779" s="48">
        <f t="shared" si="1708"/>
        <v>3112</v>
      </c>
      <c r="M779" s="42">
        <f t="shared" ref="M779:M793" si="2562">D779*1%</f>
        <v>24</v>
      </c>
      <c r="N779" s="49">
        <f t="shared" si="2496"/>
        <v>248.96</v>
      </c>
      <c r="O779" s="49">
        <f t="shared" si="2497"/>
        <v>311.2</v>
      </c>
      <c r="P779" s="49">
        <f t="shared" si="2498"/>
        <v>155.6</v>
      </c>
      <c r="Q779" s="49">
        <f t="shared" si="2499"/>
        <v>62.24</v>
      </c>
      <c r="R779" s="49">
        <f t="shared" si="2500"/>
        <v>25.2</v>
      </c>
      <c r="S779" s="49">
        <f t="shared" si="2501"/>
        <v>31.12</v>
      </c>
      <c r="T779" s="50">
        <f t="shared" si="2502"/>
        <v>833.12</v>
      </c>
      <c r="U779" s="42">
        <f t="shared" si="2503"/>
        <v>50.4</v>
      </c>
      <c r="V779" s="42">
        <f t="shared" si="15"/>
        <v>252</v>
      </c>
      <c r="W779" s="42">
        <f t="shared" si="2504"/>
        <v>50.4</v>
      </c>
      <c r="X779" s="42">
        <f t="shared" si="2505"/>
        <v>403.2</v>
      </c>
      <c r="Y779" s="42">
        <f t="shared" si="2506"/>
        <v>756</v>
      </c>
      <c r="Z779" s="50">
        <f t="shared" si="2507"/>
        <v>4701.12</v>
      </c>
      <c r="AA779" s="51">
        <f t="shared" si="2508"/>
        <v>940.224</v>
      </c>
      <c r="AB779" s="49">
        <f t="shared" si="2509"/>
        <v>5641.344</v>
      </c>
      <c r="AC779" s="42">
        <f t="shared" si="2510"/>
        <v>5040</v>
      </c>
      <c r="AD779" s="49">
        <f t="shared" si="2511"/>
        <v>601.344</v>
      </c>
      <c r="AE779" s="49">
        <f t="shared" si="2512"/>
        <v>10.6595875</v>
      </c>
      <c r="AF779" s="54">
        <v>7990.0</v>
      </c>
      <c r="AG779" s="52">
        <f t="shared" si="2513"/>
        <v>156.748072</v>
      </c>
      <c r="AH779" s="53">
        <f t="shared" si="2514"/>
        <v>-1340</v>
      </c>
      <c r="AI779" s="53">
        <f t="shared" si="2527"/>
        <v>5641.344</v>
      </c>
      <c r="AJ779" s="54">
        <v>6650.0</v>
      </c>
      <c r="AK779" s="55">
        <f t="shared" si="1730"/>
        <v>113.688946</v>
      </c>
      <c r="AL779" s="55"/>
      <c r="AM779" s="55">
        <f t="shared" si="2528"/>
        <v>-20.15037594</v>
      </c>
      <c r="AN779" s="55">
        <f t="shared" si="2516"/>
        <v>-43.05912596</v>
      </c>
      <c r="AO779" s="56">
        <f t="shared" si="2517"/>
        <v>2.13688946</v>
      </c>
      <c r="AP779" s="55">
        <f t="shared" si="2518"/>
        <v>10.08656</v>
      </c>
      <c r="AQ779" s="55">
        <f t="shared" si="2519"/>
        <v>16.1</v>
      </c>
      <c r="AR779" s="57">
        <f t="shared" ref="AR779:AS779" si="2559">AI779/94</f>
        <v>60.01429787</v>
      </c>
      <c r="AS779" s="57">
        <f t="shared" si="2559"/>
        <v>70.74468085</v>
      </c>
      <c r="AT779" s="58">
        <f t="shared" ref="AT779:AU779" si="2560">AI779/24</f>
        <v>235.056</v>
      </c>
      <c r="AU779" s="58">
        <f t="shared" si="2560"/>
        <v>277.0833333</v>
      </c>
      <c r="AV779" s="58">
        <f t="shared" ref="AV779:AW779" si="2561">AI779/125</f>
        <v>45.130752</v>
      </c>
      <c r="AW779" s="58">
        <f t="shared" si="2561"/>
        <v>53.2</v>
      </c>
      <c r="AX779" s="47"/>
      <c r="AY779" s="47"/>
    </row>
    <row r="780" ht="15.75" customHeight="1">
      <c r="A780" s="42"/>
      <c r="B780" s="44" t="s">
        <v>1547</v>
      </c>
      <c r="C780" s="95" t="s">
        <v>1548</v>
      </c>
      <c r="D780" s="45">
        <v>3000.0</v>
      </c>
      <c r="E780" s="42">
        <v>0.0</v>
      </c>
      <c r="F780" s="44">
        <v>80.0</v>
      </c>
      <c r="G780" s="45">
        <v>9202.0</v>
      </c>
      <c r="H780" s="46">
        <v>0.18</v>
      </c>
      <c r="I780" s="42">
        <f t="shared" si="2526"/>
        <v>540</v>
      </c>
      <c r="J780" s="47"/>
      <c r="K780" s="42">
        <v>200.0</v>
      </c>
      <c r="L780" s="48">
        <f t="shared" si="1708"/>
        <v>3820</v>
      </c>
      <c r="M780" s="42">
        <f t="shared" si="2562"/>
        <v>30</v>
      </c>
      <c r="N780" s="49">
        <f t="shared" si="2496"/>
        <v>305.6</v>
      </c>
      <c r="O780" s="49">
        <f t="shared" si="2497"/>
        <v>382</v>
      </c>
      <c r="P780" s="49">
        <f t="shared" si="2498"/>
        <v>191</v>
      </c>
      <c r="Q780" s="49">
        <f t="shared" si="2499"/>
        <v>76.4</v>
      </c>
      <c r="R780" s="49">
        <f t="shared" si="2500"/>
        <v>31.5</v>
      </c>
      <c r="S780" s="49">
        <f t="shared" si="2501"/>
        <v>38.2</v>
      </c>
      <c r="T780" s="50">
        <f t="shared" si="2502"/>
        <v>1023.2</v>
      </c>
      <c r="U780" s="42">
        <f t="shared" si="2503"/>
        <v>63</v>
      </c>
      <c r="V780" s="42">
        <f t="shared" si="15"/>
        <v>315</v>
      </c>
      <c r="W780" s="42">
        <f t="shared" si="2504"/>
        <v>63</v>
      </c>
      <c r="X780" s="42">
        <f t="shared" si="2505"/>
        <v>504</v>
      </c>
      <c r="Y780" s="42">
        <f t="shared" si="2506"/>
        <v>945</v>
      </c>
      <c r="Z780" s="50">
        <f t="shared" si="2507"/>
        <v>5788.2</v>
      </c>
      <c r="AA780" s="51">
        <f t="shared" si="2508"/>
        <v>1157.64</v>
      </c>
      <c r="AB780" s="49">
        <f t="shared" si="2509"/>
        <v>6945.84</v>
      </c>
      <c r="AC780" s="42">
        <f t="shared" si="2510"/>
        <v>6300</v>
      </c>
      <c r="AD780" s="49">
        <f t="shared" si="2511"/>
        <v>645.84</v>
      </c>
      <c r="AE780" s="49">
        <f t="shared" si="2512"/>
        <v>9.298227428</v>
      </c>
      <c r="AF780" s="54">
        <v>9150.0</v>
      </c>
      <c r="AG780" s="52">
        <f t="shared" si="2513"/>
        <v>139.5287958</v>
      </c>
      <c r="AH780" s="53">
        <f t="shared" si="2514"/>
        <v>-700</v>
      </c>
      <c r="AI780" s="53">
        <f t="shared" si="2527"/>
        <v>6945.84</v>
      </c>
      <c r="AJ780" s="54">
        <v>8450.0</v>
      </c>
      <c r="AK780" s="55">
        <f t="shared" si="1730"/>
        <v>121.2041885</v>
      </c>
      <c r="AL780" s="55"/>
      <c r="AM780" s="55">
        <f t="shared" si="2528"/>
        <v>-8.284023669</v>
      </c>
      <c r="AN780" s="55">
        <f t="shared" si="2516"/>
        <v>-18.32460733</v>
      </c>
      <c r="AO780" s="56">
        <f t="shared" si="2517"/>
        <v>2.212041885</v>
      </c>
      <c r="AP780" s="55">
        <f t="shared" si="2518"/>
        <v>15.0416</v>
      </c>
      <c r="AQ780" s="55">
        <f t="shared" si="2519"/>
        <v>21.5</v>
      </c>
      <c r="AR780" s="57">
        <f t="shared" ref="AR780:AS780" si="2563">AI780/94</f>
        <v>73.89191489</v>
      </c>
      <c r="AS780" s="57">
        <f t="shared" si="2563"/>
        <v>89.89361702</v>
      </c>
      <c r="AT780" s="58">
        <f t="shared" ref="AT780:AU780" si="2564">AI780/24</f>
        <v>289.41</v>
      </c>
      <c r="AU780" s="58">
        <f t="shared" si="2564"/>
        <v>352.0833333</v>
      </c>
      <c r="AV780" s="58">
        <f t="shared" ref="AV780:AW780" si="2565">AI780/125</f>
        <v>55.56672</v>
      </c>
      <c r="AW780" s="58">
        <f t="shared" si="2565"/>
        <v>67.6</v>
      </c>
      <c r="AX780" s="47"/>
      <c r="AY780" s="47"/>
    </row>
    <row r="781" ht="15.75" customHeight="1">
      <c r="A781" s="42"/>
      <c r="B781" s="44" t="s">
        <v>1549</v>
      </c>
      <c r="C781" s="95" t="s">
        <v>1550</v>
      </c>
      <c r="D781" s="45">
        <v>2500.0</v>
      </c>
      <c r="E781" s="42">
        <v>0.0</v>
      </c>
      <c r="F781" s="44">
        <v>80.0</v>
      </c>
      <c r="G781" s="45">
        <v>9202.0</v>
      </c>
      <c r="H781" s="46">
        <v>0.18</v>
      </c>
      <c r="I781" s="42">
        <f t="shared" si="2526"/>
        <v>450</v>
      </c>
      <c r="J781" s="47"/>
      <c r="K781" s="42">
        <v>200.0</v>
      </c>
      <c r="L781" s="48">
        <f t="shared" si="1708"/>
        <v>3230</v>
      </c>
      <c r="M781" s="42">
        <f t="shared" si="2562"/>
        <v>25</v>
      </c>
      <c r="N781" s="49">
        <f t="shared" si="2496"/>
        <v>258.4</v>
      </c>
      <c r="O781" s="49">
        <f t="shared" si="2497"/>
        <v>323</v>
      </c>
      <c r="P781" s="49">
        <f t="shared" si="2498"/>
        <v>161.5</v>
      </c>
      <c r="Q781" s="49">
        <f t="shared" si="2499"/>
        <v>64.6</v>
      </c>
      <c r="R781" s="49">
        <f t="shared" si="2500"/>
        <v>26.25</v>
      </c>
      <c r="S781" s="49">
        <f t="shared" si="2501"/>
        <v>32.3</v>
      </c>
      <c r="T781" s="50">
        <f t="shared" si="2502"/>
        <v>864.8</v>
      </c>
      <c r="U781" s="42">
        <f t="shared" si="2503"/>
        <v>52.5</v>
      </c>
      <c r="V781" s="42">
        <f t="shared" si="15"/>
        <v>262.5</v>
      </c>
      <c r="W781" s="42">
        <f t="shared" si="2504"/>
        <v>52.5</v>
      </c>
      <c r="X781" s="42">
        <f t="shared" si="2505"/>
        <v>420</v>
      </c>
      <c r="Y781" s="42">
        <f t="shared" si="2506"/>
        <v>787.5</v>
      </c>
      <c r="Z781" s="50">
        <f t="shared" si="2507"/>
        <v>4882.3</v>
      </c>
      <c r="AA781" s="51">
        <f t="shared" si="2508"/>
        <v>976.46</v>
      </c>
      <c r="AB781" s="49">
        <f t="shared" si="2509"/>
        <v>5858.76</v>
      </c>
      <c r="AC781" s="42">
        <f t="shared" si="2510"/>
        <v>5250</v>
      </c>
      <c r="AD781" s="49">
        <f t="shared" si="2511"/>
        <v>608.76</v>
      </c>
      <c r="AE781" s="49">
        <f t="shared" si="2512"/>
        <v>10.3905946</v>
      </c>
      <c r="AF781" s="54">
        <v>8900.0</v>
      </c>
      <c r="AG781" s="52">
        <f t="shared" si="2513"/>
        <v>175.5417957</v>
      </c>
      <c r="AH781" s="53">
        <f t="shared" si="2514"/>
        <v>-1450</v>
      </c>
      <c r="AI781" s="53">
        <f t="shared" si="2527"/>
        <v>5858.76</v>
      </c>
      <c r="AJ781" s="54">
        <v>7450.0</v>
      </c>
      <c r="AK781" s="55">
        <f t="shared" si="1730"/>
        <v>130.6501548</v>
      </c>
      <c r="AL781" s="55"/>
      <c r="AM781" s="55">
        <f t="shared" si="2528"/>
        <v>-19.46308725</v>
      </c>
      <c r="AN781" s="55">
        <f t="shared" si="2516"/>
        <v>-44.89164087</v>
      </c>
      <c r="AO781" s="56">
        <f t="shared" si="2517"/>
        <v>2.306501548</v>
      </c>
      <c r="AP781" s="55">
        <f t="shared" si="2518"/>
        <v>15.9124</v>
      </c>
      <c r="AQ781" s="55">
        <f t="shared" si="2519"/>
        <v>22</v>
      </c>
      <c r="AR781" s="57">
        <f t="shared" ref="AR781:AS781" si="2566">AI781/94</f>
        <v>62.32723404</v>
      </c>
      <c r="AS781" s="57">
        <f t="shared" si="2566"/>
        <v>79.25531915</v>
      </c>
      <c r="AT781" s="58">
        <f t="shared" ref="AT781:AU781" si="2567">AI781/24</f>
        <v>244.115</v>
      </c>
      <c r="AU781" s="58">
        <f t="shared" si="2567"/>
        <v>310.4166667</v>
      </c>
      <c r="AV781" s="58">
        <f t="shared" ref="AV781:AW781" si="2568">AI781/125</f>
        <v>46.87008</v>
      </c>
      <c r="AW781" s="58">
        <f t="shared" si="2568"/>
        <v>59.6</v>
      </c>
      <c r="AX781" s="47"/>
      <c r="AY781" s="47"/>
    </row>
    <row r="782" ht="15.0" customHeight="1">
      <c r="A782" s="42" t="s">
        <v>1551</v>
      </c>
      <c r="B782" s="42" t="s">
        <v>295</v>
      </c>
      <c r="C782" s="95" t="s">
        <v>1552</v>
      </c>
      <c r="D782" s="45">
        <v>80.0</v>
      </c>
      <c r="E782" s="42">
        <v>0.0</v>
      </c>
      <c r="F782" s="44">
        <v>50.0</v>
      </c>
      <c r="G782" s="45">
        <v>9202.0</v>
      </c>
      <c r="H782" s="46">
        <v>0.18</v>
      </c>
      <c r="I782" s="42">
        <f t="shared" si="2526"/>
        <v>14.4</v>
      </c>
      <c r="J782" s="47"/>
      <c r="K782" s="42">
        <v>20.0</v>
      </c>
      <c r="L782" s="48">
        <f t="shared" si="1708"/>
        <v>164.4</v>
      </c>
      <c r="M782" s="42">
        <f t="shared" si="2562"/>
        <v>0.8</v>
      </c>
      <c r="N782" s="49">
        <f t="shared" si="2496"/>
        <v>13.152</v>
      </c>
      <c r="O782" s="49">
        <f t="shared" si="2497"/>
        <v>16.44</v>
      </c>
      <c r="P782" s="49">
        <f t="shared" si="2498"/>
        <v>8.22</v>
      </c>
      <c r="Q782" s="49">
        <f t="shared" si="2499"/>
        <v>3.288</v>
      </c>
      <c r="R782" s="49">
        <f t="shared" si="2500"/>
        <v>0.84</v>
      </c>
      <c r="S782" s="49">
        <f t="shared" si="2501"/>
        <v>1.644</v>
      </c>
      <c r="T782" s="50">
        <f t="shared" si="2502"/>
        <v>43.544</v>
      </c>
      <c r="U782" s="42">
        <f t="shared" si="2503"/>
        <v>1.68</v>
      </c>
      <c r="V782" s="42">
        <f t="shared" si="15"/>
        <v>8.4</v>
      </c>
      <c r="W782" s="42">
        <f t="shared" si="2504"/>
        <v>1.68</v>
      </c>
      <c r="X782" s="42">
        <f t="shared" si="2505"/>
        <v>13.44</v>
      </c>
      <c r="Y782" s="42">
        <f t="shared" si="2506"/>
        <v>25.2</v>
      </c>
      <c r="Z782" s="50">
        <f t="shared" si="2507"/>
        <v>233.144</v>
      </c>
      <c r="AA782" s="51">
        <f t="shared" si="2508"/>
        <v>46.6288</v>
      </c>
      <c r="AB782" s="49">
        <f t="shared" si="2509"/>
        <v>279.7728</v>
      </c>
      <c r="AC782" s="42">
        <f t="shared" si="2510"/>
        <v>168</v>
      </c>
      <c r="AD782" s="49">
        <f t="shared" si="2511"/>
        <v>111.7728</v>
      </c>
      <c r="AE782" s="49">
        <f t="shared" si="2512"/>
        <v>39.95127475</v>
      </c>
      <c r="AF782" s="97">
        <v>250.0</v>
      </c>
      <c r="AG782" s="52">
        <f t="shared" si="2513"/>
        <v>52.06812652</v>
      </c>
      <c r="AH782" s="53">
        <f t="shared" si="2514"/>
        <v>75</v>
      </c>
      <c r="AI782" s="53">
        <f t="shared" si="2527"/>
        <v>279.7728</v>
      </c>
      <c r="AJ782" s="54">
        <v>325.0</v>
      </c>
      <c r="AK782" s="55">
        <f t="shared" si="1730"/>
        <v>97.68856448</v>
      </c>
      <c r="AL782" s="55"/>
      <c r="AM782" s="55">
        <f t="shared" si="2528"/>
        <v>23.07692308</v>
      </c>
      <c r="AN782" s="55">
        <f t="shared" si="2516"/>
        <v>45.62043796</v>
      </c>
      <c r="AO782" s="56">
        <f t="shared" si="2517"/>
        <v>1.976885645</v>
      </c>
      <c r="AP782" s="55">
        <f t="shared" si="2518"/>
        <v>0.452272</v>
      </c>
      <c r="AQ782" s="55">
        <f t="shared" si="2519"/>
        <v>1.57</v>
      </c>
      <c r="AR782" s="57">
        <f t="shared" ref="AR782:AS782" si="2569">AI782/94</f>
        <v>2.976306383</v>
      </c>
      <c r="AS782" s="57">
        <f t="shared" si="2569"/>
        <v>3.457446809</v>
      </c>
      <c r="AT782" s="58">
        <f t="shared" ref="AT782:AU782" si="2570">AI782/24</f>
        <v>11.6572</v>
      </c>
      <c r="AU782" s="58">
        <f t="shared" si="2570"/>
        <v>13.54166667</v>
      </c>
      <c r="AV782" s="58">
        <f t="shared" ref="AV782:AW782" si="2571">AI782/125</f>
        <v>2.2381824</v>
      </c>
      <c r="AW782" s="58">
        <f t="shared" si="2571"/>
        <v>2.6</v>
      </c>
      <c r="AX782" s="47"/>
      <c r="AY782" s="47"/>
    </row>
    <row r="783" ht="15.75" customHeight="1">
      <c r="A783" s="42"/>
      <c r="B783" s="42" t="s">
        <v>1553</v>
      </c>
      <c r="C783" s="95" t="s">
        <v>1554</v>
      </c>
      <c r="D783" s="45">
        <v>80.0</v>
      </c>
      <c r="E783" s="42">
        <v>0.0</v>
      </c>
      <c r="F783" s="44">
        <v>50.0</v>
      </c>
      <c r="G783" s="45">
        <v>9202.0</v>
      </c>
      <c r="H783" s="46">
        <v>0.18</v>
      </c>
      <c r="I783" s="42">
        <f t="shared" si="2526"/>
        <v>14.4</v>
      </c>
      <c r="J783" s="47"/>
      <c r="K783" s="42">
        <v>20.0</v>
      </c>
      <c r="L783" s="48">
        <f t="shared" si="1708"/>
        <v>164.4</v>
      </c>
      <c r="M783" s="42">
        <f t="shared" si="2562"/>
        <v>0.8</v>
      </c>
      <c r="N783" s="49">
        <f t="shared" si="2496"/>
        <v>13.152</v>
      </c>
      <c r="O783" s="49">
        <f t="shared" si="2497"/>
        <v>16.44</v>
      </c>
      <c r="P783" s="49">
        <f t="shared" si="2498"/>
        <v>8.22</v>
      </c>
      <c r="Q783" s="49">
        <f t="shared" si="2499"/>
        <v>3.288</v>
      </c>
      <c r="R783" s="49">
        <f t="shared" si="2500"/>
        <v>0.84</v>
      </c>
      <c r="S783" s="49">
        <f t="shared" si="2501"/>
        <v>1.644</v>
      </c>
      <c r="T783" s="50">
        <f t="shared" si="2502"/>
        <v>43.544</v>
      </c>
      <c r="U783" s="42">
        <f t="shared" si="2503"/>
        <v>1.68</v>
      </c>
      <c r="V783" s="42">
        <f t="shared" si="15"/>
        <v>8.4</v>
      </c>
      <c r="W783" s="42">
        <f t="shared" si="2504"/>
        <v>1.68</v>
      </c>
      <c r="X783" s="42">
        <f t="shared" si="2505"/>
        <v>13.44</v>
      </c>
      <c r="Y783" s="42">
        <f t="shared" si="2506"/>
        <v>25.2</v>
      </c>
      <c r="Z783" s="50">
        <f t="shared" si="2507"/>
        <v>233.144</v>
      </c>
      <c r="AA783" s="51">
        <f t="shared" si="2508"/>
        <v>46.6288</v>
      </c>
      <c r="AB783" s="49">
        <f t="shared" si="2509"/>
        <v>279.7728</v>
      </c>
      <c r="AC783" s="42">
        <f t="shared" si="2510"/>
        <v>168</v>
      </c>
      <c r="AD783" s="49">
        <f t="shared" si="2511"/>
        <v>111.7728</v>
      </c>
      <c r="AE783" s="49">
        <f t="shared" si="2512"/>
        <v>39.95127475</v>
      </c>
      <c r="AF783" s="97">
        <v>250.0</v>
      </c>
      <c r="AG783" s="52">
        <f t="shared" si="2513"/>
        <v>52.06812652</v>
      </c>
      <c r="AH783" s="53">
        <f t="shared" si="2514"/>
        <v>75</v>
      </c>
      <c r="AI783" s="53">
        <f t="shared" si="2527"/>
        <v>279.7728</v>
      </c>
      <c r="AJ783" s="54">
        <v>325.0</v>
      </c>
      <c r="AK783" s="55">
        <f t="shared" si="1730"/>
        <v>97.68856448</v>
      </c>
      <c r="AL783" s="55"/>
      <c r="AM783" s="55">
        <f t="shared" si="2528"/>
        <v>23.07692308</v>
      </c>
      <c r="AN783" s="55">
        <f t="shared" si="2516"/>
        <v>45.62043796</v>
      </c>
      <c r="AO783" s="56">
        <f t="shared" si="2517"/>
        <v>1.976885645</v>
      </c>
      <c r="AP783" s="55">
        <f t="shared" si="2518"/>
        <v>0.452272</v>
      </c>
      <c r="AQ783" s="55">
        <f t="shared" si="2519"/>
        <v>1.57</v>
      </c>
      <c r="AR783" s="57">
        <f t="shared" ref="AR783:AS783" si="2572">AI783/94</f>
        <v>2.976306383</v>
      </c>
      <c r="AS783" s="57">
        <f t="shared" si="2572"/>
        <v>3.457446809</v>
      </c>
      <c r="AT783" s="58">
        <f t="shared" ref="AT783:AU783" si="2573">AI783/24</f>
        <v>11.6572</v>
      </c>
      <c r="AU783" s="58">
        <f t="shared" si="2573"/>
        <v>13.54166667</v>
      </c>
      <c r="AV783" s="58">
        <f t="shared" ref="AV783:AW783" si="2574">AI783/125</f>
        <v>2.2381824</v>
      </c>
      <c r="AW783" s="58">
        <f t="shared" si="2574"/>
        <v>2.6</v>
      </c>
      <c r="AX783" s="47"/>
      <c r="AY783" s="47"/>
    </row>
    <row r="784" ht="15.75" customHeight="1">
      <c r="A784" s="42"/>
      <c r="B784" s="42" t="s">
        <v>1555</v>
      </c>
      <c r="C784" s="95" t="s">
        <v>1556</v>
      </c>
      <c r="D784" s="45">
        <v>80.0</v>
      </c>
      <c r="E784" s="42">
        <v>0.0</v>
      </c>
      <c r="F784" s="44">
        <v>50.0</v>
      </c>
      <c r="G784" s="45">
        <v>9202.0</v>
      </c>
      <c r="H784" s="46">
        <v>0.18</v>
      </c>
      <c r="I784" s="42">
        <f t="shared" si="2526"/>
        <v>14.4</v>
      </c>
      <c r="J784" s="47"/>
      <c r="K784" s="42">
        <v>20.0</v>
      </c>
      <c r="L784" s="48">
        <f t="shared" si="1708"/>
        <v>164.4</v>
      </c>
      <c r="M784" s="42">
        <f t="shared" si="2562"/>
        <v>0.8</v>
      </c>
      <c r="N784" s="49">
        <f t="shared" si="2496"/>
        <v>13.152</v>
      </c>
      <c r="O784" s="49">
        <f t="shared" si="2497"/>
        <v>16.44</v>
      </c>
      <c r="P784" s="49">
        <f t="shared" si="2498"/>
        <v>8.22</v>
      </c>
      <c r="Q784" s="49">
        <f t="shared" si="2499"/>
        <v>3.288</v>
      </c>
      <c r="R784" s="49">
        <f t="shared" si="2500"/>
        <v>0.84</v>
      </c>
      <c r="S784" s="49">
        <f t="shared" si="2501"/>
        <v>1.644</v>
      </c>
      <c r="T784" s="50">
        <f t="shared" si="2502"/>
        <v>43.544</v>
      </c>
      <c r="U784" s="42">
        <f t="shared" si="2503"/>
        <v>1.68</v>
      </c>
      <c r="V784" s="42">
        <f t="shared" si="15"/>
        <v>8.4</v>
      </c>
      <c r="W784" s="42">
        <f t="shared" si="2504"/>
        <v>1.68</v>
      </c>
      <c r="X784" s="42">
        <f t="shared" si="2505"/>
        <v>13.44</v>
      </c>
      <c r="Y784" s="42">
        <f t="shared" si="2506"/>
        <v>25.2</v>
      </c>
      <c r="Z784" s="50">
        <f t="shared" si="2507"/>
        <v>233.144</v>
      </c>
      <c r="AA784" s="51">
        <f t="shared" si="2508"/>
        <v>46.6288</v>
      </c>
      <c r="AB784" s="49">
        <f t="shared" si="2509"/>
        <v>279.7728</v>
      </c>
      <c r="AC784" s="42">
        <f t="shared" si="2510"/>
        <v>168</v>
      </c>
      <c r="AD784" s="49">
        <f t="shared" si="2511"/>
        <v>111.7728</v>
      </c>
      <c r="AE784" s="49">
        <f t="shared" si="2512"/>
        <v>39.95127475</v>
      </c>
      <c r="AF784" s="97">
        <v>250.0</v>
      </c>
      <c r="AG784" s="52">
        <f t="shared" si="2513"/>
        <v>52.06812652</v>
      </c>
      <c r="AH784" s="53">
        <f t="shared" si="2514"/>
        <v>75</v>
      </c>
      <c r="AI784" s="53">
        <f t="shared" si="2527"/>
        <v>279.7728</v>
      </c>
      <c r="AJ784" s="54">
        <v>325.0</v>
      </c>
      <c r="AK784" s="55">
        <f t="shared" si="1730"/>
        <v>97.68856448</v>
      </c>
      <c r="AL784" s="55"/>
      <c r="AM784" s="55">
        <f t="shared" si="2528"/>
        <v>23.07692308</v>
      </c>
      <c r="AN784" s="55">
        <f t="shared" si="2516"/>
        <v>45.62043796</v>
      </c>
      <c r="AO784" s="56">
        <f t="shared" si="2517"/>
        <v>1.976885645</v>
      </c>
      <c r="AP784" s="55">
        <f t="shared" si="2518"/>
        <v>0.452272</v>
      </c>
      <c r="AQ784" s="55">
        <f t="shared" si="2519"/>
        <v>1.57</v>
      </c>
      <c r="AR784" s="57">
        <f t="shared" ref="AR784:AS784" si="2575">AI784/94</f>
        <v>2.976306383</v>
      </c>
      <c r="AS784" s="57">
        <f t="shared" si="2575"/>
        <v>3.457446809</v>
      </c>
      <c r="AT784" s="58">
        <f t="shared" ref="AT784:AU784" si="2576">AI784/24</f>
        <v>11.6572</v>
      </c>
      <c r="AU784" s="58">
        <f t="shared" si="2576"/>
        <v>13.54166667</v>
      </c>
      <c r="AV784" s="58">
        <f t="shared" ref="AV784:AW784" si="2577">AI784/125</f>
        <v>2.2381824</v>
      </c>
      <c r="AW784" s="58">
        <f t="shared" si="2577"/>
        <v>2.6</v>
      </c>
      <c r="AX784" s="47"/>
      <c r="AY784" s="47"/>
    </row>
    <row r="785" ht="15.75" customHeight="1">
      <c r="A785" s="42"/>
      <c r="B785" s="42" t="s">
        <v>74</v>
      </c>
      <c r="C785" s="95" t="s">
        <v>1557</v>
      </c>
      <c r="D785" s="45">
        <v>80.0</v>
      </c>
      <c r="E785" s="42">
        <v>0.0</v>
      </c>
      <c r="F785" s="44">
        <v>50.0</v>
      </c>
      <c r="G785" s="45">
        <v>9202.0</v>
      </c>
      <c r="H785" s="46">
        <v>0.18</v>
      </c>
      <c r="I785" s="42">
        <f t="shared" si="2526"/>
        <v>14.4</v>
      </c>
      <c r="J785" s="47"/>
      <c r="K785" s="42">
        <v>20.0</v>
      </c>
      <c r="L785" s="48">
        <f t="shared" si="1708"/>
        <v>164.4</v>
      </c>
      <c r="M785" s="42">
        <f t="shared" si="2562"/>
        <v>0.8</v>
      </c>
      <c r="N785" s="49">
        <f t="shared" si="2496"/>
        <v>13.152</v>
      </c>
      <c r="O785" s="49">
        <f t="shared" si="2497"/>
        <v>16.44</v>
      </c>
      <c r="P785" s="49">
        <f t="shared" si="2498"/>
        <v>8.22</v>
      </c>
      <c r="Q785" s="49">
        <f t="shared" si="2499"/>
        <v>3.288</v>
      </c>
      <c r="R785" s="49">
        <f t="shared" si="2500"/>
        <v>0.84</v>
      </c>
      <c r="S785" s="49">
        <f t="shared" si="2501"/>
        <v>1.644</v>
      </c>
      <c r="T785" s="50">
        <f t="shared" si="2502"/>
        <v>43.544</v>
      </c>
      <c r="U785" s="42">
        <f t="shared" si="2503"/>
        <v>1.68</v>
      </c>
      <c r="V785" s="42">
        <f t="shared" si="15"/>
        <v>8.4</v>
      </c>
      <c r="W785" s="42">
        <f t="shared" si="2504"/>
        <v>1.68</v>
      </c>
      <c r="X785" s="42">
        <f t="shared" si="2505"/>
        <v>13.44</v>
      </c>
      <c r="Y785" s="42">
        <f t="shared" si="2506"/>
        <v>25.2</v>
      </c>
      <c r="Z785" s="50">
        <f t="shared" si="2507"/>
        <v>233.144</v>
      </c>
      <c r="AA785" s="51">
        <f t="shared" si="2508"/>
        <v>46.6288</v>
      </c>
      <c r="AB785" s="49">
        <f t="shared" si="2509"/>
        <v>279.7728</v>
      </c>
      <c r="AC785" s="42">
        <f t="shared" si="2510"/>
        <v>168</v>
      </c>
      <c r="AD785" s="49">
        <f t="shared" si="2511"/>
        <v>111.7728</v>
      </c>
      <c r="AE785" s="49">
        <f t="shared" si="2512"/>
        <v>39.95127475</v>
      </c>
      <c r="AF785" s="97">
        <v>250.0</v>
      </c>
      <c r="AG785" s="52">
        <f t="shared" si="2513"/>
        <v>52.06812652</v>
      </c>
      <c r="AH785" s="53">
        <f t="shared" si="2514"/>
        <v>75</v>
      </c>
      <c r="AI785" s="53">
        <f t="shared" si="2527"/>
        <v>279.7728</v>
      </c>
      <c r="AJ785" s="54">
        <v>325.0</v>
      </c>
      <c r="AK785" s="55">
        <f t="shared" si="1730"/>
        <v>97.68856448</v>
      </c>
      <c r="AL785" s="55"/>
      <c r="AM785" s="55">
        <f t="shared" si="2528"/>
        <v>23.07692308</v>
      </c>
      <c r="AN785" s="55">
        <f t="shared" si="2516"/>
        <v>45.62043796</v>
      </c>
      <c r="AO785" s="56">
        <f t="shared" si="2517"/>
        <v>1.976885645</v>
      </c>
      <c r="AP785" s="55">
        <f t="shared" si="2518"/>
        <v>0.452272</v>
      </c>
      <c r="AQ785" s="55">
        <f t="shared" si="2519"/>
        <v>1.57</v>
      </c>
      <c r="AR785" s="57">
        <f t="shared" ref="AR785:AS785" si="2578">AI785/94</f>
        <v>2.976306383</v>
      </c>
      <c r="AS785" s="57">
        <f t="shared" si="2578"/>
        <v>3.457446809</v>
      </c>
      <c r="AT785" s="58">
        <f t="shared" ref="AT785:AU785" si="2579">AI785/24</f>
        <v>11.6572</v>
      </c>
      <c r="AU785" s="58">
        <f t="shared" si="2579"/>
        <v>13.54166667</v>
      </c>
      <c r="AV785" s="58">
        <f t="shared" ref="AV785:AW785" si="2580">AI785/125</f>
        <v>2.2381824</v>
      </c>
      <c r="AW785" s="58">
        <f t="shared" si="2580"/>
        <v>2.6</v>
      </c>
      <c r="AX785" s="47"/>
      <c r="AY785" s="47"/>
    </row>
    <row r="786" ht="15.75" customHeight="1">
      <c r="A786" s="42"/>
      <c r="B786" s="42" t="s">
        <v>274</v>
      </c>
      <c r="C786" s="95" t="s">
        <v>1558</v>
      </c>
      <c r="D786" s="45">
        <v>80.0</v>
      </c>
      <c r="E786" s="42">
        <v>0.0</v>
      </c>
      <c r="F786" s="44">
        <v>50.0</v>
      </c>
      <c r="G786" s="45">
        <v>9202.0</v>
      </c>
      <c r="H786" s="46">
        <v>0.18</v>
      </c>
      <c r="I786" s="42">
        <f t="shared" si="2526"/>
        <v>14.4</v>
      </c>
      <c r="J786" s="47"/>
      <c r="K786" s="42">
        <v>20.0</v>
      </c>
      <c r="L786" s="48">
        <f t="shared" si="1708"/>
        <v>164.4</v>
      </c>
      <c r="M786" s="42">
        <f t="shared" si="2562"/>
        <v>0.8</v>
      </c>
      <c r="N786" s="49">
        <f t="shared" si="2496"/>
        <v>13.152</v>
      </c>
      <c r="O786" s="49">
        <f t="shared" si="2497"/>
        <v>16.44</v>
      </c>
      <c r="P786" s="49">
        <f t="shared" si="2498"/>
        <v>8.22</v>
      </c>
      <c r="Q786" s="49">
        <f t="shared" si="2499"/>
        <v>3.288</v>
      </c>
      <c r="R786" s="49">
        <f t="shared" si="2500"/>
        <v>0.84</v>
      </c>
      <c r="S786" s="49">
        <f t="shared" si="2501"/>
        <v>1.644</v>
      </c>
      <c r="T786" s="50">
        <f t="shared" si="2502"/>
        <v>43.544</v>
      </c>
      <c r="U786" s="42">
        <f t="shared" si="2503"/>
        <v>1.68</v>
      </c>
      <c r="V786" s="42">
        <f t="shared" si="15"/>
        <v>8.4</v>
      </c>
      <c r="W786" s="42">
        <f t="shared" si="2504"/>
        <v>1.68</v>
      </c>
      <c r="X786" s="42">
        <f t="shared" si="2505"/>
        <v>13.44</v>
      </c>
      <c r="Y786" s="42">
        <f t="shared" si="2506"/>
        <v>25.2</v>
      </c>
      <c r="Z786" s="50">
        <f t="shared" si="2507"/>
        <v>233.144</v>
      </c>
      <c r="AA786" s="51">
        <f t="shared" si="2508"/>
        <v>46.6288</v>
      </c>
      <c r="AB786" s="49">
        <f t="shared" si="2509"/>
        <v>279.7728</v>
      </c>
      <c r="AC786" s="42">
        <f t="shared" si="2510"/>
        <v>168</v>
      </c>
      <c r="AD786" s="49">
        <f t="shared" si="2511"/>
        <v>111.7728</v>
      </c>
      <c r="AE786" s="49">
        <f t="shared" si="2512"/>
        <v>39.95127475</v>
      </c>
      <c r="AF786" s="97">
        <v>250.0</v>
      </c>
      <c r="AG786" s="52">
        <f t="shared" si="2513"/>
        <v>52.06812652</v>
      </c>
      <c r="AH786" s="53">
        <f t="shared" si="2514"/>
        <v>75</v>
      </c>
      <c r="AI786" s="53">
        <f t="shared" si="2527"/>
        <v>279.7728</v>
      </c>
      <c r="AJ786" s="54">
        <v>325.0</v>
      </c>
      <c r="AK786" s="55">
        <f t="shared" si="1730"/>
        <v>97.68856448</v>
      </c>
      <c r="AL786" s="55"/>
      <c r="AM786" s="55">
        <f t="shared" si="2528"/>
        <v>23.07692308</v>
      </c>
      <c r="AN786" s="55">
        <f t="shared" si="2516"/>
        <v>45.62043796</v>
      </c>
      <c r="AO786" s="56">
        <f t="shared" si="2517"/>
        <v>1.976885645</v>
      </c>
      <c r="AP786" s="55">
        <f t="shared" si="2518"/>
        <v>0.452272</v>
      </c>
      <c r="AQ786" s="55">
        <f t="shared" si="2519"/>
        <v>1.57</v>
      </c>
      <c r="AR786" s="57">
        <f t="shared" ref="AR786:AS786" si="2581">AI786/94</f>
        <v>2.976306383</v>
      </c>
      <c r="AS786" s="57">
        <f t="shared" si="2581"/>
        <v>3.457446809</v>
      </c>
      <c r="AT786" s="58">
        <f t="shared" ref="AT786:AU786" si="2582">AI786/24</f>
        <v>11.6572</v>
      </c>
      <c r="AU786" s="58">
        <f t="shared" si="2582"/>
        <v>13.54166667</v>
      </c>
      <c r="AV786" s="58">
        <f t="shared" ref="AV786:AW786" si="2583">AI786/125</f>
        <v>2.2381824</v>
      </c>
      <c r="AW786" s="58">
        <f t="shared" si="2583"/>
        <v>2.6</v>
      </c>
      <c r="AX786" s="47"/>
      <c r="AY786" s="47"/>
    </row>
    <row r="787" ht="15.75" customHeight="1">
      <c r="A787" s="42"/>
      <c r="B787" s="42" t="s">
        <v>1559</v>
      </c>
      <c r="C787" s="95" t="s">
        <v>1560</v>
      </c>
      <c r="D787" s="45">
        <v>80.0</v>
      </c>
      <c r="E787" s="42">
        <v>0.0</v>
      </c>
      <c r="F787" s="44">
        <v>50.0</v>
      </c>
      <c r="G787" s="45">
        <v>9202.0</v>
      </c>
      <c r="H787" s="46">
        <v>0.18</v>
      </c>
      <c r="I787" s="42">
        <f t="shared" si="2526"/>
        <v>14.4</v>
      </c>
      <c r="J787" s="47"/>
      <c r="K787" s="42">
        <v>20.0</v>
      </c>
      <c r="L787" s="48">
        <f t="shared" si="1708"/>
        <v>164.4</v>
      </c>
      <c r="M787" s="42">
        <f t="shared" si="2562"/>
        <v>0.8</v>
      </c>
      <c r="N787" s="49">
        <f t="shared" si="2496"/>
        <v>13.152</v>
      </c>
      <c r="O787" s="49">
        <f t="shared" si="2497"/>
        <v>16.44</v>
      </c>
      <c r="P787" s="49">
        <f t="shared" si="2498"/>
        <v>8.22</v>
      </c>
      <c r="Q787" s="49">
        <f t="shared" si="2499"/>
        <v>3.288</v>
      </c>
      <c r="R787" s="49">
        <f t="shared" si="2500"/>
        <v>0.84</v>
      </c>
      <c r="S787" s="49">
        <f t="shared" si="2501"/>
        <v>1.644</v>
      </c>
      <c r="T787" s="50">
        <f t="shared" si="2502"/>
        <v>43.544</v>
      </c>
      <c r="U787" s="42">
        <f t="shared" si="2503"/>
        <v>1.68</v>
      </c>
      <c r="V787" s="42">
        <f t="shared" si="15"/>
        <v>8.4</v>
      </c>
      <c r="W787" s="42">
        <f t="shared" si="2504"/>
        <v>1.68</v>
      </c>
      <c r="X787" s="42">
        <f t="shared" si="2505"/>
        <v>13.44</v>
      </c>
      <c r="Y787" s="42">
        <f t="shared" si="2506"/>
        <v>25.2</v>
      </c>
      <c r="Z787" s="50">
        <f t="shared" si="2507"/>
        <v>233.144</v>
      </c>
      <c r="AA787" s="51">
        <f t="shared" si="2508"/>
        <v>46.6288</v>
      </c>
      <c r="AB787" s="49">
        <f t="shared" si="2509"/>
        <v>279.7728</v>
      </c>
      <c r="AC787" s="42">
        <f t="shared" si="2510"/>
        <v>168</v>
      </c>
      <c r="AD787" s="49">
        <f t="shared" si="2511"/>
        <v>111.7728</v>
      </c>
      <c r="AE787" s="49">
        <f t="shared" si="2512"/>
        <v>39.95127475</v>
      </c>
      <c r="AF787" s="97">
        <v>250.0</v>
      </c>
      <c r="AG787" s="52">
        <f t="shared" si="2513"/>
        <v>52.06812652</v>
      </c>
      <c r="AH787" s="53">
        <f t="shared" si="2514"/>
        <v>75</v>
      </c>
      <c r="AI787" s="53">
        <f t="shared" si="2527"/>
        <v>279.7728</v>
      </c>
      <c r="AJ787" s="54">
        <v>325.0</v>
      </c>
      <c r="AK787" s="55">
        <f t="shared" si="1730"/>
        <v>97.68856448</v>
      </c>
      <c r="AL787" s="55"/>
      <c r="AM787" s="55">
        <f t="shared" si="2528"/>
        <v>23.07692308</v>
      </c>
      <c r="AN787" s="55">
        <f t="shared" si="2516"/>
        <v>45.62043796</v>
      </c>
      <c r="AO787" s="56">
        <f t="shared" si="2517"/>
        <v>1.976885645</v>
      </c>
      <c r="AP787" s="55">
        <f t="shared" si="2518"/>
        <v>0.452272</v>
      </c>
      <c r="AQ787" s="55">
        <f t="shared" si="2519"/>
        <v>1.57</v>
      </c>
      <c r="AR787" s="57">
        <f t="shared" ref="AR787:AS787" si="2584">AI787/94</f>
        <v>2.976306383</v>
      </c>
      <c r="AS787" s="57">
        <f t="shared" si="2584"/>
        <v>3.457446809</v>
      </c>
      <c r="AT787" s="58">
        <f t="shared" ref="AT787:AU787" si="2585">AI787/24</f>
        <v>11.6572</v>
      </c>
      <c r="AU787" s="58">
        <f t="shared" si="2585"/>
        <v>13.54166667</v>
      </c>
      <c r="AV787" s="58">
        <f t="shared" ref="AV787:AW787" si="2586">AI787/125</f>
        <v>2.2381824</v>
      </c>
      <c r="AW787" s="58">
        <f t="shared" si="2586"/>
        <v>2.6</v>
      </c>
      <c r="AX787" s="47"/>
      <c r="AY787" s="47"/>
    </row>
    <row r="788" ht="15.75" customHeight="1">
      <c r="A788" s="42"/>
      <c r="B788" s="42" t="s">
        <v>72</v>
      </c>
      <c r="C788" s="95" t="s">
        <v>1561</v>
      </c>
      <c r="D788" s="45">
        <v>80.0</v>
      </c>
      <c r="E788" s="42">
        <v>0.0</v>
      </c>
      <c r="F788" s="44">
        <v>50.0</v>
      </c>
      <c r="G788" s="45">
        <v>9202.0</v>
      </c>
      <c r="H788" s="46">
        <v>0.18</v>
      </c>
      <c r="I788" s="42">
        <f t="shared" si="2526"/>
        <v>14.4</v>
      </c>
      <c r="J788" s="47"/>
      <c r="K788" s="42">
        <v>20.0</v>
      </c>
      <c r="L788" s="48">
        <f t="shared" si="1708"/>
        <v>164.4</v>
      </c>
      <c r="M788" s="42">
        <f t="shared" si="2562"/>
        <v>0.8</v>
      </c>
      <c r="N788" s="49">
        <f t="shared" si="2496"/>
        <v>13.152</v>
      </c>
      <c r="O788" s="49">
        <f t="shared" si="2497"/>
        <v>16.44</v>
      </c>
      <c r="P788" s="49">
        <f t="shared" si="2498"/>
        <v>8.22</v>
      </c>
      <c r="Q788" s="49">
        <f t="shared" si="2499"/>
        <v>3.288</v>
      </c>
      <c r="R788" s="49">
        <f t="shared" si="2500"/>
        <v>0.84</v>
      </c>
      <c r="S788" s="49">
        <f t="shared" si="2501"/>
        <v>1.644</v>
      </c>
      <c r="T788" s="50">
        <f t="shared" si="2502"/>
        <v>43.544</v>
      </c>
      <c r="U788" s="42">
        <f t="shared" si="2503"/>
        <v>1.68</v>
      </c>
      <c r="V788" s="42">
        <f t="shared" si="15"/>
        <v>8.4</v>
      </c>
      <c r="W788" s="42">
        <f t="shared" si="2504"/>
        <v>1.68</v>
      </c>
      <c r="X788" s="42">
        <f t="shared" si="2505"/>
        <v>13.44</v>
      </c>
      <c r="Y788" s="42">
        <f t="shared" si="2506"/>
        <v>25.2</v>
      </c>
      <c r="Z788" s="50">
        <f t="shared" si="2507"/>
        <v>233.144</v>
      </c>
      <c r="AA788" s="51">
        <f t="shared" si="2508"/>
        <v>46.6288</v>
      </c>
      <c r="AB788" s="49">
        <f t="shared" si="2509"/>
        <v>279.7728</v>
      </c>
      <c r="AC788" s="42">
        <f t="shared" si="2510"/>
        <v>168</v>
      </c>
      <c r="AD788" s="49">
        <f t="shared" si="2511"/>
        <v>111.7728</v>
      </c>
      <c r="AE788" s="49">
        <f t="shared" si="2512"/>
        <v>39.95127475</v>
      </c>
      <c r="AF788" s="97">
        <v>250.0</v>
      </c>
      <c r="AG788" s="52">
        <f t="shared" si="2513"/>
        <v>52.06812652</v>
      </c>
      <c r="AH788" s="53">
        <f t="shared" si="2514"/>
        <v>75</v>
      </c>
      <c r="AI788" s="53">
        <f t="shared" si="2527"/>
        <v>279.7728</v>
      </c>
      <c r="AJ788" s="54">
        <v>325.0</v>
      </c>
      <c r="AK788" s="55">
        <f t="shared" si="1730"/>
        <v>97.68856448</v>
      </c>
      <c r="AL788" s="55"/>
      <c r="AM788" s="55">
        <f t="shared" si="2528"/>
        <v>23.07692308</v>
      </c>
      <c r="AN788" s="55">
        <f t="shared" si="2516"/>
        <v>45.62043796</v>
      </c>
      <c r="AO788" s="56">
        <f t="shared" si="2517"/>
        <v>1.976885645</v>
      </c>
      <c r="AP788" s="55">
        <f t="shared" si="2518"/>
        <v>0.452272</v>
      </c>
      <c r="AQ788" s="55">
        <f t="shared" si="2519"/>
        <v>1.57</v>
      </c>
      <c r="AR788" s="57">
        <f t="shared" ref="AR788:AS788" si="2587">AI788/94</f>
        <v>2.976306383</v>
      </c>
      <c r="AS788" s="57">
        <f t="shared" si="2587"/>
        <v>3.457446809</v>
      </c>
      <c r="AT788" s="58">
        <f t="shared" ref="AT788:AU788" si="2588">AI788/24</f>
        <v>11.6572</v>
      </c>
      <c r="AU788" s="58">
        <f t="shared" si="2588"/>
        <v>13.54166667</v>
      </c>
      <c r="AV788" s="58">
        <f t="shared" ref="AV788:AW788" si="2589">AI788/125</f>
        <v>2.2381824</v>
      </c>
      <c r="AW788" s="58">
        <f t="shared" si="2589"/>
        <v>2.6</v>
      </c>
      <c r="AX788" s="47"/>
      <c r="AY788" s="47"/>
    </row>
    <row r="789" ht="15.75" customHeight="1">
      <c r="A789" s="42"/>
      <c r="B789" s="42" t="s">
        <v>1059</v>
      </c>
      <c r="C789" s="95" t="s">
        <v>1562</v>
      </c>
      <c r="D789" s="45">
        <v>500.0</v>
      </c>
      <c r="E789" s="42">
        <v>0.0</v>
      </c>
      <c r="F789" s="44">
        <v>75.0</v>
      </c>
      <c r="G789" s="45">
        <v>9202.0</v>
      </c>
      <c r="H789" s="46">
        <v>0.18</v>
      </c>
      <c r="I789" s="42">
        <f t="shared" si="2526"/>
        <v>90</v>
      </c>
      <c r="J789" s="47"/>
      <c r="K789" s="44">
        <v>140.0</v>
      </c>
      <c r="L789" s="48">
        <f t="shared" si="1708"/>
        <v>805</v>
      </c>
      <c r="M789" s="42">
        <f t="shared" si="2562"/>
        <v>5</v>
      </c>
      <c r="N789" s="49">
        <f t="shared" si="2496"/>
        <v>64.4</v>
      </c>
      <c r="O789" s="49">
        <f t="shared" si="2497"/>
        <v>80.5</v>
      </c>
      <c r="P789" s="49">
        <f t="shared" si="2498"/>
        <v>40.25</v>
      </c>
      <c r="Q789" s="49">
        <f t="shared" si="2499"/>
        <v>16.1</v>
      </c>
      <c r="R789" s="49">
        <f t="shared" si="2500"/>
        <v>5.25</v>
      </c>
      <c r="S789" s="49">
        <f t="shared" si="2501"/>
        <v>8.05</v>
      </c>
      <c r="T789" s="50">
        <f t="shared" si="2502"/>
        <v>214.3</v>
      </c>
      <c r="U789" s="42">
        <f t="shared" si="2503"/>
        <v>10.5</v>
      </c>
      <c r="V789" s="42">
        <f t="shared" si="15"/>
        <v>52.5</v>
      </c>
      <c r="W789" s="42">
        <f t="shared" si="2504"/>
        <v>10.5</v>
      </c>
      <c r="X789" s="42">
        <f t="shared" si="2505"/>
        <v>84</v>
      </c>
      <c r="Y789" s="42">
        <f t="shared" si="2506"/>
        <v>157.5</v>
      </c>
      <c r="Z789" s="50">
        <f t="shared" si="2507"/>
        <v>1176.8</v>
      </c>
      <c r="AA789" s="51">
        <f t="shared" si="2508"/>
        <v>235.36</v>
      </c>
      <c r="AB789" s="49">
        <f t="shared" si="2509"/>
        <v>1412.16</v>
      </c>
      <c r="AC789" s="42">
        <f t="shared" si="2510"/>
        <v>1050</v>
      </c>
      <c r="AD789" s="49">
        <f t="shared" si="2511"/>
        <v>362.16</v>
      </c>
      <c r="AE789" s="49">
        <f t="shared" si="2512"/>
        <v>25.64581917</v>
      </c>
      <c r="AF789" s="97">
        <v>1450.0</v>
      </c>
      <c r="AG789" s="52">
        <f t="shared" si="2513"/>
        <v>80.1242236</v>
      </c>
      <c r="AH789" s="53">
        <f t="shared" si="2514"/>
        <v>145</v>
      </c>
      <c r="AI789" s="53">
        <f t="shared" si="2527"/>
        <v>1412.16</v>
      </c>
      <c r="AJ789" s="54">
        <v>1595.0</v>
      </c>
      <c r="AK789" s="55">
        <f t="shared" si="1730"/>
        <v>98.13664596</v>
      </c>
      <c r="AL789" s="55"/>
      <c r="AM789" s="55">
        <f t="shared" si="2528"/>
        <v>9.090909091</v>
      </c>
      <c r="AN789" s="55">
        <f t="shared" si="2516"/>
        <v>18.01242236</v>
      </c>
      <c r="AO789" s="56">
        <f t="shared" si="2517"/>
        <v>1.98136646</v>
      </c>
      <c r="AP789" s="55">
        <f t="shared" si="2518"/>
        <v>1.8284</v>
      </c>
      <c r="AQ789" s="55">
        <f t="shared" si="2519"/>
        <v>5.45</v>
      </c>
      <c r="AR789" s="57">
        <f t="shared" ref="AR789:AS789" si="2590">AI789/94</f>
        <v>15.02297872</v>
      </c>
      <c r="AS789" s="57">
        <f t="shared" si="2590"/>
        <v>16.96808511</v>
      </c>
      <c r="AT789" s="58">
        <f t="shared" ref="AT789:AU789" si="2591">AI789/24</f>
        <v>58.84</v>
      </c>
      <c r="AU789" s="58">
        <f t="shared" si="2591"/>
        <v>66.45833333</v>
      </c>
      <c r="AV789" s="58">
        <f t="shared" ref="AV789:AW789" si="2592">AI789/125</f>
        <v>11.29728</v>
      </c>
      <c r="AW789" s="58">
        <f t="shared" si="2592"/>
        <v>12.76</v>
      </c>
      <c r="AX789" s="47"/>
      <c r="AY789" s="47"/>
    </row>
    <row r="790" ht="15.0" customHeight="1">
      <c r="A790" s="42" t="s">
        <v>1563</v>
      </c>
      <c r="B790" s="42" t="s">
        <v>1517</v>
      </c>
      <c r="C790" s="95" t="s">
        <v>1564</v>
      </c>
      <c r="D790" s="43">
        <v>4160.0</v>
      </c>
      <c r="E790" s="42">
        <v>0.0</v>
      </c>
      <c r="F790" s="44">
        <v>80.0</v>
      </c>
      <c r="G790" s="45">
        <v>9202.0</v>
      </c>
      <c r="H790" s="46">
        <v>0.18</v>
      </c>
      <c r="I790" s="42">
        <f t="shared" si="2526"/>
        <v>748.8</v>
      </c>
      <c r="J790" s="47"/>
      <c r="K790" s="42">
        <v>200.0</v>
      </c>
      <c r="L790" s="48">
        <f t="shared" si="1708"/>
        <v>5188.8</v>
      </c>
      <c r="M790" s="42">
        <f t="shared" si="2562"/>
        <v>41.6</v>
      </c>
      <c r="N790" s="49">
        <f t="shared" si="2496"/>
        <v>415.104</v>
      </c>
      <c r="O790" s="49">
        <f t="shared" si="2497"/>
        <v>518.88</v>
      </c>
      <c r="P790" s="49">
        <f t="shared" si="2498"/>
        <v>259.44</v>
      </c>
      <c r="Q790" s="49">
        <f t="shared" si="2499"/>
        <v>103.776</v>
      </c>
      <c r="R790" s="49">
        <f t="shared" si="2500"/>
        <v>43.68</v>
      </c>
      <c r="S790" s="49">
        <f t="shared" si="2501"/>
        <v>51.888</v>
      </c>
      <c r="T790" s="50">
        <f t="shared" si="2502"/>
        <v>1390.688</v>
      </c>
      <c r="U790" s="42">
        <f t="shared" si="2503"/>
        <v>87.36</v>
      </c>
      <c r="V790" s="42">
        <f t="shared" si="15"/>
        <v>436.8</v>
      </c>
      <c r="W790" s="42">
        <f t="shared" si="2504"/>
        <v>87.36</v>
      </c>
      <c r="X790" s="42">
        <f t="shared" si="2505"/>
        <v>698.88</v>
      </c>
      <c r="Y790" s="42">
        <f t="shared" si="2506"/>
        <v>1310.4</v>
      </c>
      <c r="Z790" s="50">
        <f t="shared" si="2507"/>
        <v>7889.888</v>
      </c>
      <c r="AA790" s="51">
        <f t="shared" si="2508"/>
        <v>1577.9776</v>
      </c>
      <c r="AB790" s="49">
        <f t="shared" si="2509"/>
        <v>9467.8656</v>
      </c>
      <c r="AC790" s="42">
        <f t="shared" si="2510"/>
        <v>8736</v>
      </c>
      <c r="AD790" s="49">
        <f t="shared" si="2511"/>
        <v>731.8656</v>
      </c>
      <c r="AE790" s="49">
        <f t="shared" si="2512"/>
        <v>7.72999566</v>
      </c>
      <c r="AF790" s="97">
        <v>11990.0</v>
      </c>
      <c r="AG790" s="52">
        <f t="shared" si="2513"/>
        <v>131.0746223</v>
      </c>
      <c r="AH790" s="53">
        <f t="shared" si="2514"/>
        <v>-2000</v>
      </c>
      <c r="AI790" s="53">
        <f t="shared" si="2527"/>
        <v>9467.8656</v>
      </c>
      <c r="AJ790" s="54">
        <v>9990.0</v>
      </c>
      <c r="AK790" s="55">
        <f t="shared" si="1730"/>
        <v>92.53006475</v>
      </c>
      <c r="AL790" s="55"/>
      <c r="AM790" s="55">
        <f t="shared" si="2528"/>
        <v>-20.02002002</v>
      </c>
      <c r="AN790" s="55">
        <f t="shared" si="2516"/>
        <v>-38.54455751</v>
      </c>
      <c r="AO790" s="56">
        <f t="shared" si="2517"/>
        <v>1.925300648</v>
      </c>
      <c r="AP790" s="55">
        <f t="shared" si="2518"/>
        <v>5.221344</v>
      </c>
      <c r="AQ790" s="55">
        <f t="shared" si="2519"/>
        <v>12.54</v>
      </c>
      <c r="AR790" s="57">
        <f t="shared" ref="AR790:AS790" si="2593">AI790/94</f>
        <v>100.7219745</v>
      </c>
      <c r="AS790" s="57">
        <f t="shared" si="2593"/>
        <v>106.2765957</v>
      </c>
      <c r="AT790" s="58">
        <f t="shared" ref="AT790:AU790" si="2594">AI790/24</f>
        <v>394.4944</v>
      </c>
      <c r="AU790" s="58">
        <f t="shared" si="2594"/>
        <v>416.25</v>
      </c>
      <c r="AV790" s="58">
        <f t="shared" ref="AV790:AW790" si="2595">AI790/125</f>
        <v>75.7429248</v>
      </c>
      <c r="AW790" s="58">
        <f t="shared" si="2595"/>
        <v>79.92</v>
      </c>
      <c r="AX790" s="47"/>
      <c r="AY790" s="47"/>
    </row>
    <row r="791" ht="15.75" customHeight="1">
      <c r="A791" s="2"/>
      <c r="B791" s="2" t="s">
        <v>1519</v>
      </c>
      <c r="C791" s="75" t="s">
        <v>1565</v>
      </c>
      <c r="D791" s="102">
        <v>2500.0</v>
      </c>
      <c r="E791" s="2">
        <v>0.0</v>
      </c>
      <c r="F791" s="1">
        <v>80.0</v>
      </c>
      <c r="G791" s="10">
        <v>9202.0</v>
      </c>
      <c r="H791" s="59">
        <v>0.18</v>
      </c>
      <c r="I791" s="2">
        <f t="shared" si="2526"/>
        <v>450</v>
      </c>
      <c r="K791" s="2">
        <v>200.0</v>
      </c>
      <c r="L791" s="107">
        <f t="shared" si="1708"/>
        <v>3230</v>
      </c>
      <c r="M791" s="2">
        <f t="shared" si="2562"/>
        <v>25</v>
      </c>
      <c r="N791" s="12">
        <f t="shared" si="2496"/>
        <v>258.4</v>
      </c>
      <c r="O791" s="12">
        <f t="shared" si="2497"/>
        <v>323</v>
      </c>
      <c r="P791" s="12">
        <f t="shared" si="2498"/>
        <v>161.5</v>
      </c>
      <c r="Q791" s="12">
        <f t="shared" si="2499"/>
        <v>64.6</v>
      </c>
      <c r="R791" s="12">
        <f t="shared" si="2500"/>
        <v>26.25</v>
      </c>
      <c r="S791" s="12">
        <f t="shared" si="2501"/>
        <v>32.3</v>
      </c>
      <c r="T791" s="108">
        <f t="shared" si="2502"/>
        <v>864.8</v>
      </c>
      <c r="U791" s="2">
        <f t="shared" si="2503"/>
        <v>52.5</v>
      </c>
      <c r="V791" s="42">
        <f t="shared" si="15"/>
        <v>262.5</v>
      </c>
      <c r="W791" s="2">
        <f t="shared" si="2504"/>
        <v>52.5</v>
      </c>
      <c r="X791" s="2">
        <f t="shared" si="2505"/>
        <v>420</v>
      </c>
      <c r="Y791" s="2">
        <f t="shared" si="2506"/>
        <v>787.5</v>
      </c>
      <c r="Z791" s="108">
        <f t="shared" si="2507"/>
        <v>4882.3</v>
      </c>
      <c r="AA791" s="109">
        <f t="shared" si="2508"/>
        <v>976.46</v>
      </c>
      <c r="AB791" s="12">
        <f t="shared" si="2509"/>
        <v>5858.76</v>
      </c>
      <c r="AC791" s="2">
        <f t="shared" si="2510"/>
        <v>5250</v>
      </c>
      <c r="AD791" s="12">
        <f t="shared" si="2511"/>
        <v>608.76</v>
      </c>
      <c r="AE791" s="12">
        <f t="shared" si="2512"/>
        <v>10.3905946</v>
      </c>
      <c r="AF791" s="76">
        <v>9990.0</v>
      </c>
      <c r="AG791" s="110">
        <f t="shared" si="2513"/>
        <v>209.2879257</v>
      </c>
      <c r="AH791" s="111">
        <f t="shared" si="2514"/>
        <v>-2700</v>
      </c>
      <c r="AI791" s="111">
        <f t="shared" si="2527"/>
        <v>5858.76</v>
      </c>
      <c r="AJ791" s="116">
        <v>7290.0</v>
      </c>
      <c r="AK791" s="112">
        <f t="shared" si="1730"/>
        <v>125.6965944</v>
      </c>
      <c r="AL791" s="112"/>
      <c r="AM791" s="112">
        <f t="shared" si="2528"/>
        <v>-37.03703704</v>
      </c>
      <c r="AN791" s="112">
        <f t="shared" si="2516"/>
        <v>-83.59133127</v>
      </c>
      <c r="AO791" s="113">
        <f t="shared" si="2517"/>
        <v>2.256965944</v>
      </c>
      <c r="AP791" s="112">
        <f t="shared" si="2518"/>
        <v>14.3124</v>
      </c>
      <c r="AQ791" s="112">
        <f t="shared" si="2519"/>
        <v>20.4</v>
      </c>
      <c r="AR791" s="114">
        <f t="shared" ref="AR791:AS791" si="2596">AI791/94</f>
        <v>62.32723404</v>
      </c>
      <c r="AS791" s="114">
        <f t="shared" si="2596"/>
        <v>77.55319149</v>
      </c>
      <c r="AT791" s="115">
        <f t="shared" ref="AT791:AU791" si="2597">AI791/24</f>
        <v>244.115</v>
      </c>
      <c r="AU791" s="115">
        <f t="shared" si="2597"/>
        <v>303.75</v>
      </c>
      <c r="AV791" s="115">
        <f t="shared" ref="AV791:AW791" si="2598">AI791/125</f>
        <v>46.87008</v>
      </c>
      <c r="AW791" s="115">
        <f t="shared" si="2598"/>
        <v>58.32</v>
      </c>
    </row>
    <row r="792" ht="15.0" customHeight="1">
      <c r="A792" s="2" t="s">
        <v>1566</v>
      </c>
      <c r="B792" s="2" t="s">
        <v>1567</v>
      </c>
      <c r="C792" s="75" t="s">
        <v>1568</v>
      </c>
      <c r="D792" s="141">
        <v>300.0</v>
      </c>
      <c r="F792" s="1">
        <v>50.0</v>
      </c>
      <c r="G792" s="10">
        <v>9023.0</v>
      </c>
      <c r="H792" s="59">
        <v>0.18</v>
      </c>
      <c r="I792" s="2">
        <f t="shared" si="2526"/>
        <v>54</v>
      </c>
      <c r="K792" s="2">
        <v>50.0</v>
      </c>
      <c r="L792" s="107">
        <f t="shared" si="1708"/>
        <v>454</v>
      </c>
      <c r="M792" s="2">
        <f t="shared" si="2562"/>
        <v>3</v>
      </c>
      <c r="N792" s="12">
        <f t="shared" si="2496"/>
        <v>36.32</v>
      </c>
      <c r="O792" s="12">
        <f t="shared" si="2497"/>
        <v>45.4</v>
      </c>
      <c r="P792" s="12">
        <f t="shared" si="2498"/>
        <v>22.7</v>
      </c>
      <c r="Q792" s="12">
        <f t="shared" si="2499"/>
        <v>9.08</v>
      </c>
      <c r="R792" s="12">
        <f t="shared" si="2500"/>
        <v>3.15</v>
      </c>
      <c r="S792" s="12">
        <f t="shared" si="2501"/>
        <v>4.54</v>
      </c>
      <c r="T792" s="108">
        <f t="shared" si="2502"/>
        <v>121.04</v>
      </c>
      <c r="U792" s="2">
        <f t="shared" si="2503"/>
        <v>6.3</v>
      </c>
      <c r="V792" s="42">
        <f t="shared" si="15"/>
        <v>31.5</v>
      </c>
      <c r="W792" s="2">
        <f t="shared" si="2504"/>
        <v>6.3</v>
      </c>
      <c r="X792" s="2">
        <f t="shared" si="2505"/>
        <v>50.4</v>
      </c>
      <c r="Y792" s="2">
        <f t="shared" si="2506"/>
        <v>94.5</v>
      </c>
      <c r="Z792" s="108">
        <f t="shared" si="2507"/>
        <v>669.54</v>
      </c>
      <c r="AA792" s="109">
        <f t="shared" si="2508"/>
        <v>133.908</v>
      </c>
      <c r="AB792" s="12">
        <f t="shared" si="2509"/>
        <v>803.448</v>
      </c>
      <c r="AC792" s="2">
        <f t="shared" si="2510"/>
        <v>630</v>
      </c>
      <c r="AD792" s="12">
        <f t="shared" si="2511"/>
        <v>173.448</v>
      </c>
      <c r="AE792" s="12">
        <f t="shared" si="2512"/>
        <v>21.58795591</v>
      </c>
      <c r="AF792" s="76">
        <v>650.0</v>
      </c>
      <c r="AG792" s="110">
        <f t="shared" si="2513"/>
        <v>43.17180617</v>
      </c>
      <c r="AH792" s="111">
        <f t="shared" si="2514"/>
        <v>0</v>
      </c>
      <c r="AI792" s="111">
        <f t="shared" si="2527"/>
        <v>803.448</v>
      </c>
      <c r="AJ792" s="76">
        <v>650.0</v>
      </c>
      <c r="AK792" s="112">
        <f t="shared" si="1730"/>
        <v>43.17180617</v>
      </c>
      <c r="AL792" s="112"/>
      <c r="AM792" s="112">
        <f t="shared" si="2528"/>
        <v>0</v>
      </c>
      <c r="AN792" s="112">
        <f t="shared" si="2516"/>
        <v>0</v>
      </c>
      <c r="AO792" s="113">
        <f t="shared" si="2517"/>
        <v>1.431718062</v>
      </c>
      <c r="AP792" s="112">
        <f t="shared" si="2518"/>
        <v>-1.53448</v>
      </c>
      <c r="AQ792" s="112">
        <f t="shared" si="2519"/>
        <v>0.2</v>
      </c>
      <c r="AR792" s="114">
        <f t="shared" ref="AR792:AS792" si="2599">AI792/94</f>
        <v>8.547319149</v>
      </c>
      <c r="AS792" s="114">
        <f t="shared" si="2599"/>
        <v>6.914893617</v>
      </c>
      <c r="AT792" s="115">
        <f t="shared" ref="AT792:AU792" si="2600">AI792/24</f>
        <v>33.477</v>
      </c>
      <c r="AU792" s="115">
        <f t="shared" si="2600"/>
        <v>27.08333333</v>
      </c>
      <c r="AV792" s="115">
        <f t="shared" ref="AV792:AW792" si="2601">AI792/125</f>
        <v>6.427584</v>
      </c>
      <c r="AW792" s="115">
        <f t="shared" si="2601"/>
        <v>5.2</v>
      </c>
    </row>
    <row r="793" ht="15.75" customHeight="1">
      <c r="A793" s="2"/>
      <c r="B793" s="2" t="s">
        <v>1569</v>
      </c>
      <c r="C793" s="75" t="s">
        <v>1570</v>
      </c>
      <c r="D793" s="141">
        <v>350.0</v>
      </c>
      <c r="F793" s="1">
        <v>50.0</v>
      </c>
      <c r="G793" s="10">
        <v>9023.0</v>
      </c>
      <c r="H793" s="59">
        <v>0.18</v>
      </c>
      <c r="I793" s="2">
        <f t="shared" si="2526"/>
        <v>63</v>
      </c>
      <c r="K793" s="2">
        <v>50.0</v>
      </c>
      <c r="L793" s="107">
        <f t="shared" si="1708"/>
        <v>513</v>
      </c>
      <c r="M793" s="2">
        <f t="shared" si="2562"/>
        <v>3.5</v>
      </c>
      <c r="N793" s="12">
        <f t="shared" si="2496"/>
        <v>41.04</v>
      </c>
      <c r="O793" s="12">
        <f t="shared" si="2497"/>
        <v>51.3</v>
      </c>
      <c r="P793" s="12">
        <f t="shared" si="2498"/>
        <v>25.65</v>
      </c>
      <c r="Q793" s="12">
        <f t="shared" si="2499"/>
        <v>10.26</v>
      </c>
      <c r="R793" s="12">
        <f t="shared" si="2500"/>
        <v>3.675</v>
      </c>
      <c r="S793" s="12">
        <f t="shared" si="2501"/>
        <v>5.13</v>
      </c>
      <c r="T793" s="108">
        <f t="shared" si="2502"/>
        <v>136.88</v>
      </c>
      <c r="U793" s="2">
        <f t="shared" si="2503"/>
        <v>7.35</v>
      </c>
      <c r="V793" s="42">
        <f t="shared" si="15"/>
        <v>36.75</v>
      </c>
      <c r="W793" s="2">
        <f t="shared" si="2504"/>
        <v>7.35</v>
      </c>
      <c r="X793" s="2">
        <f t="shared" si="2505"/>
        <v>58.8</v>
      </c>
      <c r="Y793" s="2">
        <f t="shared" si="2506"/>
        <v>110.25</v>
      </c>
      <c r="Z793" s="108">
        <f t="shared" si="2507"/>
        <v>760.13</v>
      </c>
      <c r="AA793" s="109">
        <f t="shared" si="2508"/>
        <v>152.026</v>
      </c>
      <c r="AB793" s="12">
        <f t="shared" si="2509"/>
        <v>912.156</v>
      </c>
      <c r="AC793" s="2">
        <f t="shared" si="2510"/>
        <v>735</v>
      </c>
      <c r="AD793" s="12">
        <f t="shared" si="2511"/>
        <v>177.156</v>
      </c>
      <c r="AE793" s="12">
        <f t="shared" si="2512"/>
        <v>19.42167787</v>
      </c>
      <c r="AF793" s="76">
        <v>750.0</v>
      </c>
      <c r="AG793" s="110">
        <f t="shared" si="2513"/>
        <v>46.19883041</v>
      </c>
      <c r="AH793" s="111">
        <f t="shared" si="2514"/>
        <v>0</v>
      </c>
      <c r="AI793" s="111">
        <f t="shared" si="2527"/>
        <v>912.156</v>
      </c>
      <c r="AJ793" s="76">
        <v>750.0</v>
      </c>
      <c r="AK793" s="112">
        <f t="shared" si="1730"/>
        <v>46.19883041</v>
      </c>
      <c r="AL793" s="112"/>
      <c r="AM793" s="112">
        <f t="shared" si="2528"/>
        <v>0</v>
      </c>
      <c r="AN793" s="112">
        <f t="shared" si="2516"/>
        <v>0</v>
      </c>
      <c r="AO793" s="113">
        <f t="shared" si="2517"/>
        <v>1.461988304</v>
      </c>
      <c r="AP793" s="112">
        <f t="shared" si="2518"/>
        <v>-1.62156</v>
      </c>
      <c r="AQ793" s="112">
        <f t="shared" si="2519"/>
        <v>0.15</v>
      </c>
      <c r="AR793" s="114">
        <f t="shared" ref="AR793:AS793" si="2602">AI793/94</f>
        <v>9.703787234</v>
      </c>
      <c r="AS793" s="114">
        <f t="shared" si="2602"/>
        <v>7.978723404</v>
      </c>
      <c r="AT793" s="115">
        <f t="shared" ref="AT793:AU793" si="2603">AI793/24</f>
        <v>38.0065</v>
      </c>
      <c r="AU793" s="115">
        <f t="shared" si="2603"/>
        <v>31.25</v>
      </c>
      <c r="AV793" s="115">
        <f t="shared" ref="AV793:AW793" si="2604">AI793/125</f>
        <v>7.297248</v>
      </c>
      <c r="AW793" s="115">
        <f t="shared" si="2604"/>
        <v>6</v>
      </c>
    </row>
    <row r="794" ht="15.75" customHeight="1">
      <c r="A794" s="2"/>
      <c r="B794" s="2" t="s">
        <v>1571</v>
      </c>
      <c r="C794" s="75" t="s">
        <v>1572</v>
      </c>
      <c r="D794" s="141">
        <v>450.0</v>
      </c>
      <c r="F794" s="1">
        <v>50.0</v>
      </c>
      <c r="G794" s="10">
        <v>9023.0</v>
      </c>
      <c r="H794" s="59">
        <v>0.18</v>
      </c>
      <c r="I794" s="2">
        <f>D793*H794</f>
        <v>63</v>
      </c>
      <c r="K794" s="2">
        <v>50.0</v>
      </c>
      <c r="L794" s="107">
        <f t="shared" si="1708"/>
        <v>613</v>
      </c>
      <c r="M794" s="2">
        <f>D793*1%</f>
        <v>3.5</v>
      </c>
      <c r="N794" s="12">
        <f t="shared" si="2496"/>
        <v>49.04</v>
      </c>
      <c r="O794" s="12">
        <f t="shared" si="2497"/>
        <v>61.3</v>
      </c>
      <c r="P794" s="12">
        <f t="shared" si="2498"/>
        <v>30.65</v>
      </c>
      <c r="Q794" s="12">
        <f t="shared" si="2499"/>
        <v>12.26</v>
      </c>
      <c r="R794" s="12">
        <f t="shared" si="2500"/>
        <v>4.725</v>
      </c>
      <c r="S794" s="12">
        <f t="shared" si="2501"/>
        <v>6.13</v>
      </c>
      <c r="T794" s="108">
        <f t="shared" si="2502"/>
        <v>162.88</v>
      </c>
      <c r="U794" s="2">
        <f t="shared" si="2503"/>
        <v>9.45</v>
      </c>
      <c r="V794" s="42">
        <f t="shared" si="15"/>
        <v>47.25</v>
      </c>
      <c r="W794" s="2">
        <f t="shared" si="2504"/>
        <v>9.45</v>
      </c>
      <c r="X794" s="2">
        <f t="shared" si="2505"/>
        <v>75.6</v>
      </c>
      <c r="Y794" s="2">
        <f t="shared" si="2506"/>
        <v>141.75</v>
      </c>
      <c r="Z794" s="108">
        <f t="shared" si="2507"/>
        <v>917.63</v>
      </c>
      <c r="AA794" s="109">
        <f t="shared" si="2508"/>
        <v>183.526</v>
      </c>
      <c r="AB794" s="12">
        <f t="shared" si="2509"/>
        <v>1101.156</v>
      </c>
      <c r="AC794" s="2">
        <f t="shared" si="2510"/>
        <v>945</v>
      </c>
      <c r="AD794" s="12">
        <f t="shared" si="2511"/>
        <v>156.156</v>
      </c>
      <c r="AE794" s="12">
        <f t="shared" si="2512"/>
        <v>14.18109696</v>
      </c>
      <c r="AF794" s="76">
        <v>850.0</v>
      </c>
      <c r="AG794" s="110">
        <f t="shared" si="2513"/>
        <v>38.66231648</v>
      </c>
      <c r="AH794" s="111">
        <f t="shared" si="2514"/>
        <v>0</v>
      </c>
      <c r="AI794" s="111">
        <f t="shared" si="2527"/>
        <v>1101.156</v>
      </c>
      <c r="AJ794" s="76">
        <v>850.0</v>
      </c>
      <c r="AK794" s="112">
        <f t="shared" si="1730"/>
        <v>38.66231648</v>
      </c>
      <c r="AL794" s="112"/>
      <c r="AM794" s="112">
        <f t="shared" si="2528"/>
        <v>0</v>
      </c>
      <c r="AN794" s="112">
        <f t="shared" si="2516"/>
        <v>0</v>
      </c>
      <c r="AO794" s="113">
        <f t="shared" si="2517"/>
        <v>1.386623165</v>
      </c>
      <c r="AP794" s="112">
        <f t="shared" si="2518"/>
        <v>-2.51156</v>
      </c>
      <c r="AQ794" s="112">
        <f t="shared" si="2519"/>
        <v>-0.95</v>
      </c>
      <c r="AR794" s="114">
        <f t="shared" ref="AR794:AS794" si="2605">AI794/94</f>
        <v>11.71442553</v>
      </c>
      <c r="AS794" s="114">
        <f t="shared" si="2605"/>
        <v>9.042553191</v>
      </c>
      <c r="AT794" s="115">
        <f t="shared" ref="AT794:AU794" si="2606">AI794/24</f>
        <v>45.8815</v>
      </c>
      <c r="AU794" s="115">
        <f t="shared" si="2606"/>
        <v>35.41666667</v>
      </c>
      <c r="AV794" s="115">
        <f t="shared" ref="AV794:AW794" si="2607">AI794/125</f>
        <v>8.809248</v>
      </c>
      <c r="AW794" s="115">
        <f t="shared" si="2607"/>
        <v>6.8</v>
      </c>
    </row>
    <row r="795" ht="15.75" customHeight="1">
      <c r="A795" s="2"/>
      <c r="B795" s="2" t="s">
        <v>1573</v>
      </c>
      <c r="C795" s="75" t="s">
        <v>1574</v>
      </c>
      <c r="D795" s="102">
        <v>475.0</v>
      </c>
      <c r="F795" s="1">
        <v>50.0</v>
      </c>
      <c r="G795" s="10">
        <v>9023.0</v>
      </c>
      <c r="H795" s="59">
        <v>0.18</v>
      </c>
      <c r="I795" s="2">
        <f>D795*H795</f>
        <v>85.5</v>
      </c>
      <c r="K795" s="2">
        <v>50.0</v>
      </c>
      <c r="L795" s="107">
        <f t="shared" si="1708"/>
        <v>660.5</v>
      </c>
      <c r="M795" s="2">
        <f>D795*1%</f>
        <v>4.75</v>
      </c>
      <c r="N795" s="12">
        <f t="shared" si="2496"/>
        <v>52.84</v>
      </c>
      <c r="O795" s="12">
        <f t="shared" si="2497"/>
        <v>66.05</v>
      </c>
      <c r="P795" s="12">
        <f t="shared" si="2498"/>
        <v>33.025</v>
      </c>
      <c r="Q795" s="12">
        <f t="shared" si="2499"/>
        <v>13.21</v>
      </c>
      <c r="R795" s="12">
        <f t="shared" si="2500"/>
        <v>4.9875</v>
      </c>
      <c r="S795" s="12">
        <f t="shared" si="2501"/>
        <v>6.605</v>
      </c>
      <c r="T795" s="108">
        <f t="shared" si="2502"/>
        <v>176.48</v>
      </c>
      <c r="U795" s="2">
        <f t="shared" si="2503"/>
        <v>9.975</v>
      </c>
      <c r="V795" s="42">
        <f t="shared" si="15"/>
        <v>49.875</v>
      </c>
      <c r="W795" s="2">
        <f t="shared" si="2504"/>
        <v>9.975</v>
      </c>
      <c r="X795" s="2">
        <f t="shared" si="2505"/>
        <v>79.8</v>
      </c>
      <c r="Y795" s="2">
        <f t="shared" si="2506"/>
        <v>149.625</v>
      </c>
      <c r="Z795" s="108">
        <f t="shared" si="2507"/>
        <v>986.605</v>
      </c>
      <c r="AA795" s="109">
        <f t="shared" si="2508"/>
        <v>197.321</v>
      </c>
      <c r="AB795" s="12">
        <f t="shared" si="2509"/>
        <v>1183.926</v>
      </c>
      <c r="AC795" s="2">
        <f t="shared" si="2510"/>
        <v>997.5</v>
      </c>
      <c r="AD795" s="12">
        <f t="shared" si="2511"/>
        <v>186.426</v>
      </c>
      <c r="AE795" s="12">
        <f t="shared" si="2512"/>
        <v>15.74642334</v>
      </c>
      <c r="AF795" s="76">
        <v>950.0</v>
      </c>
      <c r="AG795" s="110">
        <f t="shared" si="2513"/>
        <v>43.83043149</v>
      </c>
      <c r="AH795" s="111">
        <f t="shared" si="2514"/>
        <v>0</v>
      </c>
      <c r="AI795" s="111">
        <f t="shared" si="2527"/>
        <v>1183.926</v>
      </c>
      <c r="AJ795" s="76">
        <v>950.0</v>
      </c>
      <c r="AK795" s="112">
        <f t="shared" si="1730"/>
        <v>43.83043149</v>
      </c>
      <c r="AL795" s="112"/>
      <c r="AM795" s="112">
        <f t="shared" si="2528"/>
        <v>0</v>
      </c>
      <c r="AN795" s="112">
        <f t="shared" si="2516"/>
        <v>0</v>
      </c>
      <c r="AO795" s="113">
        <f t="shared" si="2517"/>
        <v>1.438304315</v>
      </c>
      <c r="AP795" s="112">
        <f t="shared" si="2518"/>
        <v>-2.33926</v>
      </c>
      <c r="AQ795" s="112">
        <f t="shared" si="2519"/>
        <v>-0.475</v>
      </c>
      <c r="AR795" s="114">
        <f t="shared" ref="AR795:AS795" si="2608">AI795/94</f>
        <v>12.59495745</v>
      </c>
      <c r="AS795" s="114">
        <f t="shared" si="2608"/>
        <v>10.10638298</v>
      </c>
      <c r="AT795" s="115">
        <f t="shared" ref="AT795:AU795" si="2609">AI795/24</f>
        <v>49.33025</v>
      </c>
      <c r="AU795" s="115">
        <f t="shared" si="2609"/>
        <v>39.58333333</v>
      </c>
      <c r="AV795" s="115">
        <f t="shared" ref="AV795:AW795" si="2610">AI795/125</f>
        <v>9.471408</v>
      </c>
      <c r="AW795" s="115">
        <f t="shared" si="2610"/>
        <v>7.6</v>
      </c>
    </row>
    <row r="796" ht="15.75" customHeight="1">
      <c r="A796" s="2"/>
      <c r="B796" s="2"/>
      <c r="D796" s="102"/>
      <c r="F796" s="1"/>
      <c r="G796" s="10"/>
      <c r="H796" s="59"/>
      <c r="I796" s="2"/>
      <c r="K796" s="2"/>
      <c r="L796" s="107"/>
      <c r="M796" s="2"/>
      <c r="N796" s="12"/>
      <c r="O796" s="12"/>
      <c r="P796" s="12"/>
      <c r="Q796" s="12"/>
      <c r="R796" s="12"/>
      <c r="S796" s="12"/>
      <c r="T796" s="108"/>
      <c r="U796" s="2"/>
      <c r="V796" s="42">
        <f t="shared" si="15"/>
        <v>0</v>
      </c>
      <c r="W796" s="2"/>
      <c r="X796" s="2"/>
      <c r="Y796" s="2"/>
      <c r="Z796" s="108"/>
      <c r="AA796" s="109"/>
      <c r="AB796" s="12"/>
      <c r="AC796" s="2"/>
      <c r="AD796" s="12"/>
      <c r="AE796" s="12"/>
      <c r="AG796" s="110"/>
      <c r="AH796" s="111"/>
      <c r="AI796" s="111"/>
      <c r="AJ796" s="116"/>
      <c r="AK796" s="112"/>
      <c r="AL796" s="112"/>
      <c r="AM796" s="112"/>
      <c r="AN796" s="112"/>
      <c r="AO796" s="113"/>
      <c r="AP796" s="112"/>
      <c r="AQ796" s="112"/>
      <c r="AR796" s="114"/>
      <c r="AS796" s="114"/>
      <c r="AT796" s="115"/>
      <c r="AU796" s="115"/>
      <c r="AV796" s="115"/>
      <c r="AW796" s="115"/>
    </row>
    <row r="797" ht="15.0" customHeight="1">
      <c r="A797" s="2" t="s">
        <v>1575</v>
      </c>
      <c r="B797" s="2" t="s">
        <v>1576</v>
      </c>
      <c r="C797" s="2" t="s">
        <v>1577</v>
      </c>
      <c r="D797" s="141">
        <v>4850.0</v>
      </c>
      <c r="E797" s="1">
        <v>500.0</v>
      </c>
      <c r="F797" s="1">
        <v>145.0</v>
      </c>
      <c r="G797" s="10">
        <v>8.3061E7</v>
      </c>
      <c r="H797" s="59">
        <v>0.05</v>
      </c>
      <c r="I797" s="2">
        <f t="shared" ref="I797:I800" si="2614">D797*H797</f>
        <v>242.5</v>
      </c>
      <c r="K797" s="1">
        <v>150.0</v>
      </c>
      <c r="L797" s="107">
        <f t="shared" ref="L797:L800" si="2615">K797+J797+I797+F797+E797+D797</f>
        <v>5887.5</v>
      </c>
      <c r="M797" s="2">
        <f t="shared" ref="M797:M800" si="2616">D797*1%</f>
        <v>48.5</v>
      </c>
      <c r="N797" s="12">
        <f t="shared" ref="N797:N800" si="2617">L797*8%</f>
        <v>471</v>
      </c>
      <c r="O797" s="12">
        <f t="shared" ref="O797:O800" si="2618">L797*10%</f>
        <v>588.75</v>
      </c>
      <c r="P797" s="12">
        <f t="shared" ref="P797:P800" si="2619">L797*5%</f>
        <v>294.375</v>
      </c>
      <c r="Q797" s="12">
        <f t="shared" ref="Q797:Q800" si="2620">L797*2%</f>
        <v>117.75</v>
      </c>
      <c r="R797" s="12">
        <f t="shared" ref="R797:R800" si="2621">AC797*0.5%</f>
        <v>50.925</v>
      </c>
      <c r="S797" s="12">
        <f t="shared" ref="S797:S800" si="2622">L797*1%</f>
        <v>58.875</v>
      </c>
      <c r="T797" s="108">
        <f t="shared" ref="T797:T800" si="2623">S797+Q797+P797+O797+N797+M797</f>
        <v>1579.25</v>
      </c>
      <c r="U797" s="2">
        <f t="shared" ref="U797:U800" si="2624">AC797*1%</f>
        <v>101.85</v>
      </c>
      <c r="V797" s="42">
        <f t="shared" si="15"/>
        <v>509.25</v>
      </c>
      <c r="W797" s="2">
        <f t="shared" ref="W797:W800" si="2625">AC797*1%</f>
        <v>101.85</v>
      </c>
      <c r="X797" s="2">
        <f t="shared" ref="X797:X800" si="2626">AC797*8%</f>
        <v>814.8</v>
      </c>
      <c r="Y797" s="2">
        <f t="shared" ref="Y797:Y800" si="2627">U797+V797+W797+X797</f>
        <v>1527.75</v>
      </c>
      <c r="Z797" s="108">
        <f t="shared" ref="Z797:Z800" si="2628">Y797+T797+L797</f>
        <v>8994.5</v>
      </c>
      <c r="AA797" s="109">
        <f t="shared" ref="AA797:AA800" si="2629">Z797*20%</f>
        <v>1798.9</v>
      </c>
      <c r="AB797" s="12">
        <f t="shared" ref="AB797:AB800" si="2630">Z797+AA797</f>
        <v>10793.4</v>
      </c>
      <c r="AC797" s="2">
        <f t="shared" ref="AC797:AC800" si="2631">D797*2.1</f>
        <v>10185</v>
      </c>
      <c r="AD797" s="12">
        <f t="shared" ref="AD797:AD800" si="2632">AB797-AC797</f>
        <v>608.4</v>
      </c>
      <c r="AE797" s="12">
        <f t="shared" ref="AE797:AE800" si="2633">AD797/AB797*100</f>
        <v>5.636778031</v>
      </c>
      <c r="AF797" s="76">
        <v>8990.0</v>
      </c>
      <c r="AG797" s="110">
        <f t="shared" ref="AG797:AG800" si="2634">((AF797-L797)/L797)*100</f>
        <v>52.69639066</v>
      </c>
      <c r="AH797" s="111">
        <f t="shared" ref="AH797:AH800" si="2635">AJ797-AF797</f>
        <v>460</v>
      </c>
      <c r="AI797" s="111">
        <f t="shared" ref="AI797:AI800" si="2636">AB797</f>
        <v>10793.4</v>
      </c>
      <c r="AJ797" s="116">
        <v>9450.0</v>
      </c>
      <c r="AK797" s="112">
        <f t="shared" ref="AK797:AK800" si="2637">(AJ797-L797)/L797*100</f>
        <v>60.50955414</v>
      </c>
      <c r="AL797" s="112"/>
      <c r="AM797" s="112">
        <f t="shared" ref="AM797:AM800" si="2638">AH797/AJ797%</f>
        <v>4.867724868</v>
      </c>
      <c r="AN797" s="112">
        <f t="shared" ref="AN797:AN800" si="2639">AK797-AG797</f>
        <v>7.813163482</v>
      </c>
      <c r="AO797" s="113">
        <f t="shared" ref="AO797:AO800" si="2640">AJ797/L797</f>
        <v>1.605095541</v>
      </c>
      <c r="AP797" s="112">
        <f t="shared" ref="AP797:AP800" si="2641">(AJ797-AB797)/100</f>
        <v>-13.434</v>
      </c>
      <c r="AQ797" s="112">
        <f t="shared" ref="AQ797:AQ800" si="2642">(AJ797-AC797)/100</f>
        <v>-7.35</v>
      </c>
      <c r="AR797" s="114">
        <f t="shared" ref="AR797:AS797" si="2611">AI797/94</f>
        <v>114.8234043</v>
      </c>
      <c r="AS797" s="114">
        <f t="shared" si="2611"/>
        <v>100.5319149</v>
      </c>
      <c r="AT797" s="115">
        <f t="shared" ref="AT797:AU797" si="2612">AI797/24</f>
        <v>449.725</v>
      </c>
      <c r="AU797" s="115">
        <f t="shared" si="2612"/>
        <v>393.75</v>
      </c>
      <c r="AV797" s="115">
        <f t="shared" ref="AV797:AW797" si="2613">AI797/125</f>
        <v>86.3472</v>
      </c>
      <c r="AW797" s="115">
        <f t="shared" si="2613"/>
        <v>75.6</v>
      </c>
    </row>
    <row r="798" ht="15.75" customHeight="1">
      <c r="A798" s="2"/>
      <c r="B798" s="2" t="s">
        <v>1578</v>
      </c>
      <c r="C798" s="2" t="s">
        <v>1579</v>
      </c>
      <c r="D798" s="141">
        <v>6600.0</v>
      </c>
      <c r="E798" s="1">
        <v>500.0</v>
      </c>
      <c r="F798" s="1">
        <v>145.0</v>
      </c>
      <c r="G798" s="10">
        <v>8.3061E7</v>
      </c>
      <c r="H798" s="59">
        <v>0.05</v>
      </c>
      <c r="I798" s="2">
        <f t="shared" si="2614"/>
        <v>330</v>
      </c>
      <c r="K798" s="1">
        <v>200.0</v>
      </c>
      <c r="L798" s="107">
        <f t="shared" si="2615"/>
        <v>7775</v>
      </c>
      <c r="M798" s="2">
        <f t="shared" si="2616"/>
        <v>66</v>
      </c>
      <c r="N798" s="12">
        <f t="shared" si="2617"/>
        <v>622</v>
      </c>
      <c r="O798" s="12">
        <f t="shared" si="2618"/>
        <v>777.5</v>
      </c>
      <c r="P798" s="12">
        <f t="shared" si="2619"/>
        <v>388.75</v>
      </c>
      <c r="Q798" s="12">
        <f t="shared" si="2620"/>
        <v>155.5</v>
      </c>
      <c r="R798" s="12">
        <f t="shared" si="2621"/>
        <v>69.3</v>
      </c>
      <c r="S798" s="12">
        <f t="shared" si="2622"/>
        <v>77.75</v>
      </c>
      <c r="T798" s="108">
        <f t="shared" si="2623"/>
        <v>2087.5</v>
      </c>
      <c r="U798" s="2">
        <f t="shared" si="2624"/>
        <v>138.6</v>
      </c>
      <c r="V798" s="42">
        <f t="shared" si="15"/>
        <v>693</v>
      </c>
      <c r="W798" s="2">
        <f t="shared" si="2625"/>
        <v>138.6</v>
      </c>
      <c r="X798" s="2">
        <f t="shared" si="2626"/>
        <v>1108.8</v>
      </c>
      <c r="Y798" s="2">
        <f t="shared" si="2627"/>
        <v>2079</v>
      </c>
      <c r="Z798" s="108">
        <f t="shared" si="2628"/>
        <v>11941.5</v>
      </c>
      <c r="AA798" s="109">
        <f t="shared" si="2629"/>
        <v>2388.3</v>
      </c>
      <c r="AB798" s="12">
        <f t="shared" si="2630"/>
        <v>14329.8</v>
      </c>
      <c r="AC798" s="2">
        <f t="shared" si="2631"/>
        <v>13860</v>
      </c>
      <c r="AD798" s="12">
        <f t="shared" si="2632"/>
        <v>469.8</v>
      </c>
      <c r="AE798" s="12">
        <f t="shared" si="2633"/>
        <v>3.278482603</v>
      </c>
      <c r="AF798" s="76">
        <v>11990.0</v>
      </c>
      <c r="AG798" s="110">
        <f t="shared" si="2634"/>
        <v>54.21221865</v>
      </c>
      <c r="AH798" s="111">
        <f t="shared" si="2635"/>
        <v>460</v>
      </c>
      <c r="AI798" s="111">
        <f t="shared" si="2636"/>
        <v>14329.8</v>
      </c>
      <c r="AJ798" s="116">
        <v>12450.0</v>
      </c>
      <c r="AK798" s="112">
        <f t="shared" si="2637"/>
        <v>60.12861736</v>
      </c>
      <c r="AL798" s="112"/>
      <c r="AM798" s="112">
        <f t="shared" si="2638"/>
        <v>3.694779116</v>
      </c>
      <c r="AN798" s="112">
        <f t="shared" si="2639"/>
        <v>5.916398714</v>
      </c>
      <c r="AO798" s="113">
        <f t="shared" si="2640"/>
        <v>1.601286174</v>
      </c>
      <c r="AP798" s="112">
        <f t="shared" si="2641"/>
        <v>-18.798</v>
      </c>
      <c r="AQ798" s="112">
        <f t="shared" si="2642"/>
        <v>-14.1</v>
      </c>
      <c r="AR798" s="114">
        <f t="shared" ref="AR798:AS798" si="2643">AI798/94</f>
        <v>152.4446809</v>
      </c>
      <c r="AS798" s="114">
        <f t="shared" si="2643"/>
        <v>132.4468085</v>
      </c>
      <c r="AT798" s="115">
        <f t="shared" ref="AT798:AU798" si="2644">AI798/24</f>
        <v>597.075</v>
      </c>
      <c r="AU798" s="115">
        <f t="shared" si="2644"/>
        <v>518.75</v>
      </c>
      <c r="AV798" s="115">
        <f t="shared" ref="AV798:AW798" si="2645">AI798/125</f>
        <v>114.6384</v>
      </c>
      <c r="AW798" s="115">
        <f t="shared" si="2645"/>
        <v>99.6</v>
      </c>
    </row>
    <row r="799" ht="15.75" customHeight="1">
      <c r="A799" s="2"/>
      <c r="B799" s="2" t="s">
        <v>1580</v>
      </c>
      <c r="C799" s="2" t="s">
        <v>1581</v>
      </c>
      <c r="D799" s="141">
        <v>6000.0</v>
      </c>
      <c r="E799" s="1">
        <v>500.0</v>
      </c>
      <c r="F799" s="1">
        <v>145.0</v>
      </c>
      <c r="G799" s="10">
        <v>8.3061E7</v>
      </c>
      <c r="H799" s="59">
        <v>0.05</v>
      </c>
      <c r="I799" s="2">
        <f t="shared" si="2614"/>
        <v>300</v>
      </c>
      <c r="K799" s="1">
        <v>200.0</v>
      </c>
      <c r="L799" s="107">
        <f t="shared" si="2615"/>
        <v>7145</v>
      </c>
      <c r="M799" s="2">
        <f t="shared" si="2616"/>
        <v>60</v>
      </c>
      <c r="N799" s="12">
        <f t="shared" si="2617"/>
        <v>571.6</v>
      </c>
      <c r="O799" s="12">
        <f t="shared" si="2618"/>
        <v>714.5</v>
      </c>
      <c r="P799" s="12">
        <f t="shared" si="2619"/>
        <v>357.25</v>
      </c>
      <c r="Q799" s="12">
        <f t="shared" si="2620"/>
        <v>142.9</v>
      </c>
      <c r="R799" s="12">
        <f t="shared" si="2621"/>
        <v>63</v>
      </c>
      <c r="S799" s="12">
        <f t="shared" si="2622"/>
        <v>71.45</v>
      </c>
      <c r="T799" s="108">
        <f t="shared" si="2623"/>
        <v>1917.7</v>
      </c>
      <c r="U799" s="2">
        <f t="shared" si="2624"/>
        <v>126</v>
      </c>
      <c r="V799" s="42">
        <f t="shared" si="15"/>
        <v>630</v>
      </c>
      <c r="W799" s="2">
        <f t="shared" si="2625"/>
        <v>126</v>
      </c>
      <c r="X799" s="2">
        <f t="shared" si="2626"/>
        <v>1008</v>
      </c>
      <c r="Y799" s="2">
        <f t="shared" si="2627"/>
        <v>1890</v>
      </c>
      <c r="Z799" s="108">
        <f t="shared" si="2628"/>
        <v>10952.7</v>
      </c>
      <c r="AA799" s="109">
        <f t="shared" si="2629"/>
        <v>2190.54</v>
      </c>
      <c r="AB799" s="12">
        <f t="shared" si="2630"/>
        <v>13143.24</v>
      </c>
      <c r="AC799" s="2">
        <f t="shared" si="2631"/>
        <v>12600</v>
      </c>
      <c r="AD799" s="12">
        <f t="shared" si="2632"/>
        <v>543.24</v>
      </c>
      <c r="AE799" s="12">
        <f t="shared" si="2633"/>
        <v>4.133227423</v>
      </c>
      <c r="AF799" s="76">
        <v>9900.0</v>
      </c>
      <c r="AG799" s="110">
        <f t="shared" si="2634"/>
        <v>38.55843247</v>
      </c>
      <c r="AH799" s="111">
        <f t="shared" si="2635"/>
        <v>1550</v>
      </c>
      <c r="AI799" s="111">
        <f t="shared" si="2636"/>
        <v>13143.24</v>
      </c>
      <c r="AJ799" s="116">
        <v>11450.0</v>
      </c>
      <c r="AK799" s="112">
        <f t="shared" si="2637"/>
        <v>60.25192442</v>
      </c>
      <c r="AL799" s="112"/>
      <c r="AM799" s="112">
        <f t="shared" si="2638"/>
        <v>13.5371179</v>
      </c>
      <c r="AN799" s="112">
        <f t="shared" si="2639"/>
        <v>21.69349195</v>
      </c>
      <c r="AO799" s="113">
        <f t="shared" si="2640"/>
        <v>1.602519244</v>
      </c>
      <c r="AP799" s="112">
        <f t="shared" si="2641"/>
        <v>-16.9324</v>
      </c>
      <c r="AQ799" s="112">
        <f t="shared" si="2642"/>
        <v>-11.5</v>
      </c>
      <c r="AR799" s="114">
        <f t="shared" ref="AR799:AS799" si="2646">AI799/94</f>
        <v>139.8217021</v>
      </c>
      <c r="AS799" s="114">
        <f t="shared" si="2646"/>
        <v>121.8085106</v>
      </c>
      <c r="AT799" s="115">
        <f t="shared" ref="AT799:AU799" si="2647">AI799/24</f>
        <v>547.635</v>
      </c>
      <c r="AU799" s="115">
        <f t="shared" si="2647"/>
        <v>477.0833333</v>
      </c>
      <c r="AV799" s="115">
        <f t="shared" ref="AV799:AW799" si="2648">AI799/125</f>
        <v>105.14592</v>
      </c>
      <c r="AW799" s="115">
        <f t="shared" si="2648"/>
        <v>91.6</v>
      </c>
    </row>
    <row r="800" ht="15.75" customHeight="1">
      <c r="A800" s="2"/>
      <c r="B800" s="2" t="s">
        <v>1026</v>
      </c>
      <c r="C800" s="75" t="s">
        <v>1582</v>
      </c>
      <c r="D800" s="102">
        <v>17450.0</v>
      </c>
      <c r="E800" s="1">
        <v>500.0</v>
      </c>
      <c r="F800" s="1">
        <v>145.0</v>
      </c>
      <c r="G800" s="10">
        <v>9202.0</v>
      </c>
      <c r="H800" s="59">
        <v>0.18</v>
      </c>
      <c r="I800" s="2">
        <f t="shared" si="2614"/>
        <v>3141</v>
      </c>
      <c r="K800" s="1">
        <v>600.0</v>
      </c>
      <c r="L800" s="107">
        <f t="shared" si="2615"/>
        <v>21836</v>
      </c>
      <c r="M800" s="2">
        <f t="shared" si="2616"/>
        <v>174.5</v>
      </c>
      <c r="N800" s="12">
        <f t="shared" si="2617"/>
        <v>1746.88</v>
      </c>
      <c r="O800" s="12">
        <f t="shared" si="2618"/>
        <v>2183.6</v>
      </c>
      <c r="P800" s="12">
        <f t="shared" si="2619"/>
        <v>1091.8</v>
      </c>
      <c r="Q800" s="12">
        <f t="shared" si="2620"/>
        <v>436.72</v>
      </c>
      <c r="R800" s="12">
        <f t="shared" si="2621"/>
        <v>183.225</v>
      </c>
      <c r="S800" s="12">
        <f t="shared" si="2622"/>
        <v>218.36</v>
      </c>
      <c r="T800" s="108">
        <f t="shared" si="2623"/>
        <v>5851.86</v>
      </c>
      <c r="U800" s="2">
        <f t="shared" si="2624"/>
        <v>366.45</v>
      </c>
      <c r="V800" s="42">
        <f t="shared" si="15"/>
        <v>1832.25</v>
      </c>
      <c r="W800" s="2">
        <f t="shared" si="2625"/>
        <v>366.45</v>
      </c>
      <c r="X800" s="2">
        <f t="shared" si="2626"/>
        <v>2931.6</v>
      </c>
      <c r="Y800" s="2">
        <f t="shared" si="2627"/>
        <v>5496.75</v>
      </c>
      <c r="Z800" s="108">
        <f t="shared" si="2628"/>
        <v>33184.61</v>
      </c>
      <c r="AA800" s="109">
        <f t="shared" si="2629"/>
        <v>6636.922</v>
      </c>
      <c r="AB800" s="12">
        <f t="shared" si="2630"/>
        <v>39821.532</v>
      </c>
      <c r="AC800" s="2">
        <f t="shared" si="2631"/>
        <v>36645</v>
      </c>
      <c r="AD800" s="12">
        <f t="shared" si="2632"/>
        <v>3176.532</v>
      </c>
      <c r="AE800" s="12">
        <f t="shared" si="2633"/>
        <v>7.976920627</v>
      </c>
      <c r="AF800" s="76">
        <v>26900.0</v>
      </c>
      <c r="AG800" s="110">
        <f t="shared" si="2634"/>
        <v>23.19106063</v>
      </c>
      <c r="AH800" s="111">
        <f t="shared" si="2635"/>
        <v>1550</v>
      </c>
      <c r="AI800" s="111">
        <f t="shared" si="2636"/>
        <v>39821.532</v>
      </c>
      <c r="AJ800" s="116">
        <v>28450.0</v>
      </c>
      <c r="AK800" s="112">
        <f t="shared" si="2637"/>
        <v>30.2894303</v>
      </c>
      <c r="AL800" s="112"/>
      <c r="AM800" s="112">
        <f t="shared" si="2638"/>
        <v>5.448154657</v>
      </c>
      <c r="AN800" s="112">
        <f t="shared" si="2639"/>
        <v>7.098369665</v>
      </c>
      <c r="AO800" s="113">
        <f t="shared" si="2640"/>
        <v>1.302894303</v>
      </c>
      <c r="AP800" s="112">
        <f t="shared" si="2641"/>
        <v>-113.71532</v>
      </c>
      <c r="AQ800" s="112">
        <f t="shared" si="2642"/>
        <v>-81.95</v>
      </c>
      <c r="AR800" s="114">
        <f t="shared" ref="AR800:AS800" si="2649">AI800/94</f>
        <v>423.6333191</v>
      </c>
      <c r="AS800" s="114">
        <f t="shared" si="2649"/>
        <v>302.6595745</v>
      </c>
      <c r="AT800" s="115">
        <f t="shared" ref="AT800:AU800" si="2650">AI800/24</f>
        <v>1659.2305</v>
      </c>
      <c r="AU800" s="115">
        <f t="shared" si="2650"/>
        <v>1185.416667</v>
      </c>
      <c r="AV800" s="115">
        <f t="shared" ref="AV800:AW800" si="2651">AI800/125</f>
        <v>318.572256</v>
      </c>
      <c r="AW800" s="115">
        <f t="shared" si="2651"/>
        <v>227.6</v>
      </c>
    </row>
    <row r="801" ht="15.75" customHeight="1">
      <c r="A801" s="2"/>
      <c r="B801" s="2"/>
      <c r="D801" s="105"/>
      <c r="E801" s="2"/>
      <c r="F801" s="1"/>
      <c r="G801" s="10"/>
      <c r="H801" s="59"/>
      <c r="I801" s="2"/>
      <c r="K801" s="1"/>
      <c r="L801" s="107"/>
      <c r="M801" s="2"/>
      <c r="N801" s="12"/>
      <c r="O801" s="12"/>
      <c r="P801" s="12"/>
      <c r="Q801" s="12"/>
      <c r="R801" s="12"/>
      <c r="S801" s="12"/>
      <c r="T801" s="107"/>
      <c r="U801" s="2"/>
      <c r="V801" s="42">
        <f t="shared" si="15"/>
        <v>0</v>
      </c>
      <c r="W801" s="2"/>
      <c r="X801" s="2"/>
      <c r="Y801" s="2"/>
      <c r="Z801" s="108"/>
      <c r="AA801" s="109"/>
      <c r="AB801" s="2"/>
      <c r="AC801" s="2"/>
      <c r="AD801" s="12"/>
      <c r="AE801" s="12"/>
      <c r="AG801" s="110"/>
      <c r="AH801" s="111"/>
      <c r="AI801" s="111"/>
      <c r="AJ801" s="116"/>
      <c r="AK801" s="112"/>
      <c r="AL801" s="112"/>
      <c r="AM801" s="112"/>
      <c r="AN801" s="112"/>
      <c r="AO801" s="113"/>
      <c r="AP801" s="112"/>
      <c r="AQ801" s="112"/>
      <c r="AR801" s="114"/>
      <c r="AS801" s="114"/>
      <c r="AT801" s="115"/>
      <c r="AU801" s="115"/>
      <c r="AV801" s="115"/>
      <c r="AW801" s="115"/>
    </row>
    <row r="802" ht="15.0" customHeight="1">
      <c r="A802" s="2" t="s">
        <v>1583</v>
      </c>
      <c r="B802" s="2" t="s">
        <v>1584</v>
      </c>
      <c r="C802" s="76" t="s">
        <v>1585</v>
      </c>
      <c r="D802" s="102">
        <v>170.0</v>
      </c>
      <c r="F802" s="1">
        <v>50.0</v>
      </c>
      <c r="G802" s="10">
        <v>9202.0</v>
      </c>
      <c r="H802" s="59">
        <v>0.18</v>
      </c>
      <c r="I802" s="2">
        <f t="shared" ref="I802:I835" si="2655">D802*H802</f>
        <v>30.6</v>
      </c>
      <c r="K802" s="1">
        <v>20.0</v>
      </c>
      <c r="L802" s="107">
        <f t="shared" ref="L802:L835" si="2656">K802+J802+I802+F802+E802+D802</f>
        <v>270.6</v>
      </c>
      <c r="M802" s="2">
        <f t="shared" ref="M802:M822" si="2657">D802*1%</f>
        <v>1.7</v>
      </c>
      <c r="N802" s="12">
        <f t="shared" ref="N802:N822" si="2658">L802*8%</f>
        <v>21.648</v>
      </c>
      <c r="O802" s="12">
        <f t="shared" ref="O802:O822" si="2659">L802*10%</f>
        <v>27.06</v>
      </c>
      <c r="P802" s="12">
        <f t="shared" ref="P802:P822" si="2660">L802*5%</f>
        <v>13.53</v>
      </c>
      <c r="Q802" s="12">
        <f t="shared" ref="Q802:Q822" si="2661">L802*2%</f>
        <v>5.412</v>
      </c>
      <c r="R802" s="12">
        <f t="shared" ref="R802:R822" si="2662">AC802*0.5%</f>
        <v>1.785</v>
      </c>
      <c r="S802" s="12">
        <f t="shared" ref="S802:S822" si="2663">L802*1%</f>
        <v>2.706</v>
      </c>
      <c r="T802" s="108">
        <f t="shared" ref="T802:T822" si="2664">S802+Q802+P802+O802+N802+M802</f>
        <v>72.056</v>
      </c>
      <c r="U802" s="2">
        <f t="shared" ref="U802:U822" si="2665">AC802*1%</f>
        <v>3.57</v>
      </c>
      <c r="V802" s="42">
        <f t="shared" si="15"/>
        <v>17.85</v>
      </c>
      <c r="W802" s="2">
        <f t="shared" ref="W802:W822" si="2666">AC802*1%</f>
        <v>3.57</v>
      </c>
      <c r="X802" s="2">
        <f t="shared" ref="X802:X822" si="2667">AC802*8%</f>
        <v>28.56</v>
      </c>
      <c r="Y802" s="2">
        <f t="shared" ref="Y802:Y822" si="2668">U802+V802+W802+X802</f>
        <v>53.55</v>
      </c>
      <c r="Z802" s="108">
        <f t="shared" ref="Z802:Z823" si="2669">Y802+T802+L802</f>
        <v>396.206</v>
      </c>
      <c r="AA802" s="109">
        <f t="shared" ref="AA802:AA822" si="2670">Z802*20%</f>
        <v>79.2412</v>
      </c>
      <c r="AB802" s="12">
        <f t="shared" ref="AB802:AB823" si="2671">Z802+AA802</f>
        <v>475.4472</v>
      </c>
      <c r="AC802" s="2">
        <f t="shared" ref="AC802:AC822" si="2672">D802*2.1</f>
        <v>357</v>
      </c>
      <c r="AD802" s="12">
        <f t="shared" ref="AD802:AD822" si="2673">AB802-AC802</f>
        <v>118.4472</v>
      </c>
      <c r="AE802" s="12">
        <f t="shared" ref="AE802:AE822" si="2674">AD802/AB802*100</f>
        <v>24.91279789</v>
      </c>
      <c r="AF802" s="76">
        <v>645.0</v>
      </c>
      <c r="AG802" s="110">
        <f t="shared" ref="AG802:AG835" si="2675">((AF802-L802)/L802)*100</f>
        <v>138.3592018</v>
      </c>
      <c r="AH802" s="111">
        <f t="shared" ref="AH802:AH822" si="2676">AJ802-AF802</f>
        <v>0</v>
      </c>
      <c r="AI802" s="111">
        <f t="shared" ref="AI802:AI822" si="2677">AB802</f>
        <v>475.4472</v>
      </c>
      <c r="AJ802" s="76">
        <v>645.0</v>
      </c>
      <c r="AK802" s="112">
        <f t="shared" ref="AK802:AK835" si="2678">(AJ802-L802)/L802*100</f>
        <v>138.3592018</v>
      </c>
      <c r="AL802" s="112"/>
      <c r="AM802" s="112">
        <f t="shared" ref="AM802:AM822" si="2679">AH802/AJ802%</f>
        <v>0</v>
      </c>
      <c r="AN802" s="112">
        <f t="shared" ref="AN802:AN823" si="2680">AK802-AG802</f>
        <v>0</v>
      </c>
      <c r="AO802" s="113">
        <f t="shared" ref="AO802:AO822" si="2681">AJ802/L802</f>
        <v>2.383592018</v>
      </c>
      <c r="AP802" s="112">
        <f t="shared" ref="AP802:AP822" si="2682">(AJ802-AB802)/100</f>
        <v>1.695528</v>
      </c>
      <c r="AQ802" s="112">
        <f t="shared" ref="AQ802:AQ822" si="2683">(AJ802-AC802)/100</f>
        <v>2.88</v>
      </c>
      <c r="AR802" s="114">
        <f t="shared" ref="AR802:AS802" si="2652">AI802/94</f>
        <v>5.057948936</v>
      </c>
      <c r="AS802" s="114">
        <f t="shared" si="2652"/>
        <v>6.861702128</v>
      </c>
      <c r="AT802" s="115">
        <f t="shared" ref="AT802:AU802" si="2653">AI802/24</f>
        <v>19.8103</v>
      </c>
      <c r="AU802" s="115">
        <f t="shared" si="2653"/>
        <v>26.875</v>
      </c>
      <c r="AV802" s="115">
        <f t="shared" ref="AV802:AW802" si="2654">AI802/125</f>
        <v>3.8035776</v>
      </c>
      <c r="AW802" s="115">
        <f t="shared" si="2654"/>
        <v>5.16</v>
      </c>
    </row>
    <row r="803" ht="15.75" customHeight="1">
      <c r="A803" s="2"/>
      <c r="B803" s="2" t="s">
        <v>1586</v>
      </c>
      <c r="C803" s="76" t="s">
        <v>1587</v>
      </c>
      <c r="D803" s="102">
        <v>150.0</v>
      </c>
      <c r="F803" s="1">
        <v>50.0</v>
      </c>
      <c r="G803" s="10">
        <v>9202.0</v>
      </c>
      <c r="H803" s="59">
        <v>0.18</v>
      </c>
      <c r="I803" s="2">
        <f t="shared" si="2655"/>
        <v>27</v>
      </c>
      <c r="K803" s="1">
        <v>20.0</v>
      </c>
      <c r="L803" s="107">
        <f t="shared" si="2656"/>
        <v>247</v>
      </c>
      <c r="M803" s="2">
        <f t="shared" si="2657"/>
        <v>1.5</v>
      </c>
      <c r="N803" s="12">
        <f t="shared" si="2658"/>
        <v>19.76</v>
      </c>
      <c r="O803" s="12">
        <f t="shared" si="2659"/>
        <v>24.7</v>
      </c>
      <c r="P803" s="12">
        <f t="shared" si="2660"/>
        <v>12.35</v>
      </c>
      <c r="Q803" s="12">
        <f t="shared" si="2661"/>
        <v>4.94</v>
      </c>
      <c r="R803" s="12">
        <f t="shared" si="2662"/>
        <v>1.575</v>
      </c>
      <c r="S803" s="12">
        <f t="shared" si="2663"/>
        <v>2.47</v>
      </c>
      <c r="T803" s="108">
        <f t="shared" si="2664"/>
        <v>65.72</v>
      </c>
      <c r="U803" s="2">
        <f t="shared" si="2665"/>
        <v>3.15</v>
      </c>
      <c r="V803" s="42">
        <f t="shared" si="15"/>
        <v>15.75</v>
      </c>
      <c r="W803" s="2">
        <f t="shared" si="2666"/>
        <v>3.15</v>
      </c>
      <c r="X803" s="2">
        <f t="shared" si="2667"/>
        <v>25.2</v>
      </c>
      <c r="Y803" s="2">
        <f t="shared" si="2668"/>
        <v>47.25</v>
      </c>
      <c r="Z803" s="108">
        <f t="shared" si="2669"/>
        <v>359.97</v>
      </c>
      <c r="AA803" s="109">
        <f t="shared" si="2670"/>
        <v>71.994</v>
      </c>
      <c r="AB803" s="12">
        <f t="shared" si="2671"/>
        <v>431.964</v>
      </c>
      <c r="AC803" s="2">
        <f t="shared" si="2672"/>
        <v>315</v>
      </c>
      <c r="AD803" s="12">
        <f t="shared" si="2673"/>
        <v>116.964</v>
      </c>
      <c r="AE803" s="12">
        <f t="shared" si="2674"/>
        <v>27.07725644</v>
      </c>
      <c r="AF803" s="76">
        <v>545.0</v>
      </c>
      <c r="AG803" s="110">
        <f t="shared" si="2675"/>
        <v>120.6477733</v>
      </c>
      <c r="AH803" s="111">
        <f t="shared" si="2676"/>
        <v>0</v>
      </c>
      <c r="AI803" s="111">
        <f t="shared" si="2677"/>
        <v>431.964</v>
      </c>
      <c r="AJ803" s="76">
        <v>545.0</v>
      </c>
      <c r="AK803" s="112">
        <f t="shared" si="2678"/>
        <v>120.6477733</v>
      </c>
      <c r="AL803" s="112"/>
      <c r="AM803" s="112">
        <f t="shared" si="2679"/>
        <v>0</v>
      </c>
      <c r="AN803" s="112">
        <f t="shared" si="2680"/>
        <v>0</v>
      </c>
      <c r="AO803" s="113">
        <f t="shared" si="2681"/>
        <v>2.206477733</v>
      </c>
      <c r="AP803" s="112">
        <f t="shared" si="2682"/>
        <v>1.13036</v>
      </c>
      <c r="AQ803" s="112">
        <f t="shared" si="2683"/>
        <v>2.3</v>
      </c>
      <c r="AR803" s="114">
        <f t="shared" ref="AR803:AS803" si="2684">AI803/94</f>
        <v>4.595361702</v>
      </c>
      <c r="AS803" s="114">
        <f t="shared" si="2684"/>
        <v>5.79787234</v>
      </c>
      <c r="AT803" s="115">
        <f t="shared" ref="AT803:AU803" si="2685">AI803/24</f>
        <v>17.9985</v>
      </c>
      <c r="AU803" s="115">
        <f t="shared" si="2685"/>
        <v>22.70833333</v>
      </c>
      <c r="AV803" s="115">
        <f t="shared" ref="AV803:AW803" si="2686">AI803/125</f>
        <v>3.455712</v>
      </c>
      <c r="AW803" s="115">
        <f t="shared" si="2686"/>
        <v>4.36</v>
      </c>
    </row>
    <row r="804" ht="15.75" customHeight="1">
      <c r="A804" s="2"/>
      <c r="B804" s="2" t="s">
        <v>1588</v>
      </c>
      <c r="C804" s="76" t="s">
        <v>1589</v>
      </c>
      <c r="D804" s="102">
        <v>170.0</v>
      </c>
      <c r="F804" s="1">
        <v>50.0</v>
      </c>
      <c r="G804" s="10">
        <v>9202.0</v>
      </c>
      <c r="H804" s="59">
        <v>0.18</v>
      </c>
      <c r="I804" s="2">
        <f t="shared" si="2655"/>
        <v>30.6</v>
      </c>
      <c r="K804" s="1">
        <v>20.0</v>
      </c>
      <c r="L804" s="107">
        <f t="shared" si="2656"/>
        <v>270.6</v>
      </c>
      <c r="M804" s="2">
        <f t="shared" si="2657"/>
        <v>1.7</v>
      </c>
      <c r="N804" s="12">
        <f t="shared" si="2658"/>
        <v>21.648</v>
      </c>
      <c r="O804" s="12">
        <f t="shared" si="2659"/>
        <v>27.06</v>
      </c>
      <c r="P804" s="12">
        <f t="shared" si="2660"/>
        <v>13.53</v>
      </c>
      <c r="Q804" s="12">
        <f t="shared" si="2661"/>
        <v>5.412</v>
      </c>
      <c r="R804" s="12">
        <f t="shared" si="2662"/>
        <v>1.785</v>
      </c>
      <c r="S804" s="12">
        <f t="shared" si="2663"/>
        <v>2.706</v>
      </c>
      <c r="T804" s="108">
        <f t="shared" si="2664"/>
        <v>72.056</v>
      </c>
      <c r="U804" s="2">
        <f t="shared" si="2665"/>
        <v>3.57</v>
      </c>
      <c r="V804" s="42">
        <f t="shared" si="15"/>
        <v>17.85</v>
      </c>
      <c r="W804" s="2">
        <f t="shared" si="2666"/>
        <v>3.57</v>
      </c>
      <c r="X804" s="2">
        <f t="shared" si="2667"/>
        <v>28.56</v>
      </c>
      <c r="Y804" s="2">
        <f t="shared" si="2668"/>
        <v>53.55</v>
      </c>
      <c r="Z804" s="108">
        <f t="shared" si="2669"/>
        <v>396.206</v>
      </c>
      <c r="AA804" s="109">
        <f t="shared" si="2670"/>
        <v>79.2412</v>
      </c>
      <c r="AB804" s="12">
        <f t="shared" si="2671"/>
        <v>475.4472</v>
      </c>
      <c r="AC804" s="2">
        <f t="shared" si="2672"/>
        <v>357</v>
      </c>
      <c r="AD804" s="12">
        <f t="shared" si="2673"/>
        <v>118.4472</v>
      </c>
      <c r="AE804" s="12">
        <f t="shared" si="2674"/>
        <v>24.91279789</v>
      </c>
      <c r="AF804" s="76">
        <v>645.0</v>
      </c>
      <c r="AG804" s="110">
        <f t="shared" si="2675"/>
        <v>138.3592018</v>
      </c>
      <c r="AH804" s="111">
        <f t="shared" si="2676"/>
        <v>0</v>
      </c>
      <c r="AI804" s="111">
        <f t="shared" si="2677"/>
        <v>475.4472</v>
      </c>
      <c r="AJ804" s="76">
        <v>645.0</v>
      </c>
      <c r="AK804" s="112">
        <f t="shared" si="2678"/>
        <v>138.3592018</v>
      </c>
      <c r="AL804" s="112"/>
      <c r="AM804" s="112">
        <f t="shared" si="2679"/>
        <v>0</v>
      </c>
      <c r="AN804" s="112">
        <f t="shared" si="2680"/>
        <v>0</v>
      </c>
      <c r="AO804" s="113">
        <f t="shared" si="2681"/>
        <v>2.383592018</v>
      </c>
      <c r="AP804" s="112">
        <f t="shared" si="2682"/>
        <v>1.695528</v>
      </c>
      <c r="AQ804" s="112">
        <f t="shared" si="2683"/>
        <v>2.88</v>
      </c>
      <c r="AR804" s="114">
        <f t="shared" ref="AR804:AS804" si="2687">AI804/94</f>
        <v>5.057948936</v>
      </c>
      <c r="AS804" s="114">
        <f t="shared" si="2687"/>
        <v>6.861702128</v>
      </c>
      <c r="AT804" s="115">
        <f t="shared" ref="AT804:AU804" si="2688">AI804/24</f>
        <v>19.8103</v>
      </c>
      <c r="AU804" s="115">
        <f t="shared" si="2688"/>
        <v>26.875</v>
      </c>
      <c r="AV804" s="115">
        <f t="shared" ref="AV804:AW804" si="2689">AI804/125</f>
        <v>3.8035776</v>
      </c>
      <c r="AW804" s="115">
        <f t="shared" si="2689"/>
        <v>5.16</v>
      </c>
    </row>
    <row r="805" ht="15.75" customHeight="1">
      <c r="A805" s="2"/>
      <c r="B805" s="2" t="s">
        <v>1590</v>
      </c>
      <c r="C805" s="76" t="s">
        <v>1591</v>
      </c>
      <c r="D805" s="102">
        <v>150.0</v>
      </c>
      <c r="F805" s="1">
        <v>50.0</v>
      </c>
      <c r="G805" s="10">
        <v>9202.0</v>
      </c>
      <c r="H805" s="59">
        <v>0.18</v>
      </c>
      <c r="I805" s="2">
        <f t="shared" si="2655"/>
        <v>27</v>
      </c>
      <c r="K805" s="1">
        <v>20.0</v>
      </c>
      <c r="L805" s="107">
        <f t="shared" si="2656"/>
        <v>247</v>
      </c>
      <c r="M805" s="2">
        <f t="shared" si="2657"/>
        <v>1.5</v>
      </c>
      <c r="N805" s="12">
        <f t="shared" si="2658"/>
        <v>19.76</v>
      </c>
      <c r="O805" s="12">
        <f t="shared" si="2659"/>
        <v>24.7</v>
      </c>
      <c r="P805" s="12">
        <f t="shared" si="2660"/>
        <v>12.35</v>
      </c>
      <c r="Q805" s="12">
        <f t="shared" si="2661"/>
        <v>4.94</v>
      </c>
      <c r="R805" s="12">
        <f t="shared" si="2662"/>
        <v>1.575</v>
      </c>
      <c r="S805" s="12">
        <f t="shared" si="2663"/>
        <v>2.47</v>
      </c>
      <c r="T805" s="108">
        <f t="shared" si="2664"/>
        <v>65.72</v>
      </c>
      <c r="U805" s="2">
        <f t="shared" si="2665"/>
        <v>3.15</v>
      </c>
      <c r="V805" s="42">
        <f t="shared" si="15"/>
        <v>15.75</v>
      </c>
      <c r="W805" s="2">
        <f t="shared" si="2666"/>
        <v>3.15</v>
      </c>
      <c r="X805" s="2">
        <f t="shared" si="2667"/>
        <v>25.2</v>
      </c>
      <c r="Y805" s="2">
        <f t="shared" si="2668"/>
        <v>47.25</v>
      </c>
      <c r="Z805" s="108">
        <f t="shared" si="2669"/>
        <v>359.97</v>
      </c>
      <c r="AA805" s="109">
        <f t="shared" si="2670"/>
        <v>71.994</v>
      </c>
      <c r="AB805" s="12">
        <f t="shared" si="2671"/>
        <v>431.964</v>
      </c>
      <c r="AC805" s="2">
        <f t="shared" si="2672"/>
        <v>315</v>
      </c>
      <c r="AD805" s="12">
        <f t="shared" si="2673"/>
        <v>116.964</v>
      </c>
      <c r="AE805" s="12">
        <f t="shared" si="2674"/>
        <v>27.07725644</v>
      </c>
      <c r="AF805" s="76">
        <v>545.0</v>
      </c>
      <c r="AG805" s="110">
        <f t="shared" si="2675"/>
        <v>120.6477733</v>
      </c>
      <c r="AH805" s="111">
        <f t="shared" si="2676"/>
        <v>0</v>
      </c>
      <c r="AI805" s="111">
        <f t="shared" si="2677"/>
        <v>431.964</v>
      </c>
      <c r="AJ805" s="76">
        <v>545.0</v>
      </c>
      <c r="AK805" s="112">
        <f t="shared" si="2678"/>
        <v>120.6477733</v>
      </c>
      <c r="AL805" s="112"/>
      <c r="AM805" s="112">
        <f t="shared" si="2679"/>
        <v>0</v>
      </c>
      <c r="AN805" s="112">
        <f t="shared" si="2680"/>
        <v>0</v>
      </c>
      <c r="AO805" s="113">
        <f t="shared" si="2681"/>
        <v>2.206477733</v>
      </c>
      <c r="AP805" s="112">
        <f t="shared" si="2682"/>
        <v>1.13036</v>
      </c>
      <c r="AQ805" s="112">
        <f t="shared" si="2683"/>
        <v>2.3</v>
      </c>
      <c r="AR805" s="114">
        <f t="shared" ref="AR805:AS805" si="2690">AI805/94</f>
        <v>4.595361702</v>
      </c>
      <c r="AS805" s="114">
        <f t="shared" si="2690"/>
        <v>5.79787234</v>
      </c>
      <c r="AT805" s="115">
        <f t="shared" ref="AT805:AU805" si="2691">AI805/24</f>
        <v>17.9985</v>
      </c>
      <c r="AU805" s="115">
        <f t="shared" si="2691"/>
        <v>22.70833333</v>
      </c>
      <c r="AV805" s="115">
        <f t="shared" ref="AV805:AW805" si="2692">AI805/125</f>
        <v>3.455712</v>
      </c>
      <c r="AW805" s="115">
        <f t="shared" si="2692"/>
        <v>4.36</v>
      </c>
    </row>
    <row r="806" ht="15.75" customHeight="1">
      <c r="A806" s="2"/>
      <c r="B806" s="2" t="s">
        <v>1592</v>
      </c>
      <c r="C806" s="2" t="s">
        <v>1593</v>
      </c>
      <c r="D806" s="10">
        <v>175.0</v>
      </c>
      <c r="F806" s="1">
        <v>50.0</v>
      </c>
      <c r="G806" s="10">
        <v>9202.0</v>
      </c>
      <c r="H806" s="59">
        <v>0.18</v>
      </c>
      <c r="I806" s="2">
        <f t="shared" si="2655"/>
        <v>31.5</v>
      </c>
      <c r="K806" s="1">
        <v>20.0</v>
      </c>
      <c r="L806" s="107">
        <f t="shared" si="2656"/>
        <v>276.5</v>
      </c>
      <c r="M806" s="2">
        <f t="shared" si="2657"/>
        <v>1.75</v>
      </c>
      <c r="N806" s="12">
        <f t="shared" si="2658"/>
        <v>22.12</v>
      </c>
      <c r="O806" s="12">
        <f t="shared" si="2659"/>
        <v>27.65</v>
      </c>
      <c r="P806" s="12">
        <f t="shared" si="2660"/>
        <v>13.825</v>
      </c>
      <c r="Q806" s="12">
        <f t="shared" si="2661"/>
        <v>5.53</v>
      </c>
      <c r="R806" s="12">
        <f t="shared" si="2662"/>
        <v>1.8375</v>
      </c>
      <c r="S806" s="12">
        <f t="shared" si="2663"/>
        <v>2.765</v>
      </c>
      <c r="T806" s="108">
        <f t="shared" si="2664"/>
        <v>73.64</v>
      </c>
      <c r="U806" s="2">
        <f t="shared" si="2665"/>
        <v>3.675</v>
      </c>
      <c r="V806" s="42">
        <f t="shared" si="15"/>
        <v>18.375</v>
      </c>
      <c r="W806" s="2">
        <f t="shared" si="2666"/>
        <v>3.675</v>
      </c>
      <c r="X806" s="2">
        <f t="shared" si="2667"/>
        <v>29.4</v>
      </c>
      <c r="Y806" s="2">
        <f t="shared" si="2668"/>
        <v>55.125</v>
      </c>
      <c r="Z806" s="108">
        <f t="shared" si="2669"/>
        <v>405.265</v>
      </c>
      <c r="AA806" s="109">
        <f t="shared" si="2670"/>
        <v>81.053</v>
      </c>
      <c r="AB806" s="12">
        <f t="shared" si="2671"/>
        <v>486.318</v>
      </c>
      <c r="AC806" s="2">
        <f t="shared" si="2672"/>
        <v>367.5</v>
      </c>
      <c r="AD806" s="12">
        <f t="shared" si="2673"/>
        <v>118.818</v>
      </c>
      <c r="AE806" s="12">
        <f t="shared" si="2674"/>
        <v>24.43216167</v>
      </c>
      <c r="AF806" s="61">
        <v>850.0</v>
      </c>
      <c r="AG806" s="110">
        <f t="shared" si="2675"/>
        <v>207.4141049</v>
      </c>
      <c r="AH806" s="111">
        <f t="shared" si="2676"/>
        <v>-105</v>
      </c>
      <c r="AI806" s="111">
        <f t="shared" si="2677"/>
        <v>486.318</v>
      </c>
      <c r="AJ806" s="76">
        <v>745.0</v>
      </c>
      <c r="AK806" s="112">
        <f t="shared" si="2678"/>
        <v>169.4394213</v>
      </c>
      <c r="AL806" s="112"/>
      <c r="AM806" s="112">
        <f t="shared" si="2679"/>
        <v>-14.09395973</v>
      </c>
      <c r="AN806" s="112">
        <f t="shared" si="2680"/>
        <v>-37.97468354</v>
      </c>
      <c r="AO806" s="113">
        <f t="shared" si="2681"/>
        <v>2.694394213</v>
      </c>
      <c r="AP806" s="112">
        <f t="shared" si="2682"/>
        <v>2.58682</v>
      </c>
      <c r="AQ806" s="112">
        <f t="shared" si="2683"/>
        <v>3.775</v>
      </c>
      <c r="AR806" s="114">
        <f t="shared" ref="AR806:AS806" si="2693">AI806/94</f>
        <v>5.173595745</v>
      </c>
      <c r="AS806" s="114">
        <f t="shared" si="2693"/>
        <v>7.925531915</v>
      </c>
      <c r="AT806" s="115">
        <f t="shared" ref="AT806:AU806" si="2694">AI806/24</f>
        <v>20.26325</v>
      </c>
      <c r="AU806" s="115">
        <f t="shared" si="2694"/>
        <v>31.04166667</v>
      </c>
      <c r="AV806" s="115">
        <f t="shared" ref="AV806:AW806" si="2695">AI806/125</f>
        <v>3.890544</v>
      </c>
      <c r="AW806" s="115">
        <f t="shared" si="2695"/>
        <v>5.96</v>
      </c>
    </row>
    <row r="807" ht="15.75" customHeight="1">
      <c r="A807" s="2"/>
      <c r="B807" s="1" t="s">
        <v>1594</v>
      </c>
      <c r="C807" s="2" t="s">
        <v>1595</v>
      </c>
      <c r="D807" s="10">
        <v>150.0</v>
      </c>
      <c r="F807" s="1">
        <v>50.0</v>
      </c>
      <c r="G807" s="10">
        <v>9202.0</v>
      </c>
      <c r="H807" s="59">
        <v>0.18</v>
      </c>
      <c r="I807" s="2">
        <f t="shared" si="2655"/>
        <v>27</v>
      </c>
      <c r="K807" s="1">
        <v>20.0</v>
      </c>
      <c r="L807" s="107">
        <f t="shared" si="2656"/>
        <v>247</v>
      </c>
      <c r="M807" s="2">
        <f t="shared" si="2657"/>
        <v>1.5</v>
      </c>
      <c r="N807" s="12">
        <f t="shared" si="2658"/>
        <v>19.76</v>
      </c>
      <c r="O807" s="12">
        <f t="shared" si="2659"/>
        <v>24.7</v>
      </c>
      <c r="P807" s="12">
        <f t="shared" si="2660"/>
        <v>12.35</v>
      </c>
      <c r="Q807" s="12">
        <f t="shared" si="2661"/>
        <v>4.94</v>
      </c>
      <c r="R807" s="12">
        <f t="shared" si="2662"/>
        <v>1.575</v>
      </c>
      <c r="S807" s="12">
        <f t="shared" si="2663"/>
        <v>2.47</v>
      </c>
      <c r="T807" s="108">
        <f t="shared" si="2664"/>
        <v>65.72</v>
      </c>
      <c r="U807" s="2">
        <f t="shared" si="2665"/>
        <v>3.15</v>
      </c>
      <c r="V807" s="42">
        <f t="shared" si="15"/>
        <v>15.75</v>
      </c>
      <c r="W807" s="2">
        <f t="shared" si="2666"/>
        <v>3.15</v>
      </c>
      <c r="X807" s="2">
        <f t="shared" si="2667"/>
        <v>25.2</v>
      </c>
      <c r="Y807" s="2">
        <f t="shared" si="2668"/>
        <v>47.25</v>
      </c>
      <c r="Z807" s="108">
        <f t="shared" si="2669"/>
        <v>359.97</v>
      </c>
      <c r="AA807" s="109">
        <f t="shared" si="2670"/>
        <v>71.994</v>
      </c>
      <c r="AB807" s="12">
        <f t="shared" si="2671"/>
        <v>431.964</v>
      </c>
      <c r="AC807" s="2">
        <f t="shared" si="2672"/>
        <v>315</v>
      </c>
      <c r="AD807" s="12">
        <f t="shared" si="2673"/>
        <v>116.964</v>
      </c>
      <c r="AE807" s="12">
        <f t="shared" si="2674"/>
        <v>27.07725644</v>
      </c>
      <c r="AF807" s="76">
        <v>695.0</v>
      </c>
      <c r="AG807" s="110">
        <f t="shared" si="2675"/>
        <v>181.3765182</v>
      </c>
      <c r="AH807" s="111">
        <f t="shared" si="2676"/>
        <v>0</v>
      </c>
      <c r="AI807" s="111">
        <f t="shared" si="2677"/>
        <v>431.964</v>
      </c>
      <c r="AJ807" s="76">
        <v>695.0</v>
      </c>
      <c r="AK807" s="112">
        <f t="shared" si="2678"/>
        <v>181.3765182</v>
      </c>
      <c r="AL807" s="112"/>
      <c r="AM807" s="112">
        <f t="shared" si="2679"/>
        <v>0</v>
      </c>
      <c r="AN807" s="112">
        <f t="shared" si="2680"/>
        <v>0</v>
      </c>
      <c r="AO807" s="113">
        <f t="shared" si="2681"/>
        <v>2.813765182</v>
      </c>
      <c r="AP807" s="112">
        <f t="shared" si="2682"/>
        <v>2.63036</v>
      </c>
      <c r="AQ807" s="112">
        <f t="shared" si="2683"/>
        <v>3.8</v>
      </c>
      <c r="AR807" s="114">
        <f t="shared" ref="AR807:AS807" si="2696">AI807/94</f>
        <v>4.595361702</v>
      </c>
      <c r="AS807" s="114">
        <f t="shared" si="2696"/>
        <v>7.393617021</v>
      </c>
      <c r="AT807" s="115">
        <f t="shared" ref="AT807:AU807" si="2697">AI807/24</f>
        <v>17.9985</v>
      </c>
      <c r="AU807" s="115">
        <f t="shared" si="2697"/>
        <v>28.95833333</v>
      </c>
      <c r="AV807" s="115">
        <f t="shared" ref="AV807:AW807" si="2698">AI807/125</f>
        <v>3.455712</v>
      </c>
      <c r="AW807" s="115">
        <f t="shared" si="2698"/>
        <v>5.56</v>
      </c>
    </row>
    <row r="808" ht="15.75" customHeight="1">
      <c r="A808" s="2"/>
      <c r="B808" s="2" t="s">
        <v>1596</v>
      </c>
      <c r="C808" s="2" t="s">
        <v>1597</v>
      </c>
      <c r="D808" s="10">
        <v>125.0</v>
      </c>
      <c r="F808" s="1">
        <v>50.0</v>
      </c>
      <c r="G808" s="10">
        <v>9202.0</v>
      </c>
      <c r="H808" s="59">
        <v>0.18</v>
      </c>
      <c r="I808" s="2">
        <f t="shared" si="2655"/>
        <v>22.5</v>
      </c>
      <c r="K808" s="1">
        <v>20.0</v>
      </c>
      <c r="L808" s="107">
        <f t="shared" si="2656"/>
        <v>217.5</v>
      </c>
      <c r="M808" s="2">
        <f t="shared" si="2657"/>
        <v>1.25</v>
      </c>
      <c r="N808" s="12">
        <f t="shared" si="2658"/>
        <v>17.4</v>
      </c>
      <c r="O808" s="12">
        <f t="shared" si="2659"/>
        <v>21.75</v>
      </c>
      <c r="P808" s="12">
        <f t="shared" si="2660"/>
        <v>10.875</v>
      </c>
      <c r="Q808" s="12">
        <f t="shared" si="2661"/>
        <v>4.35</v>
      </c>
      <c r="R808" s="12">
        <f t="shared" si="2662"/>
        <v>1.3125</v>
      </c>
      <c r="S808" s="12">
        <f t="shared" si="2663"/>
        <v>2.175</v>
      </c>
      <c r="T808" s="108">
        <f t="shared" si="2664"/>
        <v>57.8</v>
      </c>
      <c r="U808" s="2">
        <f t="shared" si="2665"/>
        <v>2.625</v>
      </c>
      <c r="V808" s="42">
        <f t="shared" si="15"/>
        <v>13.125</v>
      </c>
      <c r="W808" s="2">
        <f t="shared" si="2666"/>
        <v>2.625</v>
      </c>
      <c r="X808" s="2">
        <f t="shared" si="2667"/>
        <v>21</v>
      </c>
      <c r="Y808" s="2">
        <f t="shared" si="2668"/>
        <v>39.375</v>
      </c>
      <c r="Z808" s="108">
        <f t="shared" si="2669"/>
        <v>314.675</v>
      </c>
      <c r="AA808" s="109">
        <f t="shared" si="2670"/>
        <v>62.935</v>
      </c>
      <c r="AB808" s="12">
        <f t="shared" si="2671"/>
        <v>377.61</v>
      </c>
      <c r="AC808" s="2">
        <f t="shared" si="2672"/>
        <v>262.5</v>
      </c>
      <c r="AD808" s="12">
        <f t="shared" si="2673"/>
        <v>115.11</v>
      </c>
      <c r="AE808" s="12">
        <f t="shared" si="2674"/>
        <v>30.48383253</v>
      </c>
      <c r="AF808" s="61">
        <v>645.0</v>
      </c>
      <c r="AG808" s="110">
        <f t="shared" si="2675"/>
        <v>196.5517241</v>
      </c>
      <c r="AH808" s="111">
        <f t="shared" si="2676"/>
        <v>0</v>
      </c>
      <c r="AI808" s="111">
        <f t="shared" si="2677"/>
        <v>377.61</v>
      </c>
      <c r="AJ808" s="61">
        <v>645.0</v>
      </c>
      <c r="AK808" s="112">
        <f t="shared" si="2678"/>
        <v>196.5517241</v>
      </c>
      <c r="AL808" s="112"/>
      <c r="AM808" s="112">
        <f t="shared" si="2679"/>
        <v>0</v>
      </c>
      <c r="AN808" s="112">
        <f t="shared" si="2680"/>
        <v>0</v>
      </c>
      <c r="AO808" s="113">
        <f t="shared" si="2681"/>
        <v>2.965517241</v>
      </c>
      <c r="AP808" s="112">
        <f t="shared" si="2682"/>
        <v>2.6739</v>
      </c>
      <c r="AQ808" s="112">
        <f t="shared" si="2683"/>
        <v>3.825</v>
      </c>
      <c r="AR808" s="114">
        <f t="shared" ref="AR808:AS808" si="2699">AI808/94</f>
        <v>4.01712766</v>
      </c>
      <c r="AS808" s="114">
        <f t="shared" si="2699"/>
        <v>6.861702128</v>
      </c>
      <c r="AT808" s="115">
        <f t="shared" ref="AT808:AU808" si="2700">AI808/24</f>
        <v>15.73375</v>
      </c>
      <c r="AU808" s="115">
        <f t="shared" si="2700"/>
        <v>26.875</v>
      </c>
      <c r="AV808" s="115">
        <f t="shared" ref="AV808:AW808" si="2701">AI808/125</f>
        <v>3.02088</v>
      </c>
      <c r="AW808" s="115">
        <f t="shared" si="2701"/>
        <v>5.16</v>
      </c>
    </row>
    <row r="809" ht="15.75" customHeight="1">
      <c r="A809" s="2"/>
      <c r="B809" s="2" t="s">
        <v>1598</v>
      </c>
      <c r="C809" s="2" t="s">
        <v>1599</v>
      </c>
      <c r="D809" s="10">
        <v>175.0</v>
      </c>
      <c r="F809" s="1">
        <v>50.0</v>
      </c>
      <c r="G809" s="10">
        <v>9202.0</v>
      </c>
      <c r="H809" s="59">
        <v>0.18</v>
      </c>
      <c r="I809" s="2">
        <f t="shared" si="2655"/>
        <v>31.5</v>
      </c>
      <c r="K809" s="1">
        <v>20.0</v>
      </c>
      <c r="L809" s="107">
        <f t="shared" si="2656"/>
        <v>276.5</v>
      </c>
      <c r="M809" s="2">
        <f t="shared" si="2657"/>
        <v>1.75</v>
      </c>
      <c r="N809" s="12">
        <f t="shared" si="2658"/>
        <v>22.12</v>
      </c>
      <c r="O809" s="12">
        <f t="shared" si="2659"/>
        <v>27.65</v>
      </c>
      <c r="P809" s="12">
        <f t="shared" si="2660"/>
        <v>13.825</v>
      </c>
      <c r="Q809" s="12">
        <f t="shared" si="2661"/>
        <v>5.53</v>
      </c>
      <c r="R809" s="12">
        <f t="shared" si="2662"/>
        <v>1.8375</v>
      </c>
      <c r="S809" s="12">
        <f t="shared" si="2663"/>
        <v>2.765</v>
      </c>
      <c r="T809" s="108">
        <f t="shared" si="2664"/>
        <v>73.64</v>
      </c>
      <c r="U809" s="2">
        <f t="shared" si="2665"/>
        <v>3.675</v>
      </c>
      <c r="V809" s="42">
        <f t="shared" si="15"/>
        <v>18.375</v>
      </c>
      <c r="W809" s="2">
        <f t="shared" si="2666"/>
        <v>3.675</v>
      </c>
      <c r="X809" s="2">
        <f t="shared" si="2667"/>
        <v>29.4</v>
      </c>
      <c r="Y809" s="2">
        <f t="shared" si="2668"/>
        <v>55.125</v>
      </c>
      <c r="Z809" s="108">
        <f t="shared" si="2669"/>
        <v>405.265</v>
      </c>
      <c r="AA809" s="109">
        <f t="shared" si="2670"/>
        <v>81.053</v>
      </c>
      <c r="AB809" s="12">
        <f t="shared" si="2671"/>
        <v>486.318</v>
      </c>
      <c r="AC809" s="2">
        <f t="shared" si="2672"/>
        <v>367.5</v>
      </c>
      <c r="AD809" s="12">
        <f t="shared" si="2673"/>
        <v>118.818</v>
      </c>
      <c r="AE809" s="12">
        <f t="shared" si="2674"/>
        <v>24.43216167</v>
      </c>
      <c r="AF809" s="61">
        <v>850.0</v>
      </c>
      <c r="AG809" s="110">
        <f t="shared" si="2675"/>
        <v>207.4141049</v>
      </c>
      <c r="AH809" s="111">
        <f t="shared" si="2676"/>
        <v>-105</v>
      </c>
      <c r="AI809" s="111">
        <f t="shared" si="2677"/>
        <v>486.318</v>
      </c>
      <c r="AJ809" s="76">
        <v>745.0</v>
      </c>
      <c r="AK809" s="112">
        <f t="shared" si="2678"/>
        <v>169.4394213</v>
      </c>
      <c r="AL809" s="112"/>
      <c r="AM809" s="112">
        <f t="shared" si="2679"/>
        <v>-14.09395973</v>
      </c>
      <c r="AN809" s="112">
        <f t="shared" si="2680"/>
        <v>-37.97468354</v>
      </c>
      <c r="AO809" s="113">
        <f t="shared" si="2681"/>
        <v>2.694394213</v>
      </c>
      <c r="AP809" s="112">
        <f t="shared" si="2682"/>
        <v>2.58682</v>
      </c>
      <c r="AQ809" s="112">
        <f t="shared" si="2683"/>
        <v>3.775</v>
      </c>
      <c r="AR809" s="114">
        <f t="shared" ref="AR809:AS809" si="2702">AI809/94</f>
        <v>5.173595745</v>
      </c>
      <c r="AS809" s="114">
        <f t="shared" si="2702"/>
        <v>7.925531915</v>
      </c>
      <c r="AT809" s="115">
        <f t="shared" ref="AT809:AU809" si="2703">AI809/24</f>
        <v>20.26325</v>
      </c>
      <c r="AU809" s="115">
        <f t="shared" si="2703"/>
        <v>31.04166667</v>
      </c>
      <c r="AV809" s="115">
        <f t="shared" ref="AV809:AW809" si="2704">AI809/125</f>
        <v>3.890544</v>
      </c>
      <c r="AW809" s="115">
        <f t="shared" si="2704"/>
        <v>5.96</v>
      </c>
    </row>
    <row r="810" ht="15.75" customHeight="1">
      <c r="A810" s="2"/>
      <c r="B810" s="2" t="s">
        <v>1600</v>
      </c>
      <c r="C810" s="2" t="s">
        <v>1601</v>
      </c>
      <c r="D810" s="10">
        <v>150.0</v>
      </c>
      <c r="F810" s="1">
        <v>50.0</v>
      </c>
      <c r="G810" s="10">
        <v>9202.0</v>
      </c>
      <c r="H810" s="59">
        <v>0.18</v>
      </c>
      <c r="I810" s="2">
        <f t="shared" si="2655"/>
        <v>27</v>
      </c>
      <c r="K810" s="1">
        <v>20.0</v>
      </c>
      <c r="L810" s="107">
        <f t="shared" si="2656"/>
        <v>247</v>
      </c>
      <c r="M810" s="2">
        <f t="shared" si="2657"/>
        <v>1.5</v>
      </c>
      <c r="N810" s="12">
        <f t="shared" si="2658"/>
        <v>19.76</v>
      </c>
      <c r="O810" s="12">
        <f t="shared" si="2659"/>
        <v>24.7</v>
      </c>
      <c r="P810" s="12">
        <f t="shared" si="2660"/>
        <v>12.35</v>
      </c>
      <c r="Q810" s="12">
        <f t="shared" si="2661"/>
        <v>4.94</v>
      </c>
      <c r="R810" s="12">
        <f t="shared" si="2662"/>
        <v>1.575</v>
      </c>
      <c r="S810" s="12">
        <f t="shared" si="2663"/>
        <v>2.47</v>
      </c>
      <c r="T810" s="108">
        <f t="shared" si="2664"/>
        <v>65.72</v>
      </c>
      <c r="U810" s="2">
        <f t="shared" si="2665"/>
        <v>3.15</v>
      </c>
      <c r="V810" s="42">
        <f t="shared" si="15"/>
        <v>15.75</v>
      </c>
      <c r="W810" s="2">
        <f t="shared" si="2666"/>
        <v>3.15</v>
      </c>
      <c r="X810" s="2">
        <f t="shared" si="2667"/>
        <v>25.2</v>
      </c>
      <c r="Y810" s="2">
        <f t="shared" si="2668"/>
        <v>47.25</v>
      </c>
      <c r="Z810" s="108">
        <f t="shared" si="2669"/>
        <v>359.97</v>
      </c>
      <c r="AA810" s="109">
        <f t="shared" si="2670"/>
        <v>71.994</v>
      </c>
      <c r="AB810" s="12">
        <f t="shared" si="2671"/>
        <v>431.964</v>
      </c>
      <c r="AC810" s="2">
        <f t="shared" si="2672"/>
        <v>315</v>
      </c>
      <c r="AD810" s="12">
        <f t="shared" si="2673"/>
        <v>116.964</v>
      </c>
      <c r="AE810" s="12">
        <f t="shared" si="2674"/>
        <v>27.07725644</v>
      </c>
      <c r="AF810" s="61">
        <v>695.0</v>
      </c>
      <c r="AG810" s="110">
        <f t="shared" si="2675"/>
        <v>181.3765182</v>
      </c>
      <c r="AH810" s="111">
        <f t="shared" si="2676"/>
        <v>0</v>
      </c>
      <c r="AI810" s="111">
        <f t="shared" si="2677"/>
        <v>431.964</v>
      </c>
      <c r="AJ810" s="61">
        <v>695.0</v>
      </c>
      <c r="AK810" s="112">
        <f t="shared" si="2678"/>
        <v>181.3765182</v>
      </c>
      <c r="AL810" s="112"/>
      <c r="AM810" s="112">
        <f t="shared" si="2679"/>
        <v>0</v>
      </c>
      <c r="AN810" s="112">
        <f t="shared" si="2680"/>
        <v>0</v>
      </c>
      <c r="AO810" s="113">
        <f t="shared" si="2681"/>
        <v>2.813765182</v>
      </c>
      <c r="AP810" s="112">
        <f t="shared" si="2682"/>
        <v>2.63036</v>
      </c>
      <c r="AQ810" s="112">
        <f t="shared" si="2683"/>
        <v>3.8</v>
      </c>
      <c r="AR810" s="114">
        <f t="shared" ref="AR810:AS810" si="2705">AI810/94</f>
        <v>4.595361702</v>
      </c>
      <c r="AS810" s="114">
        <f t="shared" si="2705"/>
        <v>7.393617021</v>
      </c>
      <c r="AT810" s="115">
        <f t="shared" ref="AT810:AU810" si="2706">AI810/24</f>
        <v>17.9985</v>
      </c>
      <c r="AU810" s="115">
        <f t="shared" si="2706"/>
        <v>28.95833333</v>
      </c>
      <c r="AV810" s="115">
        <f t="shared" ref="AV810:AW810" si="2707">AI810/125</f>
        <v>3.455712</v>
      </c>
      <c r="AW810" s="115">
        <f t="shared" si="2707"/>
        <v>5.56</v>
      </c>
    </row>
    <row r="811" ht="15.75" customHeight="1">
      <c r="A811" s="2"/>
      <c r="B811" s="2" t="s">
        <v>1602</v>
      </c>
      <c r="C811" s="2" t="s">
        <v>1603</v>
      </c>
      <c r="D811" s="10">
        <v>125.0</v>
      </c>
      <c r="F811" s="1">
        <v>50.0</v>
      </c>
      <c r="G811" s="10">
        <v>9202.0</v>
      </c>
      <c r="H811" s="59">
        <v>0.18</v>
      </c>
      <c r="I811" s="2">
        <f t="shared" si="2655"/>
        <v>22.5</v>
      </c>
      <c r="K811" s="1">
        <v>20.0</v>
      </c>
      <c r="L811" s="107">
        <f t="shared" si="2656"/>
        <v>217.5</v>
      </c>
      <c r="M811" s="2">
        <f t="shared" si="2657"/>
        <v>1.25</v>
      </c>
      <c r="N811" s="12">
        <f t="shared" si="2658"/>
        <v>17.4</v>
      </c>
      <c r="O811" s="12">
        <f t="shared" si="2659"/>
        <v>21.75</v>
      </c>
      <c r="P811" s="12">
        <f t="shared" si="2660"/>
        <v>10.875</v>
      </c>
      <c r="Q811" s="12">
        <f t="shared" si="2661"/>
        <v>4.35</v>
      </c>
      <c r="R811" s="12">
        <f t="shared" si="2662"/>
        <v>1.3125</v>
      </c>
      <c r="S811" s="12">
        <f t="shared" si="2663"/>
        <v>2.175</v>
      </c>
      <c r="T811" s="108">
        <f t="shared" si="2664"/>
        <v>57.8</v>
      </c>
      <c r="U811" s="2">
        <f t="shared" si="2665"/>
        <v>2.625</v>
      </c>
      <c r="V811" s="42">
        <f t="shared" si="15"/>
        <v>13.125</v>
      </c>
      <c r="W811" s="2">
        <f t="shared" si="2666"/>
        <v>2.625</v>
      </c>
      <c r="X811" s="2">
        <f t="shared" si="2667"/>
        <v>21</v>
      </c>
      <c r="Y811" s="2">
        <f t="shared" si="2668"/>
        <v>39.375</v>
      </c>
      <c r="Z811" s="108">
        <f t="shared" si="2669"/>
        <v>314.675</v>
      </c>
      <c r="AA811" s="109">
        <f t="shared" si="2670"/>
        <v>62.935</v>
      </c>
      <c r="AB811" s="12">
        <f t="shared" si="2671"/>
        <v>377.61</v>
      </c>
      <c r="AC811" s="2">
        <f t="shared" si="2672"/>
        <v>262.5</v>
      </c>
      <c r="AD811" s="12">
        <f t="shared" si="2673"/>
        <v>115.11</v>
      </c>
      <c r="AE811" s="12">
        <f t="shared" si="2674"/>
        <v>30.48383253</v>
      </c>
      <c r="AF811" s="61">
        <v>645.0</v>
      </c>
      <c r="AG811" s="110">
        <f t="shared" si="2675"/>
        <v>196.5517241</v>
      </c>
      <c r="AH811" s="111">
        <f t="shared" si="2676"/>
        <v>0</v>
      </c>
      <c r="AI811" s="111">
        <f t="shared" si="2677"/>
        <v>377.61</v>
      </c>
      <c r="AJ811" s="61">
        <v>645.0</v>
      </c>
      <c r="AK811" s="112">
        <f t="shared" si="2678"/>
        <v>196.5517241</v>
      </c>
      <c r="AL811" s="112"/>
      <c r="AM811" s="112">
        <f t="shared" si="2679"/>
        <v>0</v>
      </c>
      <c r="AN811" s="112">
        <f t="shared" si="2680"/>
        <v>0</v>
      </c>
      <c r="AO811" s="113">
        <f t="shared" si="2681"/>
        <v>2.965517241</v>
      </c>
      <c r="AP811" s="112">
        <f t="shared" si="2682"/>
        <v>2.6739</v>
      </c>
      <c r="AQ811" s="112">
        <f t="shared" si="2683"/>
        <v>3.825</v>
      </c>
      <c r="AR811" s="114">
        <f t="shared" ref="AR811:AS811" si="2708">AI811/94</f>
        <v>4.01712766</v>
      </c>
      <c r="AS811" s="114">
        <f t="shared" si="2708"/>
        <v>6.861702128</v>
      </c>
      <c r="AT811" s="115">
        <f t="shared" ref="AT811:AU811" si="2709">AI811/24</f>
        <v>15.73375</v>
      </c>
      <c r="AU811" s="115">
        <f t="shared" si="2709"/>
        <v>26.875</v>
      </c>
      <c r="AV811" s="115">
        <f t="shared" ref="AV811:AW811" si="2710">AI811/125</f>
        <v>3.02088</v>
      </c>
      <c r="AW811" s="115">
        <f t="shared" si="2710"/>
        <v>5.16</v>
      </c>
    </row>
    <row r="812" ht="15.75" customHeight="1">
      <c r="A812" s="2"/>
      <c r="B812" s="2" t="s">
        <v>1604</v>
      </c>
      <c r="C812" s="2" t="s">
        <v>1605</v>
      </c>
      <c r="D812" s="10">
        <v>50.0</v>
      </c>
      <c r="F812" s="1">
        <v>50.0</v>
      </c>
      <c r="G812" s="10">
        <v>9202.0</v>
      </c>
      <c r="H812" s="59">
        <v>0.18</v>
      </c>
      <c r="I812" s="2">
        <f t="shared" si="2655"/>
        <v>9</v>
      </c>
      <c r="K812" s="1">
        <v>20.0</v>
      </c>
      <c r="L812" s="107">
        <f t="shared" si="2656"/>
        <v>129</v>
      </c>
      <c r="M812" s="2">
        <f t="shared" si="2657"/>
        <v>0.5</v>
      </c>
      <c r="N812" s="12">
        <f t="shared" si="2658"/>
        <v>10.32</v>
      </c>
      <c r="O812" s="12">
        <f t="shared" si="2659"/>
        <v>12.9</v>
      </c>
      <c r="P812" s="12">
        <f t="shared" si="2660"/>
        <v>6.45</v>
      </c>
      <c r="Q812" s="12">
        <f t="shared" si="2661"/>
        <v>2.58</v>
      </c>
      <c r="R812" s="12">
        <f t="shared" si="2662"/>
        <v>0.525</v>
      </c>
      <c r="S812" s="12">
        <f t="shared" si="2663"/>
        <v>1.29</v>
      </c>
      <c r="T812" s="108">
        <f t="shared" si="2664"/>
        <v>34.04</v>
      </c>
      <c r="U812" s="2">
        <f t="shared" si="2665"/>
        <v>1.05</v>
      </c>
      <c r="V812" s="42">
        <f t="shared" si="15"/>
        <v>5.25</v>
      </c>
      <c r="W812" s="2">
        <f t="shared" si="2666"/>
        <v>1.05</v>
      </c>
      <c r="X812" s="2">
        <f t="shared" si="2667"/>
        <v>8.4</v>
      </c>
      <c r="Y812" s="2">
        <f t="shared" si="2668"/>
        <v>15.75</v>
      </c>
      <c r="Z812" s="108">
        <f t="shared" si="2669"/>
        <v>178.79</v>
      </c>
      <c r="AA812" s="109">
        <f t="shared" si="2670"/>
        <v>35.758</v>
      </c>
      <c r="AB812" s="12">
        <f t="shared" si="2671"/>
        <v>214.548</v>
      </c>
      <c r="AC812" s="2">
        <f t="shared" si="2672"/>
        <v>105</v>
      </c>
      <c r="AD812" s="12">
        <f t="shared" si="2673"/>
        <v>109.548</v>
      </c>
      <c r="AE812" s="12">
        <f t="shared" si="2674"/>
        <v>51.05990268</v>
      </c>
      <c r="AF812" s="61">
        <v>235.0</v>
      </c>
      <c r="AG812" s="110">
        <f t="shared" si="2675"/>
        <v>82.17054264</v>
      </c>
      <c r="AH812" s="111">
        <f t="shared" si="2676"/>
        <v>-10</v>
      </c>
      <c r="AI812" s="111">
        <f t="shared" si="2677"/>
        <v>214.548</v>
      </c>
      <c r="AJ812" s="76">
        <v>225.0</v>
      </c>
      <c r="AK812" s="112">
        <f t="shared" si="2678"/>
        <v>74.41860465</v>
      </c>
      <c r="AL812" s="112"/>
      <c r="AM812" s="112">
        <f t="shared" si="2679"/>
        <v>-4.444444444</v>
      </c>
      <c r="AN812" s="112">
        <f t="shared" si="2680"/>
        <v>-7.751937984</v>
      </c>
      <c r="AO812" s="113">
        <f t="shared" si="2681"/>
        <v>1.744186047</v>
      </c>
      <c r="AP812" s="112">
        <f t="shared" si="2682"/>
        <v>0.10452</v>
      </c>
      <c r="AQ812" s="112">
        <f t="shared" si="2683"/>
        <v>1.2</v>
      </c>
      <c r="AR812" s="114">
        <f t="shared" ref="AR812:AS812" si="2711">AI812/94</f>
        <v>2.282425532</v>
      </c>
      <c r="AS812" s="114">
        <f t="shared" si="2711"/>
        <v>2.393617021</v>
      </c>
      <c r="AT812" s="115">
        <f t="shared" ref="AT812:AU812" si="2712">AI812/24</f>
        <v>8.9395</v>
      </c>
      <c r="AU812" s="115">
        <f t="shared" si="2712"/>
        <v>9.375</v>
      </c>
      <c r="AV812" s="115">
        <f t="shared" ref="AV812:AW812" si="2713">AI812/125</f>
        <v>1.716384</v>
      </c>
      <c r="AW812" s="115">
        <f t="shared" si="2713"/>
        <v>1.8</v>
      </c>
    </row>
    <row r="813" ht="15.75" customHeight="1">
      <c r="A813" s="2"/>
      <c r="B813" s="2" t="s">
        <v>1606</v>
      </c>
      <c r="C813" s="1" t="s">
        <v>1607</v>
      </c>
      <c r="D813" s="10">
        <v>110.0</v>
      </c>
      <c r="F813" s="1">
        <v>50.0</v>
      </c>
      <c r="G813" s="10">
        <v>9202.0</v>
      </c>
      <c r="H813" s="59">
        <v>0.18</v>
      </c>
      <c r="I813" s="2">
        <f t="shared" si="2655"/>
        <v>19.8</v>
      </c>
      <c r="K813" s="1">
        <v>20.0</v>
      </c>
      <c r="L813" s="107">
        <f t="shared" si="2656"/>
        <v>199.8</v>
      </c>
      <c r="M813" s="2">
        <f t="shared" si="2657"/>
        <v>1.1</v>
      </c>
      <c r="N813" s="12">
        <f t="shared" si="2658"/>
        <v>15.984</v>
      </c>
      <c r="O813" s="12">
        <f t="shared" si="2659"/>
        <v>19.98</v>
      </c>
      <c r="P813" s="12">
        <f t="shared" si="2660"/>
        <v>9.99</v>
      </c>
      <c r="Q813" s="12">
        <f t="shared" si="2661"/>
        <v>3.996</v>
      </c>
      <c r="R813" s="12">
        <f t="shared" si="2662"/>
        <v>1.155</v>
      </c>
      <c r="S813" s="12">
        <f t="shared" si="2663"/>
        <v>1.998</v>
      </c>
      <c r="T813" s="108">
        <f t="shared" si="2664"/>
        <v>53.048</v>
      </c>
      <c r="U813" s="2">
        <f t="shared" si="2665"/>
        <v>2.31</v>
      </c>
      <c r="V813" s="42">
        <f t="shared" si="15"/>
        <v>11.55</v>
      </c>
      <c r="W813" s="2">
        <f t="shared" si="2666"/>
        <v>2.31</v>
      </c>
      <c r="X813" s="2">
        <f t="shared" si="2667"/>
        <v>18.48</v>
      </c>
      <c r="Y813" s="2">
        <f t="shared" si="2668"/>
        <v>34.65</v>
      </c>
      <c r="Z813" s="108">
        <f t="shared" si="2669"/>
        <v>287.498</v>
      </c>
      <c r="AA813" s="109">
        <f t="shared" si="2670"/>
        <v>57.4996</v>
      </c>
      <c r="AB813" s="12">
        <f t="shared" si="2671"/>
        <v>344.9976</v>
      </c>
      <c r="AC813" s="2">
        <f t="shared" si="2672"/>
        <v>231</v>
      </c>
      <c r="AD813" s="12">
        <f t="shared" si="2673"/>
        <v>113.9976</v>
      </c>
      <c r="AE813" s="12">
        <f t="shared" si="2674"/>
        <v>33.04301247</v>
      </c>
      <c r="AF813" s="76">
        <v>285.0</v>
      </c>
      <c r="AG813" s="110">
        <f t="shared" si="2675"/>
        <v>42.64264264</v>
      </c>
      <c r="AH813" s="111">
        <f t="shared" si="2676"/>
        <v>100</v>
      </c>
      <c r="AI813" s="111">
        <f t="shared" si="2677"/>
        <v>344.9976</v>
      </c>
      <c r="AJ813" s="76">
        <v>385.0</v>
      </c>
      <c r="AK813" s="112">
        <f t="shared" si="2678"/>
        <v>92.69269269</v>
      </c>
      <c r="AL813" s="112"/>
      <c r="AM813" s="112">
        <f t="shared" si="2679"/>
        <v>25.97402597</v>
      </c>
      <c r="AN813" s="112">
        <f t="shared" si="2680"/>
        <v>50.05005005</v>
      </c>
      <c r="AO813" s="113">
        <f t="shared" si="2681"/>
        <v>1.926926927</v>
      </c>
      <c r="AP813" s="112">
        <f t="shared" si="2682"/>
        <v>0.400024</v>
      </c>
      <c r="AQ813" s="112">
        <f t="shared" si="2683"/>
        <v>1.54</v>
      </c>
      <c r="AR813" s="114">
        <f t="shared" ref="AR813:AS813" si="2714">AI813/94</f>
        <v>3.670187234</v>
      </c>
      <c r="AS813" s="114">
        <f t="shared" si="2714"/>
        <v>4.095744681</v>
      </c>
      <c r="AT813" s="115">
        <f t="shared" ref="AT813:AU813" si="2715">AI813/24</f>
        <v>14.3749</v>
      </c>
      <c r="AU813" s="115">
        <f t="shared" si="2715"/>
        <v>16.04166667</v>
      </c>
      <c r="AV813" s="115">
        <f t="shared" ref="AV813:AW813" si="2716">AI813/125</f>
        <v>2.7599808</v>
      </c>
      <c r="AW813" s="115">
        <f t="shared" si="2716"/>
        <v>3.08</v>
      </c>
    </row>
    <row r="814" ht="15.75" customHeight="1">
      <c r="A814" s="2"/>
      <c r="B814" s="2" t="s">
        <v>1608</v>
      </c>
      <c r="C814" s="1" t="s">
        <v>1609</v>
      </c>
      <c r="D814" s="10">
        <v>110.0</v>
      </c>
      <c r="F814" s="1">
        <v>50.0</v>
      </c>
      <c r="G814" s="10">
        <v>9202.0</v>
      </c>
      <c r="H814" s="59">
        <v>0.18</v>
      </c>
      <c r="I814" s="2">
        <f t="shared" si="2655"/>
        <v>19.8</v>
      </c>
      <c r="K814" s="1">
        <v>20.0</v>
      </c>
      <c r="L814" s="107">
        <f t="shared" si="2656"/>
        <v>199.8</v>
      </c>
      <c r="M814" s="2">
        <f t="shared" si="2657"/>
        <v>1.1</v>
      </c>
      <c r="N814" s="12">
        <f t="shared" si="2658"/>
        <v>15.984</v>
      </c>
      <c r="O814" s="12">
        <f t="shared" si="2659"/>
        <v>19.98</v>
      </c>
      <c r="P814" s="12">
        <f t="shared" si="2660"/>
        <v>9.99</v>
      </c>
      <c r="Q814" s="12">
        <f t="shared" si="2661"/>
        <v>3.996</v>
      </c>
      <c r="R814" s="12">
        <f t="shared" si="2662"/>
        <v>1.155</v>
      </c>
      <c r="S814" s="12">
        <f t="shared" si="2663"/>
        <v>1.998</v>
      </c>
      <c r="T814" s="108">
        <f t="shared" si="2664"/>
        <v>53.048</v>
      </c>
      <c r="U814" s="2">
        <f t="shared" si="2665"/>
        <v>2.31</v>
      </c>
      <c r="V814" s="42">
        <f t="shared" si="15"/>
        <v>11.55</v>
      </c>
      <c r="W814" s="2">
        <f t="shared" si="2666"/>
        <v>2.31</v>
      </c>
      <c r="X814" s="2">
        <f t="shared" si="2667"/>
        <v>18.48</v>
      </c>
      <c r="Y814" s="2">
        <f t="shared" si="2668"/>
        <v>34.65</v>
      </c>
      <c r="Z814" s="108">
        <f t="shared" si="2669"/>
        <v>287.498</v>
      </c>
      <c r="AA814" s="109">
        <f t="shared" si="2670"/>
        <v>57.4996</v>
      </c>
      <c r="AB814" s="12">
        <f t="shared" si="2671"/>
        <v>344.9976</v>
      </c>
      <c r="AC814" s="2">
        <f t="shared" si="2672"/>
        <v>231</v>
      </c>
      <c r="AD814" s="12">
        <f t="shared" si="2673"/>
        <v>113.9976</v>
      </c>
      <c r="AE814" s="12">
        <f t="shared" si="2674"/>
        <v>33.04301247</v>
      </c>
      <c r="AF814" s="76">
        <v>285.0</v>
      </c>
      <c r="AG814" s="110">
        <f t="shared" si="2675"/>
        <v>42.64264264</v>
      </c>
      <c r="AH814" s="111">
        <f t="shared" si="2676"/>
        <v>100</v>
      </c>
      <c r="AI814" s="111">
        <f t="shared" si="2677"/>
        <v>344.9976</v>
      </c>
      <c r="AJ814" s="76">
        <v>385.0</v>
      </c>
      <c r="AK814" s="112">
        <f t="shared" si="2678"/>
        <v>92.69269269</v>
      </c>
      <c r="AL814" s="112"/>
      <c r="AM814" s="112">
        <f t="shared" si="2679"/>
        <v>25.97402597</v>
      </c>
      <c r="AN814" s="112">
        <f t="shared" si="2680"/>
        <v>50.05005005</v>
      </c>
      <c r="AO814" s="113">
        <f t="shared" si="2681"/>
        <v>1.926926927</v>
      </c>
      <c r="AP814" s="112">
        <f t="shared" si="2682"/>
        <v>0.400024</v>
      </c>
      <c r="AQ814" s="112">
        <f t="shared" si="2683"/>
        <v>1.54</v>
      </c>
      <c r="AR814" s="114">
        <f t="shared" ref="AR814:AS814" si="2717">AI814/94</f>
        <v>3.670187234</v>
      </c>
      <c r="AS814" s="114">
        <f t="shared" si="2717"/>
        <v>4.095744681</v>
      </c>
      <c r="AT814" s="115">
        <f t="shared" ref="AT814:AU814" si="2718">AI814/24</f>
        <v>14.3749</v>
      </c>
      <c r="AU814" s="115">
        <f t="shared" si="2718"/>
        <v>16.04166667</v>
      </c>
      <c r="AV814" s="115">
        <f t="shared" ref="AV814:AW814" si="2719">AI814/125</f>
        <v>2.7599808</v>
      </c>
      <c r="AW814" s="115">
        <f t="shared" si="2719"/>
        <v>3.08</v>
      </c>
    </row>
    <row r="815" ht="15.75" customHeight="1">
      <c r="A815" s="2"/>
      <c r="B815" s="2" t="s">
        <v>1610</v>
      </c>
      <c r="C815" s="1" t="s">
        <v>1611</v>
      </c>
      <c r="D815" s="102">
        <v>85.0</v>
      </c>
      <c r="F815" s="1">
        <v>50.0</v>
      </c>
      <c r="G815" s="10">
        <v>9202.0</v>
      </c>
      <c r="H815" s="59">
        <v>0.18</v>
      </c>
      <c r="I815" s="2">
        <f t="shared" si="2655"/>
        <v>15.3</v>
      </c>
      <c r="K815" s="1">
        <v>20.0</v>
      </c>
      <c r="L815" s="107">
        <f t="shared" si="2656"/>
        <v>170.3</v>
      </c>
      <c r="M815" s="2">
        <f t="shared" si="2657"/>
        <v>0.85</v>
      </c>
      <c r="N815" s="12">
        <f t="shared" si="2658"/>
        <v>13.624</v>
      </c>
      <c r="O815" s="12">
        <f t="shared" si="2659"/>
        <v>17.03</v>
      </c>
      <c r="P815" s="12">
        <f t="shared" si="2660"/>
        <v>8.515</v>
      </c>
      <c r="Q815" s="12">
        <f t="shared" si="2661"/>
        <v>3.406</v>
      </c>
      <c r="R815" s="12">
        <f t="shared" si="2662"/>
        <v>0.8925</v>
      </c>
      <c r="S815" s="12">
        <f t="shared" si="2663"/>
        <v>1.703</v>
      </c>
      <c r="T815" s="108">
        <f t="shared" si="2664"/>
        <v>45.128</v>
      </c>
      <c r="U815" s="2">
        <f t="shared" si="2665"/>
        <v>1.785</v>
      </c>
      <c r="V815" s="42">
        <f t="shared" si="15"/>
        <v>8.925</v>
      </c>
      <c r="W815" s="2">
        <f t="shared" si="2666"/>
        <v>1.785</v>
      </c>
      <c r="X815" s="2">
        <f t="shared" si="2667"/>
        <v>14.28</v>
      </c>
      <c r="Y815" s="2">
        <f t="shared" si="2668"/>
        <v>26.775</v>
      </c>
      <c r="Z815" s="108">
        <f t="shared" si="2669"/>
        <v>242.203</v>
      </c>
      <c r="AA815" s="109">
        <f t="shared" si="2670"/>
        <v>48.4406</v>
      </c>
      <c r="AB815" s="12">
        <f t="shared" si="2671"/>
        <v>290.6436</v>
      </c>
      <c r="AC815" s="2">
        <f t="shared" si="2672"/>
        <v>178.5</v>
      </c>
      <c r="AD815" s="12">
        <f t="shared" si="2673"/>
        <v>112.1436</v>
      </c>
      <c r="AE815" s="12">
        <f t="shared" si="2674"/>
        <v>38.58457575</v>
      </c>
      <c r="AF815" s="76">
        <v>255.0</v>
      </c>
      <c r="AG815" s="110">
        <f t="shared" si="2675"/>
        <v>49.73576042</v>
      </c>
      <c r="AH815" s="111">
        <f t="shared" si="2676"/>
        <v>70</v>
      </c>
      <c r="AI815" s="111">
        <f t="shared" si="2677"/>
        <v>290.6436</v>
      </c>
      <c r="AJ815" s="76">
        <v>325.0</v>
      </c>
      <c r="AK815" s="112">
        <f t="shared" si="2678"/>
        <v>90.83969466</v>
      </c>
      <c r="AL815" s="112"/>
      <c r="AM815" s="112">
        <f t="shared" si="2679"/>
        <v>21.53846154</v>
      </c>
      <c r="AN815" s="112">
        <f t="shared" si="2680"/>
        <v>41.10393423</v>
      </c>
      <c r="AO815" s="113">
        <f t="shared" si="2681"/>
        <v>1.908396947</v>
      </c>
      <c r="AP815" s="112">
        <f t="shared" si="2682"/>
        <v>0.343564</v>
      </c>
      <c r="AQ815" s="112">
        <f t="shared" si="2683"/>
        <v>1.465</v>
      </c>
      <c r="AR815" s="114">
        <f t="shared" ref="AR815:AS815" si="2720">AI815/94</f>
        <v>3.091953191</v>
      </c>
      <c r="AS815" s="114">
        <f t="shared" si="2720"/>
        <v>3.457446809</v>
      </c>
      <c r="AT815" s="115">
        <f t="shared" ref="AT815:AU815" si="2721">AI815/24</f>
        <v>12.11015</v>
      </c>
      <c r="AU815" s="115">
        <f t="shared" si="2721"/>
        <v>13.54166667</v>
      </c>
      <c r="AV815" s="115">
        <f t="shared" ref="AV815:AW815" si="2722">AI815/125</f>
        <v>2.3251488</v>
      </c>
      <c r="AW815" s="115">
        <f t="shared" si="2722"/>
        <v>2.6</v>
      </c>
    </row>
    <row r="816" ht="15.75" customHeight="1">
      <c r="A816" s="2"/>
      <c r="B816" s="2" t="s">
        <v>1612</v>
      </c>
      <c r="C816" s="1" t="s">
        <v>1613</v>
      </c>
      <c r="D816" s="102">
        <v>85.0</v>
      </c>
      <c r="F816" s="1">
        <v>50.0</v>
      </c>
      <c r="G816" s="10">
        <v>9202.0</v>
      </c>
      <c r="H816" s="59">
        <v>0.18</v>
      </c>
      <c r="I816" s="2">
        <f t="shared" si="2655"/>
        <v>15.3</v>
      </c>
      <c r="K816" s="1">
        <v>20.0</v>
      </c>
      <c r="L816" s="107">
        <f t="shared" si="2656"/>
        <v>170.3</v>
      </c>
      <c r="M816" s="2">
        <f t="shared" si="2657"/>
        <v>0.85</v>
      </c>
      <c r="N816" s="12">
        <f t="shared" si="2658"/>
        <v>13.624</v>
      </c>
      <c r="O816" s="12">
        <f t="shared" si="2659"/>
        <v>17.03</v>
      </c>
      <c r="P816" s="12">
        <f t="shared" si="2660"/>
        <v>8.515</v>
      </c>
      <c r="Q816" s="12">
        <f t="shared" si="2661"/>
        <v>3.406</v>
      </c>
      <c r="R816" s="12">
        <f t="shared" si="2662"/>
        <v>0.8925</v>
      </c>
      <c r="S816" s="12">
        <f t="shared" si="2663"/>
        <v>1.703</v>
      </c>
      <c r="T816" s="108">
        <f t="shared" si="2664"/>
        <v>45.128</v>
      </c>
      <c r="U816" s="2">
        <f t="shared" si="2665"/>
        <v>1.785</v>
      </c>
      <c r="V816" s="42">
        <f t="shared" si="15"/>
        <v>8.925</v>
      </c>
      <c r="W816" s="2">
        <f t="shared" si="2666"/>
        <v>1.785</v>
      </c>
      <c r="X816" s="2">
        <f t="shared" si="2667"/>
        <v>14.28</v>
      </c>
      <c r="Y816" s="2">
        <f t="shared" si="2668"/>
        <v>26.775</v>
      </c>
      <c r="Z816" s="108">
        <f t="shared" si="2669"/>
        <v>242.203</v>
      </c>
      <c r="AA816" s="109">
        <f t="shared" si="2670"/>
        <v>48.4406</v>
      </c>
      <c r="AB816" s="12">
        <f t="shared" si="2671"/>
        <v>290.6436</v>
      </c>
      <c r="AC816" s="2">
        <f t="shared" si="2672"/>
        <v>178.5</v>
      </c>
      <c r="AD816" s="12">
        <f t="shared" si="2673"/>
        <v>112.1436</v>
      </c>
      <c r="AE816" s="12">
        <f t="shared" si="2674"/>
        <v>38.58457575</v>
      </c>
      <c r="AF816" s="76">
        <v>255.0</v>
      </c>
      <c r="AG816" s="110">
        <f t="shared" si="2675"/>
        <v>49.73576042</v>
      </c>
      <c r="AH816" s="111">
        <f t="shared" si="2676"/>
        <v>70</v>
      </c>
      <c r="AI816" s="111">
        <f t="shared" si="2677"/>
        <v>290.6436</v>
      </c>
      <c r="AJ816" s="76">
        <v>325.0</v>
      </c>
      <c r="AK816" s="112">
        <f t="shared" si="2678"/>
        <v>90.83969466</v>
      </c>
      <c r="AL816" s="112"/>
      <c r="AM816" s="112">
        <f t="shared" si="2679"/>
        <v>21.53846154</v>
      </c>
      <c r="AN816" s="112">
        <f t="shared" si="2680"/>
        <v>41.10393423</v>
      </c>
      <c r="AO816" s="113">
        <f t="shared" si="2681"/>
        <v>1.908396947</v>
      </c>
      <c r="AP816" s="112">
        <f t="shared" si="2682"/>
        <v>0.343564</v>
      </c>
      <c r="AQ816" s="112">
        <f t="shared" si="2683"/>
        <v>1.465</v>
      </c>
      <c r="AR816" s="114">
        <f t="shared" ref="AR816:AS816" si="2723">AI816/94</f>
        <v>3.091953191</v>
      </c>
      <c r="AS816" s="114">
        <f t="shared" si="2723"/>
        <v>3.457446809</v>
      </c>
      <c r="AT816" s="115">
        <f t="shared" ref="AT816:AU816" si="2724">AI816/24</f>
        <v>12.11015</v>
      </c>
      <c r="AU816" s="115">
        <f t="shared" si="2724"/>
        <v>13.54166667</v>
      </c>
      <c r="AV816" s="115">
        <f t="shared" ref="AV816:AW816" si="2725">AI816/125</f>
        <v>2.3251488</v>
      </c>
      <c r="AW816" s="115">
        <f t="shared" si="2725"/>
        <v>2.6</v>
      </c>
    </row>
    <row r="817" ht="15.75" customHeight="1">
      <c r="A817" s="2"/>
      <c r="B817" s="1" t="s">
        <v>1614</v>
      </c>
      <c r="C817" s="2" t="s">
        <v>1615</v>
      </c>
      <c r="D817" s="102">
        <v>65.0</v>
      </c>
      <c r="F817" s="1">
        <v>50.0</v>
      </c>
      <c r="G817" s="10">
        <v>9202.0</v>
      </c>
      <c r="H817" s="59">
        <v>0.18</v>
      </c>
      <c r="I817" s="2">
        <f t="shared" si="2655"/>
        <v>11.7</v>
      </c>
      <c r="K817" s="1">
        <v>20.0</v>
      </c>
      <c r="L817" s="107">
        <f t="shared" si="2656"/>
        <v>146.7</v>
      </c>
      <c r="M817" s="2">
        <f t="shared" si="2657"/>
        <v>0.65</v>
      </c>
      <c r="N817" s="12">
        <f t="shared" si="2658"/>
        <v>11.736</v>
      </c>
      <c r="O817" s="12">
        <f t="shared" si="2659"/>
        <v>14.67</v>
      </c>
      <c r="P817" s="12">
        <f t="shared" si="2660"/>
        <v>7.335</v>
      </c>
      <c r="Q817" s="12">
        <f t="shared" si="2661"/>
        <v>2.934</v>
      </c>
      <c r="R817" s="12">
        <f t="shared" si="2662"/>
        <v>0.6825</v>
      </c>
      <c r="S817" s="12">
        <f t="shared" si="2663"/>
        <v>1.467</v>
      </c>
      <c r="T817" s="108">
        <f t="shared" si="2664"/>
        <v>38.792</v>
      </c>
      <c r="U817" s="2">
        <f t="shared" si="2665"/>
        <v>1.365</v>
      </c>
      <c r="V817" s="42">
        <f t="shared" si="15"/>
        <v>6.825</v>
      </c>
      <c r="W817" s="2">
        <f t="shared" si="2666"/>
        <v>1.365</v>
      </c>
      <c r="X817" s="2">
        <f t="shared" si="2667"/>
        <v>10.92</v>
      </c>
      <c r="Y817" s="2">
        <f t="shared" si="2668"/>
        <v>20.475</v>
      </c>
      <c r="Z817" s="108">
        <f t="shared" si="2669"/>
        <v>205.967</v>
      </c>
      <c r="AA817" s="109">
        <f t="shared" si="2670"/>
        <v>41.1934</v>
      </c>
      <c r="AB817" s="12">
        <f t="shared" si="2671"/>
        <v>247.1604</v>
      </c>
      <c r="AC817" s="2">
        <f t="shared" si="2672"/>
        <v>136.5</v>
      </c>
      <c r="AD817" s="12">
        <f t="shared" si="2673"/>
        <v>110.6604</v>
      </c>
      <c r="AE817" s="12">
        <f t="shared" si="2674"/>
        <v>44.77270631</v>
      </c>
      <c r="AF817" s="61">
        <v>200.0</v>
      </c>
      <c r="AG817" s="110">
        <f t="shared" si="2675"/>
        <v>36.33265167</v>
      </c>
      <c r="AH817" s="111">
        <f t="shared" si="2676"/>
        <v>25</v>
      </c>
      <c r="AI817" s="111">
        <f t="shared" si="2677"/>
        <v>247.1604</v>
      </c>
      <c r="AJ817" s="76">
        <v>225.0</v>
      </c>
      <c r="AK817" s="112">
        <f t="shared" si="2678"/>
        <v>53.37423313</v>
      </c>
      <c r="AL817" s="112"/>
      <c r="AM817" s="112">
        <f t="shared" si="2679"/>
        <v>11.11111111</v>
      </c>
      <c r="AN817" s="112">
        <f t="shared" si="2680"/>
        <v>17.04158146</v>
      </c>
      <c r="AO817" s="113">
        <f t="shared" si="2681"/>
        <v>1.533742331</v>
      </c>
      <c r="AP817" s="112">
        <f t="shared" si="2682"/>
        <v>-0.221604</v>
      </c>
      <c r="AQ817" s="112">
        <f t="shared" si="2683"/>
        <v>0.885</v>
      </c>
      <c r="AR817" s="114">
        <f t="shared" ref="AR817:AS817" si="2726">AI817/94</f>
        <v>2.629365957</v>
      </c>
      <c r="AS817" s="114">
        <f t="shared" si="2726"/>
        <v>2.393617021</v>
      </c>
      <c r="AT817" s="115">
        <f t="shared" ref="AT817:AU817" si="2727">AI817/24</f>
        <v>10.29835</v>
      </c>
      <c r="AU817" s="115">
        <f t="shared" si="2727"/>
        <v>9.375</v>
      </c>
      <c r="AV817" s="115">
        <f t="shared" ref="AV817:AW817" si="2728">AI817/125</f>
        <v>1.9772832</v>
      </c>
      <c r="AW817" s="115">
        <f t="shared" si="2728"/>
        <v>1.8</v>
      </c>
    </row>
    <row r="818" ht="15.75" customHeight="1">
      <c r="A818" s="2"/>
      <c r="B818" s="1" t="s">
        <v>1616</v>
      </c>
      <c r="C818" s="2" t="s">
        <v>1617</v>
      </c>
      <c r="D818" s="102">
        <v>65.0</v>
      </c>
      <c r="F818" s="1">
        <v>50.0</v>
      </c>
      <c r="G818" s="10">
        <v>9202.0</v>
      </c>
      <c r="H818" s="59">
        <v>0.18</v>
      </c>
      <c r="I818" s="2">
        <f t="shared" si="2655"/>
        <v>11.7</v>
      </c>
      <c r="K818" s="1">
        <v>20.0</v>
      </c>
      <c r="L818" s="107">
        <f t="shared" si="2656"/>
        <v>146.7</v>
      </c>
      <c r="M818" s="2">
        <f t="shared" si="2657"/>
        <v>0.65</v>
      </c>
      <c r="N818" s="12">
        <f t="shared" si="2658"/>
        <v>11.736</v>
      </c>
      <c r="O818" s="12">
        <f t="shared" si="2659"/>
        <v>14.67</v>
      </c>
      <c r="P818" s="12">
        <f t="shared" si="2660"/>
        <v>7.335</v>
      </c>
      <c r="Q818" s="12">
        <f t="shared" si="2661"/>
        <v>2.934</v>
      </c>
      <c r="R818" s="12">
        <f t="shared" si="2662"/>
        <v>0.6825</v>
      </c>
      <c r="S818" s="12">
        <f t="shared" si="2663"/>
        <v>1.467</v>
      </c>
      <c r="T818" s="108">
        <f t="shared" si="2664"/>
        <v>38.792</v>
      </c>
      <c r="U818" s="2">
        <f t="shared" si="2665"/>
        <v>1.365</v>
      </c>
      <c r="V818" s="42">
        <f t="shared" si="15"/>
        <v>6.825</v>
      </c>
      <c r="W818" s="2">
        <f t="shared" si="2666"/>
        <v>1.365</v>
      </c>
      <c r="X818" s="2">
        <f t="shared" si="2667"/>
        <v>10.92</v>
      </c>
      <c r="Y818" s="2">
        <f t="shared" si="2668"/>
        <v>20.475</v>
      </c>
      <c r="Z818" s="108">
        <f t="shared" si="2669"/>
        <v>205.967</v>
      </c>
      <c r="AA818" s="109">
        <f t="shared" si="2670"/>
        <v>41.1934</v>
      </c>
      <c r="AB818" s="12">
        <f t="shared" si="2671"/>
        <v>247.1604</v>
      </c>
      <c r="AC818" s="2">
        <f t="shared" si="2672"/>
        <v>136.5</v>
      </c>
      <c r="AD818" s="12">
        <f t="shared" si="2673"/>
        <v>110.6604</v>
      </c>
      <c r="AE818" s="12">
        <f t="shared" si="2674"/>
        <v>44.77270631</v>
      </c>
      <c r="AF818" s="61">
        <v>200.0</v>
      </c>
      <c r="AG818" s="110">
        <f t="shared" si="2675"/>
        <v>36.33265167</v>
      </c>
      <c r="AH818" s="111">
        <f t="shared" si="2676"/>
        <v>25</v>
      </c>
      <c r="AI818" s="111">
        <f t="shared" si="2677"/>
        <v>247.1604</v>
      </c>
      <c r="AJ818" s="76">
        <v>225.0</v>
      </c>
      <c r="AK818" s="112">
        <f t="shared" si="2678"/>
        <v>53.37423313</v>
      </c>
      <c r="AL818" s="112"/>
      <c r="AM818" s="112">
        <f t="shared" si="2679"/>
        <v>11.11111111</v>
      </c>
      <c r="AN818" s="112">
        <f t="shared" si="2680"/>
        <v>17.04158146</v>
      </c>
      <c r="AO818" s="113">
        <f t="shared" si="2681"/>
        <v>1.533742331</v>
      </c>
      <c r="AP818" s="112">
        <f t="shared" si="2682"/>
        <v>-0.221604</v>
      </c>
      <c r="AQ818" s="112">
        <f t="shared" si="2683"/>
        <v>0.885</v>
      </c>
      <c r="AR818" s="114">
        <f t="shared" ref="AR818:AS818" si="2729">AI818/94</f>
        <v>2.629365957</v>
      </c>
      <c r="AS818" s="114">
        <f t="shared" si="2729"/>
        <v>2.393617021</v>
      </c>
      <c r="AT818" s="115">
        <f t="shared" ref="AT818:AU818" si="2730">AI818/24</f>
        <v>10.29835</v>
      </c>
      <c r="AU818" s="115">
        <f t="shared" si="2730"/>
        <v>9.375</v>
      </c>
      <c r="AV818" s="115">
        <f t="shared" ref="AV818:AW818" si="2731">AI818/125</f>
        <v>1.9772832</v>
      </c>
      <c r="AW818" s="115">
        <f t="shared" si="2731"/>
        <v>1.8</v>
      </c>
    </row>
    <row r="819" ht="15.0" customHeight="1">
      <c r="A819" s="2" t="s">
        <v>1618</v>
      </c>
      <c r="B819" s="2" t="s">
        <v>453</v>
      </c>
      <c r="C819" s="75" t="s">
        <v>1619</v>
      </c>
      <c r="D819" s="141">
        <v>200.0</v>
      </c>
      <c r="F819" s="1">
        <v>50.0</v>
      </c>
      <c r="G819" s="10">
        <v>4.42019E7</v>
      </c>
      <c r="H819" s="59">
        <v>0.05</v>
      </c>
      <c r="I819" s="2">
        <f t="shared" si="2655"/>
        <v>10</v>
      </c>
      <c r="K819" s="1">
        <v>200.0</v>
      </c>
      <c r="L819" s="107">
        <f t="shared" si="2656"/>
        <v>460</v>
      </c>
      <c r="M819" s="2">
        <f t="shared" si="2657"/>
        <v>2</v>
      </c>
      <c r="N819" s="12">
        <f t="shared" si="2658"/>
        <v>36.8</v>
      </c>
      <c r="O819" s="12">
        <f t="shared" si="2659"/>
        <v>46</v>
      </c>
      <c r="P819" s="12">
        <f t="shared" si="2660"/>
        <v>23</v>
      </c>
      <c r="Q819" s="12">
        <f t="shared" si="2661"/>
        <v>9.2</v>
      </c>
      <c r="R819" s="12">
        <f t="shared" si="2662"/>
        <v>2.1</v>
      </c>
      <c r="S819" s="12">
        <f t="shared" si="2663"/>
        <v>4.6</v>
      </c>
      <c r="T819" s="108">
        <f t="shared" si="2664"/>
        <v>121.6</v>
      </c>
      <c r="U819" s="2">
        <f t="shared" si="2665"/>
        <v>4.2</v>
      </c>
      <c r="V819" s="42">
        <f t="shared" si="15"/>
        <v>21</v>
      </c>
      <c r="W819" s="2">
        <f t="shared" si="2666"/>
        <v>4.2</v>
      </c>
      <c r="X819" s="2">
        <f t="shared" si="2667"/>
        <v>33.6</v>
      </c>
      <c r="Y819" s="2">
        <f t="shared" si="2668"/>
        <v>63</v>
      </c>
      <c r="Z819" s="108">
        <f t="shared" si="2669"/>
        <v>644.6</v>
      </c>
      <c r="AA819" s="109">
        <f t="shared" si="2670"/>
        <v>128.92</v>
      </c>
      <c r="AB819" s="12">
        <f t="shared" si="2671"/>
        <v>773.52</v>
      </c>
      <c r="AC819" s="2">
        <f t="shared" si="2672"/>
        <v>420</v>
      </c>
      <c r="AD819" s="12">
        <f t="shared" si="2673"/>
        <v>353.52</v>
      </c>
      <c r="AE819" s="12">
        <f t="shared" si="2674"/>
        <v>45.7027614</v>
      </c>
      <c r="AF819" s="76">
        <v>985.0</v>
      </c>
      <c r="AG819" s="110">
        <f t="shared" si="2675"/>
        <v>114.1304348</v>
      </c>
      <c r="AH819" s="111">
        <f t="shared" si="2676"/>
        <v>0</v>
      </c>
      <c r="AI819" s="111">
        <f t="shared" si="2677"/>
        <v>773.52</v>
      </c>
      <c r="AJ819" s="76">
        <v>985.0</v>
      </c>
      <c r="AK819" s="112">
        <f t="shared" si="2678"/>
        <v>114.1304348</v>
      </c>
      <c r="AL819" s="112"/>
      <c r="AM819" s="112">
        <f t="shared" si="2679"/>
        <v>0</v>
      </c>
      <c r="AN819" s="112">
        <f t="shared" si="2680"/>
        <v>0</v>
      </c>
      <c r="AO819" s="113">
        <f t="shared" si="2681"/>
        <v>2.141304348</v>
      </c>
      <c r="AP819" s="112">
        <f t="shared" si="2682"/>
        <v>2.1148</v>
      </c>
      <c r="AQ819" s="112">
        <f t="shared" si="2683"/>
        <v>5.65</v>
      </c>
      <c r="AR819" s="114">
        <f t="shared" ref="AR819:AS819" si="2732">AI819/94</f>
        <v>8.22893617</v>
      </c>
      <c r="AS819" s="114">
        <f t="shared" si="2732"/>
        <v>10.4787234</v>
      </c>
      <c r="AT819" s="115">
        <f t="shared" ref="AT819:AU819" si="2733">AI819/24</f>
        <v>32.23</v>
      </c>
      <c r="AU819" s="115">
        <f t="shared" si="2733"/>
        <v>41.04166667</v>
      </c>
      <c r="AV819" s="115">
        <f t="shared" ref="AV819:AW819" si="2734">AI819/125</f>
        <v>6.18816</v>
      </c>
      <c r="AW819" s="115">
        <f t="shared" si="2734"/>
        <v>7.88</v>
      </c>
    </row>
    <row r="820" ht="15.75" customHeight="1">
      <c r="A820" s="2"/>
      <c r="B820" s="2" t="s">
        <v>400</v>
      </c>
      <c r="C820" s="75" t="s">
        <v>1620</v>
      </c>
      <c r="D820" s="141">
        <v>250.0</v>
      </c>
      <c r="F820" s="1">
        <v>50.0</v>
      </c>
      <c r="G820" s="10">
        <v>4.42019E7</v>
      </c>
      <c r="H820" s="59">
        <v>0.05</v>
      </c>
      <c r="I820" s="2">
        <f t="shared" si="2655"/>
        <v>12.5</v>
      </c>
      <c r="K820" s="1">
        <v>200.0</v>
      </c>
      <c r="L820" s="107">
        <f t="shared" si="2656"/>
        <v>512.5</v>
      </c>
      <c r="M820" s="2">
        <f t="shared" si="2657"/>
        <v>2.5</v>
      </c>
      <c r="N820" s="12">
        <f t="shared" si="2658"/>
        <v>41</v>
      </c>
      <c r="O820" s="12">
        <f t="shared" si="2659"/>
        <v>51.25</v>
      </c>
      <c r="P820" s="12">
        <f t="shared" si="2660"/>
        <v>25.625</v>
      </c>
      <c r="Q820" s="12">
        <f t="shared" si="2661"/>
        <v>10.25</v>
      </c>
      <c r="R820" s="12">
        <f t="shared" si="2662"/>
        <v>2.625</v>
      </c>
      <c r="S820" s="12">
        <f t="shared" si="2663"/>
        <v>5.125</v>
      </c>
      <c r="T820" s="108">
        <f t="shared" si="2664"/>
        <v>135.75</v>
      </c>
      <c r="U820" s="2">
        <f t="shared" si="2665"/>
        <v>5.25</v>
      </c>
      <c r="V820" s="42">
        <f t="shared" si="15"/>
        <v>26.25</v>
      </c>
      <c r="W820" s="2">
        <f t="shared" si="2666"/>
        <v>5.25</v>
      </c>
      <c r="X820" s="2">
        <f t="shared" si="2667"/>
        <v>42</v>
      </c>
      <c r="Y820" s="2">
        <f t="shared" si="2668"/>
        <v>78.75</v>
      </c>
      <c r="Z820" s="108">
        <f t="shared" si="2669"/>
        <v>727</v>
      </c>
      <c r="AA820" s="109">
        <f t="shared" si="2670"/>
        <v>145.4</v>
      </c>
      <c r="AB820" s="12">
        <f t="shared" si="2671"/>
        <v>872.4</v>
      </c>
      <c r="AC820" s="2">
        <f t="shared" si="2672"/>
        <v>525</v>
      </c>
      <c r="AD820" s="12">
        <f t="shared" si="2673"/>
        <v>347.4</v>
      </c>
      <c r="AE820" s="12">
        <f t="shared" si="2674"/>
        <v>39.82118294</v>
      </c>
      <c r="AF820" s="76">
        <v>1045.0</v>
      </c>
      <c r="AG820" s="110">
        <f t="shared" si="2675"/>
        <v>103.902439</v>
      </c>
      <c r="AH820" s="111">
        <f t="shared" si="2676"/>
        <v>0</v>
      </c>
      <c r="AI820" s="111">
        <f t="shared" si="2677"/>
        <v>872.4</v>
      </c>
      <c r="AJ820" s="76">
        <v>1045.0</v>
      </c>
      <c r="AK820" s="112">
        <f t="shared" si="2678"/>
        <v>103.902439</v>
      </c>
      <c r="AL820" s="112"/>
      <c r="AM820" s="112">
        <f t="shared" si="2679"/>
        <v>0</v>
      </c>
      <c r="AN820" s="112">
        <f t="shared" si="2680"/>
        <v>0</v>
      </c>
      <c r="AO820" s="113">
        <f t="shared" si="2681"/>
        <v>2.03902439</v>
      </c>
      <c r="AP820" s="112">
        <f t="shared" si="2682"/>
        <v>1.726</v>
      </c>
      <c r="AQ820" s="112">
        <f t="shared" si="2683"/>
        <v>5.2</v>
      </c>
      <c r="AR820" s="114">
        <f t="shared" ref="AR820:AS820" si="2735">AI820/94</f>
        <v>9.280851064</v>
      </c>
      <c r="AS820" s="114">
        <f t="shared" si="2735"/>
        <v>11.11702128</v>
      </c>
      <c r="AT820" s="115">
        <f t="shared" ref="AT820:AU820" si="2736">AI820/24</f>
        <v>36.35</v>
      </c>
      <c r="AU820" s="115">
        <f t="shared" si="2736"/>
        <v>43.54166667</v>
      </c>
      <c r="AV820" s="115">
        <f t="shared" ref="AV820:AW820" si="2737">AI820/125</f>
        <v>6.9792</v>
      </c>
      <c r="AW820" s="115">
        <f t="shared" si="2737"/>
        <v>8.36</v>
      </c>
    </row>
    <row r="821" ht="15.0" customHeight="1">
      <c r="A821" s="2" t="s">
        <v>1621</v>
      </c>
      <c r="B821" s="2" t="s">
        <v>1622</v>
      </c>
      <c r="C821" s="75" t="s">
        <v>1623</v>
      </c>
      <c r="D821" s="10">
        <v>250.0</v>
      </c>
      <c r="F821" s="1">
        <v>50.0</v>
      </c>
      <c r="G821" s="10">
        <v>4.42019E7</v>
      </c>
      <c r="H821" s="59">
        <v>0.05</v>
      </c>
      <c r="I821" s="2">
        <f t="shared" si="2655"/>
        <v>12.5</v>
      </c>
      <c r="K821" s="2">
        <v>300.0</v>
      </c>
      <c r="L821" s="107">
        <f t="shared" si="2656"/>
        <v>612.5</v>
      </c>
      <c r="M821" s="2">
        <f t="shared" si="2657"/>
        <v>2.5</v>
      </c>
      <c r="N821" s="12">
        <f t="shared" si="2658"/>
        <v>49</v>
      </c>
      <c r="O821" s="12">
        <f t="shared" si="2659"/>
        <v>61.25</v>
      </c>
      <c r="P821" s="12">
        <f t="shared" si="2660"/>
        <v>30.625</v>
      </c>
      <c r="Q821" s="12">
        <f t="shared" si="2661"/>
        <v>12.25</v>
      </c>
      <c r="R821" s="12">
        <f t="shared" si="2662"/>
        <v>2.625</v>
      </c>
      <c r="S821" s="12">
        <f t="shared" si="2663"/>
        <v>6.125</v>
      </c>
      <c r="T821" s="108">
        <f t="shared" si="2664"/>
        <v>161.75</v>
      </c>
      <c r="U821" s="2">
        <f t="shared" si="2665"/>
        <v>5.25</v>
      </c>
      <c r="V821" s="42">
        <f t="shared" si="15"/>
        <v>26.25</v>
      </c>
      <c r="W821" s="2">
        <f t="shared" si="2666"/>
        <v>5.25</v>
      </c>
      <c r="X821" s="2">
        <f t="shared" si="2667"/>
        <v>42</v>
      </c>
      <c r="Y821" s="2">
        <f t="shared" si="2668"/>
        <v>78.75</v>
      </c>
      <c r="Z821" s="108">
        <f t="shared" si="2669"/>
        <v>853</v>
      </c>
      <c r="AA821" s="109">
        <f t="shared" si="2670"/>
        <v>170.6</v>
      </c>
      <c r="AB821" s="12">
        <f t="shared" si="2671"/>
        <v>1023.6</v>
      </c>
      <c r="AC821" s="2">
        <f t="shared" si="2672"/>
        <v>525</v>
      </c>
      <c r="AD821" s="12">
        <f t="shared" si="2673"/>
        <v>498.6</v>
      </c>
      <c r="AE821" s="12">
        <f t="shared" si="2674"/>
        <v>48.71043376</v>
      </c>
      <c r="AF821" s="76">
        <v>1250.0</v>
      </c>
      <c r="AG821" s="110">
        <f t="shared" si="2675"/>
        <v>104.0816327</v>
      </c>
      <c r="AH821" s="111">
        <f t="shared" si="2676"/>
        <v>0</v>
      </c>
      <c r="AI821" s="111">
        <f t="shared" si="2677"/>
        <v>1023.6</v>
      </c>
      <c r="AJ821" s="76">
        <v>1250.0</v>
      </c>
      <c r="AK821" s="112">
        <f t="shared" si="2678"/>
        <v>104.0816327</v>
      </c>
      <c r="AL821" s="112"/>
      <c r="AM821" s="112">
        <f t="shared" si="2679"/>
        <v>0</v>
      </c>
      <c r="AN821" s="112">
        <f t="shared" si="2680"/>
        <v>0</v>
      </c>
      <c r="AO821" s="113">
        <f t="shared" si="2681"/>
        <v>2.040816327</v>
      </c>
      <c r="AP821" s="112">
        <f t="shared" si="2682"/>
        <v>2.264</v>
      </c>
      <c r="AQ821" s="112">
        <f t="shared" si="2683"/>
        <v>7.25</v>
      </c>
      <c r="AR821" s="114">
        <f t="shared" ref="AR821:AS821" si="2738">AI821/94</f>
        <v>10.8893617</v>
      </c>
      <c r="AS821" s="114">
        <f t="shared" si="2738"/>
        <v>13.29787234</v>
      </c>
      <c r="AT821" s="115">
        <f t="shared" ref="AT821:AU821" si="2739">AI821/24</f>
        <v>42.65</v>
      </c>
      <c r="AU821" s="115">
        <f t="shared" si="2739"/>
        <v>52.08333333</v>
      </c>
      <c r="AV821" s="115">
        <f t="shared" ref="AV821:AW821" si="2740">AI821/125</f>
        <v>8.1888</v>
      </c>
      <c r="AW821" s="115">
        <f t="shared" si="2740"/>
        <v>10</v>
      </c>
    </row>
    <row r="822" ht="15.75" customHeight="1">
      <c r="A822" s="2"/>
      <c r="B822" s="2" t="s">
        <v>1624</v>
      </c>
      <c r="C822" s="75" t="s">
        <v>1625</v>
      </c>
      <c r="D822" s="252">
        <v>300.0</v>
      </c>
      <c r="F822" s="1">
        <v>50.0</v>
      </c>
      <c r="G822" s="10">
        <v>4.42019E7</v>
      </c>
      <c r="H822" s="59">
        <v>0.05</v>
      </c>
      <c r="I822" s="2">
        <f t="shared" si="2655"/>
        <v>15</v>
      </c>
      <c r="K822" s="2">
        <v>300.0</v>
      </c>
      <c r="L822" s="107">
        <f t="shared" si="2656"/>
        <v>665</v>
      </c>
      <c r="M822" s="2">
        <f t="shared" si="2657"/>
        <v>3</v>
      </c>
      <c r="N822" s="12">
        <f t="shared" si="2658"/>
        <v>53.2</v>
      </c>
      <c r="O822" s="12">
        <f t="shared" si="2659"/>
        <v>66.5</v>
      </c>
      <c r="P822" s="12">
        <f t="shared" si="2660"/>
        <v>33.25</v>
      </c>
      <c r="Q822" s="12">
        <f t="shared" si="2661"/>
        <v>13.3</v>
      </c>
      <c r="R822" s="12">
        <f t="shared" si="2662"/>
        <v>3.15</v>
      </c>
      <c r="S822" s="12">
        <f t="shared" si="2663"/>
        <v>6.65</v>
      </c>
      <c r="T822" s="108">
        <f t="shared" si="2664"/>
        <v>175.9</v>
      </c>
      <c r="U822" s="2">
        <f t="shared" si="2665"/>
        <v>6.3</v>
      </c>
      <c r="V822" s="42">
        <f t="shared" si="15"/>
        <v>31.5</v>
      </c>
      <c r="W822" s="2">
        <f t="shared" si="2666"/>
        <v>6.3</v>
      </c>
      <c r="X822" s="2">
        <f t="shared" si="2667"/>
        <v>50.4</v>
      </c>
      <c r="Y822" s="2">
        <f t="shared" si="2668"/>
        <v>94.5</v>
      </c>
      <c r="Z822" s="108">
        <f t="shared" si="2669"/>
        <v>935.4</v>
      </c>
      <c r="AA822" s="109">
        <f t="shared" si="2670"/>
        <v>187.08</v>
      </c>
      <c r="AB822" s="12">
        <f t="shared" si="2671"/>
        <v>1122.48</v>
      </c>
      <c r="AC822" s="2">
        <f t="shared" si="2672"/>
        <v>630</v>
      </c>
      <c r="AD822" s="12">
        <f t="shared" si="2673"/>
        <v>492.48</v>
      </c>
      <c r="AE822" s="12">
        <f t="shared" si="2674"/>
        <v>43.87427838</v>
      </c>
      <c r="AF822" s="76">
        <v>1150.0</v>
      </c>
      <c r="AG822" s="110">
        <f t="shared" si="2675"/>
        <v>72.93233083</v>
      </c>
      <c r="AH822" s="111">
        <f t="shared" si="2676"/>
        <v>0</v>
      </c>
      <c r="AI822" s="111">
        <f t="shared" si="2677"/>
        <v>1122.48</v>
      </c>
      <c r="AJ822" s="76">
        <v>1150.0</v>
      </c>
      <c r="AK822" s="112">
        <f t="shared" si="2678"/>
        <v>72.93233083</v>
      </c>
      <c r="AL822" s="112"/>
      <c r="AM822" s="112">
        <f t="shared" si="2679"/>
        <v>0</v>
      </c>
      <c r="AN822" s="112">
        <f t="shared" si="2680"/>
        <v>0</v>
      </c>
      <c r="AO822" s="113">
        <f t="shared" si="2681"/>
        <v>1.729323308</v>
      </c>
      <c r="AP822" s="112">
        <f t="shared" si="2682"/>
        <v>0.2752</v>
      </c>
      <c r="AQ822" s="112">
        <f t="shared" si="2683"/>
        <v>5.2</v>
      </c>
      <c r="AR822" s="114">
        <f t="shared" ref="AR822:AS822" si="2741">AI822/94</f>
        <v>11.9412766</v>
      </c>
      <c r="AS822" s="114">
        <f t="shared" si="2741"/>
        <v>12.23404255</v>
      </c>
      <c r="AT822" s="115">
        <f t="shared" ref="AT822:AU822" si="2742">AI822/24</f>
        <v>46.77</v>
      </c>
      <c r="AU822" s="115">
        <f t="shared" si="2742"/>
        <v>47.91666667</v>
      </c>
      <c r="AV822" s="115">
        <f t="shared" ref="AV822:AW822" si="2743">AI822/125</f>
        <v>8.97984</v>
      </c>
      <c r="AW822" s="115">
        <f t="shared" si="2743"/>
        <v>9.2</v>
      </c>
    </row>
    <row r="823" ht="15.75" customHeight="1">
      <c r="A823" s="253" t="s">
        <v>1626</v>
      </c>
      <c r="B823" s="2"/>
      <c r="C823" s="75" t="s">
        <v>1627</v>
      </c>
      <c r="D823" s="102">
        <v>1450.0</v>
      </c>
      <c r="E823" s="76">
        <v>150.0</v>
      </c>
      <c r="F823" s="1">
        <v>85.0</v>
      </c>
      <c r="G823" s="10"/>
      <c r="H823" s="254">
        <v>0.18</v>
      </c>
      <c r="I823" s="2">
        <f t="shared" si="2655"/>
        <v>261</v>
      </c>
      <c r="K823" s="2">
        <v>100.0</v>
      </c>
      <c r="L823" s="107">
        <f t="shared" si="2656"/>
        <v>2046</v>
      </c>
      <c r="N823" s="12"/>
      <c r="O823" s="12"/>
      <c r="P823" s="12"/>
      <c r="Q823" s="12"/>
      <c r="R823" s="12"/>
      <c r="S823" s="12"/>
      <c r="T823" s="107"/>
      <c r="V823" s="42">
        <f t="shared" si="15"/>
        <v>0</v>
      </c>
      <c r="Y823" s="2"/>
      <c r="Z823" s="108">
        <f t="shared" si="2669"/>
        <v>2046</v>
      </c>
      <c r="AA823" s="109"/>
      <c r="AB823" s="12">
        <f t="shared" si="2671"/>
        <v>2046</v>
      </c>
      <c r="AD823" s="12"/>
      <c r="AE823" s="12"/>
      <c r="AF823" s="76">
        <v>2950.0</v>
      </c>
      <c r="AG823" s="110">
        <f t="shared" si="2675"/>
        <v>44.18377322</v>
      </c>
      <c r="AH823" s="111"/>
      <c r="AI823" s="111"/>
      <c r="AJ823" s="116">
        <v>3450.0</v>
      </c>
      <c r="AK823" s="112">
        <f t="shared" si="2678"/>
        <v>68.62170088</v>
      </c>
      <c r="AL823" s="112"/>
      <c r="AM823" s="112"/>
      <c r="AN823" s="112">
        <f t="shared" si="2680"/>
        <v>24.43792766</v>
      </c>
      <c r="AO823" s="112"/>
      <c r="AP823" s="112">
        <f> (AB823-AJ823)/100</f>
        <v>-14.04</v>
      </c>
      <c r="AQ823" s="112">
        <f>(AC823-AJ823)/100</f>
        <v>-34.5</v>
      </c>
      <c r="AR823" s="114"/>
      <c r="AS823" s="114"/>
      <c r="AT823" s="115"/>
      <c r="AU823" s="115"/>
      <c r="AV823" s="115"/>
      <c r="AW823" s="115"/>
    </row>
    <row r="824" ht="15.75" customHeight="1">
      <c r="A824" s="44" t="s">
        <v>1628</v>
      </c>
      <c r="B824" s="97" t="s">
        <v>1629</v>
      </c>
      <c r="C824" s="95" t="s">
        <v>1630</v>
      </c>
      <c r="D824" s="96">
        <v>940.0</v>
      </c>
      <c r="E824" s="97">
        <v>100.0</v>
      </c>
      <c r="F824" s="44">
        <v>100.0</v>
      </c>
      <c r="G824" s="43">
        <v>8.3061E7</v>
      </c>
      <c r="H824" s="59">
        <v>0.05</v>
      </c>
      <c r="I824" s="2">
        <f t="shared" si="2655"/>
        <v>47</v>
      </c>
      <c r="J824" s="47"/>
      <c r="K824" s="97">
        <v>100.0</v>
      </c>
      <c r="L824" s="107">
        <f t="shared" si="2656"/>
        <v>1287</v>
      </c>
      <c r="M824" s="47"/>
      <c r="N824" s="49"/>
      <c r="O824" s="49"/>
      <c r="P824" s="49"/>
      <c r="Q824" s="49"/>
      <c r="R824" s="49"/>
      <c r="S824" s="49"/>
      <c r="T824" s="48"/>
      <c r="U824" s="47"/>
      <c r="V824" s="42">
        <f t="shared" si="15"/>
        <v>0</v>
      </c>
      <c r="W824" s="47"/>
      <c r="X824" s="47"/>
      <c r="Y824" s="42"/>
      <c r="Z824" s="50"/>
      <c r="AA824" s="51"/>
      <c r="AB824" s="47"/>
      <c r="AC824" s="47"/>
      <c r="AD824" s="49"/>
      <c r="AE824" s="49"/>
      <c r="AF824" s="97">
        <v>1950.0</v>
      </c>
      <c r="AG824" s="110">
        <f t="shared" si="2675"/>
        <v>51.51515152</v>
      </c>
      <c r="AH824" s="111"/>
      <c r="AI824" s="111"/>
      <c r="AJ824" s="97">
        <v>1950.0</v>
      </c>
      <c r="AK824" s="112">
        <f t="shared" si="2678"/>
        <v>51.51515152</v>
      </c>
      <c r="AL824" s="55"/>
      <c r="AM824" s="55"/>
      <c r="AN824" s="55"/>
      <c r="AO824" s="55"/>
      <c r="AP824" s="55"/>
      <c r="AQ824" s="55"/>
      <c r="AR824" s="57"/>
      <c r="AS824" s="57"/>
      <c r="AT824" s="58"/>
      <c r="AU824" s="58"/>
      <c r="AV824" s="58"/>
      <c r="AW824" s="58"/>
      <c r="AX824" s="47"/>
      <c r="AY824" s="47"/>
    </row>
    <row r="825" ht="15.75" customHeight="1">
      <c r="A825" s="42"/>
      <c r="B825" s="97" t="s">
        <v>1631</v>
      </c>
      <c r="C825" s="95" t="s">
        <v>1632</v>
      </c>
      <c r="D825" s="96">
        <v>1300.0</v>
      </c>
      <c r="E825" s="97">
        <v>100.0</v>
      </c>
      <c r="F825" s="44">
        <v>100.0</v>
      </c>
      <c r="G825" s="43">
        <v>8.3061E7</v>
      </c>
      <c r="H825" s="59">
        <v>0.05</v>
      </c>
      <c r="I825" s="2">
        <f t="shared" si="2655"/>
        <v>65</v>
      </c>
      <c r="J825" s="47"/>
      <c r="K825" s="97">
        <v>100.0</v>
      </c>
      <c r="L825" s="107">
        <f t="shared" si="2656"/>
        <v>1665</v>
      </c>
      <c r="M825" s="47"/>
      <c r="N825" s="49"/>
      <c r="O825" s="49"/>
      <c r="P825" s="49"/>
      <c r="Q825" s="49"/>
      <c r="R825" s="49"/>
      <c r="S825" s="49"/>
      <c r="T825" s="48"/>
      <c r="U825" s="47"/>
      <c r="V825" s="42">
        <f t="shared" si="15"/>
        <v>0</v>
      </c>
      <c r="W825" s="47"/>
      <c r="X825" s="47"/>
      <c r="Y825" s="42"/>
      <c r="Z825" s="50"/>
      <c r="AA825" s="51"/>
      <c r="AB825" s="47"/>
      <c r="AC825" s="47"/>
      <c r="AD825" s="49"/>
      <c r="AE825" s="49"/>
      <c r="AF825" s="97">
        <v>2650.0</v>
      </c>
      <c r="AG825" s="110">
        <f t="shared" si="2675"/>
        <v>59.15915916</v>
      </c>
      <c r="AH825" s="111"/>
      <c r="AI825" s="111"/>
      <c r="AJ825" s="97">
        <v>2650.0</v>
      </c>
      <c r="AK825" s="112">
        <f t="shared" si="2678"/>
        <v>59.15915916</v>
      </c>
      <c r="AL825" s="55"/>
      <c r="AM825" s="55"/>
      <c r="AN825" s="55"/>
      <c r="AO825" s="55"/>
      <c r="AP825" s="55"/>
      <c r="AQ825" s="55"/>
      <c r="AR825" s="57"/>
      <c r="AS825" s="57"/>
      <c r="AT825" s="58"/>
      <c r="AU825" s="58"/>
      <c r="AV825" s="58"/>
      <c r="AW825" s="58"/>
      <c r="AX825" s="47"/>
      <c r="AY825" s="47"/>
    </row>
    <row r="826" ht="15.75" customHeight="1">
      <c r="A826" s="42"/>
      <c r="B826" s="97" t="s">
        <v>1633</v>
      </c>
      <c r="C826" s="95" t="s">
        <v>1634</v>
      </c>
      <c r="D826" s="96">
        <v>940.0</v>
      </c>
      <c r="E826" s="97">
        <v>100.0</v>
      </c>
      <c r="F826" s="44">
        <v>100.0</v>
      </c>
      <c r="G826" s="43">
        <v>8.3061E7</v>
      </c>
      <c r="H826" s="59">
        <v>0.05</v>
      </c>
      <c r="I826" s="2">
        <f t="shared" si="2655"/>
        <v>47</v>
      </c>
      <c r="J826" s="47"/>
      <c r="K826" s="97">
        <v>100.0</v>
      </c>
      <c r="L826" s="107">
        <f t="shared" si="2656"/>
        <v>1287</v>
      </c>
      <c r="M826" s="47"/>
      <c r="N826" s="49"/>
      <c r="O826" s="49"/>
      <c r="P826" s="49"/>
      <c r="Q826" s="49"/>
      <c r="R826" s="49"/>
      <c r="S826" s="49"/>
      <c r="T826" s="48"/>
      <c r="U826" s="47"/>
      <c r="V826" s="42">
        <f t="shared" si="15"/>
        <v>0</v>
      </c>
      <c r="W826" s="47"/>
      <c r="X826" s="47"/>
      <c r="Y826" s="42"/>
      <c r="Z826" s="48"/>
      <c r="AA826" s="51"/>
      <c r="AB826" s="47"/>
      <c r="AC826" s="47"/>
      <c r="AD826" s="49"/>
      <c r="AE826" s="49"/>
      <c r="AF826" s="97">
        <v>1950.0</v>
      </c>
      <c r="AG826" s="110">
        <f t="shared" si="2675"/>
        <v>51.51515152</v>
      </c>
      <c r="AH826" s="111"/>
      <c r="AI826" s="111"/>
      <c r="AJ826" s="97">
        <v>1950.0</v>
      </c>
      <c r="AK826" s="112">
        <f t="shared" si="2678"/>
        <v>51.51515152</v>
      </c>
      <c r="AL826" s="55"/>
      <c r="AM826" s="55"/>
      <c r="AN826" s="55"/>
      <c r="AO826" s="55"/>
      <c r="AP826" s="55"/>
      <c r="AQ826" s="55"/>
      <c r="AR826" s="57"/>
      <c r="AS826" s="57"/>
      <c r="AT826" s="58"/>
      <c r="AU826" s="58"/>
      <c r="AV826" s="58"/>
      <c r="AW826" s="58"/>
      <c r="AX826" s="47"/>
      <c r="AY826" s="47"/>
    </row>
    <row r="827" ht="15.75" customHeight="1">
      <c r="A827" s="42"/>
      <c r="B827" s="97" t="s">
        <v>1635</v>
      </c>
      <c r="C827" s="95" t="s">
        <v>1636</v>
      </c>
      <c r="D827" s="96">
        <v>1300.0</v>
      </c>
      <c r="E827" s="97">
        <v>100.0</v>
      </c>
      <c r="F827" s="44">
        <v>100.0</v>
      </c>
      <c r="G827" s="43">
        <v>8.3061E7</v>
      </c>
      <c r="H827" s="59">
        <v>0.05</v>
      </c>
      <c r="I827" s="2">
        <f t="shared" si="2655"/>
        <v>65</v>
      </c>
      <c r="J827" s="47"/>
      <c r="K827" s="97">
        <v>100.0</v>
      </c>
      <c r="L827" s="107">
        <f t="shared" si="2656"/>
        <v>1665</v>
      </c>
      <c r="M827" s="47"/>
      <c r="N827" s="49"/>
      <c r="O827" s="49"/>
      <c r="P827" s="49"/>
      <c r="Q827" s="49"/>
      <c r="R827" s="49"/>
      <c r="S827" s="49"/>
      <c r="T827" s="48"/>
      <c r="U827" s="47"/>
      <c r="V827" s="42">
        <f t="shared" si="15"/>
        <v>0</v>
      </c>
      <c r="W827" s="47"/>
      <c r="X827" s="47"/>
      <c r="Y827" s="42"/>
      <c r="Z827" s="48"/>
      <c r="AA827" s="51"/>
      <c r="AB827" s="47"/>
      <c r="AC827" s="47"/>
      <c r="AD827" s="49"/>
      <c r="AE827" s="49"/>
      <c r="AF827" s="97">
        <v>2650.0</v>
      </c>
      <c r="AG827" s="110">
        <f t="shared" si="2675"/>
        <v>59.15915916</v>
      </c>
      <c r="AH827" s="111"/>
      <c r="AI827" s="111"/>
      <c r="AJ827" s="97">
        <v>2650.0</v>
      </c>
      <c r="AK827" s="112">
        <f t="shared" si="2678"/>
        <v>59.15915916</v>
      </c>
      <c r="AL827" s="55"/>
      <c r="AM827" s="55"/>
      <c r="AN827" s="55"/>
      <c r="AO827" s="55"/>
      <c r="AP827" s="55"/>
      <c r="AQ827" s="55"/>
      <c r="AR827" s="57"/>
      <c r="AS827" s="57"/>
      <c r="AT827" s="58"/>
      <c r="AU827" s="58"/>
      <c r="AV827" s="58"/>
      <c r="AW827" s="58"/>
      <c r="AX827" s="47"/>
      <c r="AY827" s="47"/>
    </row>
    <row r="828" ht="15.75" customHeight="1">
      <c r="A828" s="42"/>
      <c r="B828" s="97" t="s">
        <v>1637</v>
      </c>
      <c r="C828" s="95" t="s">
        <v>1638</v>
      </c>
      <c r="D828" s="96">
        <v>940.0</v>
      </c>
      <c r="E828" s="97">
        <v>100.0</v>
      </c>
      <c r="F828" s="44">
        <v>100.0</v>
      </c>
      <c r="G828" s="43">
        <v>8.3061E7</v>
      </c>
      <c r="H828" s="59">
        <v>0.05</v>
      </c>
      <c r="I828" s="2">
        <f t="shared" si="2655"/>
        <v>47</v>
      </c>
      <c r="J828" s="47"/>
      <c r="K828" s="97">
        <v>100.0</v>
      </c>
      <c r="L828" s="107">
        <f t="shared" si="2656"/>
        <v>1287</v>
      </c>
      <c r="M828" s="47"/>
      <c r="N828" s="49"/>
      <c r="O828" s="49"/>
      <c r="P828" s="49"/>
      <c r="Q828" s="49"/>
      <c r="R828" s="49"/>
      <c r="S828" s="49"/>
      <c r="T828" s="48"/>
      <c r="U828" s="47"/>
      <c r="V828" s="42">
        <f t="shared" si="15"/>
        <v>0</v>
      </c>
      <c r="W828" s="47"/>
      <c r="X828" s="47"/>
      <c r="Y828" s="42"/>
      <c r="Z828" s="48"/>
      <c r="AA828" s="51"/>
      <c r="AB828" s="47"/>
      <c r="AC828" s="47"/>
      <c r="AD828" s="49"/>
      <c r="AE828" s="49"/>
      <c r="AF828" s="97">
        <v>1950.0</v>
      </c>
      <c r="AG828" s="110">
        <f t="shared" si="2675"/>
        <v>51.51515152</v>
      </c>
      <c r="AH828" s="111"/>
      <c r="AI828" s="111"/>
      <c r="AJ828" s="97">
        <v>1950.0</v>
      </c>
      <c r="AK828" s="112">
        <f t="shared" si="2678"/>
        <v>51.51515152</v>
      </c>
      <c r="AL828" s="55"/>
      <c r="AM828" s="55"/>
      <c r="AN828" s="55"/>
      <c r="AO828" s="55"/>
      <c r="AP828" s="55"/>
      <c r="AQ828" s="55"/>
      <c r="AR828" s="57"/>
      <c r="AS828" s="57"/>
      <c r="AT828" s="58"/>
      <c r="AU828" s="58"/>
      <c r="AV828" s="58"/>
      <c r="AW828" s="58"/>
      <c r="AX828" s="47"/>
      <c r="AY828" s="47"/>
    </row>
    <row r="829" ht="15.0" customHeight="1">
      <c r="A829" s="47"/>
      <c r="B829" s="97" t="s">
        <v>1639</v>
      </c>
      <c r="C829" s="97" t="s">
        <v>1640</v>
      </c>
      <c r="D829" s="96">
        <v>1300.0</v>
      </c>
      <c r="E829" s="97">
        <v>100.0</v>
      </c>
      <c r="F829" s="44">
        <v>100.0</v>
      </c>
      <c r="G829" s="43">
        <v>8.3061E7</v>
      </c>
      <c r="H829" s="59">
        <v>0.05</v>
      </c>
      <c r="I829" s="2">
        <f t="shared" si="2655"/>
        <v>65</v>
      </c>
      <c r="J829" s="47"/>
      <c r="K829" s="97">
        <v>100.0</v>
      </c>
      <c r="L829" s="107">
        <f t="shared" si="2656"/>
        <v>1665</v>
      </c>
      <c r="M829" s="47"/>
      <c r="N829" s="47"/>
      <c r="O829" s="47"/>
      <c r="P829" s="47"/>
      <c r="Q829" s="47"/>
      <c r="R829" s="47"/>
      <c r="S829" s="47"/>
      <c r="T829" s="47"/>
      <c r="U829" s="47"/>
      <c r="V829" s="42">
        <f t="shared" si="15"/>
        <v>0</v>
      </c>
      <c r="W829" s="47"/>
      <c r="X829" s="47"/>
      <c r="Y829" s="47"/>
      <c r="Z829" s="47"/>
      <c r="AA829" s="47"/>
      <c r="AB829" s="47"/>
      <c r="AC829" s="47"/>
      <c r="AD829" s="47"/>
      <c r="AE829" s="47"/>
      <c r="AF829" s="97">
        <v>2650.0</v>
      </c>
      <c r="AG829" s="110">
        <f t="shared" si="2675"/>
        <v>59.15915916</v>
      </c>
      <c r="AH829" s="111"/>
      <c r="AI829" s="111"/>
      <c r="AJ829" s="97">
        <v>2650.0</v>
      </c>
      <c r="AK829" s="112">
        <f t="shared" si="2678"/>
        <v>59.15915916</v>
      </c>
      <c r="AL829" s="55"/>
      <c r="AM829" s="255"/>
      <c r="AN829" s="55"/>
      <c r="AO829" s="255"/>
      <c r="AP829" s="255"/>
      <c r="AQ829" s="255"/>
      <c r="AR829" s="132"/>
      <c r="AS829" s="132"/>
      <c r="AT829" s="133"/>
      <c r="AU829" s="133"/>
      <c r="AV829" s="256"/>
      <c r="AW829" s="256"/>
      <c r="AX829" s="47"/>
      <c r="AY829" s="47"/>
    </row>
    <row r="830" ht="15.0" customHeight="1">
      <c r="A830" s="47"/>
      <c r="B830" s="97" t="s">
        <v>1641</v>
      </c>
      <c r="C830" s="95" t="s">
        <v>1642</v>
      </c>
      <c r="D830" s="96">
        <v>940.0</v>
      </c>
      <c r="E830" s="97">
        <v>100.0</v>
      </c>
      <c r="F830" s="44">
        <v>100.0</v>
      </c>
      <c r="G830" s="43">
        <v>8.3061E7</v>
      </c>
      <c r="H830" s="59">
        <v>0.05</v>
      </c>
      <c r="I830" s="2">
        <f t="shared" si="2655"/>
        <v>47</v>
      </c>
      <c r="J830" s="47"/>
      <c r="K830" s="97">
        <v>100.0</v>
      </c>
      <c r="L830" s="107">
        <f t="shared" si="2656"/>
        <v>1287</v>
      </c>
      <c r="M830" s="47"/>
      <c r="N830" s="47"/>
      <c r="O830" s="47"/>
      <c r="P830" s="47"/>
      <c r="Q830" s="47"/>
      <c r="R830" s="47"/>
      <c r="S830" s="47"/>
      <c r="T830" s="47"/>
      <c r="U830" s="47"/>
      <c r="V830" s="42">
        <f t="shared" si="15"/>
        <v>0</v>
      </c>
      <c r="W830" s="47"/>
      <c r="X830" s="47"/>
      <c r="Y830" s="47"/>
      <c r="Z830" s="47"/>
      <c r="AA830" s="47"/>
      <c r="AB830" s="47"/>
      <c r="AC830" s="47"/>
      <c r="AD830" s="47"/>
      <c r="AE830" s="47"/>
      <c r="AF830" s="97">
        <v>1950.0</v>
      </c>
      <c r="AG830" s="110">
        <f t="shared" si="2675"/>
        <v>51.51515152</v>
      </c>
      <c r="AH830" s="111"/>
      <c r="AI830" s="111"/>
      <c r="AJ830" s="97">
        <v>1950.0</v>
      </c>
      <c r="AK830" s="112">
        <f t="shared" si="2678"/>
        <v>51.51515152</v>
      </c>
      <c r="AL830" s="55"/>
      <c r="AM830" s="255"/>
      <c r="AN830" s="55"/>
      <c r="AO830" s="255"/>
      <c r="AP830" s="255"/>
      <c r="AQ830" s="255"/>
      <c r="AR830" s="132"/>
      <c r="AS830" s="132"/>
      <c r="AT830" s="133"/>
      <c r="AU830" s="133"/>
      <c r="AV830" s="256"/>
      <c r="AW830" s="256"/>
      <c r="AX830" s="47"/>
      <c r="AY830" s="47"/>
    </row>
    <row r="831" ht="15.0" customHeight="1">
      <c r="A831" s="47"/>
      <c r="B831" s="97" t="s">
        <v>1643</v>
      </c>
      <c r="C831" s="95" t="s">
        <v>1644</v>
      </c>
      <c r="D831" s="96">
        <v>1300.0</v>
      </c>
      <c r="E831" s="97">
        <v>100.0</v>
      </c>
      <c r="F831" s="44">
        <v>100.0</v>
      </c>
      <c r="G831" s="43">
        <v>8.3061E7</v>
      </c>
      <c r="H831" s="59">
        <v>0.05</v>
      </c>
      <c r="I831" s="2">
        <f t="shared" si="2655"/>
        <v>65</v>
      </c>
      <c r="J831" s="47"/>
      <c r="K831" s="97">
        <v>100.0</v>
      </c>
      <c r="L831" s="107">
        <f t="shared" si="2656"/>
        <v>1665</v>
      </c>
      <c r="M831" s="47"/>
      <c r="N831" s="47"/>
      <c r="O831" s="47"/>
      <c r="P831" s="47"/>
      <c r="Q831" s="47"/>
      <c r="R831" s="47"/>
      <c r="S831" s="47"/>
      <c r="T831" s="47"/>
      <c r="U831" s="47"/>
      <c r="V831" s="42">
        <f t="shared" si="15"/>
        <v>0</v>
      </c>
      <c r="W831" s="47"/>
      <c r="X831" s="47"/>
      <c r="Y831" s="47"/>
      <c r="Z831" s="47"/>
      <c r="AA831" s="47"/>
      <c r="AB831" s="47"/>
      <c r="AC831" s="47"/>
      <c r="AD831" s="47"/>
      <c r="AE831" s="47"/>
      <c r="AF831" s="97">
        <v>2650.0</v>
      </c>
      <c r="AG831" s="110">
        <f t="shared" si="2675"/>
        <v>59.15915916</v>
      </c>
      <c r="AH831" s="111"/>
      <c r="AI831" s="111"/>
      <c r="AJ831" s="97">
        <v>2650.0</v>
      </c>
      <c r="AK831" s="112">
        <f t="shared" si="2678"/>
        <v>59.15915916</v>
      </c>
      <c r="AL831" s="55"/>
      <c r="AM831" s="255"/>
      <c r="AN831" s="55"/>
      <c r="AO831" s="255"/>
      <c r="AP831" s="255"/>
      <c r="AQ831" s="255"/>
      <c r="AR831" s="132"/>
      <c r="AS831" s="132"/>
      <c r="AT831" s="133"/>
      <c r="AU831" s="133"/>
      <c r="AV831" s="256"/>
      <c r="AW831" s="256"/>
      <c r="AX831" s="47"/>
      <c r="AY831" s="47"/>
    </row>
    <row r="832" ht="15.0" customHeight="1">
      <c r="A832" s="47"/>
      <c r="B832" s="97" t="s">
        <v>1645</v>
      </c>
      <c r="C832" s="95" t="s">
        <v>1646</v>
      </c>
      <c r="D832" s="96">
        <v>940.0</v>
      </c>
      <c r="E832" s="97">
        <v>100.0</v>
      </c>
      <c r="F832" s="44">
        <v>100.0</v>
      </c>
      <c r="G832" s="43">
        <v>8.3061E7</v>
      </c>
      <c r="H832" s="59">
        <v>0.05</v>
      </c>
      <c r="I832" s="2">
        <f t="shared" si="2655"/>
        <v>47</v>
      </c>
      <c r="J832" s="47"/>
      <c r="K832" s="97">
        <v>100.0</v>
      </c>
      <c r="L832" s="107">
        <f t="shared" si="2656"/>
        <v>1287</v>
      </c>
      <c r="M832" s="47"/>
      <c r="N832" s="47"/>
      <c r="O832" s="47"/>
      <c r="P832" s="47"/>
      <c r="Q832" s="47"/>
      <c r="R832" s="47"/>
      <c r="S832" s="47"/>
      <c r="T832" s="47"/>
      <c r="U832" s="47"/>
      <c r="V832" s="42">
        <f t="shared" si="15"/>
        <v>0</v>
      </c>
      <c r="W832" s="47"/>
      <c r="X832" s="47"/>
      <c r="Y832" s="47"/>
      <c r="Z832" s="47"/>
      <c r="AA832" s="47"/>
      <c r="AB832" s="47"/>
      <c r="AC832" s="47"/>
      <c r="AD832" s="47"/>
      <c r="AE832" s="47"/>
      <c r="AF832" s="97">
        <v>1950.0</v>
      </c>
      <c r="AG832" s="110">
        <f t="shared" si="2675"/>
        <v>51.51515152</v>
      </c>
      <c r="AH832" s="111"/>
      <c r="AI832" s="111"/>
      <c r="AJ832" s="97">
        <v>1950.0</v>
      </c>
      <c r="AK832" s="112">
        <f t="shared" si="2678"/>
        <v>51.51515152</v>
      </c>
      <c r="AL832" s="255"/>
      <c r="AM832" s="255"/>
      <c r="AN832" s="55"/>
      <c r="AO832" s="255"/>
      <c r="AP832" s="255"/>
      <c r="AQ832" s="255"/>
      <c r="AR832" s="132"/>
      <c r="AS832" s="132"/>
      <c r="AT832" s="133"/>
      <c r="AU832" s="133"/>
      <c r="AV832" s="256"/>
      <c r="AW832" s="256"/>
      <c r="AX832" s="47"/>
      <c r="AY832" s="47"/>
    </row>
    <row r="833" ht="15.0" customHeight="1">
      <c r="A833" s="47"/>
      <c r="B833" s="97" t="s">
        <v>1647</v>
      </c>
      <c r="C833" s="95" t="s">
        <v>1648</v>
      </c>
      <c r="D833" s="96">
        <v>1300.0</v>
      </c>
      <c r="E833" s="97">
        <v>100.0</v>
      </c>
      <c r="F833" s="44">
        <v>100.0</v>
      </c>
      <c r="G833" s="43">
        <v>8.3061E7</v>
      </c>
      <c r="H833" s="59">
        <v>0.05</v>
      </c>
      <c r="I833" s="2">
        <f t="shared" si="2655"/>
        <v>65</v>
      </c>
      <c r="J833" s="47"/>
      <c r="K833" s="97">
        <v>100.0</v>
      </c>
      <c r="L833" s="107">
        <f t="shared" si="2656"/>
        <v>1665</v>
      </c>
      <c r="M833" s="47"/>
      <c r="N833" s="47"/>
      <c r="O833" s="47"/>
      <c r="P833" s="47"/>
      <c r="Q833" s="47"/>
      <c r="R833" s="47"/>
      <c r="S833" s="47"/>
      <c r="T833" s="47"/>
      <c r="U833" s="47"/>
      <c r="V833" s="42">
        <f t="shared" si="15"/>
        <v>0</v>
      </c>
      <c r="W833" s="47"/>
      <c r="X833" s="47"/>
      <c r="Y833" s="47"/>
      <c r="Z833" s="47"/>
      <c r="AA833" s="47"/>
      <c r="AB833" s="47"/>
      <c r="AC833" s="47"/>
      <c r="AD833" s="47"/>
      <c r="AE833" s="47"/>
      <c r="AF833" s="97">
        <v>2650.0</v>
      </c>
      <c r="AG833" s="110">
        <f t="shared" si="2675"/>
        <v>59.15915916</v>
      </c>
      <c r="AH833" s="111"/>
      <c r="AI833" s="111"/>
      <c r="AJ833" s="97">
        <v>2650.0</v>
      </c>
      <c r="AK833" s="112">
        <f t="shared" si="2678"/>
        <v>59.15915916</v>
      </c>
      <c r="AL833" s="255"/>
      <c r="AM833" s="255"/>
      <c r="AN833" s="55"/>
      <c r="AO833" s="255"/>
      <c r="AP833" s="255"/>
      <c r="AQ833" s="255"/>
      <c r="AR833" s="132"/>
      <c r="AS833" s="132"/>
      <c r="AT833" s="133"/>
      <c r="AU833" s="133"/>
      <c r="AV833" s="256"/>
      <c r="AW833" s="256"/>
      <c r="AX833" s="47"/>
      <c r="AY833" s="47"/>
    </row>
    <row r="834" ht="15.0" customHeight="1">
      <c r="A834" s="97" t="s">
        <v>1649</v>
      </c>
      <c r="B834" s="97" t="s">
        <v>1650</v>
      </c>
      <c r="C834" s="95" t="s">
        <v>1651</v>
      </c>
      <c r="D834" s="96">
        <v>1650.0</v>
      </c>
      <c r="E834" s="97">
        <v>100.0</v>
      </c>
      <c r="F834" s="44">
        <v>100.0</v>
      </c>
      <c r="G834" s="43">
        <v>8.3061E7</v>
      </c>
      <c r="H834" s="59">
        <v>0.05</v>
      </c>
      <c r="I834" s="2">
        <f t="shared" si="2655"/>
        <v>82.5</v>
      </c>
      <c r="J834" s="47"/>
      <c r="K834" s="97">
        <v>300.0</v>
      </c>
      <c r="L834" s="107">
        <f t="shared" si="2656"/>
        <v>2232.5</v>
      </c>
      <c r="M834" s="47"/>
      <c r="N834" s="47"/>
      <c r="O834" s="47"/>
      <c r="P834" s="47"/>
      <c r="Q834" s="47"/>
      <c r="R834" s="47"/>
      <c r="S834" s="47"/>
      <c r="T834" s="47"/>
      <c r="U834" s="47"/>
      <c r="V834" s="42">
        <f t="shared" si="15"/>
        <v>0</v>
      </c>
      <c r="W834" s="47"/>
      <c r="X834" s="47"/>
      <c r="Y834" s="47"/>
      <c r="Z834" s="47"/>
      <c r="AA834" s="47"/>
      <c r="AB834" s="47"/>
      <c r="AC834" s="47"/>
      <c r="AD834" s="47"/>
      <c r="AE834" s="47"/>
      <c r="AF834" s="97">
        <v>6600.0</v>
      </c>
      <c r="AG834" s="110">
        <f t="shared" si="2675"/>
        <v>195.6326988</v>
      </c>
      <c r="AH834" s="111"/>
      <c r="AI834" s="111"/>
      <c r="AJ834" s="97">
        <v>5600.0</v>
      </c>
      <c r="AK834" s="112">
        <f t="shared" si="2678"/>
        <v>150.8398656</v>
      </c>
      <c r="AL834" s="255"/>
      <c r="AM834" s="255"/>
      <c r="AN834" s="55"/>
      <c r="AO834" s="255"/>
      <c r="AP834" s="255"/>
      <c r="AQ834" s="255"/>
      <c r="AR834" s="132"/>
      <c r="AS834" s="132"/>
      <c r="AT834" s="133"/>
      <c r="AU834" s="133"/>
      <c r="AV834" s="256"/>
      <c r="AW834" s="256"/>
      <c r="AX834" s="47"/>
      <c r="AY834" s="47"/>
    </row>
    <row r="835" ht="15.0" customHeight="1">
      <c r="A835" s="47"/>
      <c r="B835" s="97" t="s">
        <v>1652</v>
      </c>
      <c r="C835" s="95" t="s">
        <v>1653</v>
      </c>
      <c r="D835" s="96">
        <v>1450.0</v>
      </c>
      <c r="E835" s="97">
        <v>300.0</v>
      </c>
      <c r="F835" s="97">
        <v>200.0</v>
      </c>
      <c r="G835" s="43">
        <v>8.3061E7</v>
      </c>
      <c r="H835" s="59">
        <v>0.05</v>
      </c>
      <c r="I835" s="2">
        <f t="shared" si="2655"/>
        <v>72.5</v>
      </c>
      <c r="J835" s="47"/>
      <c r="K835" s="97">
        <v>300.0</v>
      </c>
      <c r="L835" s="107">
        <f t="shared" si="2656"/>
        <v>2322.5</v>
      </c>
      <c r="M835" s="47"/>
      <c r="N835" s="47"/>
      <c r="O835" s="47"/>
      <c r="P835" s="47"/>
      <c r="Q835" s="47"/>
      <c r="R835" s="47"/>
      <c r="S835" s="47"/>
      <c r="T835" s="47"/>
      <c r="U835" s="47"/>
      <c r="V835" s="42">
        <f t="shared" si="15"/>
        <v>0</v>
      </c>
      <c r="W835" s="47"/>
      <c r="X835" s="47"/>
      <c r="Y835" s="47"/>
      <c r="Z835" s="47"/>
      <c r="AA835" s="47"/>
      <c r="AB835" s="47"/>
      <c r="AC835" s="47"/>
      <c r="AD835" s="47"/>
      <c r="AE835" s="47"/>
      <c r="AF835" s="97">
        <v>5800.0</v>
      </c>
      <c r="AG835" s="110">
        <f t="shared" si="2675"/>
        <v>149.7308934</v>
      </c>
      <c r="AH835" s="111"/>
      <c r="AI835" s="111"/>
      <c r="AJ835" s="97">
        <v>4800.0</v>
      </c>
      <c r="AK835" s="112">
        <f t="shared" si="2678"/>
        <v>106.6738428</v>
      </c>
      <c r="AL835" s="255"/>
      <c r="AM835" s="255"/>
      <c r="AN835" s="55"/>
      <c r="AO835" s="255"/>
      <c r="AP835" s="255"/>
      <c r="AQ835" s="255"/>
      <c r="AR835" s="132"/>
      <c r="AS835" s="132"/>
      <c r="AT835" s="133"/>
      <c r="AU835" s="133"/>
      <c r="AV835" s="256"/>
      <c r="AW835" s="256"/>
      <c r="AX835" s="47"/>
      <c r="AY835" s="47"/>
    </row>
    <row r="836" ht="15.0" customHeight="1">
      <c r="A836" s="47"/>
      <c r="B836" s="47"/>
      <c r="C836" s="47"/>
      <c r="D836" s="98"/>
      <c r="E836" s="47"/>
      <c r="F836" s="47"/>
      <c r="G836" s="47"/>
      <c r="H836" s="47"/>
      <c r="I836" s="47"/>
      <c r="J836" s="47"/>
      <c r="K836" s="47"/>
      <c r="L836" s="48"/>
      <c r="M836" s="47"/>
      <c r="N836" s="47"/>
      <c r="O836" s="47"/>
      <c r="P836" s="47"/>
      <c r="Q836" s="47"/>
      <c r="R836" s="47"/>
      <c r="S836" s="47"/>
      <c r="T836" s="47"/>
      <c r="U836" s="47"/>
      <c r="V836" s="42">
        <f t="shared" si="15"/>
        <v>0</v>
      </c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52"/>
      <c r="AH836" s="256"/>
      <c r="AI836" s="256"/>
      <c r="AJ836" s="256"/>
      <c r="AK836" s="255"/>
      <c r="AL836" s="255"/>
      <c r="AM836" s="255"/>
      <c r="AN836" s="55"/>
      <c r="AO836" s="255"/>
      <c r="AP836" s="255"/>
      <c r="AQ836" s="255"/>
      <c r="AR836" s="132"/>
      <c r="AS836" s="132"/>
      <c r="AT836" s="133"/>
      <c r="AU836" s="133"/>
      <c r="AV836" s="256"/>
      <c r="AW836" s="256"/>
      <c r="AX836" s="47"/>
      <c r="AY836" s="47"/>
    </row>
    <row r="837" ht="15.0" customHeight="1">
      <c r="A837" s="47"/>
      <c r="B837" s="47"/>
      <c r="C837" s="47"/>
      <c r="D837" s="98"/>
      <c r="E837" s="47"/>
      <c r="F837" s="47"/>
      <c r="G837" s="47"/>
      <c r="H837" s="47"/>
      <c r="I837" s="47"/>
      <c r="J837" s="47"/>
      <c r="K837" s="47"/>
      <c r="L837" s="48"/>
      <c r="M837" s="47"/>
      <c r="N837" s="47"/>
      <c r="O837" s="47"/>
      <c r="P837" s="47"/>
      <c r="Q837" s="47"/>
      <c r="R837" s="47"/>
      <c r="S837" s="47"/>
      <c r="T837" s="47"/>
      <c r="U837" s="47"/>
      <c r="V837" s="42">
        <f t="shared" si="15"/>
        <v>0</v>
      </c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52"/>
      <c r="AH837" s="256"/>
      <c r="AI837" s="256"/>
      <c r="AJ837" s="256"/>
      <c r="AK837" s="255"/>
      <c r="AL837" s="255"/>
      <c r="AM837" s="255"/>
      <c r="AN837" s="55"/>
      <c r="AO837" s="255"/>
      <c r="AP837" s="255"/>
      <c r="AQ837" s="255"/>
      <c r="AR837" s="132"/>
      <c r="AS837" s="132"/>
      <c r="AT837" s="133"/>
      <c r="AU837" s="133"/>
      <c r="AV837" s="256"/>
      <c r="AW837" s="256"/>
      <c r="AX837" s="47"/>
      <c r="AY837" s="47"/>
    </row>
    <row r="838" ht="15.0" customHeight="1">
      <c r="A838" s="47"/>
      <c r="B838" s="47"/>
      <c r="C838" s="47"/>
      <c r="D838" s="98"/>
      <c r="E838" s="47"/>
      <c r="F838" s="47"/>
      <c r="G838" s="47"/>
      <c r="H838" s="47"/>
      <c r="I838" s="47"/>
      <c r="J838" s="47"/>
      <c r="K838" s="47"/>
      <c r="L838" s="48"/>
      <c r="M838" s="47"/>
      <c r="N838" s="47"/>
      <c r="O838" s="47"/>
      <c r="P838" s="47"/>
      <c r="Q838" s="47"/>
      <c r="R838" s="47"/>
      <c r="S838" s="47"/>
      <c r="T838" s="47"/>
      <c r="U838" s="47"/>
      <c r="V838" s="42">
        <f t="shared" si="15"/>
        <v>0</v>
      </c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120"/>
      <c r="AH838" s="256"/>
      <c r="AI838" s="256"/>
      <c r="AJ838" s="256"/>
      <c r="AK838" s="255"/>
      <c r="AL838" s="255"/>
      <c r="AM838" s="255"/>
      <c r="AN838" s="55"/>
      <c r="AO838" s="255"/>
      <c r="AP838" s="255"/>
      <c r="AQ838" s="255"/>
      <c r="AR838" s="132"/>
      <c r="AS838" s="132"/>
      <c r="AT838" s="133"/>
      <c r="AU838" s="133"/>
      <c r="AV838" s="256"/>
      <c r="AW838" s="256"/>
      <c r="AX838" s="47"/>
      <c r="AY838" s="47"/>
    </row>
  </sheetData>
  <mergeCells count="8">
    <mergeCell ref="D1:K1"/>
    <mergeCell ref="M1:S1"/>
    <mergeCell ref="U1:X1"/>
    <mergeCell ref="AI1:AW1"/>
    <mergeCell ref="AI2:AJ2"/>
    <mergeCell ref="AR2:AS2"/>
    <mergeCell ref="AT2:AU2"/>
    <mergeCell ref="AV2:AW2"/>
  </mergeCells>
  <conditionalFormatting sqref="H2:H835 G17:G19 G230">
    <cfRule type="notContainsBlanks" dxfId="0" priority="1">
      <formula>LEN(TRIM(H2))&gt;0</formula>
    </cfRule>
  </conditionalFormatting>
  <hyperlinks>
    <hyperlink r:id="rId2" ref="G219"/>
    <hyperlink r:id="rId3" ref="G220"/>
    <hyperlink r:id="rId4" ref="G221"/>
    <hyperlink r:id="rId5" ref="G222"/>
  </hyperlinks>
  <printOptions/>
  <pageMargins bottom="1.0" footer="0.0" header="0.0" left="0.75" right="0.75" top="1.0"/>
  <pageSetup paperSize="9" orientation="portrait"/>
  <drawing r:id="rId6"/>
  <legacy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2026-06-23T09:23:01Z</dcterms:created>
  <dc:creator>openpyxl</dc:creator>
</cp:coreProperties>
</file>