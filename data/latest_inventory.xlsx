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atalog" sheetId="1" r:id="rId4"/>
  </sheets>
  <definedNames/>
  <calcPr/>
  <extLst>
    <ext uri="GoogleSheetsCustomDataVersion2">
      <go:sheetsCustomData xmlns:go="http://customooxmlschemas.google.com/" r:id="rId5" roundtripDataChecksum="2qyK2/Vkreu907TZjlYkE1GLVzk70gtCF7B24e7gmvk="/>
    </ext>
  </extLst>
</workbook>
</file>

<file path=xl/sharedStrings.xml><?xml version="1.0" encoding="utf-8"?>
<sst xmlns="http://schemas.openxmlformats.org/spreadsheetml/2006/main" count="1834" uniqueCount="1624">
  <si>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</si>
  <si>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Sarveda Website Sales Price without GST </t>
  </si>
  <si>
    <t>USD</t>
  </si>
  <si>
    <t>Dinnar</t>
  </si>
  <si>
    <t>GBP</t>
  </si>
  <si>
    <t>Name</t>
  </si>
  <si>
    <t>Variant Name</t>
  </si>
  <si>
    <t>SKU</t>
  </si>
  <si>
    <t xml:space="preserve">Qty as on 09 Aug </t>
  </si>
  <si>
    <t xml:space="preserve">MRP </t>
  </si>
  <si>
    <t>proposed sale</t>
  </si>
  <si>
    <t>Sale</t>
  </si>
  <si>
    <t>Conscious Cards</t>
  </si>
  <si>
    <t>ME-CC</t>
  </si>
  <si>
    <t>Jala Neti Pot - Ceramic 185 ml</t>
  </si>
  <si>
    <t>Red</t>
  </si>
  <si>
    <t>YO-NP-R-185</t>
  </si>
  <si>
    <t>Blue</t>
  </si>
  <si>
    <t>YO-NP-B-185</t>
  </si>
  <si>
    <t>Lemon Yellow</t>
  </si>
  <si>
    <t>YO-NP-LY-185</t>
  </si>
  <si>
    <t>Mint Green</t>
  </si>
  <si>
    <t>YO-NP-MG-185</t>
  </si>
  <si>
    <t>White</t>
  </si>
  <si>
    <t>YO-NP-W-185</t>
  </si>
  <si>
    <t>Tounge Cleaner</t>
  </si>
  <si>
    <t>Straight / pack-of-1</t>
  </si>
  <si>
    <t>TC-S-1</t>
  </si>
  <si>
    <t>Straight / pack-of-2</t>
  </si>
  <si>
    <t>TC-S-2</t>
  </si>
  <si>
    <t>Straight / pack-of-4</t>
  </si>
  <si>
    <t>TC-S-4</t>
  </si>
  <si>
    <t>Stainless Steel Straws</t>
  </si>
  <si>
    <t>pack-of-2</t>
  </si>
  <si>
    <t>SSS-2</t>
  </si>
  <si>
    <t>pack-of-4</t>
  </si>
  <si>
    <t>SSS-4</t>
  </si>
  <si>
    <t>7 Chakras - Plain Copper Bottles</t>
  </si>
  <si>
    <t>Plain / 500ml/ With Brush</t>
  </si>
  <si>
    <t>CB-7C-B-.5</t>
  </si>
  <si>
    <t>Plain / 500ml/ Without Brush</t>
  </si>
  <si>
    <t>CB-7C-.5</t>
  </si>
  <si>
    <t>Plain / 1L / With Brush</t>
  </si>
  <si>
    <t>CB-7C-B</t>
  </si>
  <si>
    <t>Plain / 1L/ Without Brush</t>
  </si>
  <si>
    <t>CB-7C</t>
  </si>
  <si>
    <t>7 Chakras - Vintage Copper Bottles</t>
  </si>
  <si>
    <t xml:space="preserve">Vintage / 500ml/ With Brush </t>
  </si>
  <si>
    <t>CB-7C-V-B-.5</t>
  </si>
  <si>
    <t>Vintage/ 500ml/ Without Brush</t>
  </si>
  <si>
    <t>CB-7C-V-.5</t>
  </si>
  <si>
    <t>Vintage / 1L/ With Brush</t>
  </si>
  <si>
    <t>CB-7C-V-B</t>
  </si>
  <si>
    <t>Vintage/  1L/ Without Brush</t>
  </si>
  <si>
    <t>CB-7C-V</t>
  </si>
  <si>
    <t>7 Chakras - Copper Bottles with Handle</t>
  </si>
  <si>
    <t>CB-7C-H-B</t>
  </si>
  <si>
    <t>CB-7C-H</t>
  </si>
  <si>
    <t xml:space="preserve">Vintage / 1L/ Without Brush </t>
  </si>
  <si>
    <t>CB-7C-V-H</t>
  </si>
  <si>
    <t>Vintage / 1L / With Brush</t>
  </si>
  <si>
    <t>CB-7C-V-H-B</t>
  </si>
  <si>
    <t>Curved Copper Bottles</t>
  </si>
  <si>
    <t>gold / With Brush</t>
  </si>
  <si>
    <t>CB-C-B</t>
  </si>
  <si>
    <t>gold / Without Brush</t>
  </si>
  <si>
    <t>CB-C</t>
  </si>
  <si>
    <t>vintage / With Brush</t>
  </si>
  <si>
    <t>CB-C-V-B</t>
  </si>
  <si>
    <t>vintage / Without Brush</t>
  </si>
  <si>
    <t>CB-C-V</t>
  </si>
  <si>
    <t>Curved Diamond Groove Copper Bottle</t>
  </si>
  <si>
    <t>copper / 1L / without-brush</t>
  </si>
  <si>
    <t>CB-CDG</t>
  </si>
  <si>
    <t>vintage / 1L / without-brush</t>
  </si>
  <si>
    <t>CB-CDG-V</t>
  </si>
  <si>
    <t>Curved Hammered Copper Bottles</t>
  </si>
  <si>
    <t>with-brush / vintage</t>
  </si>
  <si>
    <t>CB-CVH-B</t>
  </si>
  <si>
    <t>vintage / without-brush</t>
  </si>
  <si>
    <t>CB-CVH</t>
  </si>
  <si>
    <t>Hammered Copper Bottle</t>
  </si>
  <si>
    <t>copper / without-brush</t>
  </si>
  <si>
    <t>CB-HM</t>
  </si>
  <si>
    <t>copper / with-brush</t>
  </si>
  <si>
    <t>CB-HM-B</t>
  </si>
  <si>
    <t>Sunshine within Me (Artistic Design)</t>
  </si>
  <si>
    <t>with-brush / 1L</t>
  </si>
  <si>
    <t>CB-AD-SS-B</t>
  </si>
  <si>
    <t>without-brush / 1L</t>
  </si>
  <si>
    <t>CB-AD-SS</t>
  </si>
  <si>
    <t>without-brush / 500ml</t>
  </si>
  <si>
    <t>CB-AD-SS-.5</t>
  </si>
  <si>
    <t>with-brush / 500ml</t>
  </si>
  <si>
    <t>CB-AD-SS-.5-B</t>
  </si>
  <si>
    <t>Tattvamasi-I am Infinite</t>
  </si>
  <si>
    <t>CB-AD-TM-B</t>
  </si>
  <si>
    <t>CB-AD-TM</t>
  </si>
  <si>
    <t>CB-AD-TM-.5</t>
  </si>
  <si>
    <t>CB-AD-TM-B-.5</t>
  </si>
  <si>
    <t>Pink &amp; Positive</t>
  </si>
  <si>
    <t>CB-AD-PP</t>
  </si>
  <si>
    <t>CB-AD-PP-B</t>
  </si>
  <si>
    <t>CB-AD-PP-.5</t>
  </si>
  <si>
    <t>CB-AD-PP-.5-B</t>
  </si>
  <si>
    <t>Happiness is Inside</t>
  </si>
  <si>
    <t>CB-AD-HI-B</t>
  </si>
  <si>
    <t>CB-AD-HI</t>
  </si>
  <si>
    <t>CB-AD-HI-.5</t>
  </si>
  <si>
    <t>CB-AD-HI-.5-B</t>
  </si>
  <si>
    <t>Blue Tranquillity/Meditation</t>
  </si>
  <si>
    <t xml:space="preserve">Without Brush / 1L </t>
  </si>
  <si>
    <t>CB-AD-BM</t>
  </si>
  <si>
    <t>1L / With Brush /</t>
  </si>
  <si>
    <t>CB-AD-BM-B</t>
  </si>
  <si>
    <t>Without Brush /500ml</t>
  </si>
  <si>
    <t>CB-AD-BM-.5</t>
  </si>
  <si>
    <t>With Brush / 500ml</t>
  </si>
  <si>
    <t>CB-AD-BM-.5-B</t>
  </si>
  <si>
    <t>Ayurvedic Copper Bedroom Jar</t>
  </si>
  <si>
    <t>Standard</t>
  </si>
  <si>
    <t>CB-BJ</t>
  </si>
  <si>
    <t>Copper Bottle Gift Set - 7 Chakra</t>
  </si>
  <si>
    <t>Gold</t>
  </si>
  <si>
    <t>CB-7C-C-2G-SET</t>
  </si>
  <si>
    <t>Vintage</t>
  </si>
  <si>
    <t>CB-7C-V-2G-SET</t>
  </si>
  <si>
    <t>7 Chakras Mystical Incense Sticks Set</t>
  </si>
  <si>
    <t>7 Chakra Set</t>
  </si>
  <si>
    <t>IS-7C-SET</t>
  </si>
  <si>
    <t>7 Chakra Set with Stand</t>
  </si>
  <si>
    <t>IS-7C-SET-S</t>
  </si>
  <si>
    <t>Pure Citronella</t>
  </si>
  <si>
    <t>IS-CT</t>
  </si>
  <si>
    <t>Pure Eucalyptus</t>
  </si>
  <si>
    <t>IS-EU</t>
  </si>
  <si>
    <t>Pure Frankincense</t>
  </si>
  <si>
    <t>IS-FI</t>
  </si>
  <si>
    <t>Pure Lavender</t>
  </si>
  <si>
    <t>IS-LV</t>
  </si>
  <si>
    <t>Pure Musk</t>
  </si>
  <si>
    <t>IS-MU</t>
  </si>
  <si>
    <t>Pure Rose</t>
  </si>
  <si>
    <t>IS-R</t>
  </si>
  <si>
    <t>Pure Sandalwood</t>
  </si>
  <si>
    <t>IS-SW</t>
  </si>
  <si>
    <t>7 Chakras Yoga Mats</t>
  </si>
  <si>
    <t>Moderate / Green</t>
  </si>
  <si>
    <t>YO-M-CT-7C-M-G</t>
  </si>
  <si>
    <t>Moderate / Orange</t>
  </si>
  <si>
    <t>YO-M-CT-7C-M-O</t>
  </si>
  <si>
    <t>Moderate / Blue</t>
  </si>
  <si>
    <t>YO-M-CT-7C-M-B</t>
  </si>
  <si>
    <t>Moderate / Pink</t>
  </si>
  <si>
    <t>YO-M-CT-7C-M-P</t>
  </si>
  <si>
    <t>Teal/ Superior</t>
  </si>
  <si>
    <t>YO-M-CT-7C-S-T</t>
  </si>
  <si>
    <t>Orange / Superior</t>
  </si>
  <si>
    <t>YO-M-CT-7C-S-O</t>
  </si>
  <si>
    <t>Yellow / Superior</t>
  </si>
  <si>
    <t>YO-M-CT-7C-S-Y</t>
  </si>
  <si>
    <t>Pink / Superior</t>
  </si>
  <si>
    <t>YO-M-CT-7C-S-P</t>
  </si>
  <si>
    <t>Plain Yoga Mats</t>
  </si>
  <si>
    <t>YO-M-CT-M-G</t>
  </si>
  <si>
    <t>YO-M-CT-M-O</t>
  </si>
  <si>
    <t>YO-M-CT-M-B</t>
  </si>
  <si>
    <t>YO-M-CT-M-P</t>
  </si>
  <si>
    <t>Teal / Superior</t>
  </si>
  <si>
    <t>YO-M-CT-S-T</t>
  </si>
  <si>
    <t>YO-M-CT-S-O</t>
  </si>
  <si>
    <t>YO-M-CT-S-Y</t>
  </si>
  <si>
    <t>YO-M-CT-S-P</t>
  </si>
  <si>
    <t>Yoga Mats-Lotus</t>
  </si>
  <si>
    <t>YO-M-CT-L-M-G</t>
  </si>
  <si>
    <t>YO-M-CT-L-M-O</t>
  </si>
  <si>
    <t>YO-M-CT-L-M-B</t>
  </si>
  <si>
    <t>YO-M-CT-L-M-P</t>
  </si>
  <si>
    <t>YO-M-CT-L-S-T</t>
  </si>
  <si>
    <t>YO-M-CT-L-S-O</t>
  </si>
  <si>
    <t>YO-M-CT-L-S-Y</t>
  </si>
  <si>
    <t>YO-M-CT-L-S-P</t>
  </si>
  <si>
    <t>Macrame Yoga Mat Straps</t>
  </si>
  <si>
    <t>Green</t>
  </si>
  <si>
    <t>YO-MMS-G</t>
  </si>
  <si>
    <t>Brown</t>
  </si>
  <si>
    <t>YO-MMS-BR</t>
  </si>
  <si>
    <t>Dark Grey</t>
  </si>
  <si>
    <t>YO-MMS-DG</t>
  </si>
  <si>
    <t xml:space="preserve">Yellow </t>
  </si>
  <si>
    <t>YO-MMS-O</t>
  </si>
  <si>
    <t>Navy Blue</t>
  </si>
  <si>
    <t>YO-MMS-NB</t>
  </si>
  <si>
    <t>Rose</t>
  </si>
  <si>
    <t>YO-MMS-R</t>
  </si>
  <si>
    <t>Rouge Pink</t>
  </si>
  <si>
    <t>YO-MMS-RP</t>
  </si>
  <si>
    <t>Sage</t>
  </si>
  <si>
    <t>YO-MMS-S</t>
  </si>
  <si>
    <t>Round Yoga Bolster</t>
  </si>
  <si>
    <t>YO-BR-RD-DG</t>
  </si>
  <si>
    <t>Grey</t>
  </si>
  <si>
    <t>YO-BR-RD-GY</t>
  </si>
  <si>
    <t>Maroon</t>
  </si>
  <si>
    <t>YO-BR-RD-M</t>
  </si>
  <si>
    <t>YO-BR-RD-NB</t>
  </si>
  <si>
    <t>Orange</t>
  </si>
  <si>
    <t>YO-BR-RD-O</t>
  </si>
  <si>
    <t>YO-BR-RD-R</t>
  </si>
  <si>
    <t>sage</t>
  </si>
  <si>
    <t>YO-BR-RD-S</t>
  </si>
  <si>
    <t>YO-BR-RD-RP</t>
  </si>
  <si>
    <t>Rectangular Yoga Bolster</t>
  </si>
  <si>
    <t xml:space="preserve">Dark Grey </t>
  </si>
  <si>
    <t>YO-BR-RT-DG</t>
  </si>
  <si>
    <t>YO-BR-RT-GY</t>
  </si>
  <si>
    <t>YO-BR-RT-M</t>
  </si>
  <si>
    <t>YO-BR-RT-NB</t>
  </si>
  <si>
    <t>YO-BR-RT-R</t>
  </si>
  <si>
    <t>YO-BR-RT-RP</t>
  </si>
  <si>
    <t>Eye Shaped - Eye Pillows</t>
  </si>
  <si>
    <t>YO-EP-R</t>
  </si>
  <si>
    <t>YO-EP-DG</t>
  </si>
  <si>
    <t>YO-EP-GY</t>
  </si>
  <si>
    <t>YO-EP-NB</t>
  </si>
  <si>
    <t>YO-EP-S</t>
  </si>
  <si>
    <t>Yoga Belt/Strap</t>
  </si>
  <si>
    <t>Sky Blue</t>
  </si>
  <si>
    <t>YO-BL-SB</t>
  </si>
  <si>
    <t>Beige</t>
  </si>
  <si>
    <t>YO-BL-BE</t>
  </si>
  <si>
    <t>YO-BL-G</t>
  </si>
  <si>
    <t>YO-BL-NB</t>
  </si>
  <si>
    <t>YO-BL-R</t>
  </si>
  <si>
    <t>Yoga Blanket</t>
  </si>
  <si>
    <t>Magenta</t>
  </si>
  <si>
    <t>YO-BT-MG</t>
  </si>
  <si>
    <t>YO-BT-BR</t>
  </si>
  <si>
    <t>Natural White</t>
  </si>
  <si>
    <t>YO-BT-W</t>
  </si>
  <si>
    <t>Zafu Meditation Cushion - Plain</t>
  </si>
  <si>
    <t>ME-Z-DG</t>
  </si>
  <si>
    <t>ME-Z-NB</t>
  </si>
  <si>
    <t>ME-Z-O</t>
  </si>
  <si>
    <t>ME-Z-R</t>
  </si>
  <si>
    <t>ME-Z-S</t>
  </si>
  <si>
    <t>Light Grey</t>
  </si>
  <si>
    <t>ME-Z-LG</t>
  </si>
  <si>
    <t>Lavender</t>
  </si>
  <si>
    <t>ME-Z-LR</t>
  </si>
  <si>
    <t>Misty Blue</t>
  </si>
  <si>
    <t>ME-Z-MB</t>
  </si>
  <si>
    <t>ME-Z-MG</t>
  </si>
  <si>
    <t>Zafu Meditation Cushion - Lotus Embroidery</t>
  </si>
  <si>
    <t>ME-Z-EM-L-R</t>
  </si>
  <si>
    <t>ME-Z-EM-L-LG</t>
  </si>
  <si>
    <t>ME-Z-EM-L-LV</t>
  </si>
  <si>
    <t>ME-Z-EM-L-MB</t>
  </si>
  <si>
    <t>ME-Z-EM-L-S</t>
  </si>
  <si>
    <t>Zabuton Cushion</t>
  </si>
  <si>
    <t>ME-Zn-NB</t>
  </si>
  <si>
    <t>ME-Zn-GY</t>
  </si>
  <si>
    <t>ME-Zn-LG</t>
  </si>
  <si>
    <t>ME-Zn-LV</t>
  </si>
  <si>
    <t>ME-Zn-MB</t>
  </si>
  <si>
    <t>Zafu &amp; Zabuton Combo - Plain</t>
  </si>
  <si>
    <t>ME-Z-Zn-LG</t>
  </si>
  <si>
    <t>ME-Z-Zn-LV</t>
  </si>
  <si>
    <t>ME-Z-Zn-MB</t>
  </si>
  <si>
    <t>ME-Z-Zn-NB</t>
  </si>
  <si>
    <t>ME-Z-Zn-DG</t>
  </si>
  <si>
    <t>Zafu &amp; Zabuton Combo - Lotus Embroidery</t>
  </si>
  <si>
    <t>ME-Z-Zn-EM-L-LG</t>
  </si>
  <si>
    <t>ME-Z-Zn-EM-L-LV</t>
  </si>
  <si>
    <t>ME-Z-Zn-EM-L-MB</t>
  </si>
  <si>
    <t>ME-Z-Zn-EM-L-NB</t>
  </si>
  <si>
    <t>ME-Z-Zn-EM-L-DG</t>
  </si>
  <si>
    <t>Hi-Zafu Meditation Cushion - Embroidered with Lotus</t>
  </si>
  <si>
    <t>ME-HZ-EM-L-S</t>
  </si>
  <si>
    <t>ME-HZ-EM-L-LV</t>
  </si>
  <si>
    <t>ME-HZ-EM-L-LG</t>
  </si>
  <si>
    <t>ME-HZ-EM-L-MB</t>
  </si>
  <si>
    <t>ME-HZ-EM-L-R</t>
  </si>
  <si>
    <t>Hi-Zafu Meditation Cushion - Filled with Buckwheat</t>
  </si>
  <si>
    <t>Royal Blue</t>
  </si>
  <si>
    <t>ME-HZ-RB</t>
  </si>
  <si>
    <t>ME-HZ-DG</t>
  </si>
  <si>
    <t>ME-HZ-GY</t>
  </si>
  <si>
    <t>Ivory</t>
  </si>
  <si>
    <t>ME-HZ-I</t>
  </si>
  <si>
    <t>ME-HZ-LG</t>
  </si>
  <si>
    <t>ME-HZ-LV</t>
  </si>
  <si>
    <t>ME-HZ-M</t>
  </si>
  <si>
    <t>ME-HZ-MB</t>
  </si>
  <si>
    <t>ME-HZ-NB</t>
  </si>
  <si>
    <t>ME-HZ-R</t>
  </si>
  <si>
    <t>ME-HZ-RD</t>
  </si>
  <si>
    <t>ME-HZ-S</t>
  </si>
  <si>
    <t>Crescent Zafu Cushion - Compact -Buck wheat</t>
  </si>
  <si>
    <t>ME-CZ-C-DG</t>
  </si>
  <si>
    <t>ME-CZ-C-LG</t>
  </si>
  <si>
    <t>ME-CZ-C-MB</t>
  </si>
  <si>
    <t>ME-CZ-C-LV</t>
  </si>
  <si>
    <t>ME-CZ-C-S</t>
  </si>
  <si>
    <t>ME-CZ-C-RP</t>
  </si>
  <si>
    <t>ME-CZ-C-R</t>
  </si>
  <si>
    <t>Crescent Zafu Cushion - Wide -Cotton</t>
  </si>
  <si>
    <t>ME-CZ-W-RP</t>
  </si>
  <si>
    <t>ME-CZ-W-LV</t>
  </si>
  <si>
    <t>ME-CZ-W-MB</t>
  </si>
  <si>
    <t>Me-CZ-W-S</t>
  </si>
  <si>
    <t>Me-CZ-W-DG</t>
  </si>
  <si>
    <t>Rose Pink</t>
  </si>
  <si>
    <t>Me-CZ-W-MB</t>
  </si>
  <si>
    <t>Zen Meditation Bench</t>
  </si>
  <si>
    <t>Small</t>
  </si>
  <si>
    <t>ME-ZMB-S</t>
  </si>
  <si>
    <t>Medium</t>
  </si>
  <si>
    <t>ME-ZMB-M</t>
  </si>
  <si>
    <t>Large</t>
  </si>
  <si>
    <t>ME-ZMB-L</t>
  </si>
  <si>
    <t>11 Note Tongue Drum</t>
  </si>
  <si>
    <t>6 inches / White</t>
  </si>
  <si>
    <t>MI-TD-11N-W-6</t>
  </si>
  <si>
    <t>6 inches / Blue</t>
  </si>
  <si>
    <t>MI-TD-11N-B-6</t>
  </si>
  <si>
    <t>8 inches / White</t>
  </si>
  <si>
    <t>MI-TD-11N-W-8</t>
  </si>
  <si>
    <t>8 inches / Blue</t>
  </si>
  <si>
    <t>MI-TD-11N-B-8</t>
  </si>
  <si>
    <t>10 inches / White</t>
  </si>
  <si>
    <t>MI-TD-11N-W-10</t>
  </si>
  <si>
    <t>10 inches / Blue</t>
  </si>
  <si>
    <t>MI-TD-11N-B-10</t>
  </si>
  <si>
    <t>12 inches / White</t>
  </si>
  <si>
    <t>MI-TD-11N-W-12</t>
  </si>
  <si>
    <t>12 inches / Blue</t>
  </si>
  <si>
    <t>MI-TD-11N-B-12</t>
  </si>
  <si>
    <t>Handpan</t>
  </si>
  <si>
    <t>D Celtic Minor 9</t>
  </si>
  <si>
    <t>MI-HP-DC-9</t>
  </si>
  <si>
    <t>D Kurd 10</t>
  </si>
  <si>
    <t>MI-HP-DK-10</t>
  </si>
  <si>
    <t>Handpan Stand</t>
  </si>
  <si>
    <t>MI-HP-S</t>
  </si>
  <si>
    <t>8 Keys Metallophone</t>
  </si>
  <si>
    <t>1 inch</t>
  </si>
  <si>
    <t>MI-XY-MT-8-1</t>
  </si>
  <si>
    <t>1.5 inch</t>
  </si>
  <si>
    <t>MI-XY-MT-8-1.5</t>
  </si>
  <si>
    <t>8 Keys Wooden Xylophone</t>
  </si>
  <si>
    <t>MI-XY-W-8</t>
  </si>
  <si>
    <t>Teak Wood - Stainless Steel Xylophone</t>
  </si>
  <si>
    <t>8 Keys</t>
  </si>
  <si>
    <t>MI-XY-TW-8</t>
  </si>
  <si>
    <t>15 Keys</t>
  </si>
  <si>
    <t>MI-XY-TW-15</t>
  </si>
  <si>
    <t>Bird Flute</t>
  </si>
  <si>
    <t>Brown / Single</t>
  </si>
  <si>
    <t>MI-BF-BN-S</t>
  </si>
  <si>
    <t>Brown / Pair</t>
  </si>
  <si>
    <t>MI-BF-BN-P</t>
  </si>
  <si>
    <t>7-Key Kalimba Made from Coconut Shell</t>
  </si>
  <si>
    <t>Plain Etched</t>
  </si>
  <si>
    <t>MI-KCS-PE</t>
  </si>
  <si>
    <t>Dot Painted</t>
  </si>
  <si>
    <t>MI-KCS-DP</t>
  </si>
  <si>
    <t>Asalato / Kashaka Shaker</t>
  </si>
  <si>
    <t>Plain / Single</t>
  </si>
  <si>
    <t>MI-AS</t>
  </si>
  <si>
    <t>Plain / Pair</t>
  </si>
  <si>
    <t>MI-AS-2</t>
  </si>
  <si>
    <t>Painted / Single</t>
  </si>
  <si>
    <t>MI-AS-P</t>
  </si>
  <si>
    <t>Painted / Pair</t>
  </si>
  <si>
    <t>MI-AS-P-2</t>
  </si>
  <si>
    <t>Bamboo Castanet</t>
  </si>
  <si>
    <t>MI-CN</t>
  </si>
  <si>
    <t>Bamboo Rainstick Wide-80cm</t>
  </si>
  <si>
    <t>Wide 80cm</t>
  </si>
  <si>
    <t>MI-RS-W-80</t>
  </si>
  <si>
    <t>Caxixi</t>
  </si>
  <si>
    <t>MI-CX</t>
  </si>
  <si>
    <t>Coconut Maracas Shakers</t>
  </si>
  <si>
    <t>Plain</t>
  </si>
  <si>
    <t>MI-CMS</t>
  </si>
  <si>
    <t>MI-CMS-DP</t>
  </si>
  <si>
    <t>Wooden Maracas Shakers | Plain &amp; Dot Painted</t>
  </si>
  <si>
    <t>MI-WMS</t>
  </si>
  <si>
    <t>MI-WMS-DP</t>
  </si>
  <si>
    <t>Egg Shaker with Handle</t>
  </si>
  <si>
    <t>MI-ES-H</t>
  </si>
  <si>
    <t>Painted Egg Shakers</t>
  </si>
  <si>
    <t>MI-ES</t>
  </si>
  <si>
    <t>Handheld Natural Coconut Shaker</t>
  </si>
  <si>
    <t>MI-CS-HH</t>
  </si>
  <si>
    <t>Mini Coconut Shakers - 3 Types</t>
  </si>
  <si>
    <t>Round Shaped</t>
  </si>
  <si>
    <t>MI-CS-RS</t>
  </si>
  <si>
    <t>Square Shaped</t>
  </si>
  <si>
    <t>MI-CS-SS</t>
  </si>
  <si>
    <t>Eye Shaped</t>
  </si>
  <si>
    <t>MI-CS-ES</t>
  </si>
  <si>
    <t>Set of 3</t>
  </si>
  <si>
    <t>MI-CS-SET3</t>
  </si>
  <si>
    <t>Dumru/Dumroo</t>
  </si>
  <si>
    <t>MI-DM</t>
  </si>
  <si>
    <t>MI-DM-DP</t>
  </si>
  <si>
    <t>Spin/Twist Drum or Den Den Daiko</t>
  </si>
  <si>
    <t>Large 3.5 in</t>
  </si>
  <si>
    <t>MI-SD-L</t>
  </si>
  <si>
    <t>Small 3 in</t>
  </si>
  <si>
    <t>MI-SD-S</t>
  </si>
  <si>
    <t>Wooden Tambourines</t>
  </si>
  <si>
    <t>Half-Moon</t>
  </si>
  <si>
    <t>MI-WTM-HM</t>
  </si>
  <si>
    <t>Circular</t>
  </si>
  <si>
    <t>MI-WTM-C</t>
  </si>
  <si>
    <t>Djembe Drums</t>
  </si>
  <si>
    <t>8in / Ivory</t>
  </si>
  <si>
    <t>MI-DJB-I-8</t>
  </si>
  <si>
    <t>8in / Mahogany</t>
  </si>
  <si>
    <t>MI-DJB-M-8</t>
  </si>
  <si>
    <t>10in / Ivory</t>
  </si>
  <si>
    <t>MI-DJB-I-10</t>
  </si>
  <si>
    <t>10in / Mahogany</t>
  </si>
  <si>
    <t>MI-DJB-M-10</t>
  </si>
  <si>
    <t>12in / Ivory</t>
  </si>
  <si>
    <t>MI-DJB-I-12</t>
  </si>
  <si>
    <t>12in / Mahogany</t>
  </si>
  <si>
    <t>MI-DJB-M-12</t>
  </si>
  <si>
    <t>14in / Ivory</t>
  </si>
  <si>
    <t>MI-DJB-I-14</t>
  </si>
  <si>
    <t>14in / Mahogany</t>
  </si>
  <si>
    <t>MI-DJB-M-14</t>
  </si>
  <si>
    <t>Thunder Tube - Basic Edition</t>
  </si>
  <si>
    <t>20cms /Small</t>
  </si>
  <si>
    <t>MI-TT-S</t>
  </si>
  <si>
    <t>25cms /Medium</t>
  </si>
  <si>
    <t>MI-TT-M</t>
  </si>
  <si>
    <t>30cms /Large</t>
  </si>
  <si>
    <t>MI-TT-L</t>
  </si>
  <si>
    <t>Coconut Rattle</t>
  </si>
  <si>
    <t>MI-CR</t>
  </si>
  <si>
    <t>Pangi Seed Shell Rattle</t>
  </si>
  <si>
    <t>MI-PS</t>
  </si>
  <si>
    <t xml:space="preserve">Kenari Shaker </t>
  </si>
  <si>
    <t>MI-KR-S</t>
  </si>
  <si>
    <t>Kenari Bracelet</t>
  </si>
  <si>
    <t>MI-KR-BT</t>
  </si>
  <si>
    <t>Kenari Chimes</t>
  </si>
  <si>
    <t>MI-KR-C-S</t>
  </si>
  <si>
    <t>MI-KR-C-L</t>
  </si>
  <si>
    <t>Bendo Shaker</t>
  </si>
  <si>
    <t>MI-BE-S</t>
  </si>
  <si>
    <t>MI-BE-L</t>
  </si>
  <si>
    <t>Bendo Chimes</t>
  </si>
  <si>
    <t>MI-BE-CH</t>
  </si>
  <si>
    <t>Wooden Frog</t>
  </si>
  <si>
    <t>MI-WF</t>
  </si>
  <si>
    <t>Ocean Drums</t>
  </si>
  <si>
    <t>Plain / 30 cms</t>
  </si>
  <si>
    <t>MI-OD-P-30</t>
  </si>
  <si>
    <t>Plain / 35 cms</t>
  </si>
  <si>
    <t>MI-OD-P-35</t>
  </si>
  <si>
    <t>Plain / 40 cms</t>
  </si>
  <si>
    <t>MI-OD-P-40</t>
  </si>
  <si>
    <t>Dream Catcher / 30 cms</t>
  </si>
  <si>
    <t>MI-OD-D-30</t>
  </si>
  <si>
    <t>Dream Catcher / 35 cms</t>
  </si>
  <si>
    <t>MI-OD-D-35</t>
  </si>
  <si>
    <t>Dream Catcher / 40cm</t>
  </si>
  <si>
    <t>MI-OD-D-40</t>
  </si>
  <si>
    <t>Flower of Life / 30 cms</t>
  </si>
  <si>
    <t>MI-OD-F-30</t>
  </si>
  <si>
    <t>Flower of Life / 35 cms</t>
  </si>
  <si>
    <t>MI-OD-F-35</t>
  </si>
  <si>
    <t>Flower of Life / 40cm</t>
  </si>
  <si>
    <t>MI-OD-F-40</t>
  </si>
  <si>
    <t>Shamanic Drum</t>
  </si>
  <si>
    <t>MI-SD-P-30</t>
  </si>
  <si>
    <t>MI-SD-P-40</t>
  </si>
  <si>
    <t>Plain / 45 cms</t>
  </si>
  <si>
    <t>MI-SD-P-45</t>
  </si>
  <si>
    <t>Butterfly / 30 cms</t>
  </si>
  <si>
    <t>MI-SD-B-30</t>
  </si>
  <si>
    <t>Butterfly / 40 cms</t>
  </si>
  <si>
    <t>MI-SD-B-40</t>
  </si>
  <si>
    <t>Butterfly / 45 cms</t>
  </si>
  <si>
    <t>MI-SD-B-45</t>
  </si>
  <si>
    <t>Tree of Life / 30 cms</t>
  </si>
  <si>
    <t>MI-SD-T-30</t>
  </si>
  <si>
    <t>Tree of Life / 40cm</t>
  </si>
  <si>
    <t>MI-SD-T-40</t>
  </si>
  <si>
    <t>Tree of Life / 45cm</t>
  </si>
  <si>
    <t>MI-SD-T-45</t>
  </si>
  <si>
    <t>Shamanic Drum/Ocean Drum Bags</t>
  </si>
  <si>
    <t>MI-BG-SD-S</t>
  </si>
  <si>
    <t>MI-BG-SD-M</t>
  </si>
  <si>
    <t>MI-BG-SD-L</t>
  </si>
  <si>
    <t>Crystal Bowls - Frosted white</t>
  </si>
  <si>
    <t>6 in</t>
  </si>
  <si>
    <t>MI-CB-W-6</t>
  </si>
  <si>
    <t>7 in</t>
  </si>
  <si>
    <t>MI-CB-W-7</t>
  </si>
  <si>
    <t>8 in</t>
  </si>
  <si>
    <t>MI-CB-W-8</t>
  </si>
  <si>
    <t>9 in</t>
  </si>
  <si>
    <t>MI-CB-W-9</t>
  </si>
  <si>
    <t>10 in</t>
  </si>
  <si>
    <t>MI-CB-W-10</t>
  </si>
  <si>
    <t>11 in</t>
  </si>
  <si>
    <t>MI-CB-W-11</t>
  </si>
  <si>
    <t>12 in</t>
  </si>
  <si>
    <t>MI-CB-W-12</t>
  </si>
  <si>
    <t>13 in</t>
  </si>
  <si>
    <t>MI-CB-W-13</t>
  </si>
  <si>
    <t>14 in</t>
  </si>
  <si>
    <t>MI-CB-W-14</t>
  </si>
  <si>
    <t>Crystal Bowls - Coloured</t>
  </si>
  <si>
    <t>MI-CB-C-6</t>
  </si>
  <si>
    <t>MI-CB-C-7</t>
  </si>
  <si>
    <t>MI-CB-C-8</t>
  </si>
  <si>
    <t>MI-CB-C-9</t>
  </si>
  <si>
    <t>MI-CB-C-10</t>
  </si>
  <si>
    <t>MI-CB-C-11</t>
  </si>
  <si>
    <t>MI-CB-C-12</t>
  </si>
  <si>
    <t>MI-CB-C-13</t>
  </si>
  <si>
    <t>MI-CB-C-14</t>
  </si>
  <si>
    <t>Crystal Bowls - Set of 7</t>
  </si>
  <si>
    <t>6-12-in-set / Frosted White</t>
  </si>
  <si>
    <t>MI-CB-W-6-12</t>
  </si>
  <si>
    <t>6-12-in-set / Coloured</t>
  </si>
  <si>
    <t>MI-CB-CL-6-12</t>
  </si>
  <si>
    <t>8-14-in-set / Frosted White</t>
  </si>
  <si>
    <t>MI-CB-W-8-14</t>
  </si>
  <si>
    <t>8-14-in-set / Coloured</t>
  </si>
  <si>
    <t>MI-CB-CL-8-14</t>
  </si>
  <si>
    <t>Triad Crystal Bowl Set</t>
  </si>
  <si>
    <t>CEG</t>
  </si>
  <si>
    <t>MI-CB-CEG</t>
  </si>
  <si>
    <t>DFA</t>
  </si>
  <si>
    <t>MI-CB-DFA</t>
  </si>
  <si>
    <t>EGB</t>
  </si>
  <si>
    <t>MI-CB-EGB</t>
  </si>
  <si>
    <t>Crystal Bowl Bag</t>
  </si>
  <si>
    <t>MI-BG-CB-S</t>
  </si>
  <si>
    <t>MI-BG-CB-M</t>
  </si>
  <si>
    <t>MI-BG-CB-L</t>
  </si>
  <si>
    <t>Crystal Bowl with Handle</t>
  </si>
  <si>
    <t>MI-CB-H</t>
  </si>
  <si>
    <t>Crystal Pyramid</t>
  </si>
  <si>
    <t>MI-CP-6</t>
  </si>
  <si>
    <t>MI-CP-8</t>
  </si>
  <si>
    <t>Gong Plates/Shruti Plates -Plain</t>
  </si>
  <si>
    <t>B Plate</t>
  </si>
  <si>
    <t>MI-GP-B</t>
  </si>
  <si>
    <t>A Plate</t>
  </si>
  <si>
    <t>MI-GP-A</t>
  </si>
  <si>
    <t>G Plate</t>
  </si>
  <si>
    <t>MI-GP-G</t>
  </si>
  <si>
    <t>F Plate</t>
  </si>
  <si>
    <t>MI-GP-F</t>
  </si>
  <si>
    <t>E Plate</t>
  </si>
  <si>
    <t>MI-GP-E</t>
  </si>
  <si>
    <t>D Plate</t>
  </si>
  <si>
    <t>MI-GP-D</t>
  </si>
  <si>
    <t>C Plate</t>
  </si>
  <si>
    <t>MI-GP-C</t>
  </si>
  <si>
    <t>Full Set</t>
  </si>
  <si>
    <t>MI-GP-SET7</t>
  </si>
  <si>
    <t>Gong Plates/Shruti Plates Etched</t>
  </si>
  <si>
    <t>MI-GP-ET-B</t>
  </si>
  <si>
    <t>MI-GP-ET-A</t>
  </si>
  <si>
    <t>MI-GP-ET-G</t>
  </si>
  <si>
    <t>MI-GP-ET-F</t>
  </si>
  <si>
    <t>MI-GP-ET-E</t>
  </si>
  <si>
    <t>MI-GP-ET-D</t>
  </si>
  <si>
    <t>MI-GP-ET-C</t>
  </si>
  <si>
    <t>MI-GP-ET-SET7</t>
  </si>
  <si>
    <t>Gong Plates/Shruti Plates Stand</t>
  </si>
  <si>
    <t>Set Stand</t>
  </si>
  <si>
    <t>MI-GP-ST</t>
  </si>
  <si>
    <t>Chau Gongs</t>
  </si>
  <si>
    <t>16'</t>
  </si>
  <si>
    <t>18 in</t>
  </si>
  <si>
    <t>MI-GO-CH-18</t>
  </si>
  <si>
    <t>20 in</t>
  </si>
  <si>
    <t>MI-GO-CH-20</t>
  </si>
  <si>
    <t>22 in</t>
  </si>
  <si>
    <t>MI-GO-CH-22</t>
  </si>
  <si>
    <t>24 in</t>
  </si>
  <si>
    <t>MI-GO-CH-24</t>
  </si>
  <si>
    <t>28 in</t>
  </si>
  <si>
    <t>MI-GO-CH-28</t>
  </si>
  <si>
    <t>32 in</t>
  </si>
  <si>
    <t>MI-GO-CH-32</t>
  </si>
  <si>
    <t>36 in</t>
  </si>
  <si>
    <t>MI-GO-CH-36</t>
  </si>
  <si>
    <t>Etched Chau Gong</t>
  </si>
  <si>
    <t>MI-GO-CH-ET-18</t>
  </si>
  <si>
    <t>MI-GO-CH-ET-20</t>
  </si>
  <si>
    <t>MI-GO-CH-ET-22</t>
  </si>
  <si>
    <t>MI-GO-CH-ET-24</t>
  </si>
  <si>
    <t>MI-GO-CH-ET-28</t>
  </si>
  <si>
    <t>MI-GO-CH-ET-32</t>
  </si>
  <si>
    <t>MI-GO-CH-ET-36</t>
  </si>
  <si>
    <t>40INCH</t>
  </si>
  <si>
    <t>MI-GO-CH-ET-40</t>
  </si>
  <si>
    <t>Wind Gong - Plain</t>
  </si>
  <si>
    <t>14 INCh</t>
  </si>
  <si>
    <t>MI-GO-WI-14</t>
  </si>
  <si>
    <t>16INCH</t>
  </si>
  <si>
    <t>MI-GO-WI-16</t>
  </si>
  <si>
    <t>18INCH</t>
  </si>
  <si>
    <t>MI-GO-WI-18</t>
  </si>
  <si>
    <t>20INCH</t>
  </si>
  <si>
    <t>MI-GO-WI-20</t>
  </si>
  <si>
    <t>22INCH</t>
  </si>
  <si>
    <t>MI-GO-WI-22</t>
  </si>
  <si>
    <t>24INCH</t>
  </si>
  <si>
    <t>MI-GO-WI-24</t>
  </si>
  <si>
    <t>26INCH</t>
  </si>
  <si>
    <t>MI-GO-WI-26</t>
  </si>
  <si>
    <t>28INCH</t>
  </si>
  <si>
    <t>MI-GO-WI-28</t>
  </si>
  <si>
    <t>Wind Gong - Etched</t>
  </si>
  <si>
    <t>7 Chakras / 14 in</t>
  </si>
  <si>
    <t>MI-GO-WI-ET-7C-14</t>
  </si>
  <si>
    <t>7 Chakras / 16 in</t>
  </si>
  <si>
    <t>MI-GO-WI-ET-7C-16</t>
  </si>
  <si>
    <t>7 Chakras/18 in</t>
  </si>
  <si>
    <t>MI-GO-WI-ET-7C-18</t>
  </si>
  <si>
    <t>7 Chakras / 20 in</t>
  </si>
  <si>
    <t>MI-GO-WI-ET-7C-20</t>
  </si>
  <si>
    <t>7 Chakras / 22 in</t>
  </si>
  <si>
    <t>MI-GO-WI-ET-7C-22</t>
  </si>
  <si>
    <t>7 Chakras / 24 in</t>
  </si>
  <si>
    <t>MI-GO-WI-ET-7C-24</t>
  </si>
  <si>
    <t>7 Chakras / 26 in</t>
  </si>
  <si>
    <t>MI-GO-WI-ET-7C-26</t>
  </si>
  <si>
    <t>7 Chakras / 28 in</t>
  </si>
  <si>
    <t>MI-GO-WI-ET-7C-28</t>
  </si>
  <si>
    <t>Flower of Life / 14 in</t>
  </si>
  <si>
    <t>MI-GO-WI-ET-FOL-14</t>
  </si>
  <si>
    <t>Flower of Life / 16 in</t>
  </si>
  <si>
    <t>MI-GO-WI-ET-FOL-16</t>
  </si>
  <si>
    <t>Flower of Life/18 In</t>
  </si>
  <si>
    <t>MI-GO-WI-ET-FOL-18</t>
  </si>
  <si>
    <t>Flower of Life / 20 in</t>
  </si>
  <si>
    <t>MI-GO-WI-ET-FOL-20</t>
  </si>
  <si>
    <t>Flower of Life / 22 in</t>
  </si>
  <si>
    <t>MI-GO-WI-ET-FOL-22</t>
  </si>
  <si>
    <t>Flower of Life / 24 in</t>
  </si>
  <si>
    <t>MI-GO-WI-ET-FOL-24</t>
  </si>
  <si>
    <t>Flower of Life / 26 in</t>
  </si>
  <si>
    <t>MI-GO-WI-ET-FOL-26</t>
  </si>
  <si>
    <t>Flower of Life / 28 in</t>
  </si>
  <si>
    <t>MI-GO-WI-ET-FOL-28</t>
  </si>
  <si>
    <t>Om / 14in</t>
  </si>
  <si>
    <t>MI-GO-WI-ET-OM-14</t>
  </si>
  <si>
    <t>Om / 16in</t>
  </si>
  <si>
    <t>MI-GO-WI-ET-OM-16</t>
  </si>
  <si>
    <t>Om / 18 in</t>
  </si>
  <si>
    <t>MI-GO-WI-ET-OM-18</t>
  </si>
  <si>
    <t>Om / 20in</t>
  </si>
  <si>
    <t>MI-GO-WI-ET-OM-20</t>
  </si>
  <si>
    <t>Om / 22in</t>
  </si>
  <si>
    <t>MI-GO-WI-ET-OM-22</t>
  </si>
  <si>
    <t>Om / 24in</t>
  </si>
  <si>
    <t>MI-GO-WI-ET-OM-24</t>
  </si>
  <si>
    <t>Om / 26in</t>
  </si>
  <si>
    <t>MI-GO-WI-ET-OM-26</t>
  </si>
  <si>
    <t>Om / 28in</t>
  </si>
  <si>
    <t>MI-GO-WI-ET-OM-28</t>
  </si>
  <si>
    <t>Mandala / 14 in</t>
  </si>
  <si>
    <t>MI-GO-WI-ET-MD-14</t>
  </si>
  <si>
    <t>Mandala / 16 in</t>
  </si>
  <si>
    <t>MI-GO-WI-ET-MD-16</t>
  </si>
  <si>
    <t>Mandala / 18in</t>
  </si>
  <si>
    <t>MI-GO-WI-ET-MD-18</t>
  </si>
  <si>
    <t>Mandala / 20 in</t>
  </si>
  <si>
    <t>MI-GO-WI-ET-MD-20</t>
  </si>
  <si>
    <t>Mandala / 22in</t>
  </si>
  <si>
    <t>MI-GO-WI-ET-MD-22</t>
  </si>
  <si>
    <t>Mandala / 24in</t>
  </si>
  <si>
    <t>MI-GO-WI-ET-MD-24</t>
  </si>
  <si>
    <t>Mandala / 26 in</t>
  </si>
  <si>
    <t>MI-GO-WI-ET-MD-26</t>
  </si>
  <si>
    <t>Mandala / 28in</t>
  </si>
  <si>
    <t>MI-GO-WI-ET-MD-28</t>
  </si>
  <si>
    <t>Shakti Chakra / 14 in</t>
  </si>
  <si>
    <t>MI-GO-WI-ET-SC-14</t>
  </si>
  <si>
    <t>Shakti Chakra / 16 in</t>
  </si>
  <si>
    <t>MI-GO-WI-ET-SC-16</t>
  </si>
  <si>
    <t>Shakti Chakra / 18in</t>
  </si>
  <si>
    <t>MI-GO-WI-ET-SC-18</t>
  </si>
  <si>
    <t>Shakti Chakra / 20 in</t>
  </si>
  <si>
    <t>MI-GO-WI-ET-SC-20</t>
  </si>
  <si>
    <t>Shakti Chakra / 22 in</t>
  </si>
  <si>
    <t>MI-GO-WI-ET-SC-22</t>
  </si>
  <si>
    <t>Shakti Chakra / 24 in</t>
  </si>
  <si>
    <t>MI-GO-WI-ET-SC-24</t>
  </si>
  <si>
    <t>Shakti Chakra / 26 in</t>
  </si>
  <si>
    <t>MI-GO-WI-ET-SC-26</t>
  </si>
  <si>
    <t>Shakti Chakra / 28 in</t>
  </si>
  <si>
    <t>MI-GO-WI-ET-SC-28</t>
  </si>
  <si>
    <t>Dorje / 14 in</t>
  </si>
  <si>
    <t>MI-GO-WI-ET-DJ-14</t>
  </si>
  <si>
    <t>Dorje / 16 in</t>
  </si>
  <si>
    <t>MI-GO-WI-ET-DJ-16</t>
  </si>
  <si>
    <t>Dorje / 18in</t>
  </si>
  <si>
    <t>MI-GO-WI-ET-DJ-18</t>
  </si>
  <si>
    <t>Dorje / 20 in</t>
  </si>
  <si>
    <t>MI-GO-WI-ET-DJ-20</t>
  </si>
  <si>
    <t>Dorje / 22 in</t>
  </si>
  <si>
    <t>MI-GO-WI-ET-DJ-22</t>
  </si>
  <si>
    <t>Dorje / 24 in</t>
  </si>
  <si>
    <t>MI-GO-WI-ET-DJ-24</t>
  </si>
  <si>
    <t>Dorje / 26 in</t>
  </si>
  <si>
    <t>MI-GO-WI-ET-DJ-26</t>
  </si>
  <si>
    <t>Dorje / 28 in</t>
  </si>
  <si>
    <t>MI-GO-WI-ET-DJ-28</t>
  </si>
  <si>
    <t>Tara / 14 in</t>
  </si>
  <si>
    <t>MI-GO-WI-ET-TR-14</t>
  </si>
  <si>
    <t>Tara / 16 in</t>
  </si>
  <si>
    <t>MI-GO-WI-ET-TR-16</t>
  </si>
  <si>
    <t>Tara / 18in</t>
  </si>
  <si>
    <t>MI-GO-WI-ET-TR-18</t>
  </si>
  <si>
    <t>Tara / 20 in</t>
  </si>
  <si>
    <t>MI-GO-WI-ET-TR-20</t>
  </si>
  <si>
    <t>Tara / 22 in</t>
  </si>
  <si>
    <t>MI-GO-WI-ET-TR-22</t>
  </si>
  <si>
    <t>Tara / 24 in</t>
  </si>
  <si>
    <t>MI-GO-WI-ET-TR-24</t>
  </si>
  <si>
    <t>Tara / 26 in</t>
  </si>
  <si>
    <t>MI-GO-WI-ET-TR-26</t>
  </si>
  <si>
    <t>Tara / 28 in</t>
  </si>
  <si>
    <t>MI-GO-WI-ET-TR-28</t>
  </si>
  <si>
    <t>Flower of Life-Center / 14in</t>
  </si>
  <si>
    <t>MI-GO-WI-ET-FLC-14</t>
  </si>
  <si>
    <t>Flower of Life-Center / 16in</t>
  </si>
  <si>
    <t>MI-GO-WI-ET-FLC-16</t>
  </si>
  <si>
    <t>Flower of Life-Center / 18in</t>
  </si>
  <si>
    <t>MI-GO-WI-ET-FLC-18</t>
  </si>
  <si>
    <t>Flower of Life-Center / 20 in</t>
  </si>
  <si>
    <t>MI-GO-WI-ET-FLC-20</t>
  </si>
  <si>
    <t>Flower of Life-Center / 22in</t>
  </si>
  <si>
    <t>MI-GO-WI-ET-FLC-22</t>
  </si>
  <si>
    <t>Flower of Life-Center / 24in</t>
  </si>
  <si>
    <t>MI-GO-WI-ET-FLC-24</t>
  </si>
  <si>
    <t>Flower of Life-Center / 26 in</t>
  </si>
  <si>
    <t>MI-GO-WI-ET-FLC-26</t>
  </si>
  <si>
    <t>Flower of Life-Center / 28in</t>
  </si>
  <si>
    <t>MI-GO-WI-ET-FLC-28</t>
  </si>
  <si>
    <t>Gong Bags</t>
  </si>
  <si>
    <t>MI-BG-GO-S</t>
  </si>
  <si>
    <t>MI-BG-GO-M</t>
  </si>
  <si>
    <t>MI-BG-GO-L</t>
  </si>
  <si>
    <t>Extra Large</t>
  </si>
  <si>
    <t>MI-BG-GO-XL</t>
  </si>
  <si>
    <t>Gong Stand</t>
  </si>
  <si>
    <t>Light / Small</t>
  </si>
  <si>
    <t>MI-GO-ST-L-S</t>
  </si>
  <si>
    <t>Light / Medium</t>
  </si>
  <si>
    <t>MI-GO-ST-L-M</t>
  </si>
  <si>
    <t>Light / Large</t>
  </si>
  <si>
    <t>MI-GO-ST-L-L</t>
  </si>
  <si>
    <t>Light / Extra Large</t>
  </si>
  <si>
    <t>MI-GO-ST-L-XL</t>
  </si>
  <si>
    <t>Dark / Small</t>
  </si>
  <si>
    <t>MI-GO-ST-D-S</t>
  </si>
  <si>
    <t>Dark / Medium</t>
  </si>
  <si>
    <t>MI-GO-ST-D-M</t>
  </si>
  <si>
    <t>Dark / Large</t>
  </si>
  <si>
    <t>MI-GO-ST-D-L</t>
  </si>
  <si>
    <t>Dark / Extra Large</t>
  </si>
  <si>
    <t>MI-GO-ST-D-XL</t>
  </si>
  <si>
    <t>Etched Handmade Singing Bowls</t>
  </si>
  <si>
    <t>Buddha / 6 in</t>
  </si>
  <si>
    <t>MI-SB-HM-ET-B-6</t>
  </si>
  <si>
    <t>Buddha / 7 in</t>
  </si>
  <si>
    <t>MI-SB-HM-ET-B-7</t>
  </si>
  <si>
    <t>Buddha / 8in</t>
  </si>
  <si>
    <t>MI-SB-HM-ET-B-8</t>
  </si>
  <si>
    <t>Buddha / 9 in</t>
  </si>
  <si>
    <t>MI-SB-HM-ET-B-9</t>
  </si>
  <si>
    <t>Buddha / 10 in</t>
  </si>
  <si>
    <t>MI-SB-HM-ET-B-10</t>
  </si>
  <si>
    <t>Buddha / 11 in</t>
  </si>
  <si>
    <t>MI-SB-HM-ET-B-11</t>
  </si>
  <si>
    <t>Buddha / 12 in</t>
  </si>
  <si>
    <t>MI-SB-HM-ET-B-12</t>
  </si>
  <si>
    <t>Buddha / 13 in</t>
  </si>
  <si>
    <t>MI-SB-HM-ET-B-13</t>
  </si>
  <si>
    <t>Sacred Geometry / 6 in</t>
  </si>
  <si>
    <t>MI-SB-HM-ET-SG-6</t>
  </si>
  <si>
    <t>Sacred Geometry / 7 in</t>
  </si>
  <si>
    <t>MI-SB-HM-ET-SG-7</t>
  </si>
  <si>
    <t>Sacred Geometry / 8in</t>
  </si>
  <si>
    <t>MI-SB-HM-ET-SG-8</t>
  </si>
  <si>
    <t>Sacred Geometry / 9 in</t>
  </si>
  <si>
    <t>MI-SB-HM-ET-SG-9</t>
  </si>
  <si>
    <t>Sacred Geometry / 10 in</t>
  </si>
  <si>
    <t>MI-SB-HM-ET-SG-10</t>
  </si>
  <si>
    <t>Sacred Geometry / 11 in</t>
  </si>
  <si>
    <t>MI-SB-HM-ET-SG-11</t>
  </si>
  <si>
    <t>Sacred Geometry / 12 in</t>
  </si>
  <si>
    <t>MI-SB-HM-ET-SG-12</t>
  </si>
  <si>
    <t>Sacred Geometry / 13 in</t>
  </si>
  <si>
    <t>MI-SB-HM-ET-SG-13</t>
  </si>
  <si>
    <t>Golden Feet / 6 in</t>
  </si>
  <si>
    <t>MI-SB-HM-ET-GF-6</t>
  </si>
  <si>
    <t>Golden Feet / 7 in</t>
  </si>
  <si>
    <t>MI-SB-HM-ET-GF-7</t>
  </si>
  <si>
    <t>Golden Feet / 8in</t>
  </si>
  <si>
    <t>MI-SB-HM-ET-GF-8</t>
  </si>
  <si>
    <t>Golden Feet / 9 in</t>
  </si>
  <si>
    <t>MI-SB-HM-ET-GF-9</t>
  </si>
  <si>
    <t>Golden Feet / 10 in</t>
  </si>
  <si>
    <t>MI-SB-HM-ET-GF-10</t>
  </si>
  <si>
    <t>Golden Feet / 11 in</t>
  </si>
  <si>
    <t>MI-SB-HM-ET-GF-11</t>
  </si>
  <si>
    <t>Golden Feet / 12 in</t>
  </si>
  <si>
    <t>MI-SB-HM-ET-GF-12</t>
  </si>
  <si>
    <t>Golden Feet / 13 in</t>
  </si>
  <si>
    <t>MI-SB-HM-ET-GF-13</t>
  </si>
  <si>
    <t>Buddhas Eyes / 6in</t>
  </si>
  <si>
    <t>MI-SB-HM-ET-BE-6</t>
  </si>
  <si>
    <t>Buddhas Eyes / 7in</t>
  </si>
  <si>
    <t>MI-SB-HM-ET-BE-7</t>
  </si>
  <si>
    <t>Buddhas Eyes / 8in</t>
  </si>
  <si>
    <t>MI-SB-HM-ET-BE-8</t>
  </si>
  <si>
    <t>Buddhas Eyes / 9 in</t>
  </si>
  <si>
    <t>MI-SB-HM-ET-BE-9</t>
  </si>
  <si>
    <t>Buddhas Eyes / 10 in</t>
  </si>
  <si>
    <t>MI-SB-HM-ET-BE-10</t>
  </si>
  <si>
    <t>Buddhas Eyes / 11 in</t>
  </si>
  <si>
    <t>MI-SB-HM-ET-BE-11</t>
  </si>
  <si>
    <t>Buddhas Eyes /12in</t>
  </si>
  <si>
    <t>MI-SB-HM-ET-BE-12</t>
  </si>
  <si>
    <t>Buddhas Eyes /13in</t>
  </si>
  <si>
    <t>MI-SB-HM-ET-BE-13</t>
  </si>
  <si>
    <t>Chakras / 6in</t>
  </si>
  <si>
    <t>MI-SB-HM-ET-C-6</t>
  </si>
  <si>
    <t>Chakras / 7in</t>
  </si>
  <si>
    <t>MI-SB-HM-ET-C-7</t>
  </si>
  <si>
    <t>Chakras / 8in</t>
  </si>
  <si>
    <t>MI-SB-HM-ET-C-8</t>
  </si>
  <si>
    <t>Chakras / 9in</t>
  </si>
  <si>
    <t>MI-SB-HM-ET-C-9</t>
  </si>
  <si>
    <t>Chakras / 10in</t>
  </si>
  <si>
    <t>MI-SB-HM-ET-C-10</t>
  </si>
  <si>
    <t>Chakras / 11 in</t>
  </si>
  <si>
    <t>MI-SB-HM-ET-C-11</t>
  </si>
  <si>
    <t>Chakras / 12in</t>
  </si>
  <si>
    <t>MI-SB-HM-ET-C-12</t>
  </si>
  <si>
    <t>Chakras / 13in</t>
  </si>
  <si>
    <t>MI-SB-HM-ET-C-13</t>
  </si>
  <si>
    <t>Dorje / 6 in</t>
  </si>
  <si>
    <t>MI-SB-HM-ET-DJ-6</t>
  </si>
  <si>
    <t>Dorje / 7 in</t>
  </si>
  <si>
    <t>MI-SB-HM-ET-DJ-7</t>
  </si>
  <si>
    <t>Dorje / 8in</t>
  </si>
  <si>
    <t>MI-SB-HM-ET-DJ-8</t>
  </si>
  <si>
    <t>Dorje / 9 in</t>
  </si>
  <si>
    <t>MI-SB-HM-ET-DJ-9</t>
  </si>
  <si>
    <t>Dorje / 10 in</t>
  </si>
  <si>
    <t>MI-SB-HM-ET-DJ-10</t>
  </si>
  <si>
    <t>Dorje / 11 in</t>
  </si>
  <si>
    <t>MI-SB-HM-ET-DJ-11</t>
  </si>
  <si>
    <t>Dorje / 12 in</t>
  </si>
  <si>
    <t>MI-SB-HM-ET-DJ-12</t>
  </si>
  <si>
    <t>Dorje / 13 in</t>
  </si>
  <si>
    <t>MI-SB-HM-ET-DJ-13</t>
  </si>
  <si>
    <t>Flower of Life / 6 in</t>
  </si>
  <si>
    <t>MI-SB-HM-ET-FL-6</t>
  </si>
  <si>
    <t>Flower of Life / 7 in</t>
  </si>
  <si>
    <t>MI-SB-HM-ET-FL-7</t>
  </si>
  <si>
    <t>Flower of Life / 8in</t>
  </si>
  <si>
    <t>MI-SB-HM-ET-FL-8</t>
  </si>
  <si>
    <t>Flower of Life / 9 in</t>
  </si>
  <si>
    <t>MI-SB-HM-ET-FL-9</t>
  </si>
  <si>
    <t>Flower of Life / 10 in</t>
  </si>
  <si>
    <t>MI-SB-HM-ET-FL-10</t>
  </si>
  <si>
    <t>Flower of Life / 11 in</t>
  </si>
  <si>
    <t>MI-SB-HM-ET-FL-11</t>
  </si>
  <si>
    <t>Flower of Life / 12 in</t>
  </si>
  <si>
    <t>MI-SB-HM-ET-FL-12</t>
  </si>
  <si>
    <t>Flower of Life / 13 in</t>
  </si>
  <si>
    <t>MI-SB-HM-ET-FL-13</t>
  </si>
  <si>
    <t>Om / 6in</t>
  </si>
  <si>
    <t>MI-SB-HM-ET-OM-6</t>
  </si>
  <si>
    <t>Om / 7in</t>
  </si>
  <si>
    <t>MI-SB-HM-ET-OM-7</t>
  </si>
  <si>
    <t>Om / 8in</t>
  </si>
  <si>
    <t>MI-SB-HM-ET-OM-8</t>
  </si>
  <si>
    <t>Om / 9in</t>
  </si>
  <si>
    <t>MI-SB-HM-ET-OM-9</t>
  </si>
  <si>
    <t>Om / 10in</t>
  </si>
  <si>
    <t>MI-SB-HM-ET-OM-10</t>
  </si>
  <si>
    <t>Om / 11 in</t>
  </si>
  <si>
    <t>MI-SB-HM-ET-OM-11</t>
  </si>
  <si>
    <t>Om / 12in</t>
  </si>
  <si>
    <t>MI-SB-HM-ET-OM-12</t>
  </si>
  <si>
    <t>Om / 13in</t>
  </si>
  <si>
    <t>MI-SB-HM-ET-OM-13</t>
  </si>
  <si>
    <t>Tara / 6 in</t>
  </si>
  <si>
    <t>MI-SB-HM-ET-T-6</t>
  </si>
  <si>
    <t>Tara / 7 in</t>
  </si>
  <si>
    <t>MI-SB-HM-ET-T-7</t>
  </si>
  <si>
    <t>Tara / 8in</t>
  </si>
  <si>
    <t>MI-SB-HM-ET-T-8</t>
  </si>
  <si>
    <t>Tara / 9 in</t>
  </si>
  <si>
    <t>MI-SB-HM-ET-T-9</t>
  </si>
  <si>
    <t>Tara / 10 in</t>
  </si>
  <si>
    <t>MI-SB-HM-ET-T-10</t>
  </si>
  <si>
    <t>Tara / 11 in</t>
  </si>
  <si>
    <t>MI-SB-HM-ET-T-11</t>
  </si>
  <si>
    <t>Tara / 12 in</t>
  </si>
  <si>
    <t>MI-SB-HM-ET-T-12</t>
  </si>
  <si>
    <t>Tara / 13 in</t>
  </si>
  <si>
    <t>MI-SB-HM-ET-T-13</t>
  </si>
  <si>
    <t>Yin Yang / 6 in</t>
  </si>
  <si>
    <t>MI-SB-HM-ET-YY-6</t>
  </si>
  <si>
    <t>Yin Yang / 7 in</t>
  </si>
  <si>
    <t>MI-SB-HM-ET-YY-7</t>
  </si>
  <si>
    <t>Yin Yang / 8in</t>
  </si>
  <si>
    <t>MI-SB-HM-ET-YY-8</t>
  </si>
  <si>
    <t>Yin Yang / 9 in</t>
  </si>
  <si>
    <t>MI-SB-HM-ET-YY-9</t>
  </si>
  <si>
    <t>Yin Yang / 10 in</t>
  </si>
  <si>
    <t>MI-SB-HM-ET-YY-10</t>
  </si>
  <si>
    <t>Yin Yang / 11 in</t>
  </si>
  <si>
    <t>MI-SB-HM-ET-YY-11</t>
  </si>
  <si>
    <t>Yin Yang / 12 in</t>
  </si>
  <si>
    <t>MI-SB-HM-ET-YY-12</t>
  </si>
  <si>
    <t>Yin Yang / 13 in</t>
  </si>
  <si>
    <t>MI-SB-HM-ET-YY-13</t>
  </si>
  <si>
    <t>Mantra / 6in</t>
  </si>
  <si>
    <t>MI-SB-HM-ET-M-6</t>
  </si>
  <si>
    <t>Mantra / 7in</t>
  </si>
  <si>
    <t>MI-SB-HM-ET-M-7</t>
  </si>
  <si>
    <t>Mantra / 8in</t>
  </si>
  <si>
    <t>MI-SB-HM-ET-M-8</t>
  </si>
  <si>
    <t>Mantra / 9in</t>
  </si>
  <si>
    <t>MI-SB-HM-ET-M-9</t>
  </si>
  <si>
    <t>Mantra / 10in</t>
  </si>
  <si>
    <t>MI-SB-HM-ET-M-10</t>
  </si>
  <si>
    <t>Mantra / 11 in</t>
  </si>
  <si>
    <t>MI-SB-HM-ET-M-11</t>
  </si>
  <si>
    <t>Mantra / 12in</t>
  </si>
  <si>
    <t>MI-SB-HM-ET-M-12</t>
  </si>
  <si>
    <t>Mantra / 13in</t>
  </si>
  <si>
    <t>MI-SB-HM-ET-M-13</t>
  </si>
  <si>
    <t>Extra Large Meridian Singing Bowls</t>
  </si>
  <si>
    <t xml:space="preserve">Etched / 18 in </t>
  </si>
  <si>
    <t>MI-SB-ME-ET-18</t>
  </si>
  <si>
    <t>Etched / 20in</t>
  </si>
  <si>
    <t>MI-SB-ME-ET-20</t>
  </si>
  <si>
    <t>Etched / 22in</t>
  </si>
  <si>
    <t>MI-SB-ME-ET-22</t>
  </si>
  <si>
    <t>Etched / 23in</t>
  </si>
  <si>
    <t>MI-SB-ME-ET-23</t>
  </si>
  <si>
    <t>Etched /24in</t>
  </si>
  <si>
    <t>MI-SB-ME-ET-24</t>
  </si>
  <si>
    <t>Plain / 18 in</t>
  </si>
  <si>
    <t>MI-SB-ME-18</t>
  </si>
  <si>
    <t>Plain / 20 in</t>
  </si>
  <si>
    <t>MI-SB-ME-20</t>
  </si>
  <si>
    <t>Plain / 22 in</t>
  </si>
  <si>
    <t>MI-SB-ME-22</t>
  </si>
  <si>
    <t>Plain / 23 In</t>
  </si>
  <si>
    <t>MI-SB-ME-23</t>
  </si>
  <si>
    <t>Plain / 24 in</t>
  </si>
  <si>
    <t>MI-SB-ME-24</t>
  </si>
  <si>
    <t>Sacred Symbols Singing Bowls</t>
  </si>
  <si>
    <t>Green / 3.5 in</t>
  </si>
  <si>
    <t>MI-SB-SS-G-3.5</t>
  </si>
  <si>
    <t>Green / 4in</t>
  </si>
  <si>
    <t>MI-SB-SS-G-4</t>
  </si>
  <si>
    <t>Green / 5.5in</t>
  </si>
  <si>
    <t>MI-SB-SS-G-5.5</t>
  </si>
  <si>
    <t>Blue / 3.5 in</t>
  </si>
  <si>
    <t>MI-SB-SS-B-3.5</t>
  </si>
  <si>
    <t>Blue / 4 in</t>
  </si>
  <si>
    <t>MI-SB-SS-B-4</t>
  </si>
  <si>
    <t>Blue / 5.5 in</t>
  </si>
  <si>
    <t>MI-SB-SS-B-5.5</t>
  </si>
  <si>
    <t>Black / 3.5 in</t>
  </si>
  <si>
    <t>MI-SB-SS-BK-3.5</t>
  </si>
  <si>
    <t>Black / 4 in</t>
  </si>
  <si>
    <t>MI-SB-SS-BK-4</t>
  </si>
  <si>
    <t>Black / 5.5 in</t>
  </si>
  <si>
    <t>MI-SB-SS-BK-5.5</t>
  </si>
  <si>
    <t>Red / 3.5 in</t>
  </si>
  <si>
    <t>MI-SB-SS-R-3.5</t>
  </si>
  <si>
    <t>Red / 4 in</t>
  </si>
  <si>
    <t>MI-SB-SS-R-4</t>
  </si>
  <si>
    <t>Red / 5.5 in</t>
  </si>
  <si>
    <t>MI-SB-SS-R-5.5</t>
  </si>
  <si>
    <t>Yellow / 3.5 in</t>
  </si>
  <si>
    <t>MI-SB-SS-Y-3.5</t>
  </si>
  <si>
    <t>Yellow / 4 in</t>
  </si>
  <si>
    <t>MI-SB-SS-Y-4</t>
  </si>
  <si>
    <t>Yellow / 5.5 in</t>
  </si>
  <si>
    <t>MI-SB-SS-Y-5.5</t>
  </si>
  <si>
    <t>Gold / 3.5 Inches</t>
  </si>
  <si>
    <t>MI-SB-SS-GO-3.5</t>
  </si>
  <si>
    <t>Gold / 4 Inches</t>
  </si>
  <si>
    <t>MI-SB-SS-GO-4</t>
  </si>
  <si>
    <t>Gold / 5.5 Inches</t>
  </si>
  <si>
    <t>MI-SB-SS-GO-5.5</t>
  </si>
  <si>
    <t>Gold / 7 Inches</t>
  </si>
  <si>
    <t>MI-SB-SS-GO-7</t>
  </si>
  <si>
    <t>Singing Bowls with Sacred Mantra Printed</t>
  </si>
  <si>
    <t>Blue / 3.5 Inches</t>
  </si>
  <si>
    <t>MI-SB-SM-B-3.5</t>
  </si>
  <si>
    <t>Blue / 4 Inches</t>
  </si>
  <si>
    <t>MI-SB-SM-B-4</t>
  </si>
  <si>
    <t>Blue / 5.5 Inches</t>
  </si>
  <si>
    <t>MI-SB-SM-B-5.5</t>
  </si>
  <si>
    <t>Black / 3.5 Inches</t>
  </si>
  <si>
    <t>MI-SB-SM-BK-3.5</t>
  </si>
  <si>
    <t>Black / 4 Inches</t>
  </si>
  <si>
    <t>MI-SB-SM-BK-4</t>
  </si>
  <si>
    <t>Black / 5.5 Inches</t>
  </si>
  <si>
    <t>MI-SB-SM-BK-5.5</t>
  </si>
  <si>
    <t>Black / 7 Inches</t>
  </si>
  <si>
    <t>MI-SB-SM-BK-7</t>
  </si>
  <si>
    <t>Green / 3.5 Inches</t>
  </si>
  <si>
    <t>MI-SB-SM-G-3.5</t>
  </si>
  <si>
    <t>Green / 4 inches</t>
  </si>
  <si>
    <t>MI-SB-SM-G-4</t>
  </si>
  <si>
    <t>Green / 5.5 Inches</t>
  </si>
  <si>
    <t>MI-SB-SM-G-5.5</t>
  </si>
  <si>
    <t>Red / 3.5 inches</t>
  </si>
  <si>
    <t>MI-SB-SM-R-3.5</t>
  </si>
  <si>
    <t>Red / 4 Inches</t>
  </si>
  <si>
    <t>MI-SB-SM-R-4</t>
  </si>
  <si>
    <t>Red / 5.5 Inches</t>
  </si>
  <si>
    <t>MI-SB-SM-R-5.5</t>
  </si>
  <si>
    <t>MI-SB-SM-GO-3.5</t>
  </si>
  <si>
    <t>MI-SB-SM-GO-4</t>
  </si>
  <si>
    <t>MI-SB-SM-GO-5.5</t>
  </si>
  <si>
    <t>MI-SB-SM-GO-7</t>
  </si>
  <si>
    <t>Singing Bowls - Flower of Life with Sacred Symbols</t>
  </si>
  <si>
    <t>Blue / 8 in</t>
  </si>
  <si>
    <t>MI-SB-FL-B-8</t>
  </si>
  <si>
    <t>Blue / 9 in</t>
  </si>
  <si>
    <t>MI-SB-FL-B-9</t>
  </si>
  <si>
    <t>Blue / 10.5in</t>
  </si>
  <si>
    <t>MI-SB-FL-B-10.5</t>
  </si>
  <si>
    <t>Brown / 8in</t>
  </si>
  <si>
    <t>MI-SB-FL-BR-8</t>
  </si>
  <si>
    <t>Brown / 9 in</t>
  </si>
  <si>
    <t>MI-SB-FL-BR-9</t>
  </si>
  <si>
    <t>Brown / 10.5</t>
  </si>
  <si>
    <t>MI-SB-FL-BR-10.5</t>
  </si>
  <si>
    <t>Green / 8in</t>
  </si>
  <si>
    <t>MI-SB-FL-G-8</t>
  </si>
  <si>
    <t>Green / 9in</t>
  </si>
  <si>
    <t>MI-SB-FL-G-9</t>
  </si>
  <si>
    <t>Green / 10.5 in</t>
  </si>
  <si>
    <t>MI-SB-FL-G-10.5</t>
  </si>
  <si>
    <t>Olive green / 8in</t>
  </si>
  <si>
    <t>MI-SB-FL-O-8</t>
  </si>
  <si>
    <t>Olive green / 9 in</t>
  </si>
  <si>
    <t>MI-SB-FL-O-9</t>
  </si>
  <si>
    <t>Olive green / 10.5in</t>
  </si>
  <si>
    <t>MI-SB-FL-O-10.5</t>
  </si>
  <si>
    <t>Dotted Singing Bowl</t>
  </si>
  <si>
    <t>4 inch</t>
  </si>
  <si>
    <t>MI-SB-DT-4</t>
  </si>
  <si>
    <t>5.5 inch</t>
  </si>
  <si>
    <t>MI-SB-DT-5.5</t>
  </si>
  <si>
    <t>7 inch</t>
  </si>
  <si>
    <t>MI-SB-DT-7</t>
  </si>
  <si>
    <t xml:space="preserve">Deep Dotted </t>
  </si>
  <si>
    <t xml:space="preserve">5.5 Inch </t>
  </si>
  <si>
    <t>MI-SB-DDT-5.5</t>
  </si>
  <si>
    <t>Singing Bowl with Mantra - Rustic Blue Colour</t>
  </si>
  <si>
    <t>6 inches</t>
  </si>
  <si>
    <t>MI-SB-RB-6</t>
  </si>
  <si>
    <t>7 Inches</t>
  </si>
  <si>
    <t>MI-SB-RB-7</t>
  </si>
  <si>
    <t>Handmade Singing Bowls - All Sizes</t>
  </si>
  <si>
    <t>Matte / 5 in</t>
  </si>
  <si>
    <t>MI-SB-HM-5</t>
  </si>
  <si>
    <t>Matte / 6 in</t>
  </si>
  <si>
    <t>MI-SB-HM-6</t>
  </si>
  <si>
    <t>Matte / 7 in</t>
  </si>
  <si>
    <t>MI-SB-HM-7</t>
  </si>
  <si>
    <t>Matte / 8in</t>
  </si>
  <si>
    <t>MI-SB-HM-8</t>
  </si>
  <si>
    <t>Matte / 9 in</t>
  </si>
  <si>
    <t>MI-SB-HM-9</t>
  </si>
  <si>
    <t>Matte / 10 in</t>
  </si>
  <si>
    <t>MI-SB-HM-10</t>
  </si>
  <si>
    <t>Matte / 11 in</t>
  </si>
  <si>
    <t>MI-SB-HM-11</t>
  </si>
  <si>
    <t>Matte / 12 in</t>
  </si>
  <si>
    <t>MI-SB-HM-12</t>
  </si>
  <si>
    <t>Matte / 13in</t>
  </si>
  <si>
    <t>MI-SB-HM-13</t>
  </si>
  <si>
    <t>Full Moon Singing Bowls - All Sizes</t>
  </si>
  <si>
    <t>5 Inches</t>
  </si>
  <si>
    <t>MI-SB-HM-FM-5</t>
  </si>
  <si>
    <t>MI-SB-HM-FM-6</t>
  </si>
  <si>
    <t>MI-SB-HM-FM-7</t>
  </si>
  <si>
    <t>8 inches</t>
  </si>
  <si>
    <t>MI-SB-HM-FM-8</t>
  </si>
  <si>
    <t>9 Inches</t>
  </si>
  <si>
    <t>MI-SB-HM-FM-9</t>
  </si>
  <si>
    <t>10 inches</t>
  </si>
  <si>
    <t>MI-SB-HM-FM-10</t>
  </si>
  <si>
    <t>11 Inches</t>
  </si>
  <si>
    <t>MI-SB-HM-FM-11</t>
  </si>
  <si>
    <t>12 inches</t>
  </si>
  <si>
    <t>MI-SB-HM-FM-12</t>
  </si>
  <si>
    <t>13 Inches</t>
  </si>
  <si>
    <t>MI-SB-HM-FM-13</t>
  </si>
  <si>
    <t>Root Chakra Singing Bowl</t>
  </si>
  <si>
    <t>MI-SB-RC</t>
  </si>
  <si>
    <t>Heart Chakra Singing Bowl</t>
  </si>
  <si>
    <t>MI-SB-HC</t>
  </si>
  <si>
    <t>Third Eye Chakra Singing Bowl</t>
  </si>
  <si>
    <t>MI-SB-TEC</t>
  </si>
  <si>
    <t>The Three Bowl Set - Root, Heart and Third Eye</t>
  </si>
  <si>
    <t>MI-SB-RHT-SET3</t>
  </si>
  <si>
    <t>The Four Bowl Set - Root, Heart, Third Eye and Universal</t>
  </si>
  <si>
    <t>MI-SB-RHTU-SET4</t>
  </si>
  <si>
    <t>GAB Set</t>
  </si>
  <si>
    <t>MI-SB-GAB-SET3</t>
  </si>
  <si>
    <t>Handcrafted Set of 7 Bowls for Sound Therapy</t>
  </si>
  <si>
    <t>Standard-Octave 3 / Matte</t>
  </si>
  <si>
    <t>MI-SB-7C-O3-M-SET7</t>
  </si>
  <si>
    <t>Standard-Octave 3 / Chakra Etching</t>
  </si>
  <si>
    <t>MI-SB-7C-O3-ET-SET7</t>
  </si>
  <si>
    <t>Standard-Octave 3 / Full Moon</t>
  </si>
  <si>
    <t>MI-SB-7C-O3-FM-SET7</t>
  </si>
  <si>
    <t>Large-Octave 2 / Matte</t>
  </si>
  <si>
    <t>MI-SB-7C-O2-M-SET7</t>
  </si>
  <si>
    <t>Large-Octave 2 / Chakra Etching</t>
  </si>
  <si>
    <t>MI-SB-7C-O2-ET-SET7</t>
  </si>
  <si>
    <t>Large-Octave 2 / Full Moon</t>
  </si>
  <si>
    <t>MI-SB-7C-O2-FM-SET7</t>
  </si>
  <si>
    <t>Universal Bowl</t>
  </si>
  <si>
    <t>MI-SB-UB</t>
  </si>
  <si>
    <t>Belly Bowls</t>
  </si>
  <si>
    <t>MI-SB-BB</t>
  </si>
  <si>
    <t>The Head Bowl</t>
  </si>
  <si>
    <t>MI-SB-HB</t>
  </si>
  <si>
    <t>Vibroacoustic Therapy Bowls - Universal, Belly and Head</t>
  </si>
  <si>
    <t>MI-SB-UBH-SET3</t>
  </si>
  <si>
    <t>Joint / Knee Cut Bowl</t>
  </si>
  <si>
    <t>MI-SB-J-8</t>
  </si>
  <si>
    <t>10in</t>
  </si>
  <si>
    <t>MI-SB-J-10</t>
  </si>
  <si>
    <t>Singing Bowl with Handle</t>
  </si>
  <si>
    <t>MI-SB-H</t>
  </si>
  <si>
    <t>Hanging Bowls/Zen Drops</t>
  </si>
  <si>
    <t>MI-SB-HB-3</t>
  </si>
  <si>
    <t>Singing Bowl Bags</t>
  </si>
  <si>
    <t>MI-SB-BG-S</t>
  </si>
  <si>
    <t>MI-SB-BG-M</t>
  </si>
  <si>
    <t>MI-SB-BG-L</t>
  </si>
  <si>
    <t>Singing Bowls Silk Ring Cushion Accessories</t>
  </si>
  <si>
    <t>Green / 10 cms</t>
  </si>
  <si>
    <t>MI-SBC-G-10</t>
  </si>
  <si>
    <t>Blue / 10 cms</t>
  </si>
  <si>
    <t>MI-SBC-B-10</t>
  </si>
  <si>
    <t>Navy Blue / 10cm</t>
  </si>
  <si>
    <t>MI-SBC-NB-10</t>
  </si>
  <si>
    <t>Black / 10cm</t>
  </si>
  <si>
    <t>MI-SBC-BK-10</t>
  </si>
  <si>
    <t>Red / 10cm</t>
  </si>
  <si>
    <t>MI-SBC-R-10</t>
  </si>
  <si>
    <t>Brown / 10cm</t>
  </si>
  <si>
    <t>MI-SBC-BR-10</t>
  </si>
  <si>
    <t>Orange / 10cm</t>
  </si>
  <si>
    <t>MI-SBC-O-10</t>
  </si>
  <si>
    <t>Yellow / 10cm</t>
  </si>
  <si>
    <t>MI-SBC-Y-10</t>
  </si>
  <si>
    <t>Pink / 10cm</t>
  </si>
  <si>
    <t>MI-SBC-PK-10</t>
  </si>
  <si>
    <t>Green / 12cm</t>
  </si>
  <si>
    <t>MI-SBC-G-12</t>
  </si>
  <si>
    <t>Blue / 12 cms</t>
  </si>
  <si>
    <t>MI-SBC-B-12</t>
  </si>
  <si>
    <t>Black / 12 cms</t>
  </si>
  <si>
    <t>MI-SBC-BK-12</t>
  </si>
  <si>
    <t>Brown / 12 cms</t>
  </si>
  <si>
    <t>MI-SBC-BR-12</t>
  </si>
  <si>
    <t>Red / 12 cms</t>
  </si>
  <si>
    <t>MI-SBC-R-12</t>
  </si>
  <si>
    <t>Pink / 12 cms</t>
  </si>
  <si>
    <t>MI-SBC-PK-12</t>
  </si>
  <si>
    <t>Orange / 12 cms</t>
  </si>
  <si>
    <t>MI-SBC-O-12</t>
  </si>
  <si>
    <t>Yellow / 12 cms</t>
  </si>
  <si>
    <t>MI-SBC-Y-12</t>
  </si>
  <si>
    <t>Navy Blue / 12 cms</t>
  </si>
  <si>
    <t>MI-SBC-NB-12</t>
  </si>
  <si>
    <t>Blue / 14 cms</t>
  </si>
  <si>
    <t>MI-SBC-B-14</t>
  </si>
  <si>
    <t>Green / 14cm</t>
  </si>
  <si>
    <t>MI-SBC-G-14</t>
  </si>
  <si>
    <t>Navy Blue / 14 cms</t>
  </si>
  <si>
    <t>MI-SBC-NB-14</t>
  </si>
  <si>
    <t>Orange / 14 cms</t>
  </si>
  <si>
    <t>MI-SBC-O-14</t>
  </si>
  <si>
    <t>Black / 14 cms</t>
  </si>
  <si>
    <t>MI-SBC-BK-14</t>
  </si>
  <si>
    <t>Red / 14 cms</t>
  </si>
  <si>
    <t>MI-SBC-R-14</t>
  </si>
  <si>
    <t>Brown / 14 cms</t>
  </si>
  <si>
    <t>MI-SBC-BR-14</t>
  </si>
  <si>
    <t>Pink / 14 cms</t>
  </si>
  <si>
    <t>MI-SBC-PK-14</t>
  </si>
  <si>
    <t>Yellow / 14 cms</t>
  </si>
  <si>
    <t>MI-SBC-Y-14</t>
  </si>
  <si>
    <t>16 cms / Blue</t>
  </si>
  <si>
    <t>MI-SBC-B-16</t>
  </si>
  <si>
    <t>Black / 16 cms</t>
  </si>
  <si>
    <t>MI-SBC-BK-16</t>
  </si>
  <si>
    <t>Brown / 16 cms</t>
  </si>
  <si>
    <t>MI-SBC-BR-16</t>
  </si>
  <si>
    <t>Orange / 16 cms</t>
  </si>
  <si>
    <t>MI-SBC-O-16</t>
  </si>
  <si>
    <t>Navy Blue / 16cms</t>
  </si>
  <si>
    <t>MI-SBC-NB-16</t>
  </si>
  <si>
    <t>Green /16cms</t>
  </si>
  <si>
    <t>MI-SBC-G-16</t>
  </si>
  <si>
    <t>Red / 16 cms</t>
  </si>
  <si>
    <t>MI-SBC-R-16</t>
  </si>
  <si>
    <t>Yellow / 16 cms</t>
  </si>
  <si>
    <t>MI-SBC-Y-16</t>
  </si>
  <si>
    <t>Pink / 16cms</t>
  </si>
  <si>
    <t>MI-SBC-PK-16</t>
  </si>
  <si>
    <t>Blue / 18cms</t>
  </si>
  <si>
    <t>MI-SBC-B-18</t>
  </si>
  <si>
    <t>Black / 18 cms</t>
  </si>
  <si>
    <t>MI-SBC-BK-18</t>
  </si>
  <si>
    <t>Green / 18cms</t>
  </si>
  <si>
    <t>MI-SBC-G-18</t>
  </si>
  <si>
    <t>Brown / 18 cms</t>
  </si>
  <si>
    <t>MI-SBC-BR-18</t>
  </si>
  <si>
    <t>Navy Blue / 18cms</t>
  </si>
  <si>
    <t>MI-SBC-NB-18</t>
  </si>
  <si>
    <t>Yellow / 18 cms</t>
  </si>
  <si>
    <t>MI-SBC-Y-18</t>
  </si>
  <si>
    <t>Pink / 18cms</t>
  </si>
  <si>
    <t>MI-SBC-PK-18</t>
  </si>
  <si>
    <t>Red / 18 cms</t>
  </si>
  <si>
    <t>MI-SBC-R-18</t>
  </si>
  <si>
    <t>Orange / 18 cms</t>
  </si>
  <si>
    <t>MI-SBC-O-18</t>
  </si>
  <si>
    <t>Blue / 20cms</t>
  </si>
  <si>
    <t>MI-SBC-B-20</t>
  </si>
  <si>
    <t>Brown / 20 cms</t>
  </si>
  <si>
    <t>MI-SBC-BR-20</t>
  </si>
  <si>
    <t>Navy Blue / 20 cms</t>
  </si>
  <si>
    <t>MI-SBC-NB-20</t>
  </si>
  <si>
    <t>Black / 20 cms</t>
  </si>
  <si>
    <t>MI-SBC-BK-20</t>
  </si>
  <si>
    <t>Orange / 20 cms</t>
  </si>
  <si>
    <t>MI-SBC-O-20</t>
  </si>
  <si>
    <t>Yellow / 20 cms</t>
  </si>
  <si>
    <t>MI-SBC-Y-20</t>
  </si>
  <si>
    <t>Green / 20 cms</t>
  </si>
  <si>
    <t>MI-SBC-G-20</t>
  </si>
  <si>
    <t>Red / 20 cms</t>
  </si>
  <si>
    <t>MI-SBC-R-20</t>
  </si>
  <si>
    <t>Pink / 20 cms</t>
  </si>
  <si>
    <t>MI-SBC-PK-20</t>
  </si>
  <si>
    <t>Blue / 22 cms</t>
  </si>
  <si>
    <t>MI-SBC-B-22</t>
  </si>
  <si>
    <t>Black / 22 cms</t>
  </si>
  <si>
    <t>MI-SBC-BK-22</t>
  </si>
  <si>
    <t>Brown / 22 cms</t>
  </si>
  <si>
    <t>MI-SBC-BR-22</t>
  </si>
  <si>
    <t>Green / 22 cms</t>
  </si>
  <si>
    <t>MI-SBC-G-22</t>
  </si>
  <si>
    <t>Navy Blue / 22 cms</t>
  </si>
  <si>
    <t>MI-SBC-NB-22</t>
  </si>
  <si>
    <t>Orange / 22 cms</t>
  </si>
  <si>
    <t>MI-SBC-O-22</t>
  </si>
  <si>
    <t>Pink / 22 cms</t>
  </si>
  <si>
    <t>MI-SBC-PK-22</t>
  </si>
  <si>
    <t>Red / 22 cms</t>
  </si>
  <si>
    <t>MI-SBC-R-22</t>
  </si>
  <si>
    <t>Yellow / 22 cms</t>
  </si>
  <si>
    <t>MI-SBC-Y-22</t>
  </si>
  <si>
    <t>Combo of 3</t>
  </si>
  <si>
    <t>MI-SBC-SET3</t>
  </si>
  <si>
    <t>Combo of 5</t>
  </si>
  <si>
    <t>MI-SBC-SET5</t>
  </si>
  <si>
    <t>Combo of 7</t>
  </si>
  <si>
    <t>MI-SBC-SET7</t>
  </si>
  <si>
    <t>Wooden Mallets for Singing Bowls</t>
  </si>
  <si>
    <t>Red / Long Firm-Standard Striker</t>
  </si>
  <si>
    <t>MI-SBM-S-LF-ST-R</t>
  </si>
  <si>
    <t>Red / Long Firm-Small Striker</t>
  </si>
  <si>
    <t>MI-SBM-S-LF-S-R</t>
  </si>
  <si>
    <t>White / Long Firm-Standard Striker</t>
  </si>
  <si>
    <t>MI-SBM-S-LF-ST-W</t>
  </si>
  <si>
    <t>White / Long Firm-Small Striker</t>
  </si>
  <si>
    <t>MI-SBM-S-LF-S-W</t>
  </si>
  <si>
    <t>Red / Long Soft-13" Striker</t>
  </si>
  <si>
    <t>MI-SBM-S-LS-R-13</t>
  </si>
  <si>
    <t>Red / Long Soft-11" Striker</t>
  </si>
  <si>
    <t>MI-SBM-S-LS-R-11</t>
  </si>
  <si>
    <t>Red / Long Soft-9" Striker</t>
  </si>
  <si>
    <t>MI-SBM-S-LS-R-9</t>
  </si>
  <si>
    <t>White / Long Soft-13" Striker</t>
  </si>
  <si>
    <t>MI-SBM-S-LS-W-13</t>
  </si>
  <si>
    <t>White / Long Soft-11" Striker</t>
  </si>
  <si>
    <t>MI-SBM-S-LS-W-11</t>
  </si>
  <si>
    <t>White / Long Soft-9" Striker</t>
  </si>
  <si>
    <t>MI-SBM-S-LS-W-9</t>
  </si>
  <si>
    <t>Black / Curved Rimmer</t>
  </si>
  <si>
    <t>MI-SBM-R-C-B</t>
  </si>
  <si>
    <t>Black / Thick Wide Rimmer</t>
  </si>
  <si>
    <t>MI-SBM-R-TW-B</t>
  </si>
  <si>
    <t>Red / Thick Wide Rimmer</t>
  </si>
  <si>
    <t>MI-SBM-R-TW-R</t>
  </si>
  <si>
    <t>Black / Standard Wide Rimmer</t>
  </si>
  <si>
    <t>MI-SBM-R-SW-B</t>
  </si>
  <si>
    <t>Red / Standard Wide Rimmer</t>
  </si>
  <si>
    <t>MI-SBM-R-SW-R</t>
  </si>
  <si>
    <t>Black / Straight Rimmer</t>
  </si>
  <si>
    <t>MI-SBM-R-ST-B</t>
  </si>
  <si>
    <t>Red / Straight Rimmer</t>
  </si>
  <si>
    <t>MI-SBM-R-ST-R</t>
  </si>
  <si>
    <t>Tibetan Buddhist Bell</t>
  </si>
  <si>
    <t>MI-BB-S</t>
  </si>
  <si>
    <t>MI-BB-M</t>
  </si>
  <si>
    <t>MI-BB-L</t>
  </si>
  <si>
    <t>MI-BB-XL</t>
  </si>
  <si>
    <t>Tingsha Bell</t>
  </si>
  <si>
    <t>Plain / Small</t>
  </si>
  <si>
    <t>MI-TB-P-S</t>
  </si>
  <si>
    <t>Plain /Medium</t>
  </si>
  <si>
    <t>MI-TB-P-M</t>
  </si>
  <si>
    <t>Plain /Large</t>
  </si>
  <si>
    <t>MI-TB-P-L</t>
  </si>
  <si>
    <t>MI-TB-D-S</t>
  </si>
  <si>
    <t>MI-TB-D-M</t>
  </si>
  <si>
    <t>MI-TB-D-L</t>
  </si>
  <si>
    <t>Etched /Small</t>
  </si>
  <si>
    <t>MI-TB-ET-S</t>
  </si>
  <si>
    <t>Etched / Medium</t>
  </si>
  <si>
    <t>MI-TB-ET-M</t>
  </si>
  <si>
    <t>Etched / Large</t>
  </si>
  <si>
    <t>MI-TB-ET-L</t>
  </si>
  <si>
    <t>Mayura Morchang Set</t>
  </si>
  <si>
    <t>Sharp</t>
  </si>
  <si>
    <t>MI-MO-MY-S</t>
  </si>
  <si>
    <t>Middle</t>
  </si>
  <si>
    <t>MI-MO-MY-M</t>
  </si>
  <si>
    <t>Bass</t>
  </si>
  <si>
    <t>MI-MO-MY-B</t>
  </si>
  <si>
    <t>MI-MO-MY-SET3</t>
  </si>
  <si>
    <t xml:space="preserve">Classic Morchang </t>
  </si>
  <si>
    <t>MI-MO-CL-S</t>
  </si>
  <si>
    <t>MI-MO-CL-M</t>
  </si>
  <si>
    <t>MI-MO-CL-B</t>
  </si>
  <si>
    <t>MI-MO-CL-SET3</t>
  </si>
  <si>
    <t xml:space="preserve">7 Chakra Morchang </t>
  </si>
  <si>
    <t>C Tune</t>
  </si>
  <si>
    <t>MI-MO-7C-C</t>
  </si>
  <si>
    <t>D Tune</t>
  </si>
  <si>
    <t>MI-MO-7C-D</t>
  </si>
  <si>
    <t>E Tune</t>
  </si>
  <si>
    <t>MI-MO-7C-E</t>
  </si>
  <si>
    <t>F Tune</t>
  </si>
  <si>
    <t>MI-MO-7C-F</t>
  </si>
  <si>
    <t>G Tune</t>
  </si>
  <si>
    <t>MI-MO-7C-G</t>
  </si>
  <si>
    <t>A Tune</t>
  </si>
  <si>
    <t>MI-MO-7C-A</t>
  </si>
  <si>
    <t>B Tune</t>
  </si>
  <si>
    <t>MI-MO-7C-B</t>
  </si>
  <si>
    <t>MI-MO-7C-SET7</t>
  </si>
  <si>
    <t>Box Tanpura</t>
  </si>
  <si>
    <t>MI-BT</t>
  </si>
  <si>
    <t>S-Shaped Didgeridoo</t>
  </si>
  <si>
    <t>MI-DG-SS-G</t>
  </si>
  <si>
    <t>MI-DG-SS-B</t>
  </si>
  <si>
    <t>MI-DG-SS-R</t>
  </si>
  <si>
    <t>Spiral/Snake Didgeridoo</t>
  </si>
  <si>
    <t>MI-DG-SP-G</t>
  </si>
  <si>
    <t>MI-DG-SP-R</t>
  </si>
  <si>
    <t>Standard Shankh</t>
  </si>
  <si>
    <t>MI-SK-ST-S</t>
  </si>
  <si>
    <t>MI-SK-ST-M</t>
  </si>
  <si>
    <t>MI-SK-ST-L</t>
  </si>
  <si>
    <t>Sughosh Shankh</t>
  </si>
  <si>
    <t>Sughosh</t>
  </si>
  <si>
    <t>MI-SK-SG</t>
  </si>
  <si>
    <t>Annapurna Shankh</t>
  </si>
  <si>
    <t>Annapurna</t>
  </si>
  <si>
    <t>MI-SK-AP</t>
  </si>
  <si>
    <t>Gomukhi Shankh</t>
  </si>
  <si>
    <t>Gomukhi</t>
  </si>
  <si>
    <t>MI-SK-GM</t>
  </si>
  <si>
    <t>Debadutta Shankh</t>
  </si>
  <si>
    <t>Debadutta</t>
  </si>
  <si>
    <t>MI-SK-DD</t>
  </si>
  <si>
    <t>Shankh Plain</t>
  </si>
  <si>
    <t>MI-SK-SM</t>
  </si>
  <si>
    <t>MI-SK-ME</t>
  </si>
  <si>
    <t>MI-SK-LE</t>
  </si>
  <si>
    <t>Harmonium</t>
  </si>
  <si>
    <t>Professional</t>
  </si>
  <si>
    <t>MI-HA-P</t>
  </si>
  <si>
    <t>Compact</t>
  </si>
  <si>
    <t>MI-HA-C</t>
  </si>
  <si>
    <t>Shruti Box</t>
  </si>
  <si>
    <t>1 Octave Standard</t>
  </si>
  <si>
    <t>MI-STB-O1</t>
  </si>
  <si>
    <t>1 Octave Mini</t>
  </si>
  <si>
    <t>MI-STB-O1-M</t>
  </si>
  <si>
    <t>2 Octaves</t>
  </si>
  <si>
    <t>MI-STB-O2</t>
  </si>
  <si>
    <t>3 Octaves</t>
  </si>
  <si>
    <t>MI-STB-O3</t>
  </si>
  <si>
    <t>Shruti Box Pedal</t>
  </si>
  <si>
    <t>Pedal</t>
  </si>
  <si>
    <t>MI-STB-P</t>
  </si>
  <si>
    <t>Native American Flute - Triple</t>
  </si>
  <si>
    <t>Triple</t>
  </si>
  <si>
    <t>MI-NF-T</t>
  </si>
  <si>
    <t>Native American Flute - Double</t>
  </si>
  <si>
    <t>Double</t>
  </si>
  <si>
    <t>MI-NF-D</t>
  </si>
  <si>
    <t>Native American Flute - Single Large</t>
  </si>
  <si>
    <t>Single Large</t>
  </si>
  <si>
    <t>MI-NF-S-L</t>
  </si>
  <si>
    <t>Native American Flute - Single Medium</t>
  </si>
  <si>
    <t>Single Medium</t>
  </si>
  <si>
    <t>MI-NF-S-M</t>
  </si>
  <si>
    <t>Native American Flute - Single Small</t>
  </si>
  <si>
    <t>Single Small</t>
  </si>
  <si>
    <t>MI-NF-S-S</t>
  </si>
  <si>
    <t>Ocarina - Small</t>
  </si>
  <si>
    <t>MI-OC-S</t>
  </si>
  <si>
    <t>Ocarina - Big</t>
  </si>
  <si>
    <t>Big</t>
  </si>
  <si>
    <t>MI-OC-B</t>
  </si>
  <si>
    <t xml:space="preserve">Swing Flute/Harmonic </t>
  </si>
  <si>
    <t>MI-SF</t>
  </si>
  <si>
    <t xml:space="preserve">Clay Whistle </t>
  </si>
  <si>
    <t>MI-CW</t>
  </si>
  <si>
    <t>Overtone Flute</t>
  </si>
  <si>
    <t>MI-OF</t>
  </si>
  <si>
    <t>Bar Chime - 25 Rods</t>
  </si>
  <si>
    <t>MI-BC-25</t>
  </si>
  <si>
    <t>Pulse Tubes</t>
  </si>
  <si>
    <t>MI-PT-L</t>
  </si>
  <si>
    <t>MI-PT-M</t>
  </si>
  <si>
    <t>MI-PT-S</t>
  </si>
  <si>
    <t>Swinging Chimes</t>
  </si>
  <si>
    <t>6 Bars</t>
  </si>
  <si>
    <t>MI-SC-6</t>
  </si>
  <si>
    <t>9 Bars</t>
  </si>
  <si>
    <t>MI-SC-9</t>
  </si>
  <si>
    <t>Element Chimes</t>
  </si>
  <si>
    <t>MI-EC</t>
  </si>
  <si>
    <t>Wind chimes</t>
  </si>
  <si>
    <t>Gold-Small</t>
  </si>
  <si>
    <t>MI-WC-GO-S</t>
  </si>
  <si>
    <t>Gold-Large</t>
  </si>
  <si>
    <t>MI-WC-GO-L</t>
  </si>
  <si>
    <t>Green-Small</t>
  </si>
  <si>
    <t>MI-WC-GR-S</t>
  </si>
  <si>
    <t>Green-Large</t>
  </si>
  <si>
    <t>MI-WC-GR-L</t>
  </si>
  <si>
    <t>Yellow-Small</t>
  </si>
  <si>
    <t>MI-WC-YE-S</t>
  </si>
  <si>
    <t>Yellow-Large</t>
  </si>
  <si>
    <t>MI-WC-YE-L</t>
  </si>
  <si>
    <t>Silver-Small</t>
  </si>
  <si>
    <t>MI-WC-SI-S</t>
  </si>
  <si>
    <t>Silver-Large</t>
  </si>
  <si>
    <t>MI-WC-SI-L</t>
  </si>
  <si>
    <t>Antique Copper-Small</t>
  </si>
  <si>
    <t>MI-WC-AC-S</t>
  </si>
  <si>
    <t>Antique Copper-Large</t>
  </si>
  <si>
    <t>MI-WC-AC-L</t>
  </si>
  <si>
    <t>Tuned Pipes</t>
  </si>
  <si>
    <t>285 Hz</t>
  </si>
  <si>
    <t>MI-TP-285</t>
  </si>
  <si>
    <t>432 Hz</t>
  </si>
  <si>
    <t>MI-TP-432</t>
  </si>
  <si>
    <t>Tuning Fork - Single Weighted &amp; Unweighted</t>
  </si>
  <si>
    <t>Weighted / 64 Hz</t>
  </si>
  <si>
    <t>MI-TF-W-64</t>
  </si>
  <si>
    <t>Weighted / 68.05 Hz</t>
  </si>
  <si>
    <t>MI-TF-W-6805</t>
  </si>
  <si>
    <t>Weighted / 93.96 Hz</t>
  </si>
  <si>
    <t>MI-TF-W-9396</t>
  </si>
  <si>
    <t>Weighted / 128 Hz</t>
  </si>
  <si>
    <t>MI-TF-W-128</t>
  </si>
  <si>
    <t>Weighted / 136.10 Hz</t>
  </si>
  <si>
    <t>MI-TF-W-13610</t>
  </si>
  <si>
    <t>Weighted / 256 Hz</t>
  </si>
  <si>
    <t>MI-TF-W-256</t>
  </si>
  <si>
    <t>Weighted / 432 Hz</t>
  </si>
  <si>
    <t>MI-TF-W-432</t>
  </si>
  <si>
    <t>Weighted / 440 Hz</t>
  </si>
  <si>
    <t>MI-TF-W-440</t>
  </si>
  <si>
    <t>Weighted / 528 Hz</t>
  </si>
  <si>
    <t>MI-TF-W-528</t>
  </si>
  <si>
    <t xml:space="preserve">Unweighted / 64 Hz </t>
  </si>
  <si>
    <t>MI-TF-UW-64</t>
  </si>
  <si>
    <t>Unweighted / 68.05 Hz</t>
  </si>
  <si>
    <t>MI-TF-UW-6805</t>
  </si>
  <si>
    <t>Unweighted / 93.96 Hz</t>
  </si>
  <si>
    <t>MI-TF-UW-9396</t>
  </si>
  <si>
    <t>Unweighted / 128 Hz</t>
  </si>
  <si>
    <t>MI-TF-UW-128</t>
  </si>
  <si>
    <t>Unweighted / 136.10 Hz</t>
  </si>
  <si>
    <t>MI-TF-UW-13610</t>
  </si>
  <si>
    <t>Unweighted / 256 Hz</t>
  </si>
  <si>
    <t>MI-TF-UW-256</t>
  </si>
  <si>
    <t>Unweighted / 432 Hz</t>
  </si>
  <si>
    <t>MI-TF-UW-432</t>
  </si>
  <si>
    <t>Unweighted /440Hz</t>
  </si>
  <si>
    <t>MI-TF-UW-440</t>
  </si>
  <si>
    <t>Unweighted / 528 Hz</t>
  </si>
  <si>
    <t>MI-TF-UW-528</t>
  </si>
  <si>
    <t>Angel Tuning Forks</t>
  </si>
  <si>
    <t>4096 Hz</t>
  </si>
  <si>
    <t>MI-TF-AG-4096</t>
  </si>
  <si>
    <t>4160 Hz</t>
  </si>
  <si>
    <t>MI-TF-AG-4160</t>
  </si>
  <si>
    <t>4225 Hz</t>
  </si>
  <si>
    <t>MI-TF-AG-4225</t>
  </si>
  <si>
    <t>Set</t>
  </si>
  <si>
    <t>MI-TF-AG-SET3</t>
  </si>
  <si>
    <t>C&amp;G Tuning Forks</t>
  </si>
  <si>
    <t>Weighted</t>
  </si>
  <si>
    <t>MI-TF-W-CG</t>
  </si>
  <si>
    <t>Unweighted</t>
  </si>
  <si>
    <t>MI-TF-UW-CG</t>
  </si>
  <si>
    <t>Tuning Fork Activators</t>
  </si>
  <si>
    <t>Activator</t>
  </si>
  <si>
    <t>MI-TF-A</t>
  </si>
  <si>
    <t>Mallet</t>
  </si>
  <si>
    <t>MI-TF-M</t>
  </si>
  <si>
    <t>Activator &amp; Mallet</t>
  </si>
  <si>
    <t>MI-TF-AM</t>
  </si>
  <si>
    <t>Tuning Fork Extensions</t>
  </si>
  <si>
    <t>Extender</t>
  </si>
  <si>
    <t>MI-TF-EX</t>
  </si>
  <si>
    <t>Circuit Boot</t>
  </si>
  <si>
    <t>MI-TF-CB</t>
  </si>
  <si>
    <t>Massage Boot</t>
  </si>
  <si>
    <t>MI-TF-MB</t>
  </si>
  <si>
    <t>Tuning Forks Gem Feet</t>
  </si>
  <si>
    <t>MI-TF-GF-M</t>
  </si>
  <si>
    <t>Yellow</t>
  </si>
  <si>
    <t>MI-TF-GF-Y</t>
  </si>
  <si>
    <t>Violet</t>
  </si>
  <si>
    <t>MI-TF-GF-V</t>
  </si>
  <si>
    <t>MI-TF-GF-B</t>
  </si>
  <si>
    <t>MI-TF-GF-G</t>
  </si>
  <si>
    <t>Dark Blue</t>
  </si>
  <si>
    <t>MI-TF-GF-DB</t>
  </si>
  <si>
    <t>MI-TF-GF-R</t>
  </si>
  <si>
    <t>MI-TF-GF-SET7</t>
  </si>
  <si>
    <t>Tuning Forks 7 Chakra Set</t>
  </si>
  <si>
    <t>Weighted / With Gem Foot</t>
  </si>
  <si>
    <t>MI-TF-7C-W-GF-SET7</t>
  </si>
  <si>
    <t>Weighted / Without Gem Foot</t>
  </si>
  <si>
    <t>MI-TF-7C-W-SET7</t>
  </si>
  <si>
    <t>Colour Weighted / With Gem Foot</t>
  </si>
  <si>
    <t>MI-TF-7C-C-W-GF-SET7</t>
  </si>
  <si>
    <t>Colour Weighted / Without Gem Foot</t>
  </si>
  <si>
    <t>MI-TF-7C-C-W-SET7</t>
  </si>
  <si>
    <t>Unweighted / With Gem Foot</t>
  </si>
  <si>
    <t>MI-TF-7C-UW-GF-SET7</t>
  </si>
  <si>
    <t>Unweighted / Without Gem Foot</t>
  </si>
  <si>
    <t>MI-TF-7C-UW-SET7</t>
  </si>
  <si>
    <t>Colour Unweighted / With Gem Foot</t>
  </si>
  <si>
    <t>MI-TF-7C-C-UW-GF-SET7</t>
  </si>
  <si>
    <t>Colour Unweighted / Without Gem Foot</t>
  </si>
  <si>
    <t>MI-TF-7C-C-UW-SET7</t>
  </si>
  <si>
    <t>Tuning Forks Solfeggio Set</t>
  </si>
  <si>
    <t>MI-TF-SF-W-SET9</t>
  </si>
  <si>
    <t>MI-TF-SF-UW-SET9</t>
  </si>
  <si>
    <t>Wooden Stand for Tuning Forks</t>
  </si>
  <si>
    <t>Three</t>
  </si>
  <si>
    <t>MI-TF-WS-3</t>
  </si>
  <si>
    <t>Five</t>
  </si>
  <si>
    <t>MI-TF-WS-5</t>
  </si>
  <si>
    <t>Seven</t>
  </si>
  <si>
    <t>MI-TF-WS-7</t>
  </si>
  <si>
    <t>Nine</t>
  </si>
  <si>
    <t>MI-TF-WS-9</t>
  </si>
  <si>
    <t>Guiro</t>
  </si>
  <si>
    <t>MI-GRO</t>
  </si>
  <si>
    <t>Khartal*3</t>
  </si>
  <si>
    <t>MI-KL</t>
  </si>
  <si>
    <t xml:space="preserve">Ankh </t>
  </si>
  <si>
    <t>MI-AH</t>
  </si>
  <si>
    <t>incense stick stand</t>
  </si>
  <si>
    <t>MI-IS-ST</t>
  </si>
  <si>
    <t>DNA Tuning Fork</t>
  </si>
  <si>
    <t>MI-TF-DNA</t>
  </si>
  <si>
    <t>Solar Bell</t>
  </si>
  <si>
    <t>MI-BL-SR</t>
  </si>
  <si>
    <t>Wooden Finger Castanet</t>
  </si>
  <si>
    <t>Black</t>
  </si>
  <si>
    <t>MI-FC-B</t>
  </si>
  <si>
    <t>MI-FC-W</t>
  </si>
  <si>
    <t>Jingle Stick</t>
  </si>
  <si>
    <t>MI-JE-S</t>
  </si>
  <si>
    <t>Ball Mallet</t>
  </si>
  <si>
    <t>MI-MT-BL</t>
  </si>
  <si>
    <t>Nipple Gong</t>
  </si>
  <si>
    <t>MI-GO-NG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</si>
</sst>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Border="1" applyFont="1"/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2" fillId="2" fontId="2" numFmtId="164" xfId="0" applyAlignment="1" applyBorder="1" applyFont="1" applyNumberFormat="1">
      <alignment horizontal="left"/>
    </xf>
    <xf borderId="2" fillId="2" fontId="2" numFmtId="164" xfId="0" applyAlignment="1" applyBorder="1" applyFont="1" applyNumberFormat="1">
      <alignment horizontal="center"/>
    </xf>
    <xf borderId="1" fillId="2" fontId="2" numFmtId="0" xfId="0" applyBorder="1" applyFont="1"/>
    <xf borderId="1" fillId="2" fontId="2" numFmtId="1" xfId="0" applyBorder="1" applyFont="1" applyNumberFormat="1"/>
    <xf borderId="1" fillId="2" fontId="2" numFmtId="164" xfId="0" applyAlignment="1" applyBorder="1" applyFont="1" applyNumberFormat="1">
      <alignment horizontal="left"/>
    </xf>
    <xf borderId="1" fillId="2" fontId="2" numFmtId="164" xfId="0" applyBorder="1" applyFont="1" applyNumberFormat="1"/>
    <xf borderId="1" fillId="2" fontId="2" numFmtId="0" xfId="0" applyAlignment="1" applyBorder="1" applyFont="1">
      <alignment horizontal="left" readingOrder="0"/>
    </xf>
    <xf borderId="1" fillId="2" fontId="3" numFmtId="1" xfId="0" applyAlignment="1" applyBorder="1" applyFont="1" applyNumberFormat="1">
      <alignment readingOrder="0"/>
    </xf>
    <xf borderId="1" fillId="2" fontId="1" numFmtId="1" xfId="0" applyBorder="1" applyFont="1" applyNumberFormat="1"/>
    <xf borderId="1" fillId="2" fontId="1" numFmtId="164" xfId="0" applyAlignment="1" applyBorder="1" applyFont="1" applyNumberFormat="1">
      <alignment horizontal="left"/>
    </xf>
    <xf borderId="1" fillId="2" fontId="1" numFmtId="164" xfId="0" applyBorder="1" applyFont="1" applyNumberFormat="1"/>
    <xf borderId="1" fillId="2" fontId="1" numFmtId="0" xfId="0" applyAlignment="1" applyBorder="1" applyFont="1">
      <alignment readingOrder="0"/>
    </xf>
    <xf borderId="1" fillId="2" fontId="3" numFmtId="1" xfId="0" applyBorder="1" applyFont="1" applyNumberFormat="1"/>
    <xf borderId="1" fillId="0" fontId="1" numFmtId="0" xfId="0" applyAlignment="1" applyBorder="1" applyFont="1">
      <alignment readingOrder="0"/>
    </xf>
    <xf borderId="1" fillId="2" fontId="1" numFmtId="1" xfId="0" applyAlignment="1" applyBorder="1" applyFont="1" applyNumberFormat="1">
      <alignment readingOrder="0"/>
    </xf>
    <xf borderId="1" fillId="2" fontId="3" numFmtId="0" xfId="0" applyAlignment="1" applyBorder="1" applyFont="1">
      <alignment horizontal="left"/>
    </xf>
    <xf borderId="1" fillId="2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/>
    </xf>
    <xf borderId="1" fillId="2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readingOrder="0"/>
    </xf>
    <xf borderId="0" fillId="3" fontId="3" numFmtId="0" xfId="0" applyAlignment="1" applyFont="1">
      <alignment readingOrder="0" vertical="bottom"/>
    </xf>
    <xf borderId="1" fillId="2" fontId="3" numFmtId="164" xfId="0" applyAlignment="1" applyBorder="1" applyFont="1" applyNumberFormat="1">
      <alignment horizontal="left"/>
    </xf>
    <xf borderId="1" fillId="2" fontId="3" numFmtId="164" xfId="0" applyBorder="1" applyFont="1" applyNumberFormat="1"/>
    <xf borderId="1" fillId="2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2" xfId="0" applyAlignment="1" applyBorder="1" applyFont="1" applyNumberFormat="1">
      <alignment horizontal="left" readingOrder="0"/>
    </xf>
    <xf borderId="0" fillId="0" fontId="6" numFmtId="0" xfId="0" applyAlignment="1" applyFont="1">
      <alignment readingOrder="0"/>
    </xf>
    <xf borderId="1" fillId="3" fontId="1" numFmtId="0" xfId="0" applyBorder="1" applyFont="1"/>
    <xf borderId="1" fillId="3" fontId="2" numFmtId="0" xfId="0" applyAlignment="1" applyBorder="1" applyFont="1">
      <alignment horizontal="left" readingOrder="0"/>
    </xf>
    <xf borderId="1" fillId="3" fontId="3" numFmtId="1" xfId="0" applyBorder="1" applyFont="1" applyNumberFormat="1"/>
    <xf borderId="1" fillId="3" fontId="1" numFmtId="164" xfId="0" applyAlignment="1" applyBorder="1" applyFont="1" applyNumberFormat="1">
      <alignment horizontal="left"/>
    </xf>
    <xf borderId="1" fillId="3" fontId="1" numFmtId="164" xfId="0" applyBorder="1" applyFont="1" applyNumberFormat="1"/>
    <xf borderId="1" fillId="3" fontId="3" numFmtId="0" xfId="0" applyBorder="1" applyFont="1"/>
    <xf borderId="1" fillId="0" fontId="1" numFmtId="0" xfId="0" applyBorder="1" applyFont="1"/>
    <xf borderId="1" fillId="0" fontId="2" numFmtId="0" xfId="0" applyAlignment="1" applyBorder="1" applyFont="1">
      <alignment horizontal="left"/>
    </xf>
    <xf borderId="1" fillId="0" fontId="3" numFmtId="1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1" fillId="0" fontId="3" numFmtId="0" xfId="0" applyBorder="1" applyFont="1"/>
    <xf borderId="1" fillId="3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9.86"/>
    <col customWidth="1" min="2" max="2" width="34.29"/>
    <col customWidth="1" min="3" max="3" width="29.43"/>
    <col customWidth="1" min="4" max="4" width="16.14"/>
    <col customWidth="1" min="5" max="5" width="22.14"/>
    <col customWidth="1" min="6" max="6" width="14.71"/>
    <col customWidth="1" min="7" max="8" width="11.71"/>
    <col customWidth="1" min="9" max="9" width="8.14"/>
    <col customWidth="1" min="10" max="10" width="10.43"/>
    <col customWidth="1" min="11" max="12" width="12.43"/>
  </cols>
  <sheetData>
    <row r="1" ht="15.0" customHeight="1">
      <c r="A1" s="1" t="s">
        <v>0</v>
      </c>
      <c r="B1" s="1"/>
      <c r="C1" s="1"/>
      <c r="D1" s="2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ht="15.0" customHeight="1">
      <c r="A2" s="1"/>
      <c r="B2" s="1"/>
      <c r="C2" s="1"/>
      <c r="D2" s="2"/>
      <c r="E2" s="4"/>
      <c r="F2" s="5"/>
      <c r="G2" s="6" t="s">
        <v>2</v>
      </c>
      <c r="H2" s="5"/>
      <c r="I2" s="7" t="s">
        <v>3</v>
      </c>
      <c r="J2" s="5"/>
      <c r="K2" s="7" t="s">
        <v>4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ht="42.75" customHeight="1">
      <c r="A3" s="8" t="s">
        <v>5</v>
      </c>
      <c r="B3" s="8" t="s">
        <v>6</v>
      </c>
      <c r="C3" s="8" t="s">
        <v>7</v>
      </c>
      <c r="D3" s="2" t="s">
        <v>8</v>
      </c>
      <c r="E3" s="8" t="s">
        <v>9</v>
      </c>
      <c r="F3" s="9" t="s">
        <v>10</v>
      </c>
      <c r="G3" s="10" t="s">
        <v>9</v>
      </c>
      <c r="H3" s="10" t="s">
        <v>11</v>
      </c>
      <c r="I3" s="11" t="s">
        <v>9</v>
      </c>
      <c r="J3" s="11" t="s">
        <v>11</v>
      </c>
      <c r="K3" s="11" t="s">
        <v>9</v>
      </c>
      <c r="L3" s="11" t="s">
        <v>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ht="15.75" customHeight="1">
      <c r="A4" s="1" t="s">
        <v>12</v>
      </c>
      <c r="B4" s="1"/>
      <c r="C4" s="1" t="s">
        <v>13</v>
      </c>
      <c r="D4" s="12">
        <v>2.0</v>
      </c>
      <c r="E4" s="13">
        <v>1790.0</v>
      </c>
      <c r="F4" s="14">
        <v>1599.0</v>
      </c>
      <c r="G4" s="15">
        <f t="shared" ref="G4:H4" si="1">E4/94</f>
        <v>19.04255319</v>
      </c>
      <c r="H4" s="15">
        <f t="shared" si="1"/>
        <v>17.0106383</v>
      </c>
      <c r="I4" s="16">
        <f t="shared" ref="I4:J4" si="2">E4/24</f>
        <v>74.58333333</v>
      </c>
      <c r="J4" s="16">
        <f t="shared" si="2"/>
        <v>66.625</v>
      </c>
      <c r="K4" s="16">
        <f t="shared" ref="K4:L4" si="3">E4/125</f>
        <v>14.32</v>
      </c>
      <c r="L4" s="16">
        <f t="shared" si="3"/>
        <v>12.792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ht="15.0" customHeight="1">
      <c r="A5" s="1" t="s">
        <v>14</v>
      </c>
      <c r="B5" s="1" t="s">
        <v>15</v>
      </c>
      <c r="C5" s="17" t="s">
        <v>16</v>
      </c>
      <c r="D5" s="12">
        <v>50.0</v>
      </c>
      <c r="E5" s="13">
        <v>299.0</v>
      </c>
      <c r="F5" s="14">
        <v>275.0</v>
      </c>
      <c r="G5" s="15">
        <f t="shared" ref="G5:H5" si="4">E5/94</f>
        <v>3.180851064</v>
      </c>
      <c r="H5" s="15">
        <f t="shared" si="4"/>
        <v>2.925531915</v>
      </c>
      <c r="I5" s="16">
        <f t="shared" ref="I5:J5" si="5">E5/24</f>
        <v>12.45833333</v>
      </c>
      <c r="J5" s="16">
        <f t="shared" si="5"/>
        <v>11.45833333</v>
      </c>
      <c r="K5" s="16">
        <f t="shared" ref="K5:L5" si="6">E5/125</f>
        <v>2.392</v>
      </c>
      <c r="L5" s="16">
        <f t="shared" si="6"/>
        <v>2.2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ht="15.75" customHeight="1">
      <c r="A6" s="1"/>
      <c r="B6" s="1" t="s">
        <v>17</v>
      </c>
      <c r="C6" s="17" t="s">
        <v>18</v>
      </c>
      <c r="D6" s="12">
        <v>50.0</v>
      </c>
      <c r="E6" s="13">
        <v>299.0</v>
      </c>
      <c r="F6" s="14">
        <v>275.0</v>
      </c>
      <c r="G6" s="15">
        <f t="shared" ref="G6:H6" si="7">E6/94</f>
        <v>3.180851064</v>
      </c>
      <c r="H6" s="15">
        <f t="shared" si="7"/>
        <v>2.925531915</v>
      </c>
      <c r="I6" s="16">
        <f t="shared" ref="I6:J6" si="8">E6/24</f>
        <v>12.45833333</v>
      </c>
      <c r="J6" s="16">
        <f t="shared" si="8"/>
        <v>11.45833333</v>
      </c>
      <c r="K6" s="16">
        <f t="shared" ref="K6:L6" si="9">E6/125</f>
        <v>2.392</v>
      </c>
      <c r="L6" s="16">
        <f t="shared" si="9"/>
        <v>2.2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ht="15.75" customHeight="1">
      <c r="A7" s="1"/>
      <c r="B7" s="1" t="s">
        <v>19</v>
      </c>
      <c r="C7" s="17" t="s">
        <v>20</v>
      </c>
      <c r="D7" s="12">
        <v>50.0</v>
      </c>
      <c r="E7" s="13">
        <v>299.0</v>
      </c>
      <c r="F7" s="14">
        <v>275.0</v>
      </c>
      <c r="G7" s="15">
        <f t="shared" ref="G7:H7" si="10">E7/94</f>
        <v>3.180851064</v>
      </c>
      <c r="H7" s="15">
        <f t="shared" si="10"/>
        <v>2.925531915</v>
      </c>
      <c r="I7" s="16">
        <f t="shared" ref="I7:J7" si="11">E7/24</f>
        <v>12.45833333</v>
      </c>
      <c r="J7" s="16">
        <f t="shared" si="11"/>
        <v>11.45833333</v>
      </c>
      <c r="K7" s="16">
        <f t="shared" ref="K7:L7" si="12">E7/125</f>
        <v>2.392</v>
      </c>
      <c r="L7" s="16">
        <f t="shared" si="12"/>
        <v>2.2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ht="15.75" customHeight="1">
      <c r="A8" s="1"/>
      <c r="B8" s="1" t="s">
        <v>21</v>
      </c>
      <c r="C8" s="17" t="s">
        <v>22</v>
      </c>
      <c r="D8" s="12">
        <v>50.0</v>
      </c>
      <c r="E8" s="13">
        <v>299.0</v>
      </c>
      <c r="F8" s="14">
        <v>275.0</v>
      </c>
      <c r="G8" s="15">
        <f t="shared" ref="G8:H8" si="13">E8/94</f>
        <v>3.180851064</v>
      </c>
      <c r="H8" s="15">
        <f t="shared" si="13"/>
        <v>2.925531915</v>
      </c>
      <c r="I8" s="16">
        <f t="shared" ref="I8:J8" si="14">E8/24</f>
        <v>12.45833333</v>
      </c>
      <c r="J8" s="16">
        <f t="shared" si="14"/>
        <v>11.45833333</v>
      </c>
      <c r="K8" s="16">
        <f t="shared" ref="K8:L8" si="15">E8/125</f>
        <v>2.392</v>
      </c>
      <c r="L8" s="16">
        <f t="shared" si="15"/>
        <v>2.2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ht="15.75" customHeight="1">
      <c r="A9" s="1"/>
      <c r="B9" s="1" t="s">
        <v>23</v>
      </c>
      <c r="C9" s="17" t="s">
        <v>24</v>
      </c>
      <c r="D9" s="12">
        <v>50.0</v>
      </c>
      <c r="E9" s="13">
        <v>299.0</v>
      </c>
      <c r="F9" s="14">
        <v>275.0</v>
      </c>
      <c r="G9" s="15">
        <f t="shared" ref="G9:H9" si="16">E9/94</f>
        <v>3.180851064</v>
      </c>
      <c r="H9" s="15">
        <f t="shared" si="16"/>
        <v>2.925531915</v>
      </c>
      <c r="I9" s="16">
        <f t="shared" ref="I9:J9" si="17">E9/24</f>
        <v>12.45833333</v>
      </c>
      <c r="J9" s="16">
        <f t="shared" si="17"/>
        <v>11.45833333</v>
      </c>
      <c r="K9" s="16">
        <f t="shared" ref="K9:L9" si="18">E9/125</f>
        <v>2.392</v>
      </c>
      <c r="L9" s="16">
        <f t="shared" si="18"/>
        <v>2.2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ht="15.75" customHeight="1">
      <c r="A10" s="1" t="s">
        <v>25</v>
      </c>
      <c r="B10" s="1" t="s">
        <v>26</v>
      </c>
      <c r="C10" s="17" t="s">
        <v>27</v>
      </c>
      <c r="D10" s="12">
        <v>200.0</v>
      </c>
      <c r="E10" s="13">
        <v>195.0</v>
      </c>
      <c r="F10" s="1">
        <v>165.0</v>
      </c>
      <c r="G10" s="15">
        <f t="shared" ref="G10:H10" si="19">E10/94</f>
        <v>2.074468085</v>
      </c>
      <c r="H10" s="15">
        <f t="shared" si="19"/>
        <v>1.755319149</v>
      </c>
      <c r="I10" s="16">
        <f t="shared" ref="I10:J10" si="20">E10/24</f>
        <v>8.125</v>
      </c>
      <c r="J10" s="16">
        <f t="shared" si="20"/>
        <v>6.875</v>
      </c>
      <c r="K10" s="16">
        <f t="shared" ref="K10:L10" si="21">E10/125</f>
        <v>1.56</v>
      </c>
      <c r="L10" s="16">
        <f t="shared" si="21"/>
        <v>1.32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ht="15.75" customHeight="1">
      <c r="A11" s="1"/>
      <c r="B11" s="1" t="s">
        <v>28</v>
      </c>
      <c r="C11" s="1" t="s">
        <v>29</v>
      </c>
      <c r="D11" s="12">
        <v>100.0</v>
      </c>
      <c r="E11" s="13">
        <v>299.0</v>
      </c>
      <c r="F11" s="1">
        <v>265.0</v>
      </c>
      <c r="G11" s="15">
        <f t="shared" ref="G11:H11" si="22">E11/94</f>
        <v>3.180851064</v>
      </c>
      <c r="H11" s="15">
        <f t="shared" si="22"/>
        <v>2.819148936</v>
      </c>
      <c r="I11" s="16">
        <f t="shared" ref="I11:J11" si="23">E11/24</f>
        <v>12.45833333</v>
      </c>
      <c r="J11" s="16">
        <f t="shared" si="23"/>
        <v>11.04166667</v>
      </c>
      <c r="K11" s="16">
        <f t="shared" ref="K11:L11" si="24">E11/125</f>
        <v>2.392</v>
      </c>
      <c r="L11" s="16">
        <f t="shared" si="24"/>
        <v>2.12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ht="15.75" customHeight="1">
      <c r="A12" s="1"/>
      <c r="B12" s="1" t="s">
        <v>30</v>
      </c>
      <c r="C12" s="1" t="s">
        <v>31</v>
      </c>
      <c r="D12" s="12">
        <v>50.0</v>
      </c>
      <c r="E12" s="13">
        <v>449.0</v>
      </c>
      <c r="F12" s="1">
        <v>395.0</v>
      </c>
      <c r="G12" s="15">
        <f t="shared" ref="G12:H12" si="25">E12/94</f>
        <v>4.776595745</v>
      </c>
      <c r="H12" s="15">
        <f t="shared" si="25"/>
        <v>4.20212766</v>
      </c>
      <c r="I12" s="16">
        <f t="shared" ref="I12:J12" si="26">E12/24</f>
        <v>18.70833333</v>
      </c>
      <c r="J12" s="16">
        <f t="shared" si="26"/>
        <v>16.45833333</v>
      </c>
      <c r="K12" s="16">
        <f t="shared" ref="K12:L12" si="27">E12/125</f>
        <v>3.592</v>
      </c>
      <c r="L12" s="16">
        <f t="shared" si="27"/>
        <v>3.16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ht="15.0" customHeight="1">
      <c r="A13" s="1" t="s">
        <v>32</v>
      </c>
      <c r="B13" s="1" t="s">
        <v>33</v>
      </c>
      <c r="C13" s="1" t="s">
        <v>34</v>
      </c>
      <c r="D13" s="12">
        <v>300.0</v>
      </c>
      <c r="E13" s="13">
        <v>225.0</v>
      </c>
      <c r="F13" s="14">
        <v>199.0</v>
      </c>
      <c r="G13" s="15">
        <f t="shared" ref="G13:H13" si="28">E13/94</f>
        <v>2.393617021</v>
      </c>
      <c r="H13" s="15">
        <f t="shared" si="28"/>
        <v>2.117021277</v>
      </c>
      <c r="I13" s="16">
        <f t="shared" ref="I13:J13" si="29">E13/24</f>
        <v>9.375</v>
      </c>
      <c r="J13" s="16">
        <f t="shared" si="29"/>
        <v>8.291666667</v>
      </c>
      <c r="K13" s="16">
        <f t="shared" ref="K13:L13" si="30">E13/125</f>
        <v>1.8</v>
      </c>
      <c r="L13" s="16">
        <f t="shared" si="30"/>
        <v>1.592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ht="15.75" customHeight="1">
      <c r="A14" s="1"/>
      <c r="B14" s="1" t="s">
        <v>35</v>
      </c>
      <c r="C14" s="1" t="s">
        <v>36</v>
      </c>
      <c r="D14" s="12">
        <v>150.0</v>
      </c>
      <c r="E14" s="18">
        <f t="shared" ref="E14:E22" si="34">F14+(F14*12%)</f>
        <v>334.88</v>
      </c>
      <c r="F14" s="14">
        <v>299.0</v>
      </c>
      <c r="G14" s="15">
        <f t="shared" ref="G14:H14" si="31">E14/94</f>
        <v>3.562553191</v>
      </c>
      <c r="H14" s="15">
        <f t="shared" si="31"/>
        <v>3.180851064</v>
      </c>
      <c r="I14" s="16">
        <f t="shared" ref="I14:J14" si="32">E14/24</f>
        <v>13.95333333</v>
      </c>
      <c r="J14" s="16">
        <f t="shared" si="32"/>
        <v>12.45833333</v>
      </c>
      <c r="K14" s="16">
        <f t="shared" ref="K14:L14" si="33">E14/125</f>
        <v>2.67904</v>
      </c>
      <c r="L14" s="16">
        <f t="shared" si="33"/>
        <v>2.392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ht="15.0" customHeight="1">
      <c r="A15" s="1" t="s">
        <v>37</v>
      </c>
      <c r="B15" s="1" t="s">
        <v>38</v>
      </c>
      <c r="C15" s="17" t="s">
        <v>39</v>
      </c>
      <c r="D15" s="2"/>
      <c r="E15" s="18">
        <f t="shared" si="34"/>
        <v>1108.8</v>
      </c>
      <c r="F15" s="14">
        <v>990.0</v>
      </c>
      <c r="G15" s="15">
        <f t="shared" ref="G15:H15" si="35">E15/94</f>
        <v>11.79574468</v>
      </c>
      <c r="H15" s="15">
        <f t="shared" si="35"/>
        <v>10.53191489</v>
      </c>
      <c r="I15" s="16">
        <f t="shared" ref="I15:J15" si="36">E15/24</f>
        <v>46.2</v>
      </c>
      <c r="J15" s="16">
        <f t="shared" si="36"/>
        <v>41.25</v>
      </c>
      <c r="K15" s="16">
        <f t="shared" ref="K15:L15" si="37">E15/125</f>
        <v>8.8704</v>
      </c>
      <c r="L15" s="16">
        <f t="shared" si="37"/>
        <v>7.92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ht="15.75" customHeight="1">
      <c r="A16" s="1"/>
      <c r="B16" s="1" t="s">
        <v>40</v>
      </c>
      <c r="C16" s="17" t="s">
        <v>41</v>
      </c>
      <c r="D16" s="2"/>
      <c r="E16" s="18">
        <f t="shared" si="34"/>
        <v>1108.8</v>
      </c>
      <c r="F16" s="14">
        <v>990.0</v>
      </c>
      <c r="G16" s="15">
        <f t="shared" ref="G16:H16" si="38">E16/94</f>
        <v>11.79574468</v>
      </c>
      <c r="H16" s="15">
        <f t="shared" si="38"/>
        <v>10.53191489</v>
      </c>
      <c r="I16" s="16">
        <f t="shared" ref="I16:J16" si="39">E16/24</f>
        <v>46.2</v>
      </c>
      <c r="J16" s="16">
        <f t="shared" si="39"/>
        <v>41.25</v>
      </c>
      <c r="K16" s="16">
        <f t="shared" ref="K16:L16" si="40">E16/125</f>
        <v>8.8704</v>
      </c>
      <c r="L16" s="16">
        <f t="shared" si="40"/>
        <v>7.92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ht="15.75" customHeight="1">
      <c r="A17" s="1"/>
      <c r="B17" s="1" t="s">
        <v>42</v>
      </c>
      <c r="C17" s="17" t="s">
        <v>43</v>
      </c>
      <c r="D17" s="2"/>
      <c r="E17" s="18">
        <f t="shared" si="34"/>
        <v>1512</v>
      </c>
      <c r="F17" s="14">
        <v>1350.0</v>
      </c>
      <c r="G17" s="15">
        <f t="shared" ref="G17:H17" si="41">E17/94</f>
        <v>16.08510638</v>
      </c>
      <c r="H17" s="15">
        <f t="shared" si="41"/>
        <v>14.36170213</v>
      </c>
      <c r="I17" s="16">
        <f t="shared" ref="I17:J17" si="42">E17/24</f>
        <v>63</v>
      </c>
      <c r="J17" s="16">
        <f t="shared" si="42"/>
        <v>56.25</v>
      </c>
      <c r="K17" s="16">
        <f t="shared" ref="K17:L17" si="43">E17/125</f>
        <v>12.096</v>
      </c>
      <c r="L17" s="16">
        <f t="shared" si="43"/>
        <v>10.8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ht="15.75" customHeight="1">
      <c r="A18" s="1"/>
      <c r="B18" s="1" t="s">
        <v>44</v>
      </c>
      <c r="C18" s="17" t="s">
        <v>45</v>
      </c>
      <c r="D18" s="2"/>
      <c r="E18" s="18">
        <f t="shared" si="34"/>
        <v>1388.8</v>
      </c>
      <c r="F18" s="14">
        <v>1240.0</v>
      </c>
      <c r="G18" s="15">
        <f t="shared" ref="G18:H18" si="44">E18/94</f>
        <v>14.77446809</v>
      </c>
      <c r="H18" s="15">
        <f t="shared" si="44"/>
        <v>13.19148936</v>
      </c>
      <c r="I18" s="16">
        <f t="shared" ref="I18:J18" si="45">E18/24</f>
        <v>57.86666667</v>
      </c>
      <c r="J18" s="16">
        <f t="shared" si="45"/>
        <v>51.66666667</v>
      </c>
      <c r="K18" s="16">
        <f t="shared" ref="K18:L18" si="46">E18/125</f>
        <v>11.1104</v>
      </c>
      <c r="L18" s="16">
        <f t="shared" si="46"/>
        <v>9.92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ht="15.75" customHeight="1">
      <c r="A19" s="1" t="s">
        <v>46</v>
      </c>
      <c r="B19" s="1" t="s">
        <v>47</v>
      </c>
      <c r="C19" s="17" t="s">
        <v>48</v>
      </c>
      <c r="D19" s="2"/>
      <c r="E19" s="18">
        <f t="shared" si="34"/>
        <v>1220.8</v>
      </c>
      <c r="F19" s="14">
        <v>1090.0</v>
      </c>
      <c r="G19" s="15">
        <f t="shared" ref="G19:H19" si="47">E19/94</f>
        <v>12.98723404</v>
      </c>
      <c r="H19" s="15">
        <f t="shared" si="47"/>
        <v>11.59574468</v>
      </c>
      <c r="I19" s="16">
        <f t="shared" ref="I19:J19" si="48">E19/24</f>
        <v>50.86666667</v>
      </c>
      <c r="J19" s="16">
        <f t="shared" si="48"/>
        <v>45.41666667</v>
      </c>
      <c r="K19" s="16">
        <f t="shared" ref="K19:L19" si="49">E19/125</f>
        <v>9.7664</v>
      </c>
      <c r="L19" s="16">
        <f t="shared" si="49"/>
        <v>8.72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ht="15.75" customHeight="1">
      <c r="A20" s="1"/>
      <c r="B20" s="1" t="s">
        <v>49</v>
      </c>
      <c r="C20" s="17" t="s">
        <v>50</v>
      </c>
      <c r="D20" s="2"/>
      <c r="E20" s="18">
        <f t="shared" si="34"/>
        <v>1220.8</v>
      </c>
      <c r="F20" s="14">
        <v>1090.0</v>
      </c>
      <c r="G20" s="15">
        <f t="shared" ref="G20:H20" si="50">E20/94</f>
        <v>12.98723404</v>
      </c>
      <c r="H20" s="15">
        <f t="shared" si="50"/>
        <v>11.59574468</v>
      </c>
      <c r="I20" s="16">
        <f t="shared" ref="I20:J20" si="51">E20/24</f>
        <v>50.86666667</v>
      </c>
      <c r="J20" s="16">
        <f t="shared" si="51"/>
        <v>45.41666667</v>
      </c>
      <c r="K20" s="16">
        <f t="shared" ref="K20:L20" si="52">E20/125</f>
        <v>9.7664</v>
      </c>
      <c r="L20" s="16">
        <f t="shared" si="52"/>
        <v>8.72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ht="15.75" customHeight="1">
      <c r="A21" s="1"/>
      <c r="B21" s="1" t="s">
        <v>51</v>
      </c>
      <c r="C21" s="17" t="s">
        <v>52</v>
      </c>
      <c r="D21" s="2"/>
      <c r="E21" s="18">
        <f t="shared" si="34"/>
        <v>1556.8</v>
      </c>
      <c r="F21" s="14">
        <v>1390.0</v>
      </c>
      <c r="G21" s="15">
        <f t="shared" ref="G21:H21" si="53">E21/94</f>
        <v>16.56170213</v>
      </c>
      <c r="H21" s="15">
        <f t="shared" si="53"/>
        <v>14.78723404</v>
      </c>
      <c r="I21" s="16">
        <f t="shared" ref="I21:J21" si="54">E21/24</f>
        <v>64.86666667</v>
      </c>
      <c r="J21" s="16">
        <f t="shared" si="54"/>
        <v>57.91666667</v>
      </c>
      <c r="K21" s="16">
        <f t="shared" ref="K21:L21" si="55">E21/125</f>
        <v>12.4544</v>
      </c>
      <c r="L21" s="16">
        <f t="shared" si="55"/>
        <v>11.12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ht="15.75" customHeight="1">
      <c r="A22" s="1"/>
      <c r="B22" s="1" t="s">
        <v>53</v>
      </c>
      <c r="C22" s="17" t="s">
        <v>54</v>
      </c>
      <c r="D22" s="2"/>
      <c r="E22" s="18">
        <f t="shared" si="34"/>
        <v>1444.8</v>
      </c>
      <c r="F22" s="14">
        <v>1290.0</v>
      </c>
      <c r="G22" s="15">
        <f t="shared" ref="G22:H22" si="56">E22/94</f>
        <v>15.37021277</v>
      </c>
      <c r="H22" s="15">
        <f t="shared" si="56"/>
        <v>13.72340426</v>
      </c>
      <c r="I22" s="16">
        <f t="shared" ref="I22:J22" si="57">E22/24</f>
        <v>60.2</v>
      </c>
      <c r="J22" s="16">
        <f t="shared" si="57"/>
        <v>53.75</v>
      </c>
      <c r="K22" s="16">
        <f t="shared" ref="K22:L22" si="58">E22/125</f>
        <v>11.5584</v>
      </c>
      <c r="L22" s="16">
        <f t="shared" si="58"/>
        <v>10.32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ht="15.0" customHeight="1">
      <c r="A23" s="17" t="s">
        <v>55</v>
      </c>
      <c r="B23" s="1" t="s">
        <v>42</v>
      </c>
      <c r="C23" s="19" t="s">
        <v>56</v>
      </c>
      <c r="D23" s="12">
        <v>39.0</v>
      </c>
      <c r="E23" s="13">
        <v>1557.0</v>
      </c>
      <c r="F23" s="20">
        <v>1390.0</v>
      </c>
      <c r="G23" s="15">
        <f t="shared" ref="G23:H23" si="59">E23/94</f>
        <v>16.56382979</v>
      </c>
      <c r="H23" s="15">
        <f t="shared" si="59"/>
        <v>14.78723404</v>
      </c>
      <c r="I23" s="16">
        <f t="shared" ref="I23:J23" si="60">E23/24</f>
        <v>64.875</v>
      </c>
      <c r="J23" s="16">
        <f t="shared" si="60"/>
        <v>57.91666667</v>
      </c>
      <c r="K23" s="16">
        <f t="shared" ref="K23:L23" si="61">E23/125</f>
        <v>12.456</v>
      </c>
      <c r="L23" s="16">
        <f t="shared" si="61"/>
        <v>11.12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ht="15.75" customHeight="1">
      <c r="A24" s="1"/>
      <c r="B24" s="17" t="s">
        <v>44</v>
      </c>
      <c r="C24" s="19" t="s">
        <v>57</v>
      </c>
      <c r="D24" s="12">
        <v>39.0</v>
      </c>
      <c r="E24" s="18">
        <f t="shared" ref="E24:E109" si="65">F24+(F24*12%)</f>
        <v>1444.8</v>
      </c>
      <c r="F24" s="14">
        <v>1290.0</v>
      </c>
      <c r="G24" s="15">
        <f t="shared" ref="G24:H24" si="62">E24/94</f>
        <v>15.37021277</v>
      </c>
      <c r="H24" s="15">
        <f t="shared" si="62"/>
        <v>13.72340426</v>
      </c>
      <c r="I24" s="16">
        <f t="shared" ref="I24:J24" si="63">E24/24</f>
        <v>60.2</v>
      </c>
      <c r="J24" s="16">
        <f t="shared" si="63"/>
        <v>53.75</v>
      </c>
      <c r="K24" s="16">
        <f t="shared" ref="K24:L24" si="64">E24/125</f>
        <v>11.5584</v>
      </c>
      <c r="L24" s="16">
        <f t="shared" si="64"/>
        <v>10.32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ht="15.75" customHeight="1">
      <c r="A25" s="1"/>
      <c r="B25" s="17" t="s">
        <v>58</v>
      </c>
      <c r="C25" s="19" t="s">
        <v>59</v>
      </c>
      <c r="D25" s="12">
        <v>4.0</v>
      </c>
      <c r="E25" s="18">
        <f t="shared" si="65"/>
        <v>1444.8</v>
      </c>
      <c r="F25" s="20">
        <v>1290.0</v>
      </c>
      <c r="G25" s="15">
        <f t="shared" ref="G25:H25" si="66">E25/94</f>
        <v>15.37021277</v>
      </c>
      <c r="H25" s="15">
        <f t="shared" si="66"/>
        <v>13.72340426</v>
      </c>
      <c r="I25" s="16">
        <f t="shared" ref="I25:J25" si="67">E25/24</f>
        <v>60.2</v>
      </c>
      <c r="J25" s="16">
        <f t="shared" si="67"/>
        <v>53.75</v>
      </c>
      <c r="K25" s="16">
        <f t="shared" ref="K25:L25" si="68">E25/125</f>
        <v>11.5584</v>
      </c>
      <c r="L25" s="16">
        <f t="shared" si="68"/>
        <v>10.32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ht="15.75" customHeight="1">
      <c r="A26" s="1"/>
      <c r="B26" s="1" t="s">
        <v>60</v>
      </c>
      <c r="C26" s="19" t="s">
        <v>61</v>
      </c>
      <c r="D26" s="12">
        <v>4.0</v>
      </c>
      <c r="E26" s="18">
        <f t="shared" si="65"/>
        <v>1556.8</v>
      </c>
      <c r="F26" s="20">
        <v>1390.0</v>
      </c>
      <c r="G26" s="15">
        <f t="shared" ref="G26:H26" si="69">E26/94</f>
        <v>16.56170213</v>
      </c>
      <c r="H26" s="15">
        <f t="shared" si="69"/>
        <v>14.78723404</v>
      </c>
      <c r="I26" s="16">
        <f t="shared" ref="I26:J26" si="70">E26/24</f>
        <v>64.86666667</v>
      </c>
      <c r="J26" s="16">
        <f t="shared" si="70"/>
        <v>57.91666667</v>
      </c>
      <c r="K26" s="16">
        <f t="shared" ref="K26:L26" si="71">E26/125</f>
        <v>12.4544</v>
      </c>
      <c r="L26" s="16">
        <f t="shared" si="71"/>
        <v>11.12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ht="15.0" customHeight="1">
      <c r="A27" s="1" t="s">
        <v>62</v>
      </c>
      <c r="B27" s="1" t="s">
        <v>63</v>
      </c>
      <c r="C27" s="17" t="s">
        <v>64</v>
      </c>
      <c r="D27" s="12">
        <v>70.0</v>
      </c>
      <c r="E27" s="18">
        <f t="shared" si="65"/>
        <v>1342.88</v>
      </c>
      <c r="F27" s="1">
        <v>1199.0</v>
      </c>
      <c r="G27" s="15">
        <f t="shared" ref="G27:H27" si="72">E27/94</f>
        <v>14.28595745</v>
      </c>
      <c r="H27" s="15">
        <f t="shared" si="72"/>
        <v>12.75531915</v>
      </c>
      <c r="I27" s="16">
        <f t="shared" ref="I27:J27" si="73">E27/24</f>
        <v>55.95333333</v>
      </c>
      <c r="J27" s="16">
        <f t="shared" si="73"/>
        <v>49.95833333</v>
      </c>
      <c r="K27" s="16">
        <f t="shared" ref="K27:L27" si="74">E27/125</f>
        <v>10.74304</v>
      </c>
      <c r="L27" s="16">
        <f t="shared" si="74"/>
        <v>9.592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ht="15.75" customHeight="1">
      <c r="A28" s="1"/>
      <c r="B28" s="1" t="s">
        <v>65</v>
      </c>
      <c r="C28" s="17" t="s">
        <v>66</v>
      </c>
      <c r="D28" s="12">
        <v>70.0</v>
      </c>
      <c r="E28" s="18">
        <f t="shared" si="65"/>
        <v>1230.88</v>
      </c>
      <c r="F28" s="1">
        <v>1099.0</v>
      </c>
      <c r="G28" s="15">
        <f t="shared" ref="G28:H28" si="75">E28/94</f>
        <v>13.09446809</v>
      </c>
      <c r="H28" s="15">
        <f t="shared" si="75"/>
        <v>11.69148936</v>
      </c>
      <c r="I28" s="16">
        <f t="shared" ref="I28:J28" si="76">E28/24</f>
        <v>51.28666667</v>
      </c>
      <c r="J28" s="16">
        <f t="shared" si="76"/>
        <v>45.79166667</v>
      </c>
      <c r="K28" s="16">
        <f t="shared" ref="K28:L28" si="77">E28/125</f>
        <v>9.84704</v>
      </c>
      <c r="L28" s="16">
        <f t="shared" si="77"/>
        <v>8.792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ht="15.75" customHeight="1">
      <c r="A29" s="1"/>
      <c r="B29" s="1" t="s">
        <v>67</v>
      </c>
      <c r="C29" s="17" t="s">
        <v>68</v>
      </c>
      <c r="D29" s="12">
        <v>38.0</v>
      </c>
      <c r="E29" s="18">
        <f t="shared" si="65"/>
        <v>1342.88</v>
      </c>
      <c r="F29" s="1">
        <v>1199.0</v>
      </c>
      <c r="G29" s="15">
        <f t="shared" ref="G29:H29" si="78">E29/94</f>
        <v>14.28595745</v>
      </c>
      <c r="H29" s="15">
        <f t="shared" si="78"/>
        <v>12.75531915</v>
      </c>
      <c r="I29" s="16">
        <f t="shared" ref="I29:J29" si="79">E29/24</f>
        <v>55.95333333</v>
      </c>
      <c r="J29" s="16">
        <f t="shared" si="79"/>
        <v>49.95833333</v>
      </c>
      <c r="K29" s="16">
        <f t="shared" ref="K29:L29" si="80">E29/125</f>
        <v>10.74304</v>
      </c>
      <c r="L29" s="16">
        <f t="shared" si="80"/>
        <v>9.592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ht="15.75" customHeight="1">
      <c r="A30" s="1"/>
      <c r="B30" s="1" t="s">
        <v>69</v>
      </c>
      <c r="C30" s="17" t="s">
        <v>70</v>
      </c>
      <c r="D30" s="12">
        <v>38.0</v>
      </c>
      <c r="E30" s="18">
        <f t="shared" si="65"/>
        <v>1230.88</v>
      </c>
      <c r="F30" s="1">
        <v>1099.0</v>
      </c>
      <c r="G30" s="15">
        <f t="shared" ref="G30:H30" si="81">E30/94</f>
        <v>13.09446809</v>
      </c>
      <c r="H30" s="15">
        <f t="shared" si="81"/>
        <v>11.69148936</v>
      </c>
      <c r="I30" s="16">
        <f t="shared" ref="I30:J30" si="82">E30/24</f>
        <v>51.28666667</v>
      </c>
      <c r="J30" s="16">
        <f t="shared" si="82"/>
        <v>45.79166667</v>
      </c>
      <c r="K30" s="16">
        <f t="shared" ref="K30:L30" si="83">E30/125</f>
        <v>9.84704</v>
      </c>
      <c r="L30" s="16">
        <f t="shared" si="83"/>
        <v>8.792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ht="15.75" customHeight="1">
      <c r="A31" s="1" t="s">
        <v>71</v>
      </c>
      <c r="B31" s="1" t="s">
        <v>72</v>
      </c>
      <c r="C31" s="17" t="s">
        <v>73</v>
      </c>
      <c r="D31" s="12">
        <v>74.0</v>
      </c>
      <c r="E31" s="18">
        <f t="shared" si="65"/>
        <v>1230.88</v>
      </c>
      <c r="F31" s="1">
        <v>1099.0</v>
      </c>
      <c r="G31" s="15">
        <f t="shared" ref="G31:H31" si="84">E31/94</f>
        <v>13.09446809</v>
      </c>
      <c r="H31" s="15">
        <f t="shared" si="84"/>
        <v>11.69148936</v>
      </c>
      <c r="I31" s="16">
        <f t="shared" ref="I31:J31" si="85">E31/24</f>
        <v>51.28666667</v>
      </c>
      <c r="J31" s="16">
        <f t="shared" si="85"/>
        <v>45.79166667</v>
      </c>
      <c r="K31" s="16">
        <f t="shared" ref="K31:L31" si="86">E31/125</f>
        <v>9.84704</v>
      </c>
      <c r="L31" s="16">
        <f t="shared" si="86"/>
        <v>8.792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ht="15.75" customHeight="1">
      <c r="A32" s="1"/>
      <c r="B32" s="1" t="s">
        <v>74</v>
      </c>
      <c r="C32" s="17" t="s">
        <v>75</v>
      </c>
      <c r="D32" s="12">
        <v>66.0</v>
      </c>
      <c r="E32" s="18">
        <f t="shared" si="65"/>
        <v>1230.88</v>
      </c>
      <c r="F32" s="1">
        <v>1099.0</v>
      </c>
      <c r="G32" s="15">
        <f t="shared" ref="G32:H32" si="87">E32/94</f>
        <v>13.09446809</v>
      </c>
      <c r="H32" s="15">
        <f t="shared" si="87"/>
        <v>11.69148936</v>
      </c>
      <c r="I32" s="16">
        <f t="shared" ref="I32:J32" si="88">E32/24</f>
        <v>51.28666667</v>
      </c>
      <c r="J32" s="16">
        <f t="shared" si="88"/>
        <v>45.79166667</v>
      </c>
      <c r="K32" s="16">
        <f t="shared" ref="K32:L32" si="89">E32/125</f>
        <v>9.84704</v>
      </c>
      <c r="L32" s="16">
        <f t="shared" si="89"/>
        <v>8.792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ht="15.0" customHeight="1">
      <c r="A33" s="1" t="s">
        <v>76</v>
      </c>
      <c r="B33" s="1" t="s">
        <v>77</v>
      </c>
      <c r="C33" s="17" t="s">
        <v>78</v>
      </c>
      <c r="D33" s="2"/>
      <c r="E33" s="18">
        <f t="shared" si="65"/>
        <v>1342.88</v>
      </c>
      <c r="F33" s="1">
        <v>1199.0</v>
      </c>
      <c r="G33" s="15">
        <f t="shared" ref="G33:H33" si="90">E33/94</f>
        <v>14.28595745</v>
      </c>
      <c r="H33" s="15">
        <f t="shared" si="90"/>
        <v>12.75531915</v>
      </c>
      <c r="I33" s="16">
        <f t="shared" ref="I33:J33" si="91">E33/24</f>
        <v>55.95333333</v>
      </c>
      <c r="J33" s="16">
        <f t="shared" si="91"/>
        <v>49.95833333</v>
      </c>
      <c r="K33" s="16">
        <f t="shared" ref="K33:L33" si="92">E33/125</f>
        <v>10.74304</v>
      </c>
      <c r="L33" s="16">
        <f t="shared" si="92"/>
        <v>9.592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ht="15.75" customHeight="1">
      <c r="A34" s="1"/>
      <c r="B34" s="1" t="s">
        <v>79</v>
      </c>
      <c r="C34" s="1" t="s">
        <v>80</v>
      </c>
      <c r="D34" s="2"/>
      <c r="E34" s="18">
        <f t="shared" si="65"/>
        <v>1230.88</v>
      </c>
      <c r="F34" s="1">
        <v>1099.0</v>
      </c>
      <c r="G34" s="15">
        <f t="shared" ref="G34:H34" si="93">E34/94</f>
        <v>13.09446809</v>
      </c>
      <c r="H34" s="15">
        <f t="shared" si="93"/>
        <v>11.69148936</v>
      </c>
      <c r="I34" s="16">
        <f t="shared" ref="I34:J34" si="94">E34/24</f>
        <v>51.28666667</v>
      </c>
      <c r="J34" s="16">
        <f t="shared" si="94"/>
        <v>45.79166667</v>
      </c>
      <c r="K34" s="16">
        <f t="shared" ref="K34:L34" si="95">E34/125</f>
        <v>9.84704</v>
      </c>
      <c r="L34" s="16">
        <f t="shared" si="95"/>
        <v>8.792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ht="15.0" customHeight="1">
      <c r="A35" s="1" t="s">
        <v>81</v>
      </c>
      <c r="B35" s="1" t="s">
        <v>82</v>
      </c>
      <c r="C35" s="21" t="s">
        <v>83</v>
      </c>
      <c r="D35" s="22">
        <v>52.0</v>
      </c>
      <c r="E35" s="18">
        <f t="shared" si="65"/>
        <v>1286.88</v>
      </c>
      <c r="F35" s="14">
        <v>1149.0</v>
      </c>
      <c r="G35" s="15">
        <f t="shared" ref="G35:H35" si="96">E35/94</f>
        <v>13.69021277</v>
      </c>
      <c r="H35" s="15">
        <f t="shared" si="96"/>
        <v>12.22340426</v>
      </c>
      <c r="I35" s="16">
        <f t="shared" ref="I35:J35" si="97">E35/24</f>
        <v>53.62</v>
      </c>
      <c r="J35" s="16">
        <f t="shared" si="97"/>
        <v>47.875</v>
      </c>
      <c r="K35" s="16">
        <f t="shared" ref="K35:L35" si="98">E35/125</f>
        <v>10.29504</v>
      </c>
      <c r="L35" s="16">
        <f t="shared" si="98"/>
        <v>9.192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ht="15.75" customHeight="1">
      <c r="A36" s="1"/>
      <c r="B36" s="1" t="s">
        <v>84</v>
      </c>
      <c r="C36" s="21" t="s">
        <v>85</v>
      </c>
      <c r="D36" s="22">
        <v>52.0</v>
      </c>
      <c r="E36" s="18">
        <f t="shared" si="65"/>
        <v>1398.88</v>
      </c>
      <c r="F36" s="14">
        <v>1249.0</v>
      </c>
      <c r="G36" s="15">
        <f t="shared" ref="G36:H36" si="99">E36/94</f>
        <v>14.88170213</v>
      </c>
      <c r="H36" s="15">
        <f t="shared" si="99"/>
        <v>13.28723404</v>
      </c>
      <c r="I36" s="16">
        <f t="shared" ref="I36:J36" si="100">E36/24</f>
        <v>58.28666667</v>
      </c>
      <c r="J36" s="16">
        <f t="shared" si="100"/>
        <v>52.04166667</v>
      </c>
      <c r="K36" s="16">
        <f t="shared" ref="K36:L36" si="101">E36/125</f>
        <v>11.19104</v>
      </c>
      <c r="L36" s="16">
        <f t="shared" si="101"/>
        <v>9.992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ht="15.0" customHeight="1">
      <c r="A37" s="1" t="s">
        <v>86</v>
      </c>
      <c r="B37" s="1" t="s">
        <v>87</v>
      </c>
      <c r="C37" s="21" t="s">
        <v>88</v>
      </c>
      <c r="D37" s="23"/>
      <c r="E37" s="18">
        <f t="shared" si="65"/>
        <v>1444.8</v>
      </c>
      <c r="F37" s="14">
        <v>1290.0</v>
      </c>
      <c r="G37" s="15">
        <f t="shared" ref="G37:H37" si="102">E37/94</f>
        <v>15.37021277</v>
      </c>
      <c r="H37" s="15">
        <f t="shared" si="102"/>
        <v>13.72340426</v>
      </c>
      <c r="I37" s="16">
        <f t="shared" ref="I37:J37" si="103">E37/24</f>
        <v>60.2</v>
      </c>
      <c r="J37" s="16">
        <f t="shared" si="103"/>
        <v>53.75</v>
      </c>
      <c r="K37" s="16">
        <f t="shared" ref="K37:L37" si="104">E37/125</f>
        <v>11.5584</v>
      </c>
      <c r="L37" s="16">
        <f t="shared" si="104"/>
        <v>10.32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ht="15.75" customHeight="1">
      <c r="A38" s="1"/>
      <c r="B38" s="1" t="s">
        <v>89</v>
      </c>
      <c r="C38" s="24" t="s">
        <v>90</v>
      </c>
      <c r="D38" s="23"/>
      <c r="E38" s="18">
        <f t="shared" si="65"/>
        <v>1332.8</v>
      </c>
      <c r="F38" s="14">
        <v>1190.0</v>
      </c>
      <c r="G38" s="15">
        <f t="shared" ref="G38:H38" si="105">E38/94</f>
        <v>14.1787234</v>
      </c>
      <c r="H38" s="15">
        <f t="shared" si="105"/>
        <v>12.65957447</v>
      </c>
      <c r="I38" s="16">
        <f t="shared" ref="I38:J38" si="106">E38/24</f>
        <v>55.53333333</v>
      </c>
      <c r="J38" s="16">
        <f t="shared" si="106"/>
        <v>49.58333333</v>
      </c>
      <c r="K38" s="16">
        <f t="shared" ref="K38:L38" si="107">E38/125</f>
        <v>10.6624</v>
      </c>
      <c r="L38" s="16">
        <f t="shared" si="107"/>
        <v>9.52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ht="15.75" customHeight="1">
      <c r="A39" s="1"/>
      <c r="B39" s="1" t="s">
        <v>91</v>
      </c>
      <c r="C39" s="24" t="s">
        <v>92</v>
      </c>
      <c r="D39" s="23"/>
      <c r="E39" s="18">
        <f t="shared" si="65"/>
        <v>1108.8</v>
      </c>
      <c r="F39" s="14">
        <v>990.0</v>
      </c>
      <c r="G39" s="15">
        <f t="shared" ref="G39:H39" si="108">E39/94</f>
        <v>11.79574468</v>
      </c>
      <c r="H39" s="15">
        <f t="shared" si="108"/>
        <v>10.53191489</v>
      </c>
      <c r="I39" s="16">
        <f t="shared" ref="I39:J39" si="109">E39/24</f>
        <v>46.2</v>
      </c>
      <c r="J39" s="16">
        <f t="shared" si="109"/>
        <v>41.25</v>
      </c>
      <c r="K39" s="16">
        <f t="shared" ref="K39:L39" si="110">E39/125</f>
        <v>8.8704</v>
      </c>
      <c r="L39" s="16">
        <f t="shared" si="110"/>
        <v>7.92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ht="15.75" customHeight="1">
      <c r="A40" s="1"/>
      <c r="B40" s="1" t="s">
        <v>93</v>
      </c>
      <c r="C40" s="24" t="s">
        <v>94</v>
      </c>
      <c r="D40" s="23"/>
      <c r="E40" s="18">
        <f t="shared" si="65"/>
        <v>1220.8</v>
      </c>
      <c r="F40" s="14">
        <v>1090.0</v>
      </c>
      <c r="G40" s="15">
        <f t="shared" ref="G40:H40" si="111">E40/94</f>
        <v>12.98723404</v>
      </c>
      <c r="H40" s="15">
        <f t="shared" si="111"/>
        <v>11.59574468</v>
      </c>
      <c r="I40" s="16">
        <f t="shared" ref="I40:J40" si="112">E40/24</f>
        <v>50.86666667</v>
      </c>
      <c r="J40" s="16">
        <f t="shared" si="112"/>
        <v>45.41666667</v>
      </c>
      <c r="K40" s="16">
        <f t="shared" ref="K40:L40" si="113">E40/125</f>
        <v>9.7664</v>
      </c>
      <c r="L40" s="16">
        <f t="shared" si="113"/>
        <v>8.72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ht="15.0" customHeight="1">
      <c r="A41" s="1" t="s">
        <v>95</v>
      </c>
      <c r="B41" s="1" t="s">
        <v>87</v>
      </c>
      <c r="C41" s="21" t="s">
        <v>96</v>
      </c>
      <c r="D41" s="22">
        <v>21.0</v>
      </c>
      <c r="E41" s="18">
        <f t="shared" si="65"/>
        <v>1556.8</v>
      </c>
      <c r="F41" s="14">
        <v>1390.0</v>
      </c>
      <c r="G41" s="15">
        <f t="shared" ref="G41:H41" si="114">E41/94</f>
        <v>16.56170213</v>
      </c>
      <c r="H41" s="15">
        <f t="shared" si="114"/>
        <v>14.78723404</v>
      </c>
      <c r="I41" s="16">
        <f t="shared" ref="I41:J41" si="115">E41/24</f>
        <v>64.86666667</v>
      </c>
      <c r="J41" s="16">
        <f t="shared" si="115"/>
        <v>57.91666667</v>
      </c>
      <c r="K41" s="16">
        <f t="shared" ref="K41:L41" si="116">E41/125</f>
        <v>12.4544</v>
      </c>
      <c r="L41" s="16">
        <f t="shared" si="116"/>
        <v>11.12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ht="15.75" customHeight="1">
      <c r="A42" s="1"/>
      <c r="B42" s="1" t="s">
        <v>89</v>
      </c>
      <c r="C42" s="21" t="s">
        <v>97</v>
      </c>
      <c r="D42" s="22">
        <v>21.0</v>
      </c>
      <c r="E42" s="18">
        <f t="shared" si="65"/>
        <v>1444.8</v>
      </c>
      <c r="F42" s="14">
        <v>1290.0</v>
      </c>
      <c r="G42" s="15">
        <f t="shared" ref="G42:H42" si="117">E42/94</f>
        <v>15.37021277</v>
      </c>
      <c r="H42" s="15">
        <f t="shared" si="117"/>
        <v>13.72340426</v>
      </c>
      <c r="I42" s="16">
        <f t="shared" ref="I42:J42" si="118">E42/24</f>
        <v>60.2</v>
      </c>
      <c r="J42" s="16">
        <f t="shared" si="118"/>
        <v>53.75</v>
      </c>
      <c r="K42" s="16">
        <f t="shared" ref="K42:L42" si="119">E42/125</f>
        <v>11.5584</v>
      </c>
      <c r="L42" s="16">
        <f t="shared" si="119"/>
        <v>10.32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ht="15.75" customHeight="1">
      <c r="A43" s="1"/>
      <c r="B43" s="1" t="s">
        <v>91</v>
      </c>
      <c r="C43" s="21" t="s">
        <v>98</v>
      </c>
      <c r="D43" s="23"/>
      <c r="E43" s="18">
        <f t="shared" si="65"/>
        <v>1108.8</v>
      </c>
      <c r="F43" s="14">
        <v>990.0</v>
      </c>
      <c r="G43" s="15">
        <f t="shared" ref="G43:H43" si="120">E43/94</f>
        <v>11.79574468</v>
      </c>
      <c r="H43" s="15">
        <f t="shared" si="120"/>
        <v>10.53191489</v>
      </c>
      <c r="I43" s="16">
        <f t="shared" ref="I43:J43" si="121">E43/24</f>
        <v>46.2</v>
      </c>
      <c r="J43" s="16">
        <f t="shared" si="121"/>
        <v>41.25</v>
      </c>
      <c r="K43" s="16">
        <f t="shared" ref="K43:L43" si="122">E43/125</f>
        <v>8.8704</v>
      </c>
      <c r="L43" s="16">
        <f t="shared" si="122"/>
        <v>7.92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ht="15.75" customHeight="1">
      <c r="A44" s="1"/>
      <c r="B44" s="1" t="s">
        <v>93</v>
      </c>
      <c r="C44" s="21" t="s">
        <v>99</v>
      </c>
      <c r="D44" s="23"/>
      <c r="E44" s="18">
        <f t="shared" si="65"/>
        <v>1220.8</v>
      </c>
      <c r="F44" s="14">
        <v>1090.0</v>
      </c>
      <c r="G44" s="15">
        <f t="shared" ref="G44:H44" si="123">E44/94</f>
        <v>12.98723404</v>
      </c>
      <c r="H44" s="15">
        <f t="shared" si="123"/>
        <v>11.59574468</v>
      </c>
      <c r="I44" s="16">
        <f t="shared" ref="I44:J44" si="124">E44/24</f>
        <v>50.86666667</v>
      </c>
      <c r="J44" s="16">
        <f t="shared" si="124"/>
        <v>45.41666667</v>
      </c>
      <c r="K44" s="16">
        <f t="shared" ref="K44:L44" si="125">E44/125</f>
        <v>9.7664</v>
      </c>
      <c r="L44" s="16">
        <f t="shared" si="125"/>
        <v>8.72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ht="15.0" customHeight="1">
      <c r="A45" s="1" t="s">
        <v>100</v>
      </c>
      <c r="B45" s="1" t="s">
        <v>89</v>
      </c>
      <c r="C45" s="21" t="s">
        <v>101</v>
      </c>
      <c r="D45" s="22">
        <v>61.0</v>
      </c>
      <c r="E45" s="18">
        <f t="shared" si="65"/>
        <v>1332.8</v>
      </c>
      <c r="F45" s="14">
        <v>1190.0</v>
      </c>
      <c r="G45" s="15">
        <f t="shared" ref="G45:H45" si="126">E45/94</f>
        <v>14.1787234</v>
      </c>
      <c r="H45" s="15">
        <f t="shared" si="126"/>
        <v>12.65957447</v>
      </c>
      <c r="I45" s="16">
        <f t="shared" ref="I45:J45" si="127">E45/24</f>
        <v>55.53333333</v>
      </c>
      <c r="J45" s="16">
        <f t="shared" si="127"/>
        <v>49.58333333</v>
      </c>
      <c r="K45" s="16">
        <f t="shared" ref="K45:L45" si="128">E45/125</f>
        <v>10.6624</v>
      </c>
      <c r="L45" s="16">
        <f t="shared" si="128"/>
        <v>9.52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ht="15.75" customHeight="1">
      <c r="A46" s="1"/>
      <c r="B46" s="1" t="s">
        <v>87</v>
      </c>
      <c r="C46" s="21" t="s">
        <v>102</v>
      </c>
      <c r="D46" s="22">
        <v>61.0</v>
      </c>
      <c r="E46" s="18">
        <f t="shared" si="65"/>
        <v>1444.8</v>
      </c>
      <c r="F46" s="14">
        <v>1290.0</v>
      </c>
      <c r="G46" s="15">
        <f t="shared" ref="G46:H46" si="129">E46/94</f>
        <v>15.37021277</v>
      </c>
      <c r="H46" s="15">
        <f t="shared" si="129"/>
        <v>13.72340426</v>
      </c>
      <c r="I46" s="16">
        <f t="shared" ref="I46:J46" si="130">E46/24</f>
        <v>60.2</v>
      </c>
      <c r="J46" s="16">
        <f t="shared" si="130"/>
        <v>53.75</v>
      </c>
      <c r="K46" s="16">
        <f t="shared" ref="K46:L46" si="131">E46/125</f>
        <v>11.5584</v>
      </c>
      <c r="L46" s="16">
        <f t="shared" si="131"/>
        <v>10.32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ht="15.75" customHeight="1">
      <c r="A47" s="1"/>
      <c r="B47" s="1" t="s">
        <v>91</v>
      </c>
      <c r="C47" s="21" t="s">
        <v>103</v>
      </c>
      <c r="D47" s="23"/>
      <c r="E47" s="18">
        <f t="shared" si="65"/>
        <v>1108.8</v>
      </c>
      <c r="F47" s="14">
        <v>990.0</v>
      </c>
      <c r="G47" s="15">
        <f t="shared" ref="G47:H47" si="132">E47/94</f>
        <v>11.79574468</v>
      </c>
      <c r="H47" s="15">
        <f t="shared" si="132"/>
        <v>10.53191489</v>
      </c>
      <c r="I47" s="16">
        <f t="shared" ref="I47:J47" si="133">E47/24</f>
        <v>46.2</v>
      </c>
      <c r="J47" s="16">
        <f t="shared" si="133"/>
        <v>41.25</v>
      </c>
      <c r="K47" s="16">
        <f t="shared" ref="K47:L47" si="134">E47/125</f>
        <v>8.8704</v>
      </c>
      <c r="L47" s="16">
        <f t="shared" si="134"/>
        <v>7.92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ht="15.75" customHeight="1">
      <c r="A48" s="1"/>
      <c r="B48" s="1" t="s">
        <v>93</v>
      </c>
      <c r="C48" s="21" t="s">
        <v>104</v>
      </c>
      <c r="D48" s="23"/>
      <c r="E48" s="18">
        <f t="shared" si="65"/>
        <v>1220.8</v>
      </c>
      <c r="F48" s="14">
        <v>1090.0</v>
      </c>
      <c r="G48" s="15">
        <f t="shared" ref="G48:H48" si="135">E48/94</f>
        <v>12.98723404</v>
      </c>
      <c r="H48" s="15">
        <f t="shared" si="135"/>
        <v>11.59574468</v>
      </c>
      <c r="I48" s="16">
        <f t="shared" ref="I48:J48" si="136">E48/24</f>
        <v>50.86666667</v>
      </c>
      <c r="J48" s="16">
        <f t="shared" si="136"/>
        <v>45.41666667</v>
      </c>
      <c r="K48" s="16">
        <f t="shared" ref="K48:L48" si="137">E48/125</f>
        <v>9.7664</v>
      </c>
      <c r="L48" s="16">
        <f t="shared" si="137"/>
        <v>8.72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ht="15.0" customHeight="1">
      <c r="A49" s="1" t="s">
        <v>105</v>
      </c>
      <c r="B49" s="1" t="s">
        <v>87</v>
      </c>
      <c r="C49" s="21" t="s">
        <v>106</v>
      </c>
      <c r="D49" s="22">
        <v>27.0</v>
      </c>
      <c r="E49" s="18">
        <f t="shared" si="65"/>
        <v>1556.8</v>
      </c>
      <c r="F49" s="14">
        <v>1390.0</v>
      </c>
      <c r="G49" s="15">
        <f t="shared" ref="G49:H49" si="138">E49/94</f>
        <v>16.56170213</v>
      </c>
      <c r="H49" s="15">
        <f t="shared" si="138"/>
        <v>14.78723404</v>
      </c>
      <c r="I49" s="16">
        <f t="shared" ref="I49:J49" si="139">E49/24</f>
        <v>64.86666667</v>
      </c>
      <c r="J49" s="16">
        <f t="shared" si="139"/>
        <v>57.91666667</v>
      </c>
      <c r="K49" s="16">
        <f t="shared" ref="K49:L49" si="140">E49/125</f>
        <v>12.4544</v>
      </c>
      <c r="L49" s="16">
        <f t="shared" si="140"/>
        <v>11.12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ht="15.75" customHeight="1">
      <c r="A50" s="1"/>
      <c r="B50" s="1" t="s">
        <v>89</v>
      </c>
      <c r="C50" s="21" t="s">
        <v>107</v>
      </c>
      <c r="D50" s="22">
        <v>27.0</v>
      </c>
      <c r="E50" s="18">
        <f t="shared" si="65"/>
        <v>1510.88</v>
      </c>
      <c r="F50" s="14">
        <v>1349.0</v>
      </c>
      <c r="G50" s="15">
        <f t="shared" ref="G50:H50" si="141">E50/94</f>
        <v>16.07319149</v>
      </c>
      <c r="H50" s="15">
        <f t="shared" si="141"/>
        <v>14.35106383</v>
      </c>
      <c r="I50" s="16">
        <f t="shared" ref="I50:J50" si="142">E50/24</f>
        <v>62.95333333</v>
      </c>
      <c r="J50" s="16">
        <f t="shared" si="142"/>
        <v>56.20833333</v>
      </c>
      <c r="K50" s="16">
        <f t="shared" ref="K50:L50" si="143">E50/125</f>
        <v>12.08704</v>
      </c>
      <c r="L50" s="16">
        <f t="shared" si="143"/>
        <v>10.792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ht="15.75" customHeight="1">
      <c r="A51" s="1"/>
      <c r="B51" s="1" t="s">
        <v>91</v>
      </c>
      <c r="C51" s="24" t="s">
        <v>108</v>
      </c>
      <c r="D51" s="23"/>
      <c r="E51" s="18">
        <f t="shared" si="65"/>
        <v>1108.8</v>
      </c>
      <c r="F51" s="14">
        <v>990.0</v>
      </c>
      <c r="G51" s="15">
        <f t="shared" ref="G51:H51" si="144">E51/94</f>
        <v>11.79574468</v>
      </c>
      <c r="H51" s="15">
        <f t="shared" si="144"/>
        <v>10.53191489</v>
      </c>
      <c r="I51" s="16">
        <f t="shared" ref="I51:J51" si="145">E51/24</f>
        <v>46.2</v>
      </c>
      <c r="J51" s="16">
        <f t="shared" si="145"/>
        <v>41.25</v>
      </c>
      <c r="K51" s="16">
        <f t="shared" ref="K51:L51" si="146">E51/125</f>
        <v>8.8704</v>
      </c>
      <c r="L51" s="16">
        <f t="shared" si="146"/>
        <v>7.92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ht="15.75" customHeight="1">
      <c r="A52" s="1"/>
      <c r="B52" s="1" t="s">
        <v>93</v>
      </c>
      <c r="C52" s="24" t="s">
        <v>109</v>
      </c>
      <c r="D52" s="23"/>
      <c r="E52" s="18">
        <f t="shared" si="65"/>
        <v>1108.8</v>
      </c>
      <c r="F52" s="14">
        <v>990.0</v>
      </c>
      <c r="G52" s="15">
        <f t="shared" ref="G52:H52" si="147">E52/94</f>
        <v>11.79574468</v>
      </c>
      <c r="H52" s="15">
        <f t="shared" si="147"/>
        <v>10.53191489</v>
      </c>
      <c r="I52" s="16">
        <f t="shared" ref="I52:J52" si="148">E52/24</f>
        <v>46.2</v>
      </c>
      <c r="J52" s="16">
        <f t="shared" si="148"/>
        <v>41.25</v>
      </c>
      <c r="K52" s="16">
        <f t="shared" ref="K52:L52" si="149">E52/125</f>
        <v>8.8704</v>
      </c>
      <c r="L52" s="16">
        <f t="shared" si="149"/>
        <v>7.92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ht="15.75" customHeight="1">
      <c r="A53" s="1" t="s">
        <v>110</v>
      </c>
      <c r="B53" s="1" t="s">
        <v>111</v>
      </c>
      <c r="C53" s="1" t="s">
        <v>112</v>
      </c>
      <c r="D53" s="12">
        <v>56.0</v>
      </c>
      <c r="E53" s="18">
        <f t="shared" si="65"/>
        <v>1444.8</v>
      </c>
      <c r="F53" s="14">
        <v>1290.0</v>
      </c>
      <c r="G53" s="15">
        <f t="shared" ref="G53:H53" si="150">E53/94</f>
        <v>15.37021277</v>
      </c>
      <c r="H53" s="15">
        <f t="shared" si="150"/>
        <v>13.72340426</v>
      </c>
      <c r="I53" s="16">
        <f t="shared" ref="I53:J53" si="151">E53/24</f>
        <v>60.2</v>
      </c>
      <c r="J53" s="16">
        <f t="shared" si="151"/>
        <v>53.75</v>
      </c>
      <c r="K53" s="16">
        <f t="shared" ref="K53:L53" si="152">E53/125</f>
        <v>11.5584</v>
      </c>
      <c r="L53" s="16">
        <f t="shared" si="152"/>
        <v>10.32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ht="15.75" customHeight="1">
      <c r="A54" s="1"/>
      <c r="B54" s="1" t="s">
        <v>113</v>
      </c>
      <c r="C54" s="1" t="s">
        <v>114</v>
      </c>
      <c r="D54" s="12">
        <v>56.0</v>
      </c>
      <c r="E54" s="18">
        <f t="shared" si="65"/>
        <v>1556.8</v>
      </c>
      <c r="F54" s="14">
        <v>1390.0</v>
      </c>
      <c r="G54" s="15">
        <f t="shared" ref="G54:H54" si="153">E54/94</f>
        <v>16.56170213</v>
      </c>
      <c r="H54" s="15">
        <f t="shared" si="153"/>
        <v>14.78723404</v>
      </c>
      <c r="I54" s="16">
        <f t="shared" ref="I54:J54" si="154">E54/24</f>
        <v>64.86666667</v>
      </c>
      <c r="J54" s="16">
        <f t="shared" si="154"/>
        <v>57.91666667</v>
      </c>
      <c r="K54" s="16">
        <f t="shared" ref="K54:L54" si="155">E54/125</f>
        <v>12.4544</v>
      </c>
      <c r="L54" s="16">
        <f t="shared" si="155"/>
        <v>11.12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ht="15.75" customHeight="1">
      <c r="A55" s="1"/>
      <c r="B55" s="1" t="s">
        <v>115</v>
      </c>
      <c r="C55" s="1" t="s">
        <v>116</v>
      </c>
      <c r="D55" s="2"/>
      <c r="E55" s="18">
        <f t="shared" si="65"/>
        <v>1108.8</v>
      </c>
      <c r="F55" s="14">
        <v>990.0</v>
      </c>
      <c r="G55" s="15">
        <f t="shared" ref="G55:H55" si="156">E55/94</f>
        <v>11.79574468</v>
      </c>
      <c r="H55" s="15">
        <f t="shared" si="156"/>
        <v>10.53191489</v>
      </c>
      <c r="I55" s="16">
        <f t="shared" ref="I55:J55" si="157">E55/24</f>
        <v>46.2</v>
      </c>
      <c r="J55" s="16">
        <f t="shared" si="157"/>
        <v>41.25</v>
      </c>
      <c r="K55" s="16">
        <f t="shared" ref="K55:L55" si="158">E55/125</f>
        <v>8.8704</v>
      </c>
      <c r="L55" s="16">
        <f t="shared" si="158"/>
        <v>7.92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ht="15.75" customHeight="1">
      <c r="A56" s="1"/>
      <c r="B56" s="1" t="s">
        <v>117</v>
      </c>
      <c r="C56" s="1" t="s">
        <v>118</v>
      </c>
      <c r="D56" s="2"/>
      <c r="E56" s="18">
        <f t="shared" si="65"/>
        <v>1108.8</v>
      </c>
      <c r="F56" s="14">
        <v>990.0</v>
      </c>
      <c r="G56" s="15">
        <f t="shared" ref="G56:H56" si="159">E56/94</f>
        <v>11.79574468</v>
      </c>
      <c r="H56" s="15">
        <f t="shared" si="159"/>
        <v>10.53191489</v>
      </c>
      <c r="I56" s="16">
        <f t="shared" ref="I56:J56" si="160">E56/24</f>
        <v>46.2</v>
      </c>
      <c r="J56" s="16">
        <f t="shared" si="160"/>
        <v>41.25</v>
      </c>
      <c r="K56" s="16">
        <f t="shared" ref="K56:L56" si="161">E56/125</f>
        <v>8.8704</v>
      </c>
      <c r="L56" s="16">
        <f t="shared" si="161"/>
        <v>7.92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ht="15.75" customHeight="1">
      <c r="A57" s="1" t="s">
        <v>119</v>
      </c>
      <c r="B57" s="1" t="s">
        <v>120</v>
      </c>
      <c r="C57" s="1" t="s">
        <v>121</v>
      </c>
      <c r="D57" s="2"/>
      <c r="E57" s="18">
        <f t="shared" si="65"/>
        <v>1444.8</v>
      </c>
      <c r="F57" s="14">
        <v>1290.0</v>
      </c>
      <c r="G57" s="15">
        <f t="shared" ref="G57:H57" si="162">E57/94</f>
        <v>15.37021277</v>
      </c>
      <c r="H57" s="15">
        <f t="shared" si="162"/>
        <v>13.72340426</v>
      </c>
      <c r="I57" s="16">
        <f t="shared" ref="I57:J57" si="163">E57/24</f>
        <v>60.2</v>
      </c>
      <c r="J57" s="16">
        <f t="shared" si="163"/>
        <v>53.75</v>
      </c>
      <c r="K57" s="16">
        <f t="shared" ref="K57:L57" si="164">E57/125</f>
        <v>11.5584</v>
      </c>
      <c r="L57" s="16">
        <f t="shared" si="164"/>
        <v>10.32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ht="15.0" customHeight="1">
      <c r="A58" s="1" t="s">
        <v>122</v>
      </c>
      <c r="B58" s="1" t="s">
        <v>123</v>
      </c>
      <c r="C58" s="17" t="s">
        <v>124</v>
      </c>
      <c r="D58" s="2"/>
      <c r="E58" s="18">
        <f t="shared" si="65"/>
        <v>1820</v>
      </c>
      <c r="F58" s="14">
        <v>1625.0</v>
      </c>
      <c r="G58" s="15">
        <f t="shared" ref="G58:H58" si="165">E58/94</f>
        <v>19.36170213</v>
      </c>
      <c r="H58" s="15">
        <f t="shared" si="165"/>
        <v>17.28723404</v>
      </c>
      <c r="I58" s="16">
        <f t="shared" ref="I58:J58" si="166">E58/24</f>
        <v>75.83333333</v>
      </c>
      <c r="J58" s="16">
        <f t="shared" si="166"/>
        <v>67.70833333</v>
      </c>
      <c r="K58" s="16">
        <f t="shared" ref="K58:L58" si="167">E58/125</f>
        <v>14.56</v>
      </c>
      <c r="L58" s="16">
        <f t="shared" si="167"/>
        <v>13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ht="15.75" customHeight="1">
      <c r="A59" s="1"/>
      <c r="B59" s="1" t="s">
        <v>125</v>
      </c>
      <c r="C59" s="17" t="s">
        <v>126</v>
      </c>
      <c r="D59" s="2"/>
      <c r="E59" s="18">
        <f t="shared" si="65"/>
        <v>1954.4</v>
      </c>
      <c r="F59" s="14">
        <v>1745.0</v>
      </c>
      <c r="G59" s="15">
        <f t="shared" ref="G59:H59" si="168">E59/94</f>
        <v>20.79148936</v>
      </c>
      <c r="H59" s="15">
        <f t="shared" si="168"/>
        <v>18.56382979</v>
      </c>
      <c r="I59" s="16">
        <f t="shared" ref="I59:J59" si="169">E59/24</f>
        <v>81.43333333</v>
      </c>
      <c r="J59" s="16">
        <f t="shared" si="169"/>
        <v>72.70833333</v>
      </c>
      <c r="K59" s="16">
        <f t="shared" ref="K59:L59" si="170">E59/125</f>
        <v>15.6352</v>
      </c>
      <c r="L59" s="16">
        <f t="shared" si="170"/>
        <v>13.96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ht="15.0" customHeight="1">
      <c r="A60" s="1" t="s">
        <v>127</v>
      </c>
      <c r="B60" s="1" t="s">
        <v>128</v>
      </c>
      <c r="C60" s="17" t="s">
        <v>129</v>
      </c>
      <c r="D60" s="12">
        <v>100.0</v>
      </c>
      <c r="E60" s="18">
        <f t="shared" si="65"/>
        <v>548.8</v>
      </c>
      <c r="F60" s="14">
        <v>490.0</v>
      </c>
      <c r="G60" s="15">
        <f t="shared" ref="G60:H60" si="171">E60/94</f>
        <v>5.838297872</v>
      </c>
      <c r="H60" s="15">
        <f t="shared" si="171"/>
        <v>5.212765957</v>
      </c>
      <c r="I60" s="16">
        <f t="shared" ref="I60:J60" si="172">E60/24</f>
        <v>22.86666667</v>
      </c>
      <c r="J60" s="16">
        <f t="shared" si="172"/>
        <v>20.41666667</v>
      </c>
      <c r="K60" s="16">
        <f t="shared" ref="K60:L60" si="173">E60/125</f>
        <v>4.3904</v>
      </c>
      <c r="L60" s="16">
        <f t="shared" si="173"/>
        <v>3.92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ht="15.75" customHeight="1">
      <c r="A61" s="1"/>
      <c r="B61" s="1" t="s">
        <v>130</v>
      </c>
      <c r="C61" s="17" t="s">
        <v>131</v>
      </c>
      <c r="D61" s="12">
        <v>100.0</v>
      </c>
      <c r="E61" s="18">
        <f t="shared" si="65"/>
        <v>632.8</v>
      </c>
      <c r="F61" s="14">
        <v>565.0</v>
      </c>
      <c r="G61" s="15">
        <f t="shared" ref="G61:H61" si="174">E61/94</f>
        <v>6.731914894</v>
      </c>
      <c r="H61" s="15">
        <f t="shared" si="174"/>
        <v>6.010638298</v>
      </c>
      <c r="I61" s="16">
        <f t="shared" ref="I61:J61" si="175">E61/24</f>
        <v>26.36666667</v>
      </c>
      <c r="J61" s="16">
        <f t="shared" si="175"/>
        <v>23.54166667</v>
      </c>
      <c r="K61" s="16">
        <f t="shared" ref="K61:L61" si="176">E61/125</f>
        <v>5.0624</v>
      </c>
      <c r="L61" s="16">
        <f t="shared" si="176"/>
        <v>4.52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ht="15.75" customHeight="1">
      <c r="A62" s="1"/>
      <c r="B62" s="1" t="s">
        <v>132</v>
      </c>
      <c r="C62" s="17" t="s">
        <v>133</v>
      </c>
      <c r="D62" s="12">
        <v>200.0</v>
      </c>
      <c r="E62" s="18">
        <f t="shared" si="65"/>
        <v>99.68</v>
      </c>
      <c r="F62" s="14">
        <v>89.0</v>
      </c>
      <c r="G62" s="15">
        <f t="shared" ref="G62:H62" si="177">E62/94</f>
        <v>1.060425532</v>
      </c>
      <c r="H62" s="15">
        <f t="shared" si="177"/>
        <v>0.9468085106</v>
      </c>
      <c r="I62" s="16">
        <f t="shared" ref="I62:J62" si="178">E62/24</f>
        <v>4.153333333</v>
      </c>
      <c r="J62" s="16">
        <f t="shared" si="178"/>
        <v>3.708333333</v>
      </c>
      <c r="K62" s="16">
        <f t="shared" ref="K62:L62" si="179">E62/125</f>
        <v>0.79744</v>
      </c>
      <c r="L62" s="16">
        <f t="shared" si="179"/>
        <v>0.712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ht="15.75" customHeight="1">
      <c r="A63" s="1"/>
      <c r="B63" s="1" t="s">
        <v>134</v>
      </c>
      <c r="C63" s="17" t="s">
        <v>135</v>
      </c>
      <c r="D63" s="12">
        <v>200.0</v>
      </c>
      <c r="E63" s="18">
        <f t="shared" si="65"/>
        <v>99.68</v>
      </c>
      <c r="F63" s="14">
        <v>89.0</v>
      </c>
      <c r="G63" s="15">
        <f t="shared" ref="G63:H63" si="180">E63/94</f>
        <v>1.060425532</v>
      </c>
      <c r="H63" s="15">
        <f t="shared" si="180"/>
        <v>0.9468085106</v>
      </c>
      <c r="I63" s="16">
        <f t="shared" ref="I63:J63" si="181">E63/24</f>
        <v>4.153333333</v>
      </c>
      <c r="J63" s="16">
        <f t="shared" si="181"/>
        <v>3.708333333</v>
      </c>
      <c r="K63" s="16">
        <f t="shared" ref="K63:L63" si="182">E63/125</f>
        <v>0.79744</v>
      </c>
      <c r="L63" s="16">
        <f t="shared" si="182"/>
        <v>0.712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ht="15.75" customHeight="1">
      <c r="A64" s="1"/>
      <c r="B64" s="1" t="s">
        <v>136</v>
      </c>
      <c r="C64" s="17" t="s">
        <v>137</v>
      </c>
      <c r="D64" s="12">
        <v>200.0</v>
      </c>
      <c r="E64" s="18">
        <f t="shared" si="65"/>
        <v>99.68</v>
      </c>
      <c r="F64" s="14">
        <v>89.0</v>
      </c>
      <c r="G64" s="15">
        <f t="shared" ref="G64:H64" si="183">E64/94</f>
        <v>1.060425532</v>
      </c>
      <c r="H64" s="15">
        <f t="shared" si="183"/>
        <v>0.9468085106</v>
      </c>
      <c r="I64" s="16">
        <f t="shared" ref="I64:J64" si="184">E64/24</f>
        <v>4.153333333</v>
      </c>
      <c r="J64" s="16">
        <f t="shared" si="184"/>
        <v>3.708333333</v>
      </c>
      <c r="K64" s="16">
        <f t="shared" ref="K64:L64" si="185">E64/125</f>
        <v>0.79744</v>
      </c>
      <c r="L64" s="16">
        <f t="shared" si="185"/>
        <v>0.712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ht="15.75" customHeight="1">
      <c r="A65" s="1"/>
      <c r="B65" s="1" t="s">
        <v>138</v>
      </c>
      <c r="C65" s="17" t="s">
        <v>139</v>
      </c>
      <c r="D65" s="12">
        <v>200.0</v>
      </c>
      <c r="E65" s="18">
        <f t="shared" si="65"/>
        <v>99.68</v>
      </c>
      <c r="F65" s="14">
        <v>89.0</v>
      </c>
      <c r="G65" s="15">
        <f t="shared" ref="G65:H65" si="186">E65/94</f>
        <v>1.060425532</v>
      </c>
      <c r="H65" s="15">
        <f t="shared" si="186"/>
        <v>0.9468085106</v>
      </c>
      <c r="I65" s="16">
        <f t="shared" ref="I65:J65" si="187">E65/24</f>
        <v>4.153333333</v>
      </c>
      <c r="J65" s="16">
        <f t="shared" si="187"/>
        <v>3.708333333</v>
      </c>
      <c r="K65" s="16">
        <f t="shared" ref="K65:L65" si="188">E65/125</f>
        <v>0.79744</v>
      </c>
      <c r="L65" s="16">
        <f t="shared" si="188"/>
        <v>0.712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ht="15.75" customHeight="1">
      <c r="A66" s="1"/>
      <c r="B66" s="1" t="s">
        <v>140</v>
      </c>
      <c r="C66" s="17" t="s">
        <v>141</v>
      </c>
      <c r="D66" s="12">
        <v>200.0</v>
      </c>
      <c r="E66" s="18">
        <f t="shared" si="65"/>
        <v>99.68</v>
      </c>
      <c r="F66" s="14">
        <v>89.0</v>
      </c>
      <c r="G66" s="15">
        <f t="shared" ref="G66:H66" si="189">E66/94</f>
        <v>1.060425532</v>
      </c>
      <c r="H66" s="15">
        <f t="shared" si="189"/>
        <v>0.9468085106</v>
      </c>
      <c r="I66" s="16">
        <f t="shared" ref="I66:J66" si="190">E66/24</f>
        <v>4.153333333</v>
      </c>
      <c r="J66" s="16">
        <f t="shared" si="190"/>
        <v>3.708333333</v>
      </c>
      <c r="K66" s="16">
        <f t="shared" ref="K66:L66" si="191">E66/125</f>
        <v>0.79744</v>
      </c>
      <c r="L66" s="16">
        <f t="shared" si="191"/>
        <v>0.712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ht="15.75" customHeight="1">
      <c r="A67" s="1"/>
      <c r="B67" s="1" t="s">
        <v>142</v>
      </c>
      <c r="C67" s="17" t="s">
        <v>143</v>
      </c>
      <c r="D67" s="12">
        <v>200.0</v>
      </c>
      <c r="E67" s="18">
        <f t="shared" si="65"/>
        <v>99.68</v>
      </c>
      <c r="F67" s="14">
        <v>89.0</v>
      </c>
      <c r="G67" s="15">
        <f t="shared" ref="G67:H67" si="192">E67/94</f>
        <v>1.060425532</v>
      </c>
      <c r="H67" s="15">
        <f t="shared" si="192"/>
        <v>0.9468085106</v>
      </c>
      <c r="I67" s="16">
        <f t="shared" ref="I67:J67" si="193">E67/24</f>
        <v>4.153333333</v>
      </c>
      <c r="J67" s="16">
        <f t="shared" si="193"/>
        <v>3.708333333</v>
      </c>
      <c r="K67" s="16">
        <f t="shared" ref="K67:L67" si="194">E67/125</f>
        <v>0.79744</v>
      </c>
      <c r="L67" s="16">
        <f t="shared" si="194"/>
        <v>0.712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ht="15.75" customHeight="1">
      <c r="A68" s="1"/>
      <c r="B68" s="1" t="s">
        <v>144</v>
      </c>
      <c r="C68" s="17" t="s">
        <v>145</v>
      </c>
      <c r="D68" s="12">
        <v>200.0</v>
      </c>
      <c r="E68" s="18">
        <f t="shared" si="65"/>
        <v>99.68</v>
      </c>
      <c r="F68" s="14">
        <v>89.0</v>
      </c>
      <c r="G68" s="15">
        <f t="shared" ref="G68:H68" si="195">E68/94</f>
        <v>1.060425532</v>
      </c>
      <c r="H68" s="15">
        <f t="shared" si="195"/>
        <v>0.9468085106</v>
      </c>
      <c r="I68" s="16">
        <f t="shared" ref="I68:J68" si="196">E68/24</f>
        <v>4.153333333</v>
      </c>
      <c r="J68" s="16">
        <f t="shared" si="196"/>
        <v>3.708333333</v>
      </c>
      <c r="K68" s="16">
        <f t="shared" ref="K68:L68" si="197">E68/125</f>
        <v>0.79744</v>
      </c>
      <c r="L68" s="16">
        <f t="shared" si="197"/>
        <v>0.712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ht="15.0" customHeight="1">
      <c r="A69" s="1" t="s">
        <v>146</v>
      </c>
      <c r="B69" s="1" t="s">
        <v>147</v>
      </c>
      <c r="C69" s="19" t="s">
        <v>148</v>
      </c>
      <c r="D69" s="12">
        <v>12.0</v>
      </c>
      <c r="E69" s="18">
        <f t="shared" si="65"/>
        <v>2004.8</v>
      </c>
      <c r="F69" s="14">
        <v>1790.0</v>
      </c>
      <c r="G69" s="15">
        <f t="shared" ref="G69:H69" si="198">E69/94</f>
        <v>21.32765957</v>
      </c>
      <c r="H69" s="15">
        <f t="shared" si="198"/>
        <v>19.04255319</v>
      </c>
      <c r="I69" s="16">
        <f t="shared" ref="I69:J69" si="199">E69/24</f>
        <v>83.53333333</v>
      </c>
      <c r="J69" s="16">
        <f t="shared" si="199"/>
        <v>74.58333333</v>
      </c>
      <c r="K69" s="16">
        <f t="shared" ref="K69:L69" si="200">E69/125</f>
        <v>16.0384</v>
      </c>
      <c r="L69" s="16">
        <f t="shared" si="200"/>
        <v>14.32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ht="15.75" customHeight="1">
      <c r="A70" s="1"/>
      <c r="B70" s="1" t="s">
        <v>149</v>
      </c>
      <c r="C70" s="19" t="s">
        <v>150</v>
      </c>
      <c r="D70" s="12">
        <v>9.0</v>
      </c>
      <c r="E70" s="18">
        <f t="shared" si="65"/>
        <v>2004.8</v>
      </c>
      <c r="F70" s="14">
        <v>1790.0</v>
      </c>
      <c r="G70" s="15">
        <f t="shared" ref="G70:H70" si="201">E70/94</f>
        <v>21.32765957</v>
      </c>
      <c r="H70" s="15">
        <f t="shared" si="201"/>
        <v>19.04255319</v>
      </c>
      <c r="I70" s="16">
        <f t="shared" ref="I70:J70" si="202">E70/24</f>
        <v>83.53333333</v>
      </c>
      <c r="J70" s="16">
        <f t="shared" si="202"/>
        <v>74.58333333</v>
      </c>
      <c r="K70" s="16">
        <f t="shared" ref="K70:L70" si="203">E70/125</f>
        <v>16.0384</v>
      </c>
      <c r="L70" s="16">
        <f t="shared" si="203"/>
        <v>14.32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ht="15.75" customHeight="1">
      <c r="A71" s="1"/>
      <c r="B71" s="1" t="s">
        <v>151</v>
      </c>
      <c r="C71" s="19" t="s">
        <v>152</v>
      </c>
      <c r="D71" s="12">
        <v>2.0</v>
      </c>
      <c r="E71" s="18">
        <f t="shared" si="65"/>
        <v>2004.8</v>
      </c>
      <c r="F71" s="14">
        <v>1790.0</v>
      </c>
      <c r="G71" s="15">
        <f t="shared" ref="G71:H71" si="204">E71/94</f>
        <v>21.32765957</v>
      </c>
      <c r="H71" s="15">
        <f t="shared" si="204"/>
        <v>19.04255319</v>
      </c>
      <c r="I71" s="16">
        <f t="shared" ref="I71:J71" si="205">E71/24</f>
        <v>83.53333333</v>
      </c>
      <c r="J71" s="16">
        <f t="shared" si="205"/>
        <v>74.58333333</v>
      </c>
      <c r="K71" s="16">
        <f t="shared" ref="K71:L71" si="206">E71/125</f>
        <v>16.0384</v>
      </c>
      <c r="L71" s="16">
        <f t="shared" si="206"/>
        <v>14.32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ht="15.75" customHeight="1">
      <c r="A72" s="1"/>
      <c r="B72" s="1" t="s">
        <v>153</v>
      </c>
      <c r="C72" s="19" t="s">
        <v>154</v>
      </c>
      <c r="D72" s="12">
        <v>9.0</v>
      </c>
      <c r="E72" s="18">
        <f t="shared" si="65"/>
        <v>2004.8</v>
      </c>
      <c r="F72" s="14">
        <v>1790.0</v>
      </c>
      <c r="G72" s="15">
        <f t="shared" ref="G72:H72" si="207">E72/94</f>
        <v>21.32765957</v>
      </c>
      <c r="H72" s="15">
        <f t="shared" si="207"/>
        <v>19.04255319</v>
      </c>
      <c r="I72" s="16">
        <f t="shared" ref="I72:J72" si="208">E72/24</f>
        <v>83.53333333</v>
      </c>
      <c r="J72" s="16">
        <f t="shared" si="208"/>
        <v>74.58333333</v>
      </c>
      <c r="K72" s="16">
        <f t="shared" ref="K72:L72" si="209">E72/125</f>
        <v>16.0384</v>
      </c>
      <c r="L72" s="16">
        <f t="shared" si="209"/>
        <v>14.32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ht="15.75" customHeight="1">
      <c r="A73" s="1"/>
      <c r="B73" s="1" t="s">
        <v>155</v>
      </c>
      <c r="C73" s="19" t="s">
        <v>156</v>
      </c>
      <c r="D73" s="2"/>
      <c r="E73" s="18">
        <f t="shared" si="65"/>
        <v>2116.8</v>
      </c>
      <c r="F73" s="14">
        <v>1890.0</v>
      </c>
      <c r="G73" s="15">
        <f t="shared" ref="G73:H73" si="210">E73/94</f>
        <v>22.51914894</v>
      </c>
      <c r="H73" s="15">
        <f t="shared" si="210"/>
        <v>20.10638298</v>
      </c>
      <c r="I73" s="16">
        <f t="shared" ref="I73:J73" si="211">E73/24</f>
        <v>88.2</v>
      </c>
      <c r="J73" s="16">
        <f t="shared" si="211"/>
        <v>78.75</v>
      </c>
      <c r="K73" s="16">
        <f t="shared" ref="K73:L73" si="212">E73/125</f>
        <v>16.9344</v>
      </c>
      <c r="L73" s="16">
        <f t="shared" si="212"/>
        <v>15.12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ht="15.75" customHeight="1">
      <c r="A74" s="1"/>
      <c r="B74" s="1" t="s">
        <v>157</v>
      </c>
      <c r="C74" s="19" t="s">
        <v>158</v>
      </c>
      <c r="D74" s="2"/>
      <c r="E74" s="18">
        <f t="shared" si="65"/>
        <v>2116.8</v>
      </c>
      <c r="F74" s="14">
        <v>1890.0</v>
      </c>
      <c r="G74" s="15">
        <f t="shared" ref="G74:H74" si="213">E74/94</f>
        <v>22.51914894</v>
      </c>
      <c r="H74" s="15">
        <f t="shared" si="213"/>
        <v>20.10638298</v>
      </c>
      <c r="I74" s="16">
        <f t="shared" ref="I74:J74" si="214">E74/24</f>
        <v>88.2</v>
      </c>
      <c r="J74" s="16">
        <f t="shared" si="214"/>
        <v>78.75</v>
      </c>
      <c r="K74" s="16">
        <f t="shared" ref="K74:L74" si="215">E74/125</f>
        <v>16.9344</v>
      </c>
      <c r="L74" s="16">
        <f t="shared" si="215"/>
        <v>15.12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ht="15.75" customHeight="1">
      <c r="A75" s="1"/>
      <c r="B75" s="1" t="s">
        <v>159</v>
      </c>
      <c r="C75" s="19" t="s">
        <v>160</v>
      </c>
      <c r="D75" s="2"/>
      <c r="E75" s="18">
        <f t="shared" si="65"/>
        <v>2116.8</v>
      </c>
      <c r="F75" s="14">
        <v>1890.0</v>
      </c>
      <c r="G75" s="15">
        <f t="shared" ref="G75:H75" si="216">E75/94</f>
        <v>22.51914894</v>
      </c>
      <c r="H75" s="15">
        <f t="shared" si="216"/>
        <v>20.10638298</v>
      </c>
      <c r="I75" s="16">
        <f t="shared" ref="I75:J75" si="217">E75/24</f>
        <v>88.2</v>
      </c>
      <c r="J75" s="16">
        <f t="shared" si="217"/>
        <v>78.75</v>
      </c>
      <c r="K75" s="16">
        <f t="shared" ref="K75:L75" si="218">E75/125</f>
        <v>16.9344</v>
      </c>
      <c r="L75" s="16">
        <f t="shared" si="218"/>
        <v>15.12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ht="15.75" customHeight="1">
      <c r="A76" s="1"/>
      <c r="B76" s="1" t="s">
        <v>161</v>
      </c>
      <c r="C76" s="19" t="s">
        <v>162</v>
      </c>
      <c r="D76" s="2"/>
      <c r="E76" s="18">
        <f t="shared" si="65"/>
        <v>2116.8</v>
      </c>
      <c r="F76" s="14">
        <v>1890.0</v>
      </c>
      <c r="G76" s="15">
        <f t="shared" ref="G76:H76" si="219">E76/94</f>
        <v>22.51914894</v>
      </c>
      <c r="H76" s="15">
        <f t="shared" si="219"/>
        <v>20.10638298</v>
      </c>
      <c r="I76" s="16">
        <f t="shared" ref="I76:J76" si="220">E76/24</f>
        <v>88.2</v>
      </c>
      <c r="J76" s="16">
        <f t="shared" si="220"/>
        <v>78.75</v>
      </c>
      <c r="K76" s="16">
        <f t="shared" ref="K76:L76" si="221">E76/125</f>
        <v>16.9344</v>
      </c>
      <c r="L76" s="16">
        <f t="shared" si="221"/>
        <v>15.12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ht="15.0" customHeight="1">
      <c r="A77" s="1" t="s">
        <v>163</v>
      </c>
      <c r="B77" s="1" t="s">
        <v>147</v>
      </c>
      <c r="C77" s="19" t="s">
        <v>164</v>
      </c>
      <c r="D77" s="22">
        <v>14.0</v>
      </c>
      <c r="E77" s="18">
        <f t="shared" si="65"/>
        <v>1842.4</v>
      </c>
      <c r="F77" s="14">
        <v>1645.0</v>
      </c>
      <c r="G77" s="15">
        <f t="shared" ref="G77:H77" si="222">E77/94</f>
        <v>19.6</v>
      </c>
      <c r="H77" s="15">
        <f t="shared" si="222"/>
        <v>17.5</v>
      </c>
      <c r="I77" s="16">
        <f t="shared" ref="I77:J77" si="223">E77/24</f>
        <v>76.76666667</v>
      </c>
      <c r="J77" s="16">
        <f t="shared" si="223"/>
        <v>68.54166667</v>
      </c>
      <c r="K77" s="16">
        <f t="shared" ref="K77:L77" si="224">E77/125</f>
        <v>14.7392</v>
      </c>
      <c r="L77" s="16">
        <f t="shared" si="224"/>
        <v>13.16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ht="15.75" customHeight="1">
      <c r="A78" s="1"/>
      <c r="B78" s="1" t="s">
        <v>149</v>
      </c>
      <c r="C78" s="19" t="s">
        <v>165</v>
      </c>
      <c r="D78" s="22">
        <v>10.0</v>
      </c>
      <c r="E78" s="18">
        <f t="shared" si="65"/>
        <v>1842.4</v>
      </c>
      <c r="F78" s="14">
        <v>1645.0</v>
      </c>
      <c r="G78" s="15">
        <f t="shared" ref="G78:H78" si="225">E78/94</f>
        <v>19.6</v>
      </c>
      <c r="H78" s="15">
        <f t="shared" si="225"/>
        <v>17.5</v>
      </c>
      <c r="I78" s="16">
        <f t="shared" ref="I78:J78" si="226">E78/24</f>
        <v>76.76666667</v>
      </c>
      <c r="J78" s="16">
        <f t="shared" si="226"/>
        <v>68.54166667</v>
      </c>
      <c r="K78" s="16">
        <f t="shared" ref="K78:L78" si="227">E78/125</f>
        <v>14.7392</v>
      </c>
      <c r="L78" s="16">
        <f t="shared" si="227"/>
        <v>13.16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ht="15.75" customHeight="1">
      <c r="A79" s="1"/>
      <c r="B79" s="1" t="s">
        <v>151</v>
      </c>
      <c r="C79" s="19" t="s">
        <v>166</v>
      </c>
      <c r="D79" s="22">
        <v>10.0</v>
      </c>
      <c r="E79" s="18">
        <f t="shared" si="65"/>
        <v>1842.4</v>
      </c>
      <c r="F79" s="14">
        <v>1645.0</v>
      </c>
      <c r="G79" s="15">
        <f t="shared" ref="G79:H79" si="228">E79/94</f>
        <v>19.6</v>
      </c>
      <c r="H79" s="15">
        <f t="shared" si="228"/>
        <v>17.5</v>
      </c>
      <c r="I79" s="16">
        <f t="shared" ref="I79:J79" si="229">E79/24</f>
        <v>76.76666667</v>
      </c>
      <c r="J79" s="16">
        <f t="shared" si="229"/>
        <v>68.54166667</v>
      </c>
      <c r="K79" s="16">
        <f t="shared" ref="K79:L79" si="230">E79/125</f>
        <v>14.7392</v>
      </c>
      <c r="L79" s="16">
        <f t="shared" si="230"/>
        <v>13.16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ht="15.75" customHeight="1">
      <c r="A80" s="1"/>
      <c r="B80" s="1" t="s">
        <v>153</v>
      </c>
      <c r="C80" s="19" t="s">
        <v>167</v>
      </c>
      <c r="D80" s="22">
        <v>9.0</v>
      </c>
      <c r="E80" s="18">
        <f t="shared" si="65"/>
        <v>1842.4</v>
      </c>
      <c r="F80" s="14">
        <v>1645.0</v>
      </c>
      <c r="G80" s="15">
        <f t="shared" ref="G80:H80" si="231">E80/94</f>
        <v>19.6</v>
      </c>
      <c r="H80" s="15">
        <f t="shared" si="231"/>
        <v>17.5</v>
      </c>
      <c r="I80" s="16">
        <f t="shared" ref="I80:J80" si="232">E80/24</f>
        <v>76.76666667</v>
      </c>
      <c r="J80" s="16">
        <f t="shared" si="232"/>
        <v>68.54166667</v>
      </c>
      <c r="K80" s="16">
        <f t="shared" ref="K80:L80" si="233">E80/125</f>
        <v>14.7392</v>
      </c>
      <c r="L80" s="16">
        <f t="shared" si="233"/>
        <v>13.16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ht="15.75" customHeight="1">
      <c r="A81" s="1"/>
      <c r="B81" s="1" t="s">
        <v>168</v>
      </c>
      <c r="C81" s="19" t="s">
        <v>169</v>
      </c>
      <c r="D81" s="23"/>
      <c r="E81" s="18">
        <f t="shared" si="65"/>
        <v>2010.4</v>
      </c>
      <c r="F81" s="14">
        <v>1795.0</v>
      </c>
      <c r="G81" s="15">
        <f t="shared" ref="G81:H81" si="234">E81/94</f>
        <v>21.38723404</v>
      </c>
      <c r="H81" s="15">
        <f t="shared" si="234"/>
        <v>19.09574468</v>
      </c>
      <c r="I81" s="16">
        <f t="shared" ref="I81:J81" si="235">E81/24</f>
        <v>83.76666667</v>
      </c>
      <c r="J81" s="16">
        <f t="shared" si="235"/>
        <v>74.79166667</v>
      </c>
      <c r="K81" s="16">
        <f t="shared" ref="K81:L81" si="236">E81/125</f>
        <v>16.0832</v>
      </c>
      <c r="L81" s="16">
        <f t="shared" si="236"/>
        <v>14.36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ht="15.75" customHeight="1">
      <c r="A82" s="1"/>
      <c r="B82" s="1" t="s">
        <v>157</v>
      </c>
      <c r="C82" s="19" t="s">
        <v>170</v>
      </c>
      <c r="D82" s="23"/>
      <c r="E82" s="18">
        <f t="shared" si="65"/>
        <v>2010.4</v>
      </c>
      <c r="F82" s="14">
        <v>1795.0</v>
      </c>
      <c r="G82" s="15">
        <f t="shared" ref="G82:H82" si="237">E82/94</f>
        <v>21.38723404</v>
      </c>
      <c r="H82" s="15">
        <f t="shared" si="237"/>
        <v>19.09574468</v>
      </c>
      <c r="I82" s="16">
        <f t="shared" ref="I82:J82" si="238">E82/24</f>
        <v>83.76666667</v>
      </c>
      <c r="J82" s="16">
        <f t="shared" si="238"/>
        <v>74.79166667</v>
      </c>
      <c r="K82" s="16">
        <f t="shared" ref="K82:L82" si="239">E82/125</f>
        <v>16.0832</v>
      </c>
      <c r="L82" s="16">
        <f t="shared" si="239"/>
        <v>14.36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ht="15.75" customHeight="1">
      <c r="A83" s="1"/>
      <c r="B83" s="1" t="s">
        <v>159</v>
      </c>
      <c r="C83" s="19" t="s">
        <v>171</v>
      </c>
      <c r="D83" s="23"/>
      <c r="E83" s="18">
        <f t="shared" si="65"/>
        <v>2010.4</v>
      </c>
      <c r="F83" s="14">
        <v>1795.0</v>
      </c>
      <c r="G83" s="15">
        <f t="shared" ref="G83:H83" si="240">E83/94</f>
        <v>21.38723404</v>
      </c>
      <c r="H83" s="15">
        <f t="shared" si="240"/>
        <v>19.09574468</v>
      </c>
      <c r="I83" s="16">
        <f t="shared" ref="I83:J83" si="241">E83/24</f>
        <v>83.76666667</v>
      </c>
      <c r="J83" s="16">
        <f t="shared" si="241"/>
        <v>74.79166667</v>
      </c>
      <c r="K83" s="16">
        <f t="shared" ref="K83:L83" si="242">E83/125</f>
        <v>16.0832</v>
      </c>
      <c r="L83" s="16">
        <f t="shared" si="242"/>
        <v>14.36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ht="15.75" customHeight="1">
      <c r="A84" s="1"/>
      <c r="B84" s="1" t="s">
        <v>161</v>
      </c>
      <c r="C84" s="19" t="s">
        <v>172</v>
      </c>
      <c r="D84" s="23"/>
      <c r="E84" s="18">
        <f t="shared" si="65"/>
        <v>2010.4</v>
      </c>
      <c r="F84" s="14">
        <v>1795.0</v>
      </c>
      <c r="G84" s="15">
        <f t="shared" ref="G84:H84" si="243">E84/94</f>
        <v>21.38723404</v>
      </c>
      <c r="H84" s="15">
        <f t="shared" si="243"/>
        <v>19.09574468</v>
      </c>
      <c r="I84" s="16">
        <f t="shared" ref="I84:J84" si="244">E84/24</f>
        <v>83.76666667</v>
      </c>
      <c r="J84" s="16">
        <f t="shared" si="244"/>
        <v>74.79166667</v>
      </c>
      <c r="K84" s="16">
        <f t="shared" ref="K84:L84" si="245">E84/125</f>
        <v>16.0832</v>
      </c>
      <c r="L84" s="16">
        <f t="shared" si="245"/>
        <v>14.36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ht="15.0" customHeight="1">
      <c r="A85" s="1" t="s">
        <v>173</v>
      </c>
      <c r="B85" s="1" t="s">
        <v>147</v>
      </c>
      <c r="C85" s="19" t="s">
        <v>174</v>
      </c>
      <c r="D85" s="22">
        <v>1.0</v>
      </c>
      <c r="E85" s="18">
        <f t="shared" si="65"/>
        <v>1668.8</v>
      </c>
      <c r="F85" s="14">
        <v>1490.0</v>
      </c>
      <c r="G85" s="15">
        <f t="shared" ref="G85:H85" si="246">E85/94</f>
        <v>17.75319149</v>
      </c>
      <c r="H85" s="15">
        <f t="shared" si="246"/>
        <v>15.85106383</v>
      </c>
      <c r="I85" s="16">
        <f t="shared" ref="I85:J85" si="247">E85/24</f>
        <v>69.53333333</v>
      </c>
      <c r="J85" s="16">
        <f t="shared" si="247"/>
        <v>62.08333333</v>
      </c>
      <c r="K85" s="16">
        <f t="shared" ref="K85:L85" si="248">E85/125</f>
        <v>13.3504</v>
      </c>
      <c r="L85" s="16">
        <f t="shared" si="248"/>
        <v>11.92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ht="15.75" customHeight="1">
      <c r="A86" s="1"/>
      <c r="B86" s="1" t="s">
        <v>149</v>
      </c>
      <c r="C86" s="19" t="s">
        <v>175</v>
      </c>
      <c r="D86" s="22">
        <v>11.0</v>
      </c>
      <c r="E86" s="18">
        <f t="shared" si="65"/>
        <v>1668.8</v>
      </c>
      <c r="F86" s="14">
        <v>1490.0</v>
      </c>
      <c r="G86" s="15">
        <f t="shared" ref="G86:H86" si="249">E86/94</f>
        <v>17.75319149</v>
      </c>
      <c r="H86" s="15">
        <f t="shared" si="249"/>
        <v>15.85106383</v>
      </c>
      <c r="I86" s="16">
        <f t="shared" ref="I86:J86" si="250">E86/24</f>
        <v>69.53333333</v>
      </c>
      <c r="J86" s="16">
        <f t="shared" si="250"/>
        <v>62.08333333</v>
      </c>
      <c r="K86" s="16">
        <f t="shared" ref="K86:L86" si="251">E86/125</f>
        <v>13.3504</v>
      </c>
      <c r="L86" s="16">
        <f t="shared" si="251"/>
        <v>11.92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ht="15.75" customHeight="1">
      <c r="A87" s="1"/>
      <c r="B87" s="1" t="s">
        <v>151</v>
      </c>
      <c r="C87" s="19" t="s">
        <v>176</v>
      </c>
      <c r="D87" s="22">
        <v>7.0</v>
      </c>
      <c r="E87" s="18">
        <f t="shared" si="65"/>
        <v>1668.8</v>
      </c>
      <c r="F87" s="14">
        <v>1490.0</v>
      </c>
      <c r="G87" s="15">
        <f t="shared" ref="G87:H87" si="252">E87/94</f>
        <v>17.75319149</v>
      </c>
      <c r="H87" s="15">
        <f t="shared" si="252"/>
        <v>15.85106383</v>
      </c>
      <c r="I87" s="16">
        <f t="shared" ref="I87:J87" si="253">E87/24</f>
        <v>69.53333333</v>
      </c>
      <c r="J87" s="16">
        <f t="shared" si="253"/>
        <v>62.08333333</v>
      </c>
      <c r="K87" s="16">
        <f t="shared" ref="K87:L87" si="254">E87/125</f>
        <v>13.3504</v>
      </c>
      <c r="L87" s="16">
        <f t="shared" si="254"/>
        <v>11.92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ht="15.75" customHeight="1">
      <c r="A88" s="1"/>
      <c r="B88" s="1" t="s">
        <v>153</v>
      </c>
      <c r="C88" s="19" t="s">
        <v>177</v>
      </c>
      <c r="D88" s="22">
        <v>9.0</v>
      </c>
      <c r="E88" s="18">
        <f t="shared" si="65"/>
        <v>1668.8</v>
      </c>
      <c r="F88" s="14">
        <v>1490.0</v>
      </c>
      <c r="G88" s="15">
        <f t="shared" ref="G88:H88" si="255">E88/94</f>
        <v>17.75319149</v>
      </c>
      <c r="H88" s="15">
        <f t="shared" si="255"/>
        <v>15.85106383</v>
      </c>
      <c r="I88" s="16">
        <f t="shared" ref="I88:J88" si="256">E88/24</f>
        <v>69.53333333</v>
      </c>
      <c r="J88" s="16">
        <f t="shared" si="256"/>
        <v>62.08333333</v>
      </c>
      <c r="K88" s="16">
        <f t="shared" ref="K88:L88" si="257">E88/125</f>
        <v>13.3504</v>
      </c>
      <c r="L88" s="16">
        <f t="shared" si="257"/>
        <v>11.92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ht="15.75" customHeight="1">
      <c r="A89" s="1"/>
      <c r="B89" s="1" t="s">
        <v>168</v>
      </c>
      <c r="C89" s="19" t="s">
        <v>178</v>
      </c>
      <c r="D89" s="23"/>
      <c r="E89" s="18">
        <f t="shared" si="65"/>
        <v>1668.8</v>
      </c>
      <c r="F89" s="14">
        <v>1490.0</v>
      </c>
      <c r="G89" s="15">
        <f t="shared" ref="G89:H89" si="258">E89/94</f>
        <v>17.75319149</v>
      </c>
      <c r="H89" s="15">
        <f t="shared" si="258"/>
        <v>15.85106383</v>
      </c>
      <c r="I89" s="16">
        <f t="shared" ref="I89:J89" si="259">E89/24</f>
        <v>69.53333333</v>
      </c>
      <c r="J89" s="16">
        <f t="shared" si="259"/>
        <v>62.08333333</v>
      </c>
      <c r="K89" s="16">
        <f t="shared" ref="K89:L89" si="260">E89/125</f>
        <v>13.3504</v>
      </c>
      <c r="L89" s="16">
        <f t="shared" si="260"/>
        <v>11.92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ht="15.75" customHeight="1">
      <c r="A90" s="1"/>
      <c r="B90" s="1" t="s">
        <v>157</v>
      </c>
      <c r="C90" s="19" t="s">
        <v>179</v>
      </c>
      <c r="D90" s="23"/>
      <c r="E90" s="18">
        <f t="shared" si="65"/>
        <v>1668.8</v>
      </c>
      <c r="F90" s="14">
        <v>1490.0</v>
      </c>
      <c r="G90" s="15">
        <f t="shared" ref="G90:H90" si="261">E90/94</f>
        <v>17.75319149</v>
      </c>
      <c r="H90" s="15">
        <f t="shared" si="261"/>
        <v>15.85106383</v>
      </c>
      <c r="I90" s="16">
        <f t="shared" ref="I90:J90" si="262">E90/24</f>
        <v>69.53333333</v>
      </c>
      <c r="J90" s="16">
        <f t="shared" si="262"/>
        <v>62.08333333</v>
      </c>
      <c r="K90" s="16">
        <f t="shared" ref="K90:L90" si="263">E90/125</f>
        <v>13.3504</v>
      </c>
      <c r="L90" s="16">
        <f t="shared" si="263"/>
        <v>11.92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ht="15.75" customHeight="1">
      <c r="A91" s="1"/>
      <c r="B91" s="1" t="s">
        <v>159</v>
      </c>
      <c r="C91" s="19" t="s">
        <v>180</v>
      </c>
      <c r="D91" s="23"/>
      <c r="E91" s="18">
        <f t="shared" si="65"/>
        <v>1668.8</v>
      </c>
      <c r="F91" s="14">
        <v>1490.0</v>
      </c>
      <c r="G91" s="15">
        <f t="shared" ref="G91:H91" si="264">E91/94</f>
        <v>17.75319149</v>
      </c>
      <c r="H91" s="15">
        <f t="shared" si="264"/>
        <v>15.85106383</v>
      </c>
      <c r="I91" s="16">
        <f t="shared" ref="I91:J91" si="265">E91/24</f>
        <v>69.53333333</v>
      </c>
      <c r="J91" s="16">
        <f t="shared" si="265"/>
        <v>62.08333333</v>
      </c>
      <c r="K91" s="16">
        <f t="shared" ref="K91:L91" si="266">E91/125</f>
        <v>13.3504</v>
      </c>
      <c r="L91" s="16">
        <f t="shared" si="266"/>
        <v>11.92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ht="15.75" customHeight="1">
      <c r="A92" s="1"/>
      <c r="B92" s="1" t="s">
        <v>161</v>
      </c>
      <c r="C92" s="19" t="s">
        <v>181</v>
      </c>
      <c r="D92" s="23"/>
      <c r="E92" s="18">
        <f t="shared" si="65"/>
        <v>1668.8</v>
      </c>
      <c r="F92" s="14">
        <v>1490.0</v>
      </c>
      <c r="G92" s="15">
        <f t="shared" ref="G92:H92" si="267">E92/94</f>
        <v>17.75319149</v>
      </c>
      <c r="H92" s="15">
        <f t="shared" si="267"/>
        <v>15.85106383</v>
      </c>
      <c r="I92" s="16">
        <f t="shared" ref="I92:J92" si="268">E92/24</f>
        <v>69.53333333</v>
      </c>
      <c r="J92" s="16">
        <f t="shared" si="268"/>
        <v>62.08333333</v>
      </c>
      <c r="K92" s="16">
        <f t="shared" ref="K92:L92" si="269">E92/125</f>
        <v>13.3504</v>
      </c>
      <c r="L92" s="16">
        <f t="shared" si="269"/>
        <v>11.92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ht="15.0" customHeight="1">
      <c r="A93" s="1" t="s">
        <v>182</v>
      </c>
      <c r="B93" s="1" t="s">
        <v>183</v>
      </c>
      <c r="C93" s="19" t="s">
        <v>184</v>
      </c>
      <c r="D93" s="12">
        <v>6.0</v>
      </c>
      <c r="E93" s="18">
        <f t="shared" si="65"/>
        <v>666.4</v>
      </c>
      <c r="F93" s="14">
        <v>595.0</v>
      </c>
      <c r="G93" s="15">
        <f t="shared" ref="G93:H93" si="270">E93/94</f>
        <v>7.089361702</v>
      </c>
      <c r="H93" s="15">
        <f t="shared" si="270"/>
        <v>6.329787234</v>
      </c>
      <c r="I93" s="16">
        <f t="shared" ref="I93:J93" si="271">E93/24</f>
        <v>27.76666667</v>
      </c>
      <c r="J93" s="16">
        <f t="shared" si="271"/>
        <v>24.79166667</v>
      </c>
      <c r="K93" s="16">
        <f t="shared" ref="K93:L93" si="272">E93/125</f>
        <v>5.3312</v>
      </c>
      <c r="L93" s="16">
        <f t="shared" si="272"/>
        <v>4.76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ht="15.75" customHeight="1">
      <c r="A94" s="1"/>
      <c r="B94" s="1" t="s">
        <v>185</v>
      </c>
      <c r="C94" s="19" t="s">
        <v>186</v>
      </c>
      <c r="D94" s="12">
        <v>8.0</v>
      </c>
      <c r="E94" s="18">
        <f t="shared" si="65"/>
        <v>666.4</v>
      </c>
      <c r="F94" s="14">
        <v>595.0</v>
      </c>
      <c r="G94" s="15">
        <f t="shared" ref="G94:H94" si="273">E94/94</f>
        <v>7.089361702</v>
      </c>
      <c r="H94" s="15">
        <f t="shared" si="273"/>
        <v>6.329787234</v>
      </c>
      <c r="I94" s="16">
        <f t="shared" ref="I94:J94" si="274">E94/24</f>
        <v>27.76666667</v>
      </c>
      <c r="J94" s="16">
        <f t="shared" si="274"/>
        <v>24.79166667</v>
      </c>
      <c r="K94" s="16">
        <f t="shared" ref="K94:L94" si="275">E94/125</f>
        <v>5.3312</v>
      </c>
      <c r="L94" s="16">
        <f t="shared" si="275"/>
        <v>4.76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ht="15.75" customHeight="1">
      <c r="A95" s="1"/>
      <c r="B95" s="1" t="s">
        <v>187</v>
      </c>
      <c r="C95" s="19" t="s">
        <v>188</v>
      </c>
      <c r="D95" s="12">
        <v>14.0</v>
      </c>
      <c r="E95" s="18">
        <f t="shared" si="65"/>
        <v>666.4</v>
      </c>
      <c r="F95" s="14">
        <v>595.0</v>
      </c>
      <c r="G95" s="15">
        <f t="shared" ref="G95:H95" si="276">E95/94</f>
        <v>7.089361702</v>
      </c>
      <c r="H95" s="15">
        <f t="shared" si="276"/>
        <v>6.329787234</v>
      </c>
      <c r="I95" s="16">
        <f t="shared" ref="I95:J95" si="277">E95/24</f>
        <v>27.76666667</v>
      </c>
      <c r="J95" s="16">
        <f t="shared" si="277"/>
        <v>24.79166667</v>
      </c>
      <c r="K95" s="16">
        <f t="shared" ref="K95:L95" si="278">E95/125</f>
        <v>5.3312</v>
      </c>
      <c r="L95" s="16">
        <f t="shared" si="278"/>
        <v>4.76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ht="15.75" customHeight="1">
      <c r="A96" s="1"/>
      <c r="B96" s="17" t="s">
        <v>189</v>
      </c>
      <c r="C96" s="19" t="s">
        <v>190</v>
      </c>
      <c r="D96" s="12">
        <v>15.0</v>
      </c>
      <c r="E96" s="18">
        <f t="shared" si="65"/>
        <v>666.4</v>
      </c>
      <c r="F96" s="14">
        <v>595.0</v>
      </c>
      <c r="G96" s="15">
        <f t="shared" ref="G96:H96" si="279">E96/94</f>
        <v>7.089361702</v>
      </c>
      <c r="H96" s="15">
        <f t="shared" si="279"/>
        <v>6.329787234</v>
      </c>
      <c r="I96" s="16">
        <f t="shared" ref="I96:J96" si="280">E96/24</f>
        <v>27.76666667</v>
      </c>
      <c r="J96" s="16">
        <f t="shared" si="280"/>
        <v>24.79166667</v>
      </c>
      <c r="K96" s="16">
        <f t="shared" ref="K96:L96" si="281">E96/125</f>
        <v>5.3312</v>
      </c>
      <c r="L96" s="16">
        <f t="shared" si="281"/>
        <v>4.76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ht="15.75" customHeight="1">
      <c r="A97" s="1"/>
      <c r="B97" s="1" t="s">
        <v>191</v>
      </c>
      <c r="C97" s="19" t="s">
        <v>192</v>
      </c>
      <c r="D97" s="12">
        <v>0.0</v>
      </c>
      <c r="E97" s="18">
        <f t="shared" si="65"/>
        <v>1668.8</v>
      </c>
      <c r="F97" s="14">
        <v>1490.0</v>
      </c>
      <c r="G97" s="15">
        <f t="shared" ref="G97:H97" si="282">E97/94</f>
        <v>17.75319149</v>
      </c>
      <c r="H97" s="15">
        <f t="shared" si="282"/>
        <v>15.85106383</v>
      </c>
      <c r="I97" s="16">
        <f t="shared" ref="I97:J97" si="283">E97/24</f>
        <v>69.53333333</v>
      </c>
      <c r="J97" s="16">
        <f t="shared" si="283"/>
        <v>62.08333333</v>
      </c>
      <c r="K97" s="16">
        <f t="shared" ref="K97:L97" si="284">E97/125</f>
        <v>13.3504</v>
      </c>
      <c r="L97" s="16">
        <f t="shared" si="284"/>
        <v>11.92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ht="15.75" customHeight="1">
      <c r="A98" s="1"/>
      <c r="B98" s="1" t="s">
        <v>193</v>
      </c>
      <c r="C98" s="19" t="s">
        <v>194</v>
      </c>
      <c r="D98" s="12">
        <v>0.0</v>
      </c>
      <c r="E98" s="18">
        <f t="shared" si="65"/>
        <v>1668.8</v>
      </c>
      <c r="F98" s="14">
        <v>1490.0</v>
      </c>
      <c r="G98" s="15">
        <f t="shared" ref="G98:H98" si="285">E98/94</f>
        <v>17.75319149</v>
      </c>
      <c r="H98" s="15">
        <f t="shared" si="285"/>
        <v>15.85106383</v>
      </c>
      <c r="I98" s="16">
        <f t="shared" ref="I98:J98" si="286">E98/24</f>
        <v>69.53333333</v>
      </c>
      <c r="J98" s="16">
        <f t="shared" si="286"/>
        <v>62.08333333</v>
      </c>
      <c r="K98" s="16">
        <f t="shared" ref="K98:L98" si="287">E98/125</f>
        <v>13.3504</v>
      </c>
      <c r="L98" s="16">
        <f t="shared" si="287"/>
        <v>11.92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ht="15.75" customHeight="1">
      <c r="A99" s="1"/>
      <c r="B99" s="1" t="s">
        <v>195</v>
      </c>
      <c r="C99" s="19" t="s">
        <v>196</v>
      </c>
      <c r="D99" s="12">
        <v>0.0</v>
      </c>
      <c r="E99" s="18">
        <f t="shared" si="65"/>
        <v>1668.8</v>
      </c>
      <c r="F99" s="14">
        <v>1490.0</v>
      </c>
      <c r="G99" s="15">
        <f t="shared" ref="G99:H99" si="288">E99/94</f>
        <v>17.75319149</v>
      </c>
      <c r="H99" s="15">
        <f t="shared" si="288"/>
        <v>15.85106383</v>
      </c>
      <c r="I99" s="16">
        <f t="shared" ref="I99:J99" si="289">E99/24</f>
        <v>69.53333333</v>
      </c>
      <c r="J99" s="16">
        <f t="shared" si="289"/>
        <v>62.08333333</v>
      </c>
      <c r="K99" s="16">
        <f t="shared" ref="K99:L99" si="290">E99/125</f>
        <v>13.3504</v>
      </c>
      <c r="L99" s="16">
        <f t="shared" si="290"/>
        <v>11.92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ht="15.75" customHeight="1">
      <c r="A100" s="1"/>
      <c r="B100" s="1" t="s">
        <v>197</v>
      </c>
      <c r="C100" s="19" t="s">
        <v>198</v>
      </c>
      <c r="D100" s="12">
        <v>0.0</v>
      </c>
      <c r="E100" s="18">
        <f t="shared" si="65"/>
        <v>1668.8</v>
      </c>
      <c r="F100" s="14">
        <v>1490.0</v>
      </c>
      <c r="G100" s="15">
        <f t="shared" ref="G100:H100" si="291">E100/94</f>
        <v>17.75319149</v>
      </c>
      <c r="H100" s="15">
        <f t="shared" si="291"/>
        <v>15.85106383</v>
      </c>
      <c r="I100" s="16">
        <f t="shared" ref="I100:J100" si="292">E100/24</f>
        <v>69.53333333</v>
      </c>
      <c r="J100" s="16">
        <f t="shared" si="292"/>
        <v>62.08333333</v>
      </c>
      <c r="K100" s="16">
        <f t="shared" ref="K100:L100" si="293">E100/125</f>
        <v>13.3504</v>
      </c>
      <c r="L100" s="16">
        <f t="shared" si="293"/>
        <v>11.92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ht="15.0" customHeight="1">
      <c r="A101" s="1" t="s">
        <v>199</v>
      </c>
      <c r="B101" s="1" t="s">
        <v>187</v>
      </c>
      <c r="C101" s="19" t="s">
        <v>200</v>
      </c>
      <c r="D101" s="25">
        <v>8.0</v>
      </c>
      <c r="E101" s="18">
        <f t="shared" si="65"/>
        <v>1780.8</v>
      </c>
      <c r="F101" s="14">
        <v>1590.0</v>
      </c>
      <c r="G101" s="15">
        <f t="shared" ref="G101:H101" si="294">E101/94</f>
        <v>18.94468085</v>
      </c>
      <c r="H101" s="15">
        <f t="shared" si="294"/>
        <v>16.91489362</v>
      </c>
      <c r="I101" s="16">
        <f t="shared" ref="I101:J101" si="295">E101/24</f>
        <v>74.2</v>
      </c>
      <c r="J101" s="16">
        <f t="shared" si="295"/>
        <v>66.25</v>
      </c>
      <c r="K101" s="16">
        <f t="shared" ref="K101:L101" si="296">E101/125</f>
        <v>14.2464</v>
      </c>
      <c r="L101" s="16">
        <f t="shared" si="296"/>
        <v>12.72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ht="15.75" customHeight="1">
      <c r="A102" s="1"/>
      <c r="B102" s="1" t="s">
        <v>201</v>
      </c>
      <c r="C102" s="19" t="s">
        <v>202</v>
      </c>
      <c r="D102" s="25">
        <v>7.0</v>
      </c>
      <c r="E102" s="18">
        <f t="shared" si="65"/>
        <v>1780.8</v>
      </c>
      <c r="F102" s="14">
        <v>1590.0</v>
      </c>
      <c r="G102" s="15">
        <f t="shared" ref="G102:H102" si="297">E102/94</f>
        <v>18.94468085</v>
      </c>
      <c r="H102" s="15">
        <f t="shared" si="297"/>
        <v>16.91489362</v>
      </c>
      <c r="I102" s="16">
        <f t="shared" ref="I102:J102" si="298">E102/24</f>
        <v>74.2</v>
      </c>
      <c r="J102" s="16">
        <f t="shared" si="298"/>
        <v>66.25</v>
      </c>
      <c r="K102" s="16">
        <f t="shared" ref="K102:L102" si="299">E102/125</f>
        <v>14.2464</v>
      </c>
      <c r="L102" s="16">
        <f t="shared" si="299"/>
        <v>12.72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ht="15.75" customHeight="1">
      <c r="A103" s="1"/>
      <c r="B103" s="1" t="s">
        <v>203</v>
      </c>
      <c r="C103" s="19" t="s">
        <v>204</v>
      </c>
      <c r="D103" s="25">
        <v>3.0</v>
      </c>
      <c r="E103" s="18">
        <f t="shared" si="65"/>
        <v>1780.8</v>
      </c>
      <c r="F103" s="14">
        <v>1590.0</v>
      </c>
      <c r="G103" s="15">
        <f t="shared" ref="G103:H103" si="300">E103/94</f>
        <v>18.94468085</v>
      </c>
      <c r="H103" s="15">
        <f t="shared" si="300"/>
        <v>16.91489362</v>
      </c>
      <c r="I103" s="16">
        <f t="shared" ref="I103:J103" si="301">E103/24</f>
        <v>74.2</v>
      </c>
      <c r="J103" s="16">
        <f t="shared" si="301"/>
        <v>66.25</v>
      </c>
      <c r="K103" s="16">
        <f t="shared" ref="K103:L103" si="302">E103/125</f>
        <v>14.2464</v>
      </c>
      <c r="L103" s="16">
        <f t="shared" si="302"/>
        <v>12.72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ht="15.75" customHeight="1">
      <c r="A104" s="1"/>
      <c r="B104" s="1" t="s">
        <v>191</v>
      </c>
      <c r="C104" s="19" t="s">
        <v>205</v>
      </c>
      <c r="D104" s="25">
        <v>13.0</v>
      </c>
      <c r="E104" s="18">
        <f t="shared" si="65"/>
        <v>1780.8</v>
      </c>
      <c r="F104" s="14">
        <v>1590.0</v>
      </c>
      <c r="G104" s="15">
        <f t="shared" ref="G104:H104" si="303">E104/94</f>
        <v>18.94468085</v>
      </c>
      <c r="H104" s="15">
        <f t="shared" si="303"/>
        <v>16.91489362</v>
      </c>
      <c r="I104" s="16">
        <f t="shared" ref="I104:J104" si="304">E104/24</f>
        <v>74.2</v>
      </c>
      <c r="J104" s="16">
        <f t="shared" si="304"/>
        <v>66.25</v>
      </c>
      <c r="K104" s="16">
        <f t="shared" ref="K104:L104" si="305">E104/125</f>
        <v>14.2464</v>
      </c>
      <c r="L104" s="16">
        <f t="shared" si="305"/>
        <v>12.72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ht="15.75" customHeight="1">
      <c r="A105" s="1"/>
      <c r="B105" s="1" t="s">
        <v>206</v>
      </c>
      <c r="C105" s="19" t="s">
        <v>207</v>
      </c>
      <c r="D105" s="25">
        <v>8.0</v>
      </c>
      <c r="E105" s="18">
        <f t="shared" si="65"/>
        <v>1780.8</v>
      </c>
      <c r="F105" s="14">
        <v>1590.0</v>
      </c>
      <c r="G105" s="15">
        <f t="shared" ref="G105:H105" si="306">E105/94</f>
        <v>18.94468085</v>
      </c>
      <c r="H105" s="15">
        <f t="shared" si="306"/>
        <v>16.91489362</v>
      </c>
      <c r="I105" s="16">
        <f t="shared" ref="I105:J105" si="307">E105/24</f>
        <v>74.2</v>
      </c>
      <c r="J105" s="16">
        <f t="shared" si="307"/>
        <v>66.25</v>
      </c>
      <c r="K105" s="16">
        <f t="shared" ref="K105:L105" si="308">E105/125</f>
        <v>14.2464</v>
      </c>
      <c r="L105" s="16">
        <f t="shared" si="308"/>
        <v>12.72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ht="15.75" customHeight="1">
      <c r="A106" s="1"/>
      <c r="B106" s="1" t="s">
        <v>193</v>
      </c>
      <c r="C106" s="19" t="s">
        <v>208</v>
      </c>
      <c r="D106" s="25">
        <v>15.0</v>
      </c>
      <c r="E106" s="18">
        <f t="shared" si="65"/>
        <v>1780.8</v>
      </c>
      <c r="F106" s="14">
        <v>1590.0</v>
      </c>
      <c r="G106" s="15">
        <f t="shared" ref="G106:H106" si="309">E106/94</f>
        <v>18.94468085</v>
      </c>
      <c r="H106" s="15">
        <f t="shared" si="309"/>
        <v>16.91489362</v>
      </c>
      <c r="I106" s="16">
        <f t="shared" ref="I106:J106" si="310">E106/24</f>
        <v>74.2</v>
      </c>
      <c r="J106" s="16">
        <f t="shared" si="310"/>
        <v>66.25</v>
      </c>
      <c r="K106" s="16">
        <f t="shared" ref="K106:L106" si="311">E106/125</f>
        <v>14.2464</v>
      </c>
      <c r="L106" s="16">
        <f t="shared" si="311"/>
        <v>12.72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ht="15.75" customHeight="1">
      <c r="A107" s="1"/>
      <c r="B107" s="1" t="s">
        <v>209</v>
      </c>
      <c r="C107" s="19" t="s">
        <v>210</v>
      </c>
      <c r="D107" s="25">
        <v>12.0</v>
      </c>
      <c r="E107" s="18">
        <f t="shared" si="65"/>
        <v>1780.8</v>
      </c>
      <c r="F107" s="14">
        <v>1590.0</v>
      </c>
      <c r="G107" s="15">
        <f t="shared" ref="G107:H107" si="312">E107/94</f>
        <v>18.94468085</v>
      </c>
      <c r="H107" s="15">
        <f t="shared" si="312"/>
        <v>16.91489362</v>
      </c>
      <c r="I107" s="16">
        <f t="shared" ref="I107:J107" si="313">E107/24</f>
        <v>74.2</v>
      </c>
      <c r="J107" s="16">
        <f t="shared" si="313"/>
        <v>66.25</v>
      </c>
      <c r="K107" s="16">
        <f t="shared" ref="K107:L107" si="314">E107/125</f>
        <v>14.2464</v>
      </c>
      <c r="L107" s="16">
        <f t="shared" si="314"/>
        <v>12.72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ht="15.75" customHeight="1">
      <c r="A108" s="1"/>
      <c r="B108" s="17" t="s">
        <v>195</v>
      </c>
      <c r="C108" s="19" t="s">
        <v>211</v>
      </c>
      <c r="D108" s="25">
        <v>19.0</v>
      </c>
      <c r="E108" s="18">
        <f t="shared" si="65"/>
        <v>1780.8</v>
      </c>
      <c r="F108" s="20">
        <v>1590.0</v>
      </c>
      <c r="G108" s="15">
        <f t="shared" ref="G108:H108" si="315">E108/94</f>
        <v>18.94468085</v>
      </c>
      <c r="H108" s="15">
        <f t="shared" si="315"/>
        <v>16.91489362</v>
      </c>
      <c r="I108" s="16">
        <f t="shared" ref="I108:J108" si="316">E108/24</f>
        <v>74.2</v>
      </c>
      <c r="J108" s="16">
        <f t="shared" si="316"/>
        <v>66.25</v>
      </c>
      <c r="K108" s="16">
        <f t="shared" ref="K108:L108" si="317">E108/125</f>
        <v>14.2464</v>
      </c>
      <c r="L108" s="16">
        <f t="shared" si="317"/>
        <v>12.72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ht="15.75" customHeight="1">
      <c r="A109" s="1" t="s">
        <v>212</v>
      </c>
      <c r="B109" s="1" t="s">
        <v>213</v>
      </c>
      <c r="C109" s="19" t="s">
        <v>214</v>
      </c>
      <c r="D109" s="25">
        <v>7.0</v>
      </c>
      <c r="E109" s="18">
        <f t="shared" si="65"/>
        <v>1848</v>
      </c>
      <c r="F109" s="20">
        <v>1650.0</v>
      </c>
      <c r="G109" s="15">
        <f t="shared" ref="G109:H109" si="318">E109/94</f>
        <v>19.65957447</v>
      </c>
      <c r="H109" s="15">
        <f t="shared" si="318"/>
        <v>17.55319149</v>
      </c>
      <c r="I109" s="16">
        <f t="shared" ref="I109:J109" si="319">E109/24</f>
        <v>77</v>
      </c>
      <c r="J109" s="16">
        <f t="shared" si="319"/>
        <v>68.75</v>
      </c>
      <c r="K109" s="16">
        <f t="shared" ref="K109:L109" si="320">E109/125</f>
        <v>14.784</v>
      </c>
      <c r="L109" s="16">
        <f t="shared" si="320"/>
        <v>13.2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ht="15.75" customHeight="1">
      <c r="A110" s="1"/>
      <c r="B110" s="1" t="s">
        <v>201</v>
      </c>
      <c r="C110" s="19" t="s">
        <v>215</v>
      </c>
      <c r="D110" s="25">
        <v>8.0</v>
      </c>
      <c r="E110" s="13">
        <v>1850.0</v>
      </c>
      <c r="F110" s="20">
        <v>1650.0</v>
      </c>
      <c r="G110" s="15">
        <f t="shared" ref="G110:H110" si="321">E110/94</f>
        <v>19.68085106</v>
      </c>
      <c r="H110" s="15">
        <f t="shared" si="321"/>
        <v>17.55319149</v>
      </c>
      <c r="I110" s="16">
        <f t="shared" ref="I110:J110" si="322">E110/24</f>
        <v>77.08333333</v>
      </c>
      <c r="J110" s="16">
        <f t="shared" si="322"/>
        <v>68.75</v>
      </c>
      <c r="K110" s="16">
        <f t="shared" ref="K110:L110" si="323">E110/125</f>
        <v>14.8</v>
      </c>
      <c r="L110" s="16">
        <f t="shared" si="323"/>
        <v>13.2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ht="15.75" customHeight="1">
      <c r="A111" s="1"/>
      <c r="B111" s="1" t="s">
        <v>203</v>
      </c>
      <c r="C111" s="19" t="s">
        <v>216</v>
      </c>
      <c r="D111" s="25">
        <v>9.0</v>
      </c>
      <c r="E111" s="13">
        <v>1850.0</v>
      </c>
      <c r="F111" s="20">
        <v>1650.0</v>
      </c>
      <c r="G111" s="15">
        <f t="shared" ref="G111:H111" si="324">E111/94</f>
        <v>19.68085106</v>
      </c>
      <c r="H111" s="15">
        <f t="shared" si="324"/>
        <v>17.55319149</v>
      </c>
      <c r="I111" s="16">
        <f t="shared" ref="I111:J111" si="325">E111/24</f>
        <v>77.08333333</v>
      </c>
      <c r="J111" s="16">
        <f t="shared" si="325"/>
        <v>68.75</v>
      </c>
      <c r="K111" s="16">
        <f t="shared" ref="K111:L111" si="326">E111/125</f>
        <v>14.8</v>
      </c>
      <c r="L111" s="16">
        <f t="shared" si="326"/>
        <v>13.2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ht="15.75" customHeight="1">
      <c r="A112" s="1"/>
      <c r="B112" s="1" t="s">
        <v>191</v>
      </c>
      <c r="C112" s="19" t="s">
        <v>217</v>
      </c>
      <c r="D112" s="25">
        <v>0.0</v>
      </c>
      <c r="E112" s="13">
        <v>1850.0</v>
      </c>
      <c r="F112" s="20">
        <v>1650.0</v>
      </c>
      <c r="G112" s="15">
        <f t="shared" ref="G112:H112" si="327">E112/94</f>
        <v>19.68085106</v>
      </c>
      <c r="H112" s="15">
        <f t="shared" si="327"/>
        <v>17.55319149</v>
      </c>
      <c r="I112" s="16">
        <f t="shared" ref="I112:J112" si="328">E112/24</f>
        <v>77.08333333</v>
      </c>
      <c r="J112" s="16">
        <f t="shared" si="328"/>
        <v>68.75</v>
      </c>
      <c r="K112" s="16">
        <f t="shared" ref="K112:L112" si="329">E112/125</f>
        <v>14.8</v>
      </c>
      <c r="L112" s="16">
        <f t="shared" si="329"/>
        <v>13.2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ht="15.75" customHeight="1">
      <c r="A113" s="1"/>
      <c r="B113" s="1" t="s">
        <v>193</v>
      </c>
      <c r="C113" s="19" t="s">
        <v>218</v>
      </c>
      <c r="D113" s="25">
        <v>2.0</v>
      </c>
      <c r="E113" s="13">
        <v>1850.0</v>
      </c>
      <c r="F113" s="20">
        <v>1650.0</v>
      </c>
      <c r="G113" s="15">
        <f t="shared" ref="G113:H113" si="330">E113/94</f>
        <v>19.68085106</v>
      </c>
      <c r="H113" s="15">
        <f t="shared" si="330"/>
        <v>17.55319149</v>
      </c>
      <c r="I113" s="16">
        <f t="shared" ref="I113:J113" si="331">E113/24</f>
        <v>77.08333333</v>
      </c>
      <c r="J113" s="16">
        <f t="shared" si="331"/>
        <v>68.75</v>
      </c>
      <c r="K113" s="16">
        <f t="shared" ref="K113:L113" si="332">E113/125</f>
        <v>14.8</v>
      </c>
      <c r="L113" s="16">
        <f t="shared" si="332"/>
        <v>13.2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ht="15.75" customHeight="1">
      <c r="A114" s="1"/>
      <c r="B114" s="17" t="s">
        <v>195</v>
      </c>
      <c r="C114" s="19" t="s">
        <v>219</v>
      </c>
      <c r="D114" s="25">
        <v>4.0</v>
      </c>
      <c r="E114" s="13">
        <v>1850.0</v>
      </c>
      <c r="F114" s="20">
        <v>1650.0</v>
      </c>
      <c r="G114" s="15">
        <f t="shared" ref="G114:H114" si="333">E114/94</f>
        <v>19.68085106</v>
      </c>
      <c r="H114" s="15">
        <f t="shared" si="333"/>
        <v>17.55319149</v>
      </c>
      <c r="I114" s="16">
        <f t="shared" ref="I114:J114" si="334">E114/24</f>
        <v>77.08333333</v>
      </c>
      <c r="J114" s="16">
        <f t="shared" si="334"/>
        <v>68.75</v>
      </c>
      <c r="K114" s="16">
        <f t="shared" ref="K114:L114" si="335">E114/125</f>
        <v>14.8</v>
      </c>
      <c r="L114" s="16">
        <f t="shared" si="335"/>
        <v>13.2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ht="15.0" customHeight="1">
      <c r="A115" s="1" t="s">
        <v>220</v>
      </c>
      <c r="B115" s="1" t="s">
        <v>193</v>
      </c>
      <c r="C115" s="19" t="s">
        <v>221</v>
      </c>
      <c r="D115" s="25">
        <v>55.0</v>
      </c>
      <c r="E115" s="18">
        <f t="shared" ref="E115:E119" si="339">F115+(F115*12%)</f>
        <v>476</v>
      </c>
      <c r="F115" s="14">
        <v>425.0</v>
      </c>
      <c r="G115" s="15">
        <f t="shared" ref="G115:H115" si="336">E115/94</f>
        <v>5.063829787</v>
      </c>
      <c r="H115" s="15">
        <f t="shared" si="336"/>
        <v>4.521276596</v>
      </c>
      <c r="I115" s="16">
        <f t="shared" ref="I115:J115" si="337">E115/24</f>
        <v>19.83333333</v>
      </c>
      <c r="J115" s="16">
        <f t="shared" si="337"/>
        <v>17.70833333</v>
      </c>
      <c r="K115" s="16">
        <f t="shared" ref="K115:L115" si="338">E115/125</f>
        <v>3.808</v>
      </c>
      <c r="L115" s="16">
        <f t="shared" si="338"/>
        <v>3.4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ht="15.75" customHeight="1">
      <c r="A116" s="1"/>
      <c r="B116" s="1" t="s">
        <v>187</v>
      </c>
      <c r="C116" s="19" t="s">
        <v>222</v>
      </c>
      <c r="D116" s="25">
        <v>5.0</v>
      </c>
      <c r="E116" s="18">
        <f t="shared" si="339"/>
        <v>476</v>
      </c>
      <c r="F116" s="14">
        <v>425.0</v>
      </c>
      <c r="G116" s="15">
        <f t="shared" ref="G116:H116" si="340">E116/94</f>
        <v>5.063829787</v>
      </c>
      <c r="H116" s="15">
        <f t="shared" si="340"/>
        <v>4.521276596</v>
      </c>
      <c r="I116" s="16">
        <f t="shared" ref="I116:J116" si="341">E116/24</f>
        <v>19.83333333</v>
      </c>
      <c r="J116" s="16">
        <f t="shared" si="341"/>
        <v>17.70833333</v>
      </c>
      <c r="K116" s="16">
        <f t="shared" ref="K116:L116" si="342">E116/125</f>
        <v>3.808</v>
      </c>
      <c r="L116" s="16">
        <f t="shared" si="342"/>
        <v>3.4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ht="15.75" customHeight="1">
      <c r="A117" s="1"/>
      <c r="B117" s="1" t="s">
        <v>201</v>
      </c>
      <c r="C117" s="19" t="s">
        <v>223</v>
      </c>
      <c r="D117" s="25">
        <v>42.0</v>
      </c>
      <c r="E117" s="18">
        <f t="shared" si="339"/>
        <v>476</v>
      </c>
      <c r="F117" s="14">
        <v>425.0</v>
      </c>
      <c r="G117" s="15">
        <f t="shared" ref="G117:H117" si="343">E117/94</f>
        <v>5.063829787</v>
      </c>
      <c r="H117" s="15">
        <f t="shared" si="343"/>
        <v>4.521276596</v>
      </c>
      <c r="I117" s="16">
        <f t="shared" ref="I117:J117" si="344">E117/24</f>
        <v>19.83333333</v>
      </c>
      <c r="J117" s="16">
        <f t="shared" si="344"/>
        <v>17.70833333</v>
      </c>
      <c r="K117" s="16">
        <f t="shared" ref="K117:L117" si="345">E117/125</f>
        <v>3.808</v>
      </c>
      <c r="L117" s="16">
        <f t="shared" si="345"/>
        <v>3.4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ht="15.75" customHeight="1">
      <c r="A118" s="1"/>
      <c r="B118" s="1" t="s">
        <v>191</v>
      </c>
      <c r="C118" s="19" t="s">
        <v>224</v>
      </c>
      <c r="D118" s="25">
        <v>24.0</v>
      </c>
      <c r="E118" s="18">
        <f t="shared" si="339"/>
        <v>476</v>
      </c>
      <c r="F118" s="14">
        <v>425.0</v>
      </c>
      <c r="G118" s="15">
        <f t="shared" ref="G118:H118" si="346">E118/94</f>
        <v>5.063829787</v>
      </c>
      <c r="H118" s="15">
        <f t="shared" si="346"/>
        <v>4.521276596</v>
      </c>
      <c r="I118" s="16">
        <f t="shared" ref="I118:J118" si="347">E118/24</f>
        <v>19.83333333</v>
      </c>
      <c r="J118" s="16">
        <f t="shared" si="347"/>
        <v>17.70833333</v>
      </c>
      <c r="K118" s="16">
        <f t="shared" ref="K118:L118" si="348">E118/125</f>
        <v>3.808</v>
      </c>
      <c r="L118" s="16">
        <f t="shared" si="348"/>
        <v>3.4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ht="15.75" customHeight="1">
      <c r="A119" s="1"/>
      <c r="B119" s="1" t="s">
        <v>197</v>
      </c>
      <c r="C119" s="19" t="s">
        <v>225</v>
      </c>
      <c r="D119" s="25">
        <v>57.0</v>
      </c>
      <c r="E119" s="18">
        <f t="shared" si="339"/>
        <v>476</v>
      </c>
      <c r="F119" s="14">
        <v>425.0</v>
      </c>
      <c r="G119" s="15">
        <f t="shared" ref="G119:H119" si="349">E119/94</f>
        <v>5.063829787</v>
      </c>
      <c r="H119" s="15">
        <f t="shared" si="349"/>
        <v>4.521276596</v>
      </c>
      <c r="I119" s="16">
        <f t="shared" ref="I119:J119" si="350">E119/24</f>
        <v>19.83333333</v>
      </c>
      <c r="J119" s="16">
        <f t="shared" si="350"/>
        <v>17.70833333</v>
      </c>
      <c r="K119" s="16">
        <f t="shared" ref="K119:L119" si="351">E119/125</f>
        <v>3.808</v>
      </c>
      <c r="L119" s="16">
        <f t="shared" si="351"/>
        <v>3.4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ht="15.0" customHeight="1">
      <c r="A120" s="1" t="s">
        <v>226</v>
      </c>
      <c r="B120" s="1" t="s">
        <v>227</v>
      </c>
      <c r="C120" s="19" t="s">
        <v>228</v>
      </c>
      <c r="D120" s="25">
        <v>27.0</v>
      </c>
      <c r="E120" s="13">
        <v>475.0</v>
      </c>
      <c r="F120" s="14">
        <f t="shared" ref="F120:F124" si="355">E120-(E120*7%)</f>
        <v>441.75</v>
      </c>
      <c r="G120" s="15">
        <f t="shared" ref="G120:H120" si="352">E120/94</f>
        <v>5.053191489</v>
      </c>
      <c r="H120" s="15">
        <f t="shared" si="352"/>
        <v>4.699468085</v>
      </c>
      <c r="I120" s="16">
        <f t="shared" ref="I120:J120" si="353">E120/24</f>
        <v>19.79166667</v>
      </c>
      <c r="J120" s="16">
        <f t="shared" si="353"/>
        <v>18.40625</v>
      </c>
      <c r="K120" s="16">
        <f t="shared" ref="K120:L120" si="354">E120/125</f>
        <v>3.8</v>
      </c>
      <c r="L120" s="16">
        <f t="shared" si="354"/>
        <v>3.534</v>
      </c>
      <c r="M120" s="1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ht="15.75" customHeight="1">
      <c r="A121" s="1"/>
      <c r="B121" s="1" t="s">
        <v>229</v>
      </c>
      <c r="C121" s="19" t="s">
        <v>230</v>
      </c>
      <c r="D121" s="25">
        <v>0.0</v>
      </c>
      <c r="E121" s="13">
        <v>475.0</v>
      </c>
      <c r="F121" s="14">
        <f t="shared" si="355"/>
        <v>441.75</v>
      </c>
      <c r="G121" s="15">
        <f t="shared" ref="G121:H121" si="356">E121/94</f>
        <v>5.053191489</v>
      </c>
      <c r="H121" s="15">
        <f t="shared" si="356"/>
        <v>4.699468085</v>
      </c>
      <c r="I121" s="16">
        <f t="shared" ref="I121:J121" si="357">E121/24</f>
        <v>19.79166667</v>
      </c>
      <c r="J121" s="16">
        <f t="shared" si="357"/>
        <v>18.40625</v>
      </c>
      <c r="K121" s="16">
        <f t="shared" ref="K121:L121" si="358">E121/125</f>
        <v>3.8</v>
      </c>
      <c r="L121" s="16">
        <f t="shared" si="358"/>
        <v>3.534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ht="15.75" customHeight="1">
      <c r="A122" s="1"/>
      <c r="B122" s="1" t="s">
        <v>183</v>
      </c>
      <c r="C122" s="19" t="s">
        <v>231</v>
      </c>
      <c r="D122" s="25">
        <v>16.0</v>
      </c>
      <c r="E122" s="13">
        <v>475.0</v>
      </c>
      <c r="F122" s="14">
        <f t="shared" si="355"/>
        <v>441.75</v>
      </c>
      <c r="G122" s="15">
        <f t="shared" ref="G122:H122" si="359">E122/94</f>
        <v>5.053191489</v>
      </c>
      <c r="H122" s="15">
        <f t="shared" si="359"/>
        <v>4.699468085</v>
      </c>
      <c r="I122" s="16">
        <f t="shared" ref="I122:J122" si="360">E122/24</f>
        <v>19.79166667</v>
      </c>
      <c r="J122" s="16">
        <f t="shared" si="360"/>
        <v>18.40625</v>
      </c>
      <c r="K122" s="16">
        <f t="shared" ref="K122:L122" si="361">E122/125</f>
        <v>3.8</v>
      </c>
      <c r="L122" s="16">
        <f t="shared" si="361"/>
        <v>3.534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ht="15.75" customHeight="1">
      <c r="A123" s="1"/>
      <c r="B123" s="1" t="s">
        <v>191</v>
      </c>
      <c r="C123" s="19" t="s">
        <v>232</v>
      </c>
      <c r="D123" s="25">
        <v>10.0</v>
      </c>
      <c r="E123" s="13">
        <v>475.0</v>
      </c>
      <c r="F123" s="14">
        <f t="shared" si="355"/>
        <v>441.75</v>
      </c>
      <c r="G123" s="15">
        <f t="shared" ref="G123:H123" si="362">E123/94</f>
        <v>5.053191489</v>
      </c>
      <c r="H123" s="15">
        <f t="shared" si="362"/>
        <v>4.699468085</v>
      </c>
      <c r="I123" s="16">
        <f t="shared" ref="I123:J123" si="363">E123/24</f>
        <v>19.79166667</v>
      </c>
      <c r="J123" s="16">
        <f t="shared" si="363"/>
        <v>18.40625</v>
      </c>
      <c r="K123" s="16">
        <f t="shared" ref="K123:L123" si="364">E123/125</f>
        <v>3.8</v>
      </c>
      <c r="L123" s="16">
        <f t="shared" si="364"/>
        <v>3.534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ht="15.75" customHeight="1">
      <c r="A124" s="1"/>
      <c r="B124" s="1" t="s">
        <v>193</v>
      </c>
      <c r="C124" s="19" t="s">
        <v>233</v>
      </c>
      <c r="D124" s="25">
        <v>28.0</v>
      </c>
      <c r="E124" s="13">
        <v>475.0</v>
      </c>
      <c r="F124" s="14">
        <f t="shared" si="355"/>
        <v>441.75</v>
      </c>
      <c r="G124" s="15">
        <f t="shared" ref="G124:H124" si="365">E124/94</f>
        <v>5.053191489</v>
      </c>
      <c r="H124" s="15">
        <f t="shared" si="365"/>
        <v>4.699468085</v>
      </c>
      <c r="I124" s="16">
        <f t="shared" ref="I124:J124" si="366">E124/24</f>
        <v>19.79166667</v>
      </c>
      <c r="J124" s="16">
        <f t="shared" si="366"/>
        <v>18.40625</v>
      </c>
      <c r="K124" s="16">
        <f t="shared" ref="K124:L124" si="367">E124/125</f>
        <v>3.8</v>
      </c>
      <c r="L124" s="16">
        <f t="shared" si="367"/>
        <v>3.534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ht="15.0" customHeight="1">
      <c r="A125" s="1" t="s">
        <v>234</v>
      </c>
      <c r="B125" s="1" t="s">
        <v>235</v>
      </c>
      <c r="C125" s="19" t="s">
        <v>236</v>
      </c>
      <c r="D125" s="25">
        <v>25.0</v>
      </c>
      <c r="E125" s="18">
        <f t="shared" ref="E125:E150" si="371">F125+(F125*12%)</f>
        <v>1887.2</v>
      </c>
      <c r="F125" s="14">
        <v>1685.0</v>
      </c>
      <c r="G125" s="15">
        <f t="shared" ref="G125:H125" si="368">E125/94</f>
        <v>20.07659574</v>
      </c>
      <c r="H125" s="15">
        <f t="shared" si="368"/>
        <v>17.92553191</v>
      </c>
      <c r="I125" s="16">
        <f t="shared" ref="I125:J125" si="369">E125/24</f>
        <v>78.63333333</v>
      </c>
      <c r="J125" s="16">
        <f t="shared" si="369"/>
        <v>70.20833333</v>
      </c>
      <c r="K125" s="16">
        <f t="shared" ref="K125:L125" si="370">E125/125</f>
        <v>15.0976</v>
      </c>
      <c r="L125" s="16">
        <f t="shared" si="370"/>
        <v>13.48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ht="15.75" customHeight="1">
      <c r="A126" s="1"/>
      <c r="B126" s="1" t="s">
        <v>185</v>
      </c>
      <c r="C126" s="19" t="s">
        <v>237</v>
      </c>
      <c r="D126" s="25">
        <v>30.0</v>
      </c>
      <c r="E126" s="18">
        <f t="shared" si="371"/>
        <v>1887.2</v>
      </c>
      <c r="F126" s="14">
        <v>1685.0</v>
      </c>
      <c r="G126" s="15">
        <f t="shared" ref="G126:H126" si="372">E126/94</f>
        <v>20.07659574</v>
      </c>
      <c r="H126" s="15">
        <f t="shared" si="372"/>
        <v>17.92553191</v>
      </c>
      <c r="I126" s="16">
        <f t="shared" ref="I126:J126" si="373">E126/24</f>
        <v>78.63333333</v>
      </c>
      <c r="J126" s="16">
        <f t="shared" si="373"/>
        <v>70.20833333</v>
      </c>
      <c r="K126" s="16">
        <f t="shared" ref="K126:L126" si="374">E126/125</f>
        <v>15.0976</v>
      </c>
      <c r="L126" s="16">
        <f t="shared" si="374"/>
        <v>13.48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ht="15.75" customHeight="1">
      <c r="A127" s="1"/>
      <c r="B127" s="1" t="s">
        <v>238</v>
      </c>
      <c r="C127" s="19" t="s">
        <v>239</v>
      </c>
      <c r="D127" s="25">
        <v>3.0</v>
      </c>
      <c r="E127" s="18">
        <f t="shared" si="371"/>
        <v>1668.8</v>
      </c>
      <c r="F127" s="14">
        <v>1490.0</v>
      </c>
      <c r="G127" s="15">
        <f t="shared" ref="G127:H127" si="375">E127/94</f>
        <v>17.75319149</v>
      </c>
      <c r="H127" s="15">
        <f t="shared" si="375"/>
        <v>15.85106383</v>
      </c>
      <c r="I127" s="16">
        <f t="shared" ref="I127:J127" si="376">E127/24</f>
        <v>69.53333333</v>
      </c>
      <c r="J127" s="16">
        <f t="shared" si="376"/>
        <v>62.08333333</v>
      </c>
      <c r="K127" s="16">
        <f t="shared" ref="K127:L127" si="377">E127/125</f>
        <v>13.3504</v>
      </c>
      <c r="L127" s="16">
        <f t="shared" si="377"/>
        <v>11.92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ht="15.0" customHeight="1">
      <c r="A128" s="1" t="s">
        <v>240</v>
      </c>
      <c r="B128" s="1" t="s">
        <v>187</v>
      </c>
      <c r="C128" s="19" t="s">
        <v>241</v>
      </c>
      <c r="D128" s="25">
        <v>6.0</v>
      </c>
      <c r="E128" s="18">
        <f t="shared" si="371"/>
        <v>1668.8</v>
      </c>
      <c r="F128" s="14">
        <v>1490.0</v>
      </c>
      <c r="G128" s="15">
        <f t="shared" ref="G128:H128" si="378">E128/94</f>
        <v>17.75319149</v>
      </c>
      <c r="H128" s="15">
        <f t="shared" si="378"/>
        <v>15.85106383</v>
      </c>
      <c r="I128" s="16">
        <f t="shared" ref="I128:J128" si="379">E128/24</f>
        <v>69.53333333</v>
      </c>
      <c r="J128" s="16">
        <f t="shared" si="379"/>
        <v>62.08333333</v>
      </c>
      <c r="K128" s="16">
        <f t="shared" ref="K128:L128" si="380">E128/125</f>
        <v>13.3504</v>
      </c>
      <c r="L128" s="16">
        <f t="shared" si="380"/>
        <v>11.92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ht="15.75" customHeight="1">
      <c r="A129" s="1"/>
      <c r="B129" s="1" t="s">
        <v>191</v>
      </c>
      <c r="C129" s="19" t="s">
        <v>242</v>
      </c>
      <c r="D129" s="25">
        <v>18.0</v>
      </c>
      <c r="E129" s="18">
        <f t="shared" si="371"/>
        <v>1668.8</v>
      </c>
      <c r="F129" s="14">
        <v>1490.0</v>
      </c>
      <c r="G129" s="15">
        <f t="shared" ref="G129:H129" si="381">E129/94</f>
        <v>17.75319149</v>
      </c>
      <c r="H129" s="15">
        <f t="shared" si="381"/>
        <v>15.85106383</v>
      </c>
      <c r="I129" s="16">
        <f t="shared" ref="I129:J129" si="382">E129/24</f>
        <v>69.53333333</v>
      </c>
      <c r="J129" s="16">
        <f t="shared" si="382"/>
        <v>62.08333333</v>
      </c>
      <c r="K129" s="16">
        <f t="shared" ref="K129:L129" si="383">E129/125</f>
        <v>13.3504</v>
      </c>
      <c r="L129" s="16">
        <f t="shared" si="383"/>
        <v>11.92</v>
      </c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5.75" customHeight="1">
      <c r="A130" s="1"/>
      <c r="B130" s="1" t="s">
        <v>206</v>
      </c>
      <c r="C130" s="19" t="s">
        <v>243</v>
      </c>
      <c r="D130" s="25">
        <v>8.0</v>
      </c>
      <c r="E130" s="18">
        <f t="shared" si="371"/>
        <v>1668.8</v>
      </c>
      <c r="F130" s="14">
        <v>1490.0</v>
      </c>
      <c r="G130" s="15">
        <f t="shared" ref="G130:H130" si="384">E130/94</f>
        <v>17.75319149</v>
      </c>
      <c r="H130" s="15">
        <f t="shared" si="384"/>
        <v>15.85106383</v>
      </c>
      <c r="I130" s="16">
        <f t="shared" ref="I130:J130" si="385">E130/24</f>
        <v>69.53333333</v>
      </c>
      <c r="J130" s="16">
        <f t="shared" si="385"/>
        <v>62.08333333</v>
      </c>
      <c r="K130" s="16">
        <f t="shared" ref="K130:L130" si="386">E130/125</f>
        <v>13.3504</v>
      </c>
      <c r="L130" s="16">
        <f t="shared" si="386"/>
        <v>11.92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ht="15.75" customHeight="1">
      <c r="A131" s="1"/>
      <c r="B131" s="1" t="s">
        <v>193</v>
      </c>
      <c r="C131" s="19" t="s">
        <v>244</v>
      </c>
      <c r="D131" s="25">
        <v>22.0</v>
      </c>
      <c r="E131" s="18">
        <f t="shared" si="371"/>
        <v>1668.8</v>
      </c>
      <c r="F131" s="14">
        <v>1490.0</v>
      </c>
      <c r="G131" s="15">
        <f t="shared" ref="G131:H131" si="387">E131/94</f>
        <v>17.75319149</v>
      </c>
      <c r="H131" s="15">
        <f t="shared" si="387"/>
        <v>15.85106383</v>
      </c>
      <c r="I131" s="16">
        <f t="shared" ref="I131:J131" si="388">E131/24</f>
        <v>69.53333333</v>
      </c>
      <c r="J131" s="16">
        <f t="shared" si="388"/>
        <v>62.08333333</v>
      </c>
      <c r="K131" s="16">
        <f t="shared" ref="K131:L131" si="389">E131/125</f>
        <v>13.3504</v>
      </c>
      <c r="L131" s="16">
        <f t="shared" si="389"/>
        <v>11.92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ht="15.75" customHeight="1">
      <c r="A132" s="1"/>
      <c r="B132" s="1" t="s">
        <v>197</v>
      </c>
      <c r="C132" s="19" t="s">
        <v>245</v>
      </c>
      <c r="D132" s="25">
        <v>16.0</v>
      </c>
      <c r="E132" s="18">
        <f t="shared" si="371"/>
        <v>1668.8</v>
      </c>
      <c r="F132" s="14">
        <v>1490.0</v>
      </c>
      <c r="G132" s="15">
        <f t="shared" ref="G132:H132" si="390">E132/94</f>
        <v>17.75319149</v>
      </c>
      <c r="H132" s="15">
        <f t="shared" si="390"/>
        <v>15.85106383</v>
      </c>
      <c r="I132" s="16">
        <f t="shared" ref="I132:J132" si="391">E132/24</f>
        <v>69.53333333</v>
      </c>
      <c r="J132" s="16">
        <f t="shared" si="391"/>
        <v>62.08333333</v>
      </c>
      <c r="K132" s="16">
        <f t="shared" ref="K132:L132" si="392">E132/125</f>
        <v>13.3504</v>
      </c>
      <c r="L132" s="16">
        <f t="shared" si="392"/>
        <v>11.92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ht="15.75" customHeight="1">
      <c r="A133" s="1"/>
      <c r="B133" s="1" t="s">
        <v>246</v>
      </c>
      <c r="C133" s="19" t="s">
        <v>247</v>
      </c>
      <c r="D133" s="25">
        <v>6.0</v>
      </c>
      <c r="E133" s="18">
        <f t="shared" si="371"/>
        <v>1668.8</v>
      </c>
      <c r="F133" s="14">
        <v>1490.0</v>
      </c>
      <c r="G133" s="15">
        <f t="shared" ref="G133:H133" si="393">E133/94</f>
        <v>17.75319149</v>
      </c>
      <c r="H133" s="15">
        <f t="shared" si="393"/>
        <v>15.85106383</v>
      </c>
      <c r="I133" s="16">
        <f t="shared" ref="I133:J133" si="394">E133/24</f>
        <v>69.53333333</v>
      </c>
      <c r="J133" s="16">
        <f t="shared" si="394"/>
        <v>62.08333333</v>
      </c>
      <c r="K133" s="16">
        <f t="shared" ref="K133:L133" si="395">E133/125</f>
        <v>13.3504</v>
      </c>
      <c r="L133" s="16">
        <f t="shared" si="395"/>
        <v>11.92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ht="15.75" customHeight="1">
      <c r="A134" s="1"/>
      <c r="B134" s="1" t="s">
        <v>248</v>
      </c>
      <c r="C134" s="19" t="s">
        <v>249</v>
      </c>
      <c r="D134" s="25">
        <v>10.0</v>
      </c>
      <c r="E134" s="18">
        <f t="shared" si="371"/>
        <v>1668.8</v>
      </c>
      <c r="F134" s="14">
        <v>1490.0</v>
      </c>
      <c r="G134" s="15">
        <f t="shared" ref="G134:H134" si="396">E134/94</f>
        <v>17.75319149</v>
      </c>
      <c r="H134" s="15">
        <f t="shared" si="396"/>
        <v>15.85106383</v>
      </c>
      <c r="I134" s="16">
        <f t="shared" ref="I134:J134" si="397">E134/24</f>
        <v>69.53333333</v>
      </c>
      <c r="J134" s="16">
        <f t="shared" si="397"/>
        <v>62.08333333</v>
      </c>
      <c r="K134" s="16">
        <f t="shared" ref="K134:L134" si="398">E134/125</f>
        <v>13.3504</v>
      </c>
      <c r="L134" s="16">
        <f t="shared" si="398"/>
        <v>11.92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ht="15.75" customHeight="1">
      <c r="A135" s="1"/>
      <c r="B135" s="1" t="s">
        <v>250</v>
      </c>
      <c r="C135" s="19" t="s">
        <v>251</v>
      </c>
      <c r="D135" s="25">
        <v>13.0</v>
      </c>
      <c r="E135" s="18">
        <f t="shared" si="371"/>
        <v>1668.8</v>
      </c>
      <c r="F135" s="14">
        <v>1490.0</v>
      </c>
      <c r="G135" s="15">
        <f t="shared" ref="G135:H135" si="399">E135/94</f>
        <v>17.75319149</v>
      </c>
      <c r="H135" s="15">
        <f t="shared" si="399"/>
        <v>15.85106383</v>
      </c>
      <c r="I135" s="16">
        <f t="shared" ref="I135:J135" si="400">E135/24</f>
        <v>69.53333333</v>
      </c>
      <c r="J135" s="16">
        <f t="shared" si="400"/>
        <v>62.08333333</v>
      </c>
      <c r="K135" s="16">
        <f t="shared" ref="K135:L135" si="401">E135/125</f>
        <v>13.3504</v>
      </c>
      <c r="L135" s="16">
        <f t="shared" si="401"/>
        <v>11.92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ht="15.75" customHeight="1">
      <c r="A136" s="1"/>
      <c r="B136" s="1" t="s">
        <v>235</v>
      </c>
      <c r="C136" s="19" t="s">
        <v>252</v>
      </c>
      <c r="D136" s="25">
        <v>15.0</v>
      </c>
      <c r="E136" s="18">
        <f t="shared" si="371"/>
        <v>1668.8</v>
      </c>
      <c r="F136" s="14">
        <v>1490.0</v>
      </c>
      <c r="G136" s="15">
        <f t="shared" ref="G136:H136" si="402">E136/94</f>
        <v>17.75319149</v>
      </c>
      <c r="H136" s="15">
        <f t="shared" si="402"/>
        <v>15.85106383</v>
      </c>
      <c r="I136" s="16">
        <f t="shared" ref="I136:J136" si="403">E136/24</f>
        <v>69.53333333</v>
      </c>
      <c r="J136" s="16">
        <f t="shared" si="403"/>
        <v>62.08333333</v>
      </c>
      <c r="K136" s="16">
        <f t="shared" ref="K136:L136" si="404">E136/125</f>
        <v>13.3504</v>
      </c>
      <c r="L136" s="16">
        <f t="shared" si="404"/>
        <v>11.92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ht="15.0" customHeight="1">
      <c r="A137" s="1" t="s">
        <v>253</v>
      </c>
      <c r="B137" s="1" t="s">
        <v>193</v>
      </c>
      <c r="C137" s="19" t="s">
        <v>254</v>
      </c>
      <c r="D137" s="25">
        <v>12.0</v>
      </c>
      <c r="E137" s="18">
        <f t="shared" si="371"/>
        <v>1780.8</v>
      </c>
      <c r="F137" s="14">
        <v>1590.0</v>
      </c>
      <c r="G137" s="15">
        <f t="shared" ref="G137:H137" si="405">E137/94</f>
        <v>18.94468085</v>
      </c>
      <c r="H137" s="15">
        <f t="shared" si="405"/>
        <v>16.91489362</v>
      </c>
      <c r="I137" s="16">
        <f t="shared" ref="I137:J137" si="406">E137/24</f>
        <v>74.2</v>
      </c>
      <c r="J137" s="16">
        <f t="shared" si="406"/>
        <v>66.25</v>
      </c>
      <c r="K137" s="16">
        <f t="shared" ref="K137:L137" si="407">E137/125</f>
        <v>14.2464</v>
      </c>
      <c r="L137" s="16">
        <f t="shared" si="407"/>
        <v>12.72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ht="15.75" customHeight="1">
      <c r="A138" s="1"/>
      <c r="B138" s="1" t="s">
        <v>246</v>
      </c>
      <c r="C138" s="19" t="s">
        <v>255</v>
      </c>
      <c r="D138" s="25">
        <v>13.0</v>
      </c>
      <c r="E138" s="18">
        <f t="shared" si="371"/>
        <v>1780.8</v>
      </c>
      <c r="F138" s="14">
        <v>1590.0</v>
      </c>
      <c r="G138" s="15">
        <f t="shared" ref="G138:H138" si="408">E138/94</f>
        <v>18.94468085</v>
      </c>
      <c r="H138" s="15">
        <f t="shared" si="408"/>
        <v>16.91489362</v>
      </c>
      <c r="I138" s="16">
        <f t="shared" ref="I138:J138" si="409">E138/24</f>
        <v>74.2</v>
      </c>
      <c r="J138" s="16">
        <f t="shared" si="409"/>
        <v>66.25</v>
      </c>
      <c r="K138" s="16">
        <f t="shared" ref="K138:L138" si="410">E138/125</f>
        <v>14.2464</v>
      </c>
      <c r="L138" s="16">
        <f t="shared" si="410"/>
        <v>12.72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ht="15.75" customHeight="1">
      <c r="A139" s="1"/>
      <c r="B139" s="1" t="s">
        <v>248</v>
      </c>
      <c r="C139" s="19" t="s">
        <v>256</v>
      </c>
      <c r="D139" s="25">
        <v>11.0</v>
      </c>
      <c r="E139" s="18">
        <f t="shared" si="371"/>
        <v>1780.8</v>
      </c>
      <c r="F139" s="14">
        <v>1590.0</v>
      </c>
      <c r="G139" s="15">
        <f t="shared" ref="G139:H139" si="411">E139/94</f>
        <v>18.94468085</v>
      </c>
      <c r="H139" s="15">
        <f t="shared" si="411"/>
        <v>16.91489362</v>
      </c>
      <c r="I139" s="16">
        <f t="shared" ref="I139:J139" si="412">E139/24</f>
        <v>74.2</v>
      </c>
      <c r="J139" s="16">
        <f t="shared" si="412"/>
        <v>66.25</v>
      </c>
      <c r="K139" s="16">
        <f t="shared" ref="K139:L139" si="413">E139/125</f>
        <v>14.2464</v>
      </c>
      <c r="L139" s="16">
        <f t="shared" si="413"/>
        <v>12.72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ht="15.75" customHeight="1">
      <c r="A140" s="1"/>
      <c r="B140" s="1" t="s">
        <v>250</v>
      </c>
      <c r="C140" s="19" t="s">
        <v>257</v>
      </c>
      <c r="D140" s="25">
        <v>13.0</v>
      </c>
      <c r="E140" s="18">
        <f t="shared" si="371"/>
        <v>1780.8</v>
      </c>
      <c r="F140" s="14">
        <v>1590.0</v>
      </c>
      <c r="G140" s="15">
        <f t="shared" ref="G140:H140" si="414">E140/94</f>
        <v>18.94468085</v>
      </c>
      <c r="H140" s="15">
        <f t="shared" si="414"/>
        <v>16.91489362</v>
      </c>
      <c r="I140" s="16">
        <f t="shared" ref="I140:J140" si="415">E140/24</f>
        <v>74.2</v>
      </c>
      <c r="J140" s="16">
        <f t="shared" si="415"/>
        <v>66.25</v>
      </c>
      <c r="K140" s="16">
        <f t="shared" ref="K140:L140" si="416">E140/125</f>
        <v>14.2464</v>
      </c>
      <c r="L140" s="16">
        <f t="shared" si="416"/>
        <v>12.72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ht="15.75" customHeight="1">
      <c r="A141" s="1"/>
      <c r="B141" s="1" t="s">
        <v>197</v>
      </c>
      <c r="C141" s="19" t="s">
        <v>258</v>
      </c>
      <c r="D141" s="25">
        <v>12.0</v>
      </c>
      <c r="E141" s="18">
        <f t="shared" si="371"/>
        <v>1780.8</v>
      </c>
      <c r="F141" s="14">
        <v>1590.0</v>
      </c>
      <c r="G141" s="15">
        <f t="shared" ref="G141:H141" si="417">E141/94</f>
        <v>18.94468085</v>
      </c>
      <c r="H141" s="15">
        <f t="shared" si="417"/>
        <v>16.91489362</v>
      </c>
      <c r="I141" s="16">
        <f t="shared" ref="I141:J141" si="418">E141/24</f>
        <v>74.2</v>
      </c>
      <c r="J141" s="16">
        <f t="shared" si="418"/>
        <v>66.25</v>
      </c>
      <c r="K141" s="16">
        <f t="shared" ref="K141:L141" si="419">E141/125</f>
        <v>14.2464</v>
      </c>
      <c r="L141" s="16">
        <f t="shared" si="419"/>
        <v>12.72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ht="15.0" customHeight="1">
      <c r="A142" s="1" t="s">
        <v>259</v>
      </c>
      <c r="B142" s="1" t="s">
        <v>191</v>
      </c>
      <c r="C142" s="19" t="s">
        <v>260</v>
      </c>
      <c r="D142" s="25">
        <v>9.0</v>
      </c>
      <c r="E142" s="18">
        <f t="shared" si="371"/>
        <v>2682.4</v>
      </c>
      <c r="F142" s="14">
        <v>2395.0</v>
      </c>
      <c r="G142" s="15">
        <f t="shared" ref="G142:H142" si="420">E142/94</f>
        <v>28.53617021</v>
      </c>
      <c r="H142" s="15">
        <f t="shared" si="420"/>
        <v>25.4787234</v>
      </c>
      <c r="I142" s="16">
        <f t="shared" ref="I142:J142" si="421">E142/24</f>
        <v>111.7666667</v>
      </c>
      <c r="J142" s="16">
        <f t="shared" si="421"/>
        <v>99.79166667</v>
      </c>
      <c r="K142" s="16">
        <f t="shared" ref="K142:L142" si="422">E142/125</f>
        <v>21.4592</v>
      </c>
      <c r="L142" s="16">
        <f t="shared" si="422"/>
        <v>19.16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ht="15.75" customHeight="1">
      <c r="A143" s="1"/>
      <c r="B143" s="1" t="s">
        <v>201</v>
      </c>
      <c r="C143" s="19" t="s">
        <v>261</v>
      </c>
      <c r="D143" s="25">
        <v>4.0</v>
      </c>
      <c r="E143" s="18">
        <f t="shared" si="371"/>
        <v>2682.4</v>
      </c>
      <c r="F143" s="14">
        <v>2395.0</v>
      </c>
      <c r="G143" s="15">
        <f t="shared" ref="G143:H143" si="423">E143/94</f>
        <v>28.53617021</v>
      </c>
      <c r="H143" s="15">
        <f t="shared" si="423"/>
        <v>25.4787234</v>
      </c>
      <c r="I143" s="16">
        <f t="shared" ref="I143:J143" si="424">E143/24</f>
        <v>111.7666667</v>
      </c>
      <c r="J143" s="16">
        <f t="shared" si="424"/>
        <v>99.79166667</v>
      </c>
      <c r="K143" s="16">
        <f t="shared" ref="K143:L143" si="425">E143/125</f>
        <v>21.4592</v>
      </c>
      <c r="L143" s="16">
        <f t="shared" si="425"/>
        <v>19.16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ht="15.75" customHeight="1">
      <c r="A144" s="1"/>
      <c r="B144" s="1" t="s">
        <v>246</v>
      </c>
      <c r="C144" s="19" t="s">
        <v>262</v>
      </c>
      <c r="D144" s="25">
        <v>5.0</v>
      </c>
      <c r="E144" s="18">
        <f t="shared" si="371"/>
        <v>2682.4</v>
      </c>
      <c r="F144" s="14">
        <v>2395.0</v>
      </c>
      <c r="G144" s="15">
        <f t="shared" ref="G144:H144" si="426">E144/94</f>
        <v>28.53617021</v>
      </c>
      <c r="H144" s="15">
        <f t="shared" si="426"/>
        <v>25.4787234</v>
      </c>
      <c r="I144" s="16">
        <f t="shared" ref="I144:J144" si="427">E144/24</f>
        <v>111.7666667</v>
      </c>
      <c r="J144" s="16">
        <f t="shared" si="427"/>
        <v>99.79166667</v>
      </c>
      <c r="K144" s="16">
        <f t="shared" ref="K144:L144" si="428">E144/125</f>
        <v>21.4592</v>
      </c>
      <c r="L144" s="16">
        <f t="shared" si="428"/>
        <v>19.16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ht="15.75" customHeight="1">
      <c r="A145" s="1"/>
      <c r="B145" s="1" t="s">
        <v>248</v>
      </c>
      <c r="C145" s="19" t="s">
        <v>263</v>
      </c>
      <c r="D145" s="25">
        <v>5.0</v>
      </c>
      <c r="E145" s="18">
        <f t="shared" si="371"/>
        <v>2682.4</v>
      </c>
      <c r="F145" s="14">
        <v>2395.0</v>
      </c>
      <c r="G145" s="15">
        <f t="shared" ref="G145:H145" si="429">E145/94</f>
        <v>28.53617021</v>
      </c>
      <c r="H145" s="15">
        <f t="shared" si="429"/>
        <v>25.4787234</v>
      </c>
      <c r="I145" s="16">
        <f t="shared" ref="I145:J145" si="430">E145/24</f>
        <v>111.7666667</v>
      </c>
      <c r="J145" s="16">
        <f t="shared" si="430"/>
        <v>99.79166667</v>
      </c>
      <c r="K145" s="16">
        <f t="shared" ref="K145:L145" si="431">E145/125</f>
        <v>21.4592</v>
      </c>
      <c r="L145" s="16">
        <f t="shared" si="431"/>
        <v>19.16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ht="15.75" customHeight="1">
      <c r="A146" s="1"/>
      <c r="B146" s="1" t="s">
        <v>250</v>
      </c>
      <c r="C146" s="19" t="s">
        <v>264</v>
      </c>
      <c r="D146" s="25">
        <v>6.0</v>
      </c>
      <c r="E146" s="18">
        <f t="shared" si="371"/>
        <v>2682.4</v>
      </c>
      <c r="F146" s="14">
        <v>2395.0</v>
      </c>
      <c r="G146" s="15">
        <f t="shared" ref="G146:H146" si="432">E146/94</f>
        <v>28.53617021</v>
      </c>
      <c r="H146" s="15">
        <f t="shared" si="432"/>
        <v>25.4787234</v>
      </c>
      <c r="I146" s="16">
        <f t="shared" ref="I146:J146" si="433">E146/24</f>
        <v>111.7666667</v>
      </c>
      <c r="J146" s="16">
        <f t="shared" si="433"/>
        <v>99.79166667</v>
      </c>
      <c r="K146" s="16">
        <f t="shared" ref="K146:L146" si="434">E146/125</f>
        <v>21.4592</v>
      </c>
      <c r="L146" s="16">
        <f t="shared" si="434"/>
        <v>19.16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ht="15.75" customHeight="1">
      <c r="A147" s="1" t="s">
        <v>265</v>
      </c>
      <c r="B147" s="1" t="s">
        <v>246</v>
      </c>
      <c r="C147" s="19" t="s">
        <v>266</v>
      </c>
      <c r="D147" s="12">
        <v>0.0</v>
      </c>
      <c r="E147" s="18">
        <f t="shared" si="371"/>
        <v>3796.8</v>
      </c>
      <c r="F147" s="14">
        <v>3390.0</v>
      </c>
      <c r="G147" s="15">
        <f t="shared" ref="G147:H147" si="435">E147/94</f>
        <v>40.39148936</v>
      </c>
      <c r="H147" s="15">
        <f t="shared" si="435"/>
        <v>36.06382979</v>
      </c>
      <c r="I147" s="16">
        <f t="shared" ref="I147:J147" si="436">E147/24</f>
        <v>158.2</v>
      </c>
      <c r="J147" s="16">
        <f t="shared" si="436"/>
        <v>141.25</v>
      </c>
      <c r="K147" s="16">
        <f t="shared" ref="K147:L147" si="437">E147/125</f>
        <v>30.3744</v>
      </c>
      <c r="L147" s="16">
        <f t="shared" si="437"/>
        <v>27.12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ht="15.75" customHeight="1">
      <c r="A148" s="1"/>
      <c r="B148" s="1" t="s">
        <v>248</v>
      </c>
      <c r="C148" s="19" t="s">
        <v>267</v>
      </c>
      <c r="D148" s="12">
        <v>0.0</v>
      </c>
      <c r="E148" s="18">
        <f t="shared" si="371"/>
        <v>3796.8</v>
      </c>
      <c r="F148" s="14">
        <v>3390.0</v>
      </c>
      <c r="G148" s="15">
        <f t="shared" ref="G148:H148" si="438">E148/94</f>
        <v>40.39148936</v>
      </c>
      <c r="H148" s="15">
        <f t="shared" si="438"/>
        <v>36.06382979</v>
      </c>
      <c r="I148" s="16">
        <f t="shared" ref="I148:J148" si="439">E148/24</f>
        <v>158.2</v>
      </c>
      <c r="J148" s="16">
        <f t="shared" si="439"/>
        <v>141.25</v>
      </c>
      <c r="K148" s="16">
        <f t="shared" ref="K148:L148" si="440">E148/125</f>
        <v>30.3744</v>
      </c>
      <c r="L148" s="16">
        <f t="shared" si="440"/>
        <v>27.12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ht="15.75" customHeight="1">
      <c r="A149" s="1"/>
      <c r="B149" s="1" t="s">
        <v>250</v>
      </c>
      <c r="C149" s="19" t="s">
        <v>268</v>
      </c>
      <c r="D149" s="12">
        <v>0.0</v>
      </c>
      <c r="E149" s="18">
        <f t="shared" si="371"/>
        <v>3796.8</v>
      </c>
      <c r="F149" s="14">
        <v>3390.0</v>
      </c>
      <c r="G149" s="15">
        <f t="shared" ref="G149:H149" si="441">E149/94</f>
        <v>40.39148936</v>
      </c>
      <c r="H149" s="15">
        <f t="shared" si="441"/>
        <v>36.06382979</v>
      </c>
      <c r="I149" s="16">
        <f t="shared" ref="I149:J149" si="442">E149/24</f>
        <v>158.2</v>
      </c>
      <c r="J149" s="16">
        <f t="shared" si="442"/>
        <v>141.25</v>
      </c>
      <c r="K149" s="16">
        <f t="shared" ref="K149:L149" si="443">E149/125</f>
        <v>30.3744</v>
      </c>
      <c r="L149" s="16">
        <f t="shared" si="443"/>
        <v>27.12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ht="15.75" customHeight="1">
      <c r="A150" s="1"/>
      <c r="B150" s="1" t="s">
        <v>191</v>
      </c>
      <c r="C150" s="19" t="s">
        <v>269</v>
      </c>
      <c r="D150" s="12">
        <v>0.0</v>
      </c>
      <c r="E150" s="18">
        <f t="shared" si="371"/>
        <v>3796.8</v>
      </c>
      <c r="F150" s="14">
        <v>3390.0</v>
      </c>
      <c r="G150" s="15">
        <f t="shared" ref="G150:H150" si="444">E150/94</f>
        <v>40.39148936</v>
      </c>
      <c r="H150" s="15">
        <f t="shared" si="444"/>
        <v>36.06382979</v>
      </c>
      <c r="I150" s="16">
        <f t="shared" ref="I150:J150" si="445">E150/24</f>
        <v>158.2</v>
      </c>
      <c r="J150" s="16">
        <f t="shared" si="445"/>
        <v>141.25</v>
      </c>
      <c r="K150" s="16">
        <f t="shared" ref="K150:L150" si="446">E150/125</f>
        <v>30.3744</v>
      </c>
      <c r="L150" s="16">
        <f t="shared" si="446"/>
        <v>27.12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ht="15.0" customHeight="1">
      <c r="A151" s="1"/>
      <c r="B151" s="19" t="s">
        <v>187</v>
      </c>
      <c r="C151" s="19" t="s">
        <v>270</v>
      </c>
      <c r="D151" s="26">
        <v>0.0</v>
      </c>
      <c r="E151" s="18"/>
      <c r="F151" s="14"/>
      <c r="G151" s="15"/>
      <c r="H151" s="15"/>
      <c r="I151" s="16"/>
      <c r="J151" s="16"/>
      <c r="K151" s="16"/>
      <c r="L151" s="1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ht="15.0" customHeight="1">
      <c r="A152" s="1" t="s">
        <v>271</v>
      </c>
      <c r="B152" s="1" t="s">
        <v>246</v>
      </c>
      <c r="C152" s="19" t="s">
        <v>272</v>
      </c>
      <c r="D152" s="26">
        <v>0.0</v>
      </c>
      <c r="E152" s="18">
        <f t="shared" ref="E152:E174" si="450">F152+(F152*12%)</f>
        <v>4020.8</v>
      </c>
      <c r="F152" s="14">
        <v>3590.0</v>
      </c>
      <c r="G152" s="15">
        <f t="shared" ref="G152:H152" si="447">E152/94</f>
        <v>42.77446809</v>
      </c>
      <c r="H152" s="15">
        <f t="shared" si="447"/>
        <v>38.19148936</v>
      </c>
      <c r="I152" s="16">
        <f t="shared" ref="I152:J152" si="448">E152/24</f>
        <v>167.5333333</v>
      </c>
      <c r="J152" s="16">
        <f t="shared" si="448"/>
        <v>149.5833333</v>
      </c>
      <c r="K152" s="16">
        <f t="shared" ref="K152:L152" si="449">E152/125</f>
        <v>32.1664</v>
      </c>
      <c r="L152" s="16">
        <f t="shared" si="449"/>
        <v>28.72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ht="15.75" customHeight="1">
      <c r="A153" s="1"/>
      <c r="B153" s="1" t="s">
        <v>248</v>
      </c>
      <c r="C153" s="19" t="s">
        <v>273</v>
      </c>
      <c r="D153" s="26">
        <v>0.0</v>
      </c>
      <c r="E153" s="18">
        <f t="shared" si="450"/>
        <v>4020.8</v>
      </c>
      <c r="F153" s="14">
        <v>3590.0</v>
      </c>
      <c r="G153" s="15">
        <f t="shared" ref="G153:H153" si="451">E153/94</f>
        <v>42.77446809</v>
      </c>
      <c r="H153" s="15">
        <f t="shared" si="451"/>
        <v>38.19148936</v>
      </c>
      <c r="I153" s="16">
        <f t="shared" ref="I153:J153" si="452">E153/24</f>
        <v>167.5333333</v>
      </c>
      <c r="J153" s="16">
        <f t="shared" si="452"/>
        <v>149.5833333</v>
      </c>
      <c r="K153" s="16">
        <f t="shared" ref="K153:L153" si="453">E153/125</f>
        <v>32.1664</v>
      </c>
      <c r="L153" s="16">
        <f t="shared" si="453"/>
        <v>28.72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ht="15.75" customHeight="1">
      <c r="A154" s="1"/>
      <c r="B154" s="1" t="s">
        <v>250</v>
      </c>
      <c r="C154" s="19" t="s">
        <v>274</v>
      </c>
      <c r="D154" s="26">
        <v>0.0</v>
      </c>
      <c r="E154" s="18">
        <f t="shared" si="450"/>
        <v>4020.8</v>
      </c>
      <c r="F154" s="14">
        <v>3590.0</v>
      </c>
      <c r="G154" s="15">
        <f t="shared" ref="G154:H154" si="454">E154/94</f>
        <v>42.77446809</v>
      </c>
      <c r="H154" s="15">
        <f t="shared" si="454"/>
        <v>38.19148936</v>
      </c>
      <c r="I154" s="16">
        <f t="shared" ref="I154:J154" si="455">E154/24</f>
        <v>167.5333333</v>
      </c>
      <c r="J154" s="16">
        <f t="shared" si="455"/>
        <v>149.5833333</v>
      </c>
      <c r="K154" s="16">
        <f t="shared" ref="K154:L154" si="456">E154/125</f>
        <v>32.1664</v>
      </c>
      <c r="L154" s="16">
        <f t="shared" si="456"/>
        <v>28.72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ht="15.0" customHeight="1">
      <c r="A155" s="1"/>
      <c r="B155" s="1" t="s">
        <v>191</v>
      </c>
      <c r="C155" s="19" t="s">
        <v>275</v>
      </c>
      <c r="D155" s="26">
        <v>0.0</v>
      </c>
      <c r="E155" s="18">
        <f t="shared" si="450"/>
        <v>4020.8</v>
      </c>
      <c r="F155" s="14">
        <v>3590.0</v>
      </c>
      <c r="G155" s="15">
        <f t="shared" ref="G155:H155" si="457">E155/94</f>
        <v>42.77446809</v>
      </c>
      <c r="H155" s="15">
        <f t="shared" si="457"/>
        <v>38.19148936</v>
      </c>
      <c r="I155" s="16">
        <f t="shared" ref="I155:J155" si="458">E155/24</f>
        <v>167.5333333</v>
      </c>
      <c r="J155" s="16">
        <f t="shared" si="458"/>
        <v>149.5833333</v>
      </c>
      <c r="K155" s="16">
        <f t="shared" ref="K155:L155" si="459">E155/125</f>
        <v>32.1664</v>
      </c>
      <c r="L155" s="16">
        <f t="shared" si="459"/>
        <v>28.72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ht="15.0" customHeight="1">
      <c r="A156" s="1"/>
      <c r="B156" s="19" t="s">
        <v>187</v>
      </c>
      <c r="C156" s="19" t="s">
        <v>276</v>
      </c>
      <c r="D156" s="26">
        <v>0.0</v>
      </c>
      <c r="E156" s="18">
        <f t="shared" si="450"/>
        <v>4020.8</v>
      </c>
      <c r="F156" s="14">
        <v>3590.0</v>
      </c>
      <c r="G156" s="15">
        <f t="shared" ref="G156:H156" si="460">E156/94</f>
        <v>42.77446809</v>
      </c>
      <c r="H156" s="15">
        <f t="shared" si="460"/>
        <v>38.19148936</v>
      </c>
      <c r="I156" s="16">
        <f t="shared" ref="I156:J156" si="461">E156/24</f>
        <v>167.5333333</v>
      </c>
      <c r="J156" s="16">
        <f t="shared" si="461"/>
        <v>149.5833333</v>
      </c>
      <c r="K156" s="16">
        <f t="shared" ref="K156:L156" si="462">E156/125</f>
        <v>32.1664</v>
      </c>
      <c r="L156" s="16">
        <f t="shared" si="462"/>
        <v>28.72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ht="15.0" customHeight="1">
      <c r="A157" s="1" t="s">
        <v>277</v>
      </c>
      <c r="B157" s="1" t="s">
        <v>197</v>
      </c>
      <c r="C157" s="19" t="s">
        <v>278</v>
      </c>
      <c r="D157" s="25">
        <v>9.0</v>
      </c>
      <c r="E157" s="18">
        <f t="shared" si="450"/>
        <v>1674.4</v>
      </c>
      <c r="F157" s="14">
        <v>1495.0</v>
      </c>
      <c r="G157" s="15">
        <f t="shared" ref="G157:H157" si="463">E157/94</f>
        <v>17.81276596</v>
      </c>
      <c r="H157" s="15">
        <f t="shared" si="463"/>
        <v>15.90425532</v>
      </c>
      <c r="I157" s="16">
        <f t="shared" ref="I157:J157" si="464">E157/24</f>
        <v>69.76666667</v>
      </c>
      <c r="J157" s="16">
        <f t="shared" si="464"/>
        <v>62.29166667</v>
      </c>
      <c r="K157" s="16">
        <f t="shared" ref="K157:L157" si="465">E157/125</f>
        <v>13.3952</v>
      </c>
      <c r="L157" s="16">
        <f t="shared" si="465"/>
        <v>11.96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ht="15.75" customHeight="1">
      <c r="A158" s="1"/>
      <c r="B158" s="1" t="s">
        <v>248</v>
      </c>
      <c r="C158" s="19" t="s">
        <v>279</v>
      </c>
      <c r="D158" s="25">
        <v>4.0</v>
      </c>
      <c r="E158" s="18">
        <f t="shared" si="450"/>
        <v>1674.4</v>
      </c>
      <c r="F158" s="14">
        <v>1495.0</v>
      </c>
      <c r="G158" s="15">
        <f t="shared" ref="G158:H158" si="466">E158/94</f>
        <v>17.81276596</v>
      </c>
      <c r="H158" s="15">
        <f t="shared" si="466"/>
        <v>15.90425532</v>
      </c>
      <c r="I158" s="16">
        <f t="shared" ref="I158:J158" si="467">E158/24</f>
        <v>69.76666667</v>
      </c>
      <c r="J158" s="16">
        <f t="shared" si="467"/>
        <v>62.29166667</v>
      </c>
      <c r="K158" s="16">
        <f t="shared" ref="K158:L158" si="468">E158/125</f>
        <v>13.3952</v>
      </c>
      <c r="L158" s="16">
        <f t="shared" si="468"/>
        <v>11.96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ht="15.75" customHeight="1">
      <c r="A159" s="1"/>
      <c r="B159" s="1" t="s">
        <v>246</v>
      </c>
      <c r="C159" s="19" t="s">
        <v>280</v>
      </c>
      <c r="D159" s="25">
        <v>1.0</v>
      </c>
      <c r="E159" s="18">
        <f t="shared" si="450"/>
        <v>1674.4</v>
      </c>
      <c r="F159" s="14">
        <v>1495.0</v>
      </c>
      <c r="G159" s="15">
        <f t="shared" ref="G159:H159" si="469">E159/94</f>
        <v>17.81276596</v>
      </c>
      <c r="H159" s="15">
        <f t="shared" si="469"/>
        <v>15.90425532</v>
      </c>
      <c r="I159" s="16">
        <f t="shared" ref="I159:J159" si="470">E159/24</f>
        <v>69.76666667</v>
      </c>
      <c r="J159" s="16">
        <f t="shared" si="470"/>
        <v>62.29166667</v>
      </c>
      <c r="K159" s="16">
        <f t="shared" ref="K159:L159" si="471">E159/125</f>
        <v>13.3952</v>
      </c>
      <c r="L159" s="16">
        <f t="shared" si="471"/>
        <v>11.96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ht="15.75" customHeight="1">
      <c r="A160" s="1"/>
      <c r="B160" s="1" t="s">
        <v>250</v>
      </c>
      <c r="C160" s="19" t="s">
        <v>281</v>
      </c>
      <c r="D160" s="25">
        <v>10.0</v>
      </c>
      <c r="E160" s="18">
        <f t="shared" si="450"/>
        <v>1674.4</v>
      </c>
      <c r="F160" s="14">
        <v>1495.0</v>
      </c>
      <c r="G160" s="15">
        <f t="shared" ref="G160:H160" si="472">E160/94</f>
        <v>17.81276596</v>
      </c>
      <c r="H160" s="15">
        <f t="shared" si="472"/>
        <v>15.90425532</v>
      </c>
      <c r="I160" s="16">
        <f t="shared" ref="I160:J160" si="473">E160/24</f>
        <v>69.76666667</v>
      </c>
      <c r="J160" s="16">
        <f t="shared" si="473"/>
        <v>62.29166667</v>
      </c>
      <c r="K160" s="16">
        <f t="shared" ref="K160:L160" si="474">E160/125</f>
        <v>13.3952</v>
      </c>
      <c r="L160" s="16">
        <f t="shared" si="474"/>
        <v>11.96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ht="15.75" customHeight="1">
      <c r="A161" s="1"/>
      <c r="B161" s="1" t="s">
        <v>193</v>
      </c>
      <c r="C161" s="19" t="s">
        <v>282</v>
      </c>
      <c r="D161" s="25">
        <v>7.0</v>
      </c>
      <c r="E161" s="18">
        <f t="shared" si="450"/>
        <v>1674.4</v>
      </c>
      <c r="F161" s="14">
        <v>1495.0</v>
      </c>
      <c r="G161" s="15">
        <f t="shared" ref="G161:H161" si="475">E161/94</f>
        <v>17.81276596</v>
      </c>
      <c r="H161" s="15">
        <f t="shared" si="475"/>
        <v>15.90425532</v>
      </c>
      <c r="I161" s="16">
        <f t="shared" ref="I161:J161" si="476">E161/24</f>
        <v>69.76666667</v>
      </c>
      <c r="J161" s="16">
        <f t="shared" si="476"/>
        <v>62.29166667</v>
      </c>
      <c r="K161" s="16">
        <f t="shared" ref="K161:L161" si="477">E161/125</f>
        <v>13.3952</v>
      </c>
      <c r="L161" s="16">
        <f t="shared" si="477"/>
        <v>11.96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ht="15.0" customHeight="1">
      <c r="A162" s="1" t="s">
        <v>283</v>
      </c>
      <c r="B162" s="1" t="s">
        <v>284</v>
      </c>
      <c r="C162" s="19" t="s">
        <v>285</v>
      </c>
      <c r="D162" s="25">
        <v>5.0</v>
      </c>
      <c r="E162" s="18">
        <f t="shared" si="450"/>
        <v>1562.4</v>
      </c>
      <c r="F162" s="14">
        <v>1395.0</v>
      </c>
      <c r="G162" s="15">
        <f t="shared" ref="G162:H162" si="478">E162/94</f>
        <v>16.6212766</v>
      </c>
      <c r="H162" s="15">
        <f t="shared" si="478"/>
        <v>14.84042553</v>
      </c>
      <c r="I162" s="16">
        <f t="shared" ref="I162:J162" si="479">E162/24</f>
        <v>65.1</v>
      </c>
      <c r="J162" s="16">
        <f t="shared" si="479"/>
        <v>58.125</v>
      </c>
      <c r="K162" s="16">
        <f t="shared" ref="K162:L162" si="480">E162/125</f>
        <v>12.4992</v>
      </c>
      <c r="L162" s="16">
        <f t="shared" si="480"/>
        <v>11.16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ht="15.75" customHeight="1">
      <c r="A163" s="1"/>
      <c r="B163" s="1" t="s">
        <v>187</v>
      </c>
      <c r="C163" s="19" t="s">
        <v>286</v>
      </c>
      <c r="D163" s="25">
        <v>0.0</v>
      </c>
      <c r="E163" s="18">
        <f t="shared" si="450"/>
        <v>1562.4</v>
      </c>
      <c r="F163" s="14">
        <v>1395.0</v>
      </c>
      <c r="G163" s="15">
        <f t="shared" ref="G163:H163" si="481">E163/94</f>
        <v>16.6212766</v>
      </c>
      <c r="H163" s="15">
        <f t="shared" si="481"/>
        <v>14.84042553</v>
      </c>
      <c r="I163" s="16">
        <f t="shared" ref="I163:J163" si="482">E163/24</f>
        <v>65.1</v>
      </c>
      <c r="J163" s="16">
        <f t="shared" si="482"/>
        <v>58.125</v>
      </c>
      <c r="K163" s="16">
        <f t="shared" ref="K163:L163" si="483">E163/125</f>
        <v>12.4992</v>
      </c>
      <c r="L163" s="16">
        <f t="shared" si="483"/>
        <v>11.16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ht="15.75" customHeight="1">
      <c r="A164" s="1"/>
      <c r="B164" s="1" t="s">
        <v>201</v>
      </c>
      <c r="C164" s="19" t="s">
        <v>287</v>
      </c>
      <c r="D164" s="25">
        <v>4.0</v>
      </c>
      <c r="E164" s="18">
        <f t="shared" si="450"/>
        <v>1562.4</v>
      </c>
      <c r="F164" s="14">
        <v>1395.0</v>
      </c>
      <c r="G164" s="15">
        <f t="shared" ref="G164:H164" si="484">E164/94</f>
        <v>16.6212766</v>
      </c>
      <c r="H164" s="15">
        <f t="shared" si="484"/>
        <v>14.84042553</v>
      </c>
      <c r="I164" s="16">
        <f t="shared" ref="I164:J164" si="485">E164/24</f>
        <v>65.1</v>
      </c>
      <c r="J164" s="16">
        <f t="shared" si="485"/>
        <v>58.125</v>
      </c>
      <c r="K164" s="16">
        <f t="shared" ref="K164:L164" si="486">E164/125</f>
        <v>12.4992</v>
      </c>
      <c r="L164" s="16">
        <f t="shared" si="486"/>
        <v>11.16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ht="15.75" customHeight="1">
      <c r="A165" s="1"/>
      <c r="B165" s="1" t="s">
        <v>288</v>
      </c>
      <c r="C165" s="19" t="s">
        <v>289</v>
      </c>
      <c r="D165" s="25">
        <v>0.0</v>
      </c>
      <c r="E165" s="18">
        <f t="shared" si="450"/>
        <v>1562.4</v>
      </c>
      <c r="F165" s="14">
        <v>1395.0</v>
      </c>
      <c r="G165" s="15">
        <f t="shared" ref="G165:H165" si="487">E165/94</f>
        <v>16.6212766</v>
      </c>
      <c r="H165" s="15">
        <f t="shared" si="487"/>
        <v>14.84042553</v>
      </c>
      <c r="I165" s="16">
        <f t="shared" ref="I165:J165" si="488">E165/24</f>
        <v>65.1</v>
      </c>
      <c r="J165" s="16">
        <f t="shared" si="488"/>
        <v>58.125</v>
      </c>
      <c r="K165" s="16">
        <f t="shared" ref="K165:L165" si="489">E165/125</f>
        <v>12.4992</v>
      </c>
      <c r="L165" s="16">
        <f t="shared" si="489"/>
        <v>11.16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ht="15.75" customHeight="1">
      <c r="A166" s="1"/>
      <c r="B166" s="1" t="s">
        <v>246</v>
      </c>
      <c r="C166" s="19" t="s">
        <v>290</v>
      </c>
      <c r="D166" s="25">
        <v>10.0</v>
      </c>
      <c r="E166" s="18">
        <f t="shared" si="450"/>
        <v>1562.4</v>
      </c>
      <c r="F166" s="14">
        <v>1395.0</v>
      </c>
      <c r="G166" s="15">
        <f t="shared" ref="G166:H166" si="490">E166/94</f>
        <v>16.6212766</v>
      </c>
      <c r="H166" s="15">
        <f t="shared" si="490"/>
        <v>14.84042553</v>
      </c>
      <c r="I166" s="16">
        <f t="shared" ref="I166:J166" si="491">E166/24</f>
        <v>65.1</v>
      </c>
      <c r="J166" s="16">
        <f t="shared" si="491"/>
        <v>58.125</v>
      </c>
      <c r="K166" s="16">
        <f t="shared" ref="K166:L166" si="492">E166/125</f>
        <v>12.4992</v>
      </c>
      <c r="L166" s="16">
        <f t="shared" si="492"/>
        <v>11.16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ht="15.75" customHeight="1">
      <c r="A167" s="1"/>
      <c r="B167" s="1" t="s">
        <v>248</v>
      </c>
      <c r="C167" s="19" t="s">
        <v>291</v>
      </c>
      <c r="D167" s="25">
        <v>17.0</v>
      </c>
      <c r="E167" s="18">
        <f t="shared" si="450"/>
        <v>1562.4</v>
      </c>
      <c r="F167" s="14">
        <v>1395.0</v>
      </c>
      <c r="G167" s="15">
        <f t="shared" ref="G167:H167" si="493">E167/94</f>
        <v>16.6212766</v>
      </c>
      <c r="H167" s="15">
        <f t="shared" si="493"/>
        <v>14.84042553</v>
      </c>
      <c r="I167" s="16">
        <f t="shared" ref="I167:J167" si="494">E167/24</f>
        <v>65.1</v>
      </c>
      <c r="J167" s="16">
        <f t="shared" si="494"/>
        <v>58.125</v>
      </c>
      <c r="K167" s="16">
        <f t="shared" ref="K167:L167" si="495">E167/125</f>
        <v>12.4992</v>
      </c>
      <c r="L167" s="16">
        <f t="shared" si="495"/>
        <v>11.16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ht="15.75" customHeight="1">
      <c r="A168" s="1"/>
      <c r="B168" s="1" t="s">
        <v>203</v>
      </c>
      <c r="C168" s="19" t="s">
        <v>292</v>
      </c>
      <c r="D168" s="25">
        <v>8.0</v>
      </c>
      <c r="E168" s="18">
        <f t="shared" si="450"/>
        <v>1562.4</v>
      </c>
      <c r="F168" s="14">
        <v>1395.0</v>
      </c>
      <c r="G168" s="15">
        <f t="shared" ref="G168:H168" si="496">E168/94</f>
        <v>16.6212766</v>
      </c>
      <c r="H168" s="15">
        <f t="shared" si="496"/>
        <v>14.84042553</v>
      </c>
      <c r="I168" s="16">
        <f t="shared" ref="I168:J168" si="497">E168/24</f>
        <v>65.1</v>
      </c>
      <c r="J168" s="16">
        <f t="shared" si="497"/>
        <v>58.125</v>
      </c>
      <c r="K168" s="16">
        <f t="shared" ref="K168:L168" si="498">E168/125</f>
        <v>12.4992</v>
      </c>
      <c r="L168" s="16">
        <f t="shared" si="498"/>
        <v>11.16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ht="15.75" customHeight="1">
      <c r="A169" s="1"/>
      <c r="B169" s="1" t="s">
        <v>250</v>
      </c>
      <c r="C169" s="19" t="s">
        <v>293</v>
      </c>
      <c r="D169" s="25">
        <v>15.0</v>
      </c>
      <c r="E169" s="18">
        <f t="shared" si="450"/>
        <v>1562.4</v>
      </c>
      <c r="F169" s="14">
        <v>1395.0</v>
      </c>
      <c r="G169" s="15">
        <f t="shared" ref="G169:H169" si="499">E169/94</f>
        <v>16.6212766</v>
      </c>
      <c r="H169" s="15">
        <f t="shared" si="499"/>
        <v>14.84042553</v>
      </c>
      <c r="I169" s="16">
        <f t="shared" ref="I169:J169" si="500">E169/24</f>
        <v>65.1</v>
      </c>
      <c r="J169" s="16">
        <f t="shared" si="500"/>
        <v>58.125</v>
      </c>
      <c r="K169" s="16">
        <f t="shared" ref="K169:L169" si="501">E169/125</f>
        <v>12.4992</v>
      </c>
      <c r="L169" s="16">
        <f t="shared" si="501"/>
        <v>11.16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ht="15.75" customHeight="1">
      <c r="A170" s="1"/>
      <c r="B170" s="1" t="s">
        <v>191</v>
      </c>
      <c r="C170" s="19" t="s">
        <v>294</v>
      </c>
      <c r="D170" s="25">
        <v>10.0</v>
      </c>
      <c r="E170" s="18">
        <f t="shared" si="450"/>
        <v>1562.4</v>
      </c>
      <c r="F170" s="14">
        <v>1395.0</v>
      </c>
      <c r="G170" s="15">
        <f t="shared" ref="G170:H170" si="502">E170/94</f>
        <v>16.6212766</v>
      </c>
      <c r="H170" s="15">
        <f t="shared" si="502"/>
        <v>14.84042553</v>
      </c>
      <c r="I170" s="16">
        <f t="shared" ref="I170:J170" si="503">E170/24</f>
        <v>65.1</v>
      </c>
      <c r="J170" s="16">
        <f t="shared" si="503"/>
        <v>58.125</v>
      </c>
      <c r="K170" s="16">
        <f t="shared" ref="K170:L170" si="504">E170/125</f>
        <v>12.4992</v>
      </c>
      <c r="L170" s="16">
        <f t="shared" si="504"/>
        <v>11.16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ht="15.75" customHeight="1">
      <c r="A171" s="1"/>
      <c r="B171" s="1" t="s">
        <v>193</v>
      </c>
      <c r="C171" s="19" t="s">
        <v>295</v>
      </c>
      <c r="D171" s="25">
        <v>0.0</v>
      </c>
      <c r="E171" s="18">
        <f t="shared" si="450"/>
        <v>1562.4</v>
      </c>
      <c r="F171" s="14">
        <v>1395.0</v>
      </c>
      <c r="G171" s="15">
        <f t="shared" ref="G171:H171" si="505">E171/94</f>
        <v>16.6212766</v>
      </c>
      <c r="H171" s="15">
        <f t="shared" si="505"/>
        <v>14.84042553</v>
      </c>
      <c r="I171" s="16">
        <f t="shared" ref="I171:J171" si="506">E171/24</f>
        <v>65.1</v>
      </c>
      <c r="J171" s="16">
        <f t="shared" si="506"/>
        <v>58.125</v>
      </c>
      <c r="K171" s="16">
        <f t="shared" ref="K171:L171" si="507">E171/125</f>
        <v>12.4992</v>
      </c>
      <c r="L171" s="16">
        <f t="shared" si="507"/>
        <v>11.16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ht="15.75" customHeight="1">
      <c r="A172" s="1"/>
      <c r="B172" s="1" t="s">
        <v>15</v>
      </c>
      <c r="C172" s="19" t="s">
        <v>296</v>
      </c>
      <c r="D172" s="25">
        <v>12.0</v>
      </c>
      <c r="E172" s="18">
        <f t="shared" si="450"/>
        <v>1562.4</v>
      </c>
      <c r="F172" s="14">
        <v>1395.0</v>
      </c>
      <c r="G172" s="15">
        <f t="shared" ref="G172:H172" si="508">E172/94</f>
        <v>16.6212766</v>
      </c>
      <c r="H172" s="15">
        <f t="shared" si="508"/>
        <v>14.84042553</v>
      </c>
      <c r="I172" s="16">
        <f t="shared" ref="I172:J172" si="509">E172/24</f>
        <v>65.1</v>
      </c>
      <c r="J172" s="16">
        <f t="shared" si="509"/>
        <v>58.125</v>
      </c>
      <c r="K172" s="16">
        <f t="shared" ref="K172:L172" si="510">E172/125</f>
        <v>12.4992</v>
      </c>
      <c r="L172" s="16">
        <f t="shared" si="510"/>
        <v>11.16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ht="15.75" customHeight="1">
      <c r="A173" s="1"/>
      <c r="B173" s="1" t="s">
        <v>197</v>
      </c>
      <c r="C173" s="19" t="s">
        <v>297</v>
      </c>
      <c r="D173" s="25">
        <v>7.0</v>
      </c>
      <c r="E173" s="18">
        <f t="shared" si="450"/>
        <v>1562.4</v>
      </c>
      <c r="F173" s="14">
        <v>1395.0</v>
      </c>
      <c r="G173" s="15">
        <f t="shared" ref="G173:H173" si="511">E173/94</f>
        <v>16.6212766</v>
      </c>
      <c r="H173" s="15">
        <f t="shared" si="511"/>
        <v>14.84042553</v>
      </c>
      <c r="I173" s="16">
        <f t="shared" ref="I173:J173" si="512">E173/24</f>
        <v>65.1</v>
      </c>
      <c r="J173" s="16">
        <f t="shared" si="512"/>
        <v>58.125</v>
      </c>
      <c r="K173" s="16">
        <f t="shared" ref="K173:L173" si="513">E173/125</f>
        <v>12.4992</v>
      </c>
      <c r="L173" s="16">
        <f t="shared" si="513"/>
        <v>11.16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ht="15.0" customHeight="1">
      <c r="A174" s="1" t="s">
        <v>298</v>
      </c>
      <c r="B174" s="1" t="s">
        <v>187</v>
      </c>
      <c r="C174" s="19" t="s">
        <v>299</v>
      </c>
      <c r="D174" s="25">
        <v>7.0</v>
      </c>
      <c r="E174" s="18">
        <f t="shared" si="450"/>
        <v>1444.8</v>
      </c>
      <c r="F174" s="14">
        <v>1290.0</v>
      </c>
      <c r="G174" s="15">
        <f t="shared" ref="G174:H174" si="514">E174/94</f>
        <v>15.37021277</v>
      </c>
      <c r="H174" s="15">
        <f t="shared" si="514"/>
        <v>13.72340426</v>
      </c>
      <c r="I174" s="16">
        <f t="shared" ref="I174:J174" si="515">E174/24</f>
        <v>60.2</v>
      </c>
      <c r="J174" s="16">
        <f t="shared" si="515"/>
        <v>53.75</v>
      </c>
      <c r="K174" s="16">
        <f t="shared" ref="K174:L174" si="516">E174/125</f>
        <v>11.5584</v>
      </c>
      <c r="L174" s="16">
        <f t="shared" si="516"/>
        <v>10.32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ht="15.75" customHeight="1">
      <c r="A175" s="1"/>
      <c r="B175" s="27" t="s">
        <v>246</v>
      </c>
      <c r="C175" s="27" t="s">
        <v>300</v>
      </c>
      <c r="D175" s="25">
        <v>9.0</v>
      </c>
      <c r="E175" s="18"/>
      <c r="F175" s="14"/>
      <c r="G175" s="15"/>
      <c r="H175" s="15"/>
      <c r="I175" s="16"/>
      <c r="J175" s="16"/>
      <c r="K175" s="16"/>
      <c r="L175" s="1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ht="15.75" customHeight="1">
      <c r="A176" s="1"/>
      <c r="B176" s="1" t="s">
        <v>250</v>
      </c>
      <c r="C176" s="19" t="s">
        <v>301</v>
      </c>
      <c r="D176" s="25">
        <v>9.0</v>
      </c>
      <c r="E176" s="18">
        <f t="shared" ref="E176:E178" si="520">F176+(F176*12%)</f>
        <v>1444.8</v>
      </c>
      <c r="F176" s="14">
        <v>1290.0</v>
      </c>
      <c r="G176" s="15">
        <f t="shared" ref="G176:H176" si="517">E176/94</f>
        <v>15.37021277</v>
      </c>
      <c r="H176" s="15">
        <f t="shared" si="517"/>
        <v>13.72340426</v>
      </c>
      <c r="I176" s="16">
        <f t="shared" ref="I176:J176" si="518">E176/24</f>
        <v>60.2</v>
      </c>
      <c r="J176" s="16">
        <f t="shared" si="518"/>
        <v>53.75</v>
      </c>
      <c r="K176" s="16">
        <f t="shared" ref="K176:L176" si="519">E176/125</f>
        <v>11.5584</v>
      </c>
      <c r="L176" s="16">
        <f t="shared" si="519"/>
        <v>10.32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ht="15.75" customHeight="1">
      <c r="A177" s="1"/>
      <c r="B177" s="1" t="s">
        <v>248</v>
      </c>
      <c r="C177" s="19" t="s">
        <v>302</v>
      </c>
      <c r="D177" s="25">
        <v>7.0</v>
      </c>
      <c r="E177" s="18">
        <f t="shared" si="520"/>
        <v>1444.8</v>
      </c>
      <c r="F177" s="14">
        <v>1290.0</v>
      </c>
      <c r="G177" s="15">
        <f t="shared" ref="G177:H177" si="521">E177/94</f>
        <v>15.37021277</v>
      </c>
      <c r="H177" s="15">
        <f t="shared" si="521"/>
        <v>13.72340426</v>
      </c>
      <c r="I177" s="16">
        <f t="shared" ref="I177:J177" si="522">E177/24</f>
        <v>60.2</v>
      </c>
      <c r="J177" s="16">
        <f t="shared" si="522"/>
        <v>53.75</v>
      </c>
      <c r="K177" s="16">
        <f t="shared" ref="K177:L177" si="523">E177/125</f>
        <v>11.5584</v>
      </c>
      <c r="L177" s="16">
        <f t="shared" si="523"/>
        <v>10.32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ht="15.75" customHeight="1">
      <c r="A178" s="1"/>
      <c r="B178" s="1" t="s">
        <v>197</v>
      </c>
      <c r="C178" s="19" t="s">
        <v>303</v>
      </c>
      <c r="D178" s="25">
        <v>8.0</v>
      </c>
      <c r="E178" s="18">
        <f t="shared" si="520"/>
        <v>1444.8</v>
      </c>
      <c r="F178" s="14">
        <v>1290.0</v>
      </c>
      <c r="G178" s="15">
        <f t="shared" ref="G178:H178" si="524">E178/94</f>
        <v>15.37021277</v>
      </c>
      <c r="H178" s="15">
        <f t="shared" si="524"/>
        <v>13.72340426</v>
      </c>
      <c r="I178" s="16">
        <f t="shared" ref="I178:J178" si="525">E178/24</f>
        <v>60.2</v>
      </c>
      <c r="J178" s="16">
        <f t="shared" si="525"/>
        <v>53.75</v>
      </c>
      <c r="K178" s="16">
        <f t="shared" ref="K178:L178" si="526">E178/125</f>
        <v>11.5584</v>
      </c>
      <c r="L178" s="16">
        <f t="shared" si="526"/>
        <v>10.32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ht="15.75" customHeight="1">
      <c r="A179" s="1"/>
      <c r="B179" s="27" t="s">
        <v>195</v>
      </c>
      <c r="C179" s="19" t="s">
        <v>304</v>
      </c>
      <c r="D179" s="25">
        <v>3.0</v>
      </c>
      <c r="E179" s="18"/>
      <c r="F179" s="14"/>
      <c r="G179" s="15"/>
      <c r="H179" s="15"/>
      <c r="I179" s="16"/>
      <c r="J179" s="16"/>
      <c r="K179" s="16"/>
      <c r="L179" s="1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ht="15.75" customHeight="1">
      <c r="A180" s="1"/>
      <c r="B180" s="1" t="s">
        <v>193</v>
      </c>
      <c r="C180" s="19" t="s">
        <v>305</v>
      </c>
      <c r="D180" s="25">
        <v>3.0</v>
      </c>
      <c r="E180" s="18">
        <f t="shared" ref="E180:E183" si="530">F180+(F180*12%)</f>
        <v>1444.8</v>
      </c>
      <c r="F180" s="14">
        <v>1290.0</v>
      </c>
      <c r="G180" s="15">
        <f t="shared" ref="G180:H180" si="527">E180/94</f>
        <v>15.37021277</v>
      </c>
      <c r="H180" s="15">
        <f t="shared" si="527"/>
        <v>13.72340426</v>
      </c>
      <c r="I180" s="16">
        <f t="shared" ref="I180:J180" si="528">E180/24</f>
        <v>60.2</v>
      </c>
      <c r="J180" s="16">
        <f t="shared" si="528"/>
        <v>53.75</v>
      </c>
      <c r="K180" s="16">
        <f t="shared" ref="K180:L180" si="529">E180/125</f>
        <v>11.5584</v>
      </c>
      <c r="L180" s="16">
        <f t="shared" si="529"/>
        <v>10.32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ht="15.0" customHeight="1">
      <c r="A181" s="1" t="s">
        <v>306</v>
      </c>
      <c r="B181" s="1" t="s">
        <v>195</v>
      </c>
      <c r="C181" s="19" t="s">
        <v>307</v>
      </c>
      <c r="D181" s="25">
        <v>0.0</v>
      </c>
      <c r="E181" s="18">
        <f t="shared" si="530"/>
        <v>1450.4</v>
      </c>
      <c r="F181" s="14">
        <v>1295.0</v>
      </c>
      <c r="G181" s="15">
        <f t="shared" ref="G181:H181" si="531">E181/94</f>
        <v>15.42978723</v>
      </c>
      <c r="H181" s="15">
        <f t="shared" si="531"/>
        <v>13.77659574</v>
      </c>
      <c r="I181" s="16">
        <f t="shared" ref="I181:J181" si="532">E181/24</f>
        <v>60.43333333</v>
      </c>
      <c r="J181" s="16">
        <f t="shared" si="532"/>
        <v>53.95833333</v>
      </c>
      <c r="K181" s="16">
        <f t="shared" ref="K181:L181" si="533">E181/125</f>
        <v>11.6032</v>
      </c>
      <c r="L181" s="16">
        <f t="shared" si="533"/>
        <v>10.36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ht="15.75" customHeight="1">
      <c r="A182" s="1"/>
      <c r="B182" s="1" t="s">
        <v>248</v>
      </c>
      <c r="C182" s="19" t="s">
        <v>308</v>
      </c>
      <c r="D182" s="25">
        <v>8.0</v>
      </c>
      <c r="E182" s="18">
        <f t="shared" si="530"/>
        <v>1450.4</v>
      </c>
      <c r="F182" s="14">
        <v>1295.0</v>
      </c>
      <c r="G182" s="15">
        <f t="shared" ref="G182:H182" si="534">E182/94</f>
        <v>15.42978723</v>
      </c>
      <c r="H182" s="15">
        <f t="shared" si="534"/>
        <v>13.77659574</v>
      </c>
      <c r="I182" s="16">
        <f t="shared" ref="I182:J182" si="535">E182/24</f>
        <v>60.43333333</v>
      </c>
      <c r="J182" s="16">
        <f t="shared" si="535"/>
        <v>53.95833333</v>
      </c>
      <c r="K182" s="16">
        <f t="shared" ref="K182:L182" si="536">E182/125</f>
        <v>11.6032</v>
      </c>
      <c r="L182" s="16">
        <f t="shared" si="536"/>
        <v>10.36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ht="15.75" customHeight="1">
      <c r="A183" s="1"/>
      <c r="B183" s="1" t="s">
        <v>250</v>
      </c>
      <c r="C183" s="19" t="s">
        <v>309</v>
      </c>
      <c r="D183" s="25">
        <v>6.0</v>
      </c>
      <c r="E183" s="18">
        <f t="shared" si="530"/>
        <v>1450.4</v>
      </c>
      <c r="F183" s="14">
        <v>1295.0</v>
      </c>
      <c r="G183" s="15">
        <f t="shared" ref="G183:H183" si="537">E183/94</f>
        <v>15.42978723</v>
      </c>
      <c r="H183" s="15">
        <f t="shared" si="537"/>
        <v>13.77659574</v>
      </c>
      <c r="I183" s="16">
        <f t="shared" ref="I183:J183" si="538">E183/24</f>
        <v>60.43333333</v>
      </c>
      <c r="J183" s="16">
        <f t="shared" si="538"/>
        <v>53.95833333</v>
      </c>
      <c r="K183" s="16">
        <f t="shared" ref="K183:L183" si="539">E183/125</f>
        <v>11.6032</v>
      </c>
      <c r="L183" s="16">
        <f t="shared" si="539"/>
        <v>10.36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ht="15.75" customHeight="1">
      <c r="A184" s="1"/>
      <c r="B184" s="28" t="s">
        <v>197</v>
      </c>
      <c r="C184" s="28" t="s">
        <v>310</v>
      </c>
      <c r="D184" s="25">
        <v>11.0</v>
      </c>
      <c r="E184" s="18"/>
      <c r="F184" s="14"/>
      <c r="G184" s="15"/>
      <c r="H184" s="15"/>
      <c r="I184" s="16"/>
      <c r="J184" s="16"/>
      <c r="K184" s="16"/>
      <c r="L184" s="1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ht="15.75" customHeight="1">
      <c r="A185" s="1"/>
      <c r="B185" s="28" t="s">
        <v>187</v>
      </c>
      <c r="C185" s="28" t="s">
        <v>311</v>
      </c>
      <c r="D185" s="25">
        <v>8.0</v>
      </c>
      <c r="E185" s="18"/>
      <c r="F185" s="14"/>
      <c r="G185" s="15"/>
      <c r="H185" s="15"/>
      <c r="I185" s="16"/>
      <c r="J185" s="16"/>
      <c r="K185" s="16"/>
      <c r="L185" s="1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ht="15.75" customHeight="1">
      <c r="A186" s="1"/>
      <c r="B186" s="28" t="s">
        <v>312</v>
      </c>
      <c r="C186" s="28" t="s">
        <v>313</v>
      </c>
      <c r="D186" s="25">
        <v>10.0</v>
      </c>
      <c r="E186" s="18"/>
      <c r="F186" s="14"/>
      <c r="G186" s="15"/>
      <c r="H186" s="15"/>
      <c r="I186" s="16"/>
      <c r="J186" s="16"/>
      <c r="K186" s="16"/>
      <c r="L186" s="1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ht="15.0" customHeight="1">
      <c r="A187" s="1" t="s">
        <v>314</v>
      </c>
      <c r="B187" s="1" t="s">
        <v>315</v>
      </c>
      <c r="C187" s="21" t="s">
        <v>316</v>
      </c>
      <c r="D187" s="25">
        <v>2.0</v>
      </c>
      <c r="E187" s="18">
        <f t="shared" ref="E187:E213" si="543">F187+(F187*12%)</f>
        <v>5700.8</v>
      </c>
      <c r="F187" s="14">
        <v>5090.0</v>
      </c>
      <c r="G187" s="15">
        <f t="shared" ref="G187:H187" si="540">E187/94</f>
        <v>60.64680851</v>
      </c>
      <c r="H187" s="15">
        <f t="shared" si="540"/>
        <v>54.14893617</v>
      </c>
      <c r="I187" s="16">
        <f t="shared" ref="I187:J187" si="541">E187/24</f>
        <v>237.5333333</v>
      </c>
      <c r="J187" s="16">
        <f t="shared" si="541"/>
        <v>212.0833333</v>
      </c>
      <c r="K187" s="16">
        <f t="shared" ref="K187:L187" si="542">E187/125</f>
        <v>45.6064</v>
      </c>
      <c r="L187" s="16">
        <f t="shared" si="542"/>
        <v>40.72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ht="15.75" customHeight="1">
      <c r="A188" s="1"/>
      <c r="B188" s="1" t="s">
        <v>317</v>
      </c>
      <c r="C188" s="21" t="s">
        <v>318</v>
      </c>
      <c r="D188" s="25">
        <v>3.0</v>
      </c>
      <c r="E188" s="18">
        <f t="shared" si="543"/>
        <v>5924.8</v>
      </c>
      <c r="F188" s="14">
        <v>5290.0</v>
      </c>
      <c r="G188" s="15">
        <f t="shared" ref="G188:H188" si="544">E188/94</f>
        <v>63.02978723</v>
      </c>
      <c r="H188" s="15">
        <f t="shared" si="544"/>
        <v>56.27659574</v>
      </c>
      <c r="I188" s="16">
        <f t="shared" ref="I188:J188" si="545">E188/24</f>
        <v>246.8666667</v>
      </c>
      <c r="J188" s="16">
        <f t="shared" si="545"/>
        <v>220.4166667</v>
      </c>
      <c r="K188" s="16">
        <f t="shared" ref="K188:L188" si="546">E188/125</f>
        <v>47.3984</v>
      </c>
      <c r="L188" s="16">
        <f t="shared" si="546"/>
        <v>42.32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ht="15.75" customHeight="1">
      <c r="A189" s="1"/>
      <c r="B189" s="1" t="s">
        <v>319</v>
      </c>
      <c r="C189" s="21" t="s">
        <v>320</v>
      </c>
      <c r="D189" s="25">
        <v>6.0</v>
      </c>
      <c r="E189" s="18">
        <f t="shared" si="543"/>
        <v>6148.8</v>
      </c>
      <c r="F189" s="14">
        <v>5490.0</v>
      </c>
      <c r="G189" s="15">
        <f t="shared" ref="G189:H189" si="547">E189/94</f>
        <v>65.41276596</v>
      </c>
      <c r="H189" s="15">
        <f t="shared" si="547"/>
        <v>58.40425532</v>
      </c>
      <c r="I189" s="16">
        <f t="shared" ref="I189:J189" si="548">E189/24</f>
        <v>256.2</v>
      </c>
      <c r="J189" s="16">
        <f t="shared" si="548"/>
        <v>228.75</v>
      </c>
      <c r="K189" s="16">
        <f t="shared" ref="K189:L189" si="549">E189/125</f>
        <v>49.1904</v>
      </c>
      <c r="L189" s="16">
        <f t="shared" si="549"/>
        <v>43.92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>
      <c r="A190" s="1" t="s">
        <v>321</v>
      </c>
      <c r="B190" s="1" t="s">
        <v>322</v>
      </c>
      <c r="C190" s="1" t="s">
        <v>323</v>
      </c>
      <c r="D190" s="25">
        <v>0.0</v>
      </c>
      <c r="E190" s="18">
        <f t="shared" si="543"/>
        <v>6328</v>
      </c>
      <c r="F190" s="14">
        <v>5650.0</v>
      </c>
      <c r="G190" s="15">
        <f t="shared" ref="G190:H190" si="550">E190/94</f>
        <v>67.31914894</v>
      </c>
      <c r="H190" s="15">
        <f t="shared" si="550"/>
        <v>60.10638298</v>
      </c>
      <c r="I190" s="16">
        <f t="shared" ref="I190:J190" si="551">E190/24</f>
        <v>263.6666667</v>
      </c>
      <c r="J190" s="16">
        <f t="shared" si="551"/>
        <v>235.4166667</v>
      </c>
      <c r="K190" s="16">
        <f t="shared" ref="K190:L190" si="552">E190/125</f>
        <v>50.624</v>
      </c>
      <c r="L190" s="16">
        <f t="shared" si="552"/>
        <v>45.2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>
      <c r="A191" s="1"/>
      <c r="B191" s="1" t="s">
        <v>324</v>
      </c>
      <c r="C191" s="1" t="s">
        <v>325</v>
      </c>
      <c r="D191" s="25">
        <v>0.0</v>
      </c>
      <c r="E191" s="18">
        <f t="shared" si="543"/>
        <v>6328</v>
      </c>
      <c r="F191" s="14">
        <v>5650.0</v>
      </c>
      <c r="G191" s="15">
        <f t="shared" ref="G191:H191" si="553">E191/94</f>
        <v>67.31914894</v>
      </c>
      <c r="H191" s="15">
        <f t="shared" si="553"/>
        <v>60.10638298</v>
      </c>
      <c r="I191" s="16">
        <f t="shared" ref="I191:J191" si="554">E191/24</f>
        <v>263.6666667</v>
      </c>
      <c r="J191" s="16">
        <f t="shared" si="554"/>
        <v>235.4166667</v>
      </c>
      <c r="K191" s="16">
        <f t="shared" ref="K191:L191" si="555">E191/125</f>
        <v>50.624</v>
      </c>
      <c r="L191" s="16">
        <f t="shared" si="555"/>
        <v>45.2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>
      <c r="A192" s="1"/>
      <c r="B192" s="1" t="s">
        <v>326</v>
      </c>
      <c r="C192" s="1" t="s">
        <v>327</v>
      </c>
      <c r="D192" s="25">
        <v>0.0</v>
      </c>
      <c r="E192" s="18">
        <f t="shared" si="543"/>
        <v>7784</v>
      </c>
      <c r="F192" s="14">
        <v>6950.0</v>
      </c>
      <c r="G192" s="15">
        <f t="shared" ref="G192:H192" si="556">E192/94</f>
        <v>82.80851064</v>
      </c>
      <c r="H192" s="15">
        <f t="shared" si="556"/>
        <v>73.93617021</v>
      </c>
      <c r="I192" s="16">
        <f t="shared" ref="I192:J192" si="557">E192/24</f>
        <v>324.3333333</v>
      </c>
      <c r="J192" s="16">
        <f t="shared" si="557"/>
        <v>289.5833333</v>
      </c>
      <c r="K192" s="16">
        <f t="shared" ref="K192:L192" si="558">E192/125</f>
        <v>62.272</v>
      </c>
      <c r="L192" s="16">
        <f t="shared" si="558"/>
        <v>55.6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>
      <c r="A193" s="1"/>
      <c r="B193" s="1" t="s">
        <v>328</v>
      </c>
      <c r="C193" s="1" t="s">
        <v>329</v>
      </c>
      <c r="D193" s="25">
        <v>0.0</v>
      </c>
      <c r="E193" s="18">
        <f t="shared" si="543"/>
        <v>7784</v>
      </c>
      <c r="F193" s="14">
        <v>6950.0</v>
      </c>
      <c r="G193" s="15">
        <f t="shared" ref="G193:H193" si="559">E193/94</f>
        <v>82.80851064</v>
      </c>
      <c r="H193" s="15">
        <f t="shared" si="559"/>
        <v>73.93617021</v>
      </c>
      <c r="I193" s="16">
        <f t="shared" ref="I193:J193" si="560">E193/24</f>
        <v>324.3333333</v>
      </c>
      <c r="J193" s="16">
        <f t="shared" si="560"/>
        <v>289.5833333</v>
      </c>
      <c r="K193" s="16">
        <f t="shared" ref="K193:L193" si="561">E193/125</f>
        <v>62.272</v>
      </c>
      <c r="L193" s="16">
        <f t="shared" si="561"/>
        <v>55.6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ht="15.0" customHeight="1">
      <c r="A194" s="3"/>
      <c r="B194" s="1" t="s">
        <v>330</v>
      </c>
      <c r="C194" s="1" t="s">
        <v>331</v>
      </c>
      <c r="D194" s="25">
        <v>0.0</v>
      </c>
      <c r="E194" s="18">
        <f t="shared" si="543"/>
        <v>8568</v>
      </c>
      <c r="F194" s="14">
        <v>7650.0</v>
      </c>
      <c r="G194" s="15">
        <f t="shared" ref="G194:H194" si="562">E194/94</f>
        <v>91.14893617</v>
      </c>
      <c r="H194" s="15">
        <f t="shared" si="562"/>
        <v>81.38297872</v>
      </c>
      <c r="I194" s="16">
        <f t="shared" ref="I194:J194" si="563">E194/24</f>
        <v>357</v>
      </c>
      <c r="J194" s="16">
        <f t="shared" si="563"/>
        <v>318.75</v>
      </c>
      <c r="K194" s="16">
        <f t="shared" ref="K194:L194" si="564">E194/125</f>
        <v>68.544</v>
      </c>
      <c r="L194" s="16">
        <f t="shared" si="564"/>
        <v>61.2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>
      <c r="A195" s="1"/>
      <c r="B195" s="1" t="s">
        <v>332</v>
      </c>
      <c r="C195" s="1" t="s">
        <v>333</v>
      </c>
      <c r="D195" s="25">
        <v>0.0</v>
      </c>
      <c r="E195" s="18">
        <f t="shared" si="543"/>
        <v>8568</v>
      </c>
      <c r="F195" s="14">
        <v>7650.0</v>
      </c>
      <c r="G195" s="15">
        <f t="shared" ref="G195:H195" si="565">E195/94</f>
        <v>91.14893617</v>
      </c>
      <c r="H195" s="15">
        <f t="shared" si="565"/>
        <v>81.38297872</v>
      </c>
      <c r="I195" s="16">
        <f t="shared" ref="I195:J195" si="566">E195/24</f>
        <v>357</v>
      </c>
      <c r="J195" s="16">
        <f t="shared" si="566"/>
        <v>318.75</v>
      </c>
      <c r="K195" s="16">
        <f t="shared" ref="K195:L195" si="567">E195/125</f>
        <v>68.544</v>
      </c>
      <c r="L195" s="16">
        <f t="shared" si="567"/>
        <v>61.2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ht="16.5" customHeight="1">
      <c r="A196" s="1"/>
      <c r="B196" s="1" t="s">
        <v>334</v>
      </c>
      <c r="C196" s="1" t="s">
        <v>335</v>
      </c>
      <c r="D196" s="25">
        <v>0.0</v>
      </c>
      <c r="E196" s="18">
        <f t="shared" si="543"/>
        <v>9576</v>
      </c>
      <c r="F196" s="14">
        <v>8550.0</v>
      </c>
      <c r="G196" s="15">
        <f t="shared" ref="G196:H196" si="568">E196/94</f>
        <v>101.8723404</v>
      </c>
      <c r="H196" s="15">
        <f t="shared" si="568"/>
        <v>90.95744681</v>
      </c>
      <c r="I196" s="16">
        <f t="shared" ref="I196:J196" si="569">E196/24</f>
        <v>399</v>
      </c>
      <c r="J196" s="16">
        <f t="shared" si="569"/>
        <v>356.25</v>
      </c>
      <c r="K196" s="16">
        <f t="shared" ref="K196:L196" si="570">E196/125</f>
        <v>76.608</v>
      </c>
      <c r="L196" s="16">
        <f t="shared" si="570"/>
        <v>68.4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1"/>
      <c r="B197" s="1" t="s">
        <v>336</v>
      </c>
      <c r="C197" s="1" t="s">
        <v>337</v>
      </c>
      <c r="D197" s="25">
        <v>0.0</v>
      </c>
      <c r="E197" s="18">
        <f t="shared" si="543"/>
        <v>9576</v>
      </c>
      <c r="F197" s="14">
        <v>8550.0</v>
      </c>
      <c r="G197" s="15">
        <f t="shared" ref="G197:H197" si="571">E197/94</f>
        <v>101.8723404</v>
      </c>
      <c r="H197" s="15">
        <f t="shared" si="571"/>
        <v>90.95744681</v>
      </c>
      <c r="I197" s="16">
        <f t="shared" ref="I197:J197" si="572">E197/24</f>
        <v>399</v>
      </c>
      <c r="J197" s="16">
        <f t="shared" si="572"/>
        <v>356.25</v>
      </c>
      <c r="K197" s="16">
        <f t="shared" ref="K197:L197" si="573">E197/125</f>
        <v>76.608</v>
      </c>
      <c r="L197" s="16">
        <f t="shared" si="573"/>
        <v>68.4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ht="15.0" customHeight="1">
      <c r="A198" s="1" t="s">
        <v>338</v>
      </c>
      <c r="B198" s="1" t="s">
        <v>339</v>
      </c>
      <c r="C198" s="17" t="s">
        <v>340</v>
      </c>
      <c r="D198" s="25">
        <v>1.0</v>
      </c>
      <c r="E198" s="18">
        <f t="shared" si="543"/>
        <v>111988.8</v>
      </c>
      <c r="F198" s="14">
        <v>99990.0</v>
      </c>
      <c r="G198" s="15">
        <f t="shared" ref="G198:H198" si="574">E198/94</f>
        <v>1191.370213</v>
      </c>
      <c r="H198" s="15">
        <f t="shared" si="574"/>
        <v>1063.723404</v>
      </c>
      <c r="I198" s="16">
        <f t="shared" ref="I198:J198" si="575">E198/24</f>
        <v>4666.2</v>
      </c>
      <c r="J198" s="16">
        <f t="shared" si="575"/>
        <v>4166.25</v>
      </c>
      <c r="K198" s="16">
        <f t="shared" ref="K198:L198" si="576">E198/125</f>
        <v>895.9104</v>
      </c>
      <c r="L198" s="16">
        <f t="shared" si="576"/>
        <v>799.92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ht="15.75" customHeight="1">
      <c r="A199" s="1"/>
      <c r="B199" s="1" t="s">
        <v>341</v>
      </c>
      <c r="C199" s="17" t="s">
        <v>342</v>
      </c>
      <c r="D199" s="25">
        <v>0.0</v>
      </c>
      <c r="E199" s="18">
        <f t="shared" si="543"/>
        <v>123188.8</v>
      </c>
      <c r="F199" s="14">
        <v>109990.0</v>
      </c>
      <c r="G199" s="15">
        <f t="shared" ref="G199:H199" si="577">E199/94</f>
        <v>1310.519149</v>
      </c>
      <c r="H199" s="15">
        <f t="shared" si="577"/>
        <v>1170.106383</v>
      </c>
      <c r="I199" s="16">
        <f t="shared" ref="I199:J199" si="578">E199/24</f>
        <v>5132.866667</v>
      </c>
      <c r="J199" s="16">
        <f t="shared" si="578"/>
        <v>4582.916667</v>
      </c>
      <c r="K199" s="16">
        <f t="shared" ref="K199:L199" si="579">E199/125</f>
        <v>985.5104</v>
      </c>
      <c r="L199" s="16">
        <f t="shared" si="579"/>
        <v>879.92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ht="15.75" customHeight="1">
      <c r="A200" s="1" t="s">
        <v>343</v>
      </c>
      <c r="B200" s="1"/>
      <c r="C200" s="24" t="s">
        <v>344</v>
      </c>
      <c r="D200" s="22">
        <v>1.0</v>
      </c>
      <c r="E200" s="18">
        <f t="shared" si="543"/>
        <v>15120</v>
      </c>
      <c r="F200" s="14">
        <v>13500.0</v>
      </c>
      <c r="G200" s="15">
        <f t="shared" ref="G200:H200" si="580">E200/94</f>
        <v>160.8510638</v>
      </c>
      <c r="H200" s="15">
        <f t="shared" si="580"/>
        <v>143.6170213</v>
      </c>
      <c r="I200" s="16">
        <f t="shared" ref="I200:J200" si="581">E200/24</f>
        <v>630</v>
      </c>
      <c r="J200" s="16">
        <f t="shared" si="581"/>
        <v>562.5</v>
      </c>
      <c r="K200" s="16">
        <f t="shared" ref="K200:L200" si="582">E200/125</f>
        <v>120.96</v>
      </c>
      <c r="L200" s="16">
        <f t="shared" si="582"/>
        <v>108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ht="15.0" customHeight="1">
      <c r="A201" s="1" t="s">
        <v>345</v>
      </c>
      <c r="B201" s="1" t="s">
        <v>346</v>
      </c>
      <c r="C201" s="17" t="s">
        <v>347</v>
      </c>
      <c r="D201" s="12">
        <v>0.0</v>
      </c>
      <c r="E201" s="18">
        <f t="shared" si="543"/>
        <v>10068.8</v>
      </c>
      <c r="F201" s="14">
        <v>8990.0</v>
      </c>
      <c r="G201" s="15">
        <f t="shared" ref="G201:H201" si="583">E201/94</f>
        <v>107.1148936</v>
      </c>
      <c r="H201" s="15">
        <f t="shared" si="583"/>
        <v>95.63829787</v>
      </c>
      <c r="I201" s="16">
        <f t="shared" ref="I201:J201" si="584">E201/24</f>
        <v>419.5333333</v>
      </c>
      <c r="J201" s="16">
        <f t="shared" si="584"/>
        <v>374.5833333</v>
      </c>
      <c r="K201" s="16">
        <f t="shared" ref="K201:L201" si="585">E201/125</f>
        <v>80.5504</v>
      </c>
      <c r="L201" s="16">
        <f t="shared" si="585"/>
        <v>71.92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ht="15.75" customHeight="1">
      <c r="A202" s="1"/>
      <c r="B202" s="1" t="s">
        <v>348</v>
      </c>
      <c r="C202" s="17" t="s">
        <v>349</v>
      </c>
      <c r="D202" s="12">
        <v>2.0</v>
      </c>
      <c r="E202" s="18">
        <f t="shared" si="543"/>
        <v>13048</v>
      </c>
      <c r="F202" s="14">
        <v>11650.0</v>
      </c>
      <c r="G202" s="15">
        <f t="shared" ref="G202:H202" si="586">E202/94</f>
        <v>138.8085106</v>
      </c>
      <c r="H202" s="15">
        <f t="shared" si="586"/>
        <v>123.9361702</v>
      </c>
      <c r="I202" s="16">
        <f t="shared" ref="I202:J202" si="587">E202/24</f>
        <v>543.6666667</v>
      </c>
      <c r="J202" s="16">
        <f t="shared" si="587"/>
        <v>485.4166667</v>
      </c>
      <c r="K202" s="16">
        <f t="shared" ref="K202:L202" si="588">E202/125</f>
        <v>104.384</v>
      </c>
      <c r="L202" s="16">
        <f t="shared" si="588"/>
        <v>93.2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ht="15.0" customHeight="1">
      <c r="A203" s="1" t="s">
        <v>350</v>
      </c>
      <c r="B203" s="1"/>
      <c r="C203" s="17" t="s">
        <v>351</v>
      </c>
      <c r="D203" s="12">
        <v>0.0</v>
      </c>
      <c r="E203" s="18">
        <f t="shared" si="543"/>
        <v>0</v>
      </c>
      <c r="F203" s="3"/>
      <c r="G203" s="29"/>
      <c r="H203" s="29"/>
      <c r="I203" s="30"/>
      <c r="J203" s="3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ht="15.0" customHeight="1">
      <c r="A204" s="1" t="s">
        <v>352</v>
      </c>
      <c r="B204" s="1" t="s">
        <v>353</v>
      </c>
      <c r="C204" s="17" t="s">
        <v>354</v>
      </c>
      <c r="D204" s="22">
        <v>10.0</v>
      </c>
      <c r="E204" s="18">
        <f t="shared" si="543"/>
        <v>2116.8</v>
      </c>
      <c r="F204" s="14">
        <v>1890.0</v>
      </c>
      <c r="G204" s="15">
        <f t="shared" ref="G204:H204" si="589">E204/94</f>
        <v>22.51914894</v>
      </c>
      <c r="H204" s="15">
        <f t="shared" si="589"/>
        <v>20.10638298</v>
      </c>
      <c r="I204" s="16">
        <f t="shared" ref="I204:J204" si="590">E204/24</f>
        <v>88.2</v>
      </c>
      <c r="J204" s="16">
        <f t="shared" si="590"/>
        <v>78.75</v>
      </c>
      <c r="K204" s="16">
        <f t="shared" ref="K204:L204" si="591">E204/125</f>
        <v>16.9344</v>
      </c>
      <c r="L204" s="16">
        <f t="shared" si="591"/>
        <v>15.12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ht="15.75" customHeight="1">
      <c r="A205" s="1"/>
      <c r="B205" s="1" t="s">
        <v>355</v>
      </c>
      <c r="C205" s="17" t="s">
        <v>356</v>
      </c>
      <c r="D205" s="12">
        <v>16.0</v>
      </c>
      <c r="E205" s="18">
        <f t="shared" si="543"/>
        <v>3348.8</v>
      </c>
      <c r="F205" s="14">
        <v>2990.0</v>
      </c>
      <c r="G205" s="15">
        <f t="shared" ref="G205:H205" si="592">E205/94</f>
        <v>35.62553191</v>
      </c>
      <c r="H205" s="15">
        <f t="shared" si="592"/>
        <v>31.80851064</v>
      </c>
      <c r="I205" s="16">
        <f t="shared" ref="I205:J205" si="593">E205/24</f>
        <v>139.5333333</v>
      </c>
      <c r="J205" s="16">
        <f t="shared" si="593"/>
        <v>124.5833333</v>
      </c>
      <c r="K205" s="16">
        <f t="shared" ref="K205:L205" si="594">E205/125</f>
        <v>26.7904</v>
      </c>
      <c r="L205" s="16">
        <f t="shared" si="594"/>
        <v>23.92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ht="15.0" customHeight="1">
      <c r="A206" s="1" t="s">
        <v>357</v>
      </c>
      <c r="B206" s="1" t="s">
        <v>358</v>
      </c>
      <c r="C206" s="1" t="s">
        <v>359</v>
      </c>
      <c r="D206" s="12">
        <v>60.0</v>
      </c>
      <c r="E206" s="18">
        <f t="shared" si="543"/>
        <v>308</v>
      </c>
      <c r="F206" s="1">
        <v>275.0</v>
      </c>
      <c r="G206" s="15">
        <f t="shared" ref="G206:H206" si="595">E206/94</f>
        <v>3.276595745</v>
      </c>
      <c r="H206" s="15">
        <f t="shared" si="595"/>
        <v>2.925531915</v>
      </c>
      <c r="I206" s="16">
        <f t="shared" ref="I206:J206" si="596">E206/24</f>
        <v>12.83333333</v>
      </c>
      <c r="J206" s="16">
        <f t="shared" si="596"/>
        <v>11.45833333</v>
      </c>
      <c r="K206" s="16">
        <f t="shared" ref="K206:L206" si="597">E206/125</f>
        <v>2.464</v>
      </c>
      <c r="L206" s="16">
        <f t="shared" si="597"/>
        <v>2.2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ht="15.75" customHeight="1">
      <c r="A207" s="1"/>
      <c r="B207" s="1" t="s">
        <v>360</v>
      </c>
      <c r="C207" s="1" t="s">
        <v>361</v>
      </c>
      <c r="D207" s="12">
        <v>30.0</v>
      </c>
      <c r="E207" s="18">
        <f t="shared" si="543"/>
        <v>504</v>
      </c>
      <c r="F207" s="1">
        <v>450.0</v>
      </c>
      <c r="G207" s="15">
        <f t="shared" ref="G207:H207" si="598">E207/94</f>
        <v>5.361702128</v>
      </c>
      <c r="H207" s="15">
        <f t="shared" si="598"/>
        <v>4.787234043</v>
      </c>
      <c r="I207" s="16">
        <f t="shared" ref="I207:J207" si="599">E207/24</f>
        <v>21</v>
      </c>
      <c r="J207" s="16">
        <f t="shared" si="599"/>
        <v>18.75</v>
      </c>
      <c r="K207" s="16">
        <f t="shared" ref="K207:L207" si="600">E207/125</f>
        <v>4.032</v>
      </c>
      <c r="L207" s="16">
        <f t="shared" si="600"/>
        <v>3.6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ht="15.0" customHeight="1">
      <c r="A208" s="1" t="s">
        <v>362</v>
      </c>
      <c r="B208" s="1" t="s">
        <v>363</v>
      </c>
      <c r="C208" s="1" t="s">
        <v>364</v>
      </c>
      <c r="D208" s="12">
        <v>0.0</v>
      </c>
      <c r="E208" s="18">
        <f t="shared" si="543"/>
        <v>1108.8</v>
      </c>
      <c r="F208" s="14">
        <v>990.0</v>
      </c>
      <c r="G208" s="15">
        <f t="shared" ref="G208:H208" si="601">E208/94</f>
        <v>11.79574468</v>
      </c>
      <c r="H208" s="15">
        <f t="shared" si="601"/>
        <v>10.53191489</v>
      </c>
      <c r="I208" s="16">
        <f t="shared" ref="I208:J208" si="602">E208/24</f>
        <v>46.2</v>
      </c>
      <c r="J208" s="16">
        <f t="shared" si="602"/>
        <v>41.25</v>
      </c>
      <c r="K208" s="16">
        <f t="shared" ref="K208:L208" si="603">E208/125</f>
        <v>8.8704</v>
      </c>
      <c r="L208" s="16">
        <f t="shared" si="603"/>
        <v>7.92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ht="15.75" customHeight="1">
      <c r="A209" s="1"/>
      <c r="B209" s="1" t="s">
        <v>365</v>
      </c>
      <c r="C209" s="1" t="s">
        <v>366</v>
      </c>
      <c r="D209" s="12">
        <v>0.0</v>
      </c>
      <c r="E209" s="18">
        <f t="shared" si="543"/>
        <v>1220.8</v>
      </c>
      <c r="F209" s="14">
        <v>1090.0</v>
      </c>
      <c r="G209" s="15">
        <f t="shared" ref="G209:H209" si="604">E209/94</f>
        <v>12.98723404</v>
      </c>
      <c r="H209" s="15">
        <f t="shared" si="604"/>
        <v>11.59574468</v>
      </c>
      <c r="I209" s="16">
        <f t="shared" ref="I209:J209" si="605">E209/24</f>
        <v>50.86666667</v>
      </c>
      <c r="J209" s="16">
        <f t="shared" si="605"/>
        <v>45.41666667</v>
      </c>
      <c r="K209" s="16">
        <f t="shared" ref="K209:L209" si="606">E209/125</f>
        <v>9.7664</v>
      </c>
      <c r="L209" s="16">
        <f t="shared" si="606"/>
        <v>8.72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ht="15.0" customHeight="1">
      <c r="A210" s="1" t="s">
        <v>367</v>
      </c>
      <c r="B210" s="1" t="s">
        <v>368</v>
      </c>
      <c r="C210" s="1" t="s">
        <v>369</v>
      </c>
      <c r="D210" s="12">
        <v>11.0</v>
      </c>
      <c r="E210" s="18">
        <f t="shared" si="543"/>
        <v>1506.4</v>
      </c>
      <c r="F210" s="1">
        <v>1345.0</v>
      </c>
      <c r="G210" s="15">
        <f t="shared" ref="G210:H210" si="607">E210/94</f>
        <v>16.02553191</v>
      </c>
      <c r="H210" s="15">
        <f t="shared" si="607"/>
        <v>14.30851064</v>
      </c>
      <c r="I210" s="16">
        <f t="shared" ref="I210:J210" si="608">E210/24</f>
        <v>62.76666667</v>
      </c>
      <c r="J210" s="16">
        <f t="shared" si="608"/>
        <v>56.04166667</v>
      </c>
      <c r="K210" s="16">
        <f t="shared" ref="K210:L210" si="609">E210/125</f>
        <v>12.0512</v>
      </c>
      <c r="L210" s="16">
        <f t="shared" si="609"/>
        <v>10.76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ht="15.75" customHeight="1">
      <c r="A211" s="1"/>
      <c r="B211" s="1" t="s">
        <v>370</v>
      </c>
      <c r="C211" s="1" t="s">
        <v>371</v>
      </c>
      <c r="D211" s="12">
        <v>5.0</v>
      </c>
      <c r="E211" s="18">
        <f t="shared" si="543"/>
        <v>2744</v>
      </c>
      <c r="F211" s="1">
        <v>2450.0</v>
      </c>
      <c r="G211" s="15">
        <f t="shared" ref="G211:H211" si="610">E211/94</f>
        <v>29.19148936</v>
      </c>
      <c r="H211" s="15">
        <f t="shared" si="610"/>
        <v>26.06382979</v>
      </c>
      <c r="I211" s="16">
        <f t="shared" ref="I211:J211" si="611">E211/24</f>
        <v>114.3333333</v>
      </c>
      <c r="J211" s="16">
        <f t="shared" si="611"/>
        <v>102.0833333</v>
      </c>
      <c r="K211" s="16">
        <f t="shared" ref="K211:L211" si="612">E211/125</f>
        <v>21.952</v>
      </c>
      <c r="L211" s="16">
        <f t="shared" si="612"/>
        <v>19.6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ht="15.75" customHeight="1">
      <c r="A212" s="1"/>
      <c r="B212" s="1" t="s">
        <v>372</v>
      </c>
      <c r="C212" s="1" t="s">
        <v>373</v>
      </c>
      <c r="D212" s="12">
        <v>0.0</v>
      </c>
      <c r="E212" s="18">
        <f t="shared" si="543"/>
        <v>1741.6</v>
      </c>
      <c r="F212" s="1">
        <v>1555.0</v>
      </c>
      <c r="G212" s="15">
        <f t="shared" ref="G212:H212" si="613">E212/94</f>
        <v>18.52765957</v>
      </c>
      <c r="H212" s="15">
        <f t="shared" si="613"/>
        <v>16.54255319</v>
      </c>
      <c r="I212" s="16">
        <f t="shared" ref="I212:J212" si="614">E212/24</f>
        <v>72.56666667</v>
      </c>
      <c r="J212" s="16">
        <f t="shared" si="614"/>
        <v>64.79166667</v>
      </c>
      <c r="K212" s="16">
        <f t="shared" ref="K212:L212" si="615">E212/125</f>
        <v>13.9328</v>
      </c>
      <c r="L212" s="16">
        <f t="shared" si="615"/>
        <v>12.44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ht="15.75" customHeight="1">
      <c r="A213" s="1"/>
      <c r="B213" s="1" t="s">
        <v>374</v>
      </c>
      <c r="C213" s="1" t="s">
        <v>375</v>
      </c>
      <c r="D213" s="12">
        <v>0.0</v>
      </c>
      <c r="E213" s="18">
        <f t="shared" si="543"/>
        <v>3024</v>
      </c>
      <c r="F213" s="1">
        <v>2700.0</v>
      </c>
      <c r="G213" s="15">
        <f t="shared" ref="G213:H213" si="616">E213/94</f>
        <v>32.17021277</v>
      </c>
      <c r="H213" s="15">
        <f t="shared" si="616"/>
        <v>28.72340426</v>
      </c>
      <c r="I213" s="16">
        <f t="shared" ref="I213:J213" si="617">E213/24</f>
        <v>126</v>
      </c>
      <c r="J213" s="16">
        <f t="shared" si="617"/>
        <v>112.5</v>
      </c>
      <c r="K213" s="16">
        <f t="shared" ref="K213:L213" si="618">E213/125</f>
        <v>24.192</v>
      </c>
      <c r="L213" s="16">
        <f t="shared" si="618"/>
        <v>21.6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ht="15.75" customHeight="1">
      <c r="A214" s="1" t="s">
        <v>376</v>
      </c>
      <c r="B214" s="1" t="s">
        <v>120</v>
      </c>
      <c r="C214" s="17" t="s">
        <v>377</v>
      </c>
      <c r="D214" s="12">
        <v>0.0</v>
      </c>
      <c r="E214" s="13">
        <v>1000.0</v>
      </c>
      <c r="F214" s="20">
        <v>890.0</v>
      </c>
      <c r="G214" s="15">
        <f t="shared" ref="G214:H214" si="619">E214/94</f>
        <v>10.63829787</v>
      </c>
      <c r="H214" s="15">
        <f t="shared" si="619"/>
        <v>9.468085106</v>
      </c>
      <c r="I214" s="16">
        <f t="shared" ref="I214:J214" si="620">E214/24</f>
        <v>41.66666667</v>
      </c>
      <c r="J214" s="16">
        <f t="shared" si="620"/>
        <v>37.08333333</v>
      </c>
      <c r="K214" s="16">
        <f t="shared" ref="K214:L214" si="621">E214/125</f>
        <v>8</v>
      </c>
      <c r="L214" s="16">
        <f t="shared" si="621"/>
        <v>7.12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ht="15.75" customHeight="1">
      <c r="A215" s="31" t="s">
        <v>378</v>
      </c>
      <c r="B215" s="17" t="s">
        <v>379</v>
      </c>
      <c r="C215" s="32" t="s">
        <v>380</v>
      </c>
      <c r="D215" s="22">
        <v>20.0</v>
      </c>
      <c r="E215" s="18">
        <f t="shared" ref="E215:E253" si="625">F215+(F215*12%)</f>
        <v>3864</v>
      </c>
      <c r="F215" s="14">
        <v>3450.0</v>
      </c>
      <c r="G215" s="15">
        <f t="shared" ref="G215:H215" si="622">E215/94</f>
        <v>41.10638298</v>
      </c>
      <c r="H215" s="15">
        <f t="shared" si="622"/>
        <v>36.70212766</v>
      </c>
      <c r="I215" s="16">
        <f t="shared" ref="I215:J215" si="623">E215/24</f>
        <v>161</v>
      </c>
      <c r="J215" s="16">
        <f t="shared" si="623"/>
        <v>143.75</v>
      </c>
      <c r="K215" s="16">
        <f t="shared" ref="K215:L215" si="624">E215/125</f>
        <v>30.912</v>
      </c>
      <c r="L215" s="16">
        <f t="shared" si="624"/>
        <v>27.6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ht="15.75" customHeight="1">
      <c r="A216" s="1" t="s">
        <v>381</v>
      </c>
      <c r="B216" s="1" t="s">
        <v>120</v>
      </c>
      <c r="C216" s="17" t="s">
        <v>382</v>
      </c>
      <c r="D216" s="12">
        <v>0.0</v>
      </c>
      <c r="E216" s="18">
        <f t="shared" si="625"/>
        <v>1512</v>
      </c>
      <c r="F216" s="14">
        <v>1350.0</v>
      </c>
      <c r="G216" s="15">
        <f t="shared" ref="G216:H216" si="626">E216/94</f>
        <v>16.08510638</v>
      </c>
      <c r="H216" s="15">
        <f t="shared" si="626"/>
        <v>14.36170213</v>
      </c>
      <c r="I216" s="16">
        <f t="shared" ref="I216:J216" si="627">E216/24</f>
        <v>63</v>
      </c>
      <c r="J216" s="16">
        <f t="shared" si="627"/>
        <v>56.25</v>
      </c>
      <c r="K216" s="16">
        <f t="shared" ref="K216:L216" si="628">E216/125</f>
        <v>12.096</v>
      </c>
      <c r="L216" s="16">
        <f t="shared" si="628"/>
        <v>10.8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ht="15.0" customHeight="1">
      <c r="A217" s="1" t="s">
        <v>383</v>
      </c>
      <c r="B217" s="1" t="s">
        <v>384</v>
      </c>
      <c r="C217" s="17" t="s">
        <v>385</v>
      </c>
      <c r="D217" s="12">
        <v>93.0</v>
      </c>
      <c r="E217" s="18">
        <f t="shared" si="625"/>
        <v>1220.8</v>
      </c>
      <c r="F217" s="14">
        <v>1090.0</v>
      </c>
      <c r="G217" s="15">
        <f t="shared" ref="G217:H217" si="629">E217/94</f>
        <v>12.98723404</v>
      </c>
      <c r="H217" s="15">
        <f t="shared" si="629"/>
        <v>11.59574468</v>
      </c>
      <c r="I217" s="16">
        <f t="shared" ref="I217:J217" si="630">E217/24</f>
        <v>50.86666667</v>
      </c>
      <c r="J217" s="16">
        <f t="shared" si="630"/>
        <v>45.41666667</v>
      </c>
      <c r="K217" s="16">
        <f t="shared" ref="K217:L217" si="631">E217/125</f>
        <v>9.7664</v>
      </c>
      <c r="L217" s="16">
        <f t="shared" si="631"/>
        <v>8.72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ht="15.75" customHeight="1">
      <c r="A218" s="1"/>
      <c r="B218" s="1" t="s">
        <v>365</v>
      </c>
      <c r="C218" s="17" t="s">
        <v>386</v>
      </c>
      <c r="D218" s="12">
        <v>11.0</v>
      </c>
      <c r="E218" s="18">
        <f t="shared" si="625"/>
        <v>1332.8</v>
      </c>
      <c r="F218" s="14">
        <v>1190.0</v>
      </c>
      <c r="G218" s="15">
        <f t="shared" ref="G218:H218" si="632">E218/94</f>
        <v>14.1787234</v>
      </c>
      <c r="H218" s="15">
        <f t="shared" si="632"/>
        <v>12.65957447</v>
      </c>
      <c r="I218" s="16">
        <f t="shared" ref="I218:J218" si="633">E218/24</f>
        <v>55.53333333</v>
      </c>
      <c r="J218" s="16">
        <f t="shared" si="633"/>
        <v>49.58333333</v>
      </c>
      <c r="K218" s="16">
        <f t="shared" ref="K218:L218" si="634">E218/125</f>
        <v>10.6624</v>
      </c>
      <c r="L218" s="16">
        <f t="shared" si="634"/>
        <v>9.52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ht="15.0" customHeight="1">
      <c r="A219" s="1" t="s">
        <v>387</v>
      </c>
      <c r="B219" s="1" t="s">
        <v>384</v>
      </c>
      <c r="C219" s="24" t="s">
        <v>388</v>
      </c>
      <c r="D219" s="22">
        <v>1.0</v>
      </c>
      <c r="E219" s="18">
        <f t="shared" si="625"/>
        <v>1103.2</v>
      </c>
      <c r="F219" s="1">
        <v>985.0</v>
      </c>
      <c r="G219" s="15">
        <f t="shared" ref="G219:H219" si="635">E219/94</f>
        <v>11.73617021</v>
      </c>
      <c r="H219" s="15">
        <f t="shared" si="635"/>
        <v>10.4787234</v>
      </c>
      <c r="I219" s="16">
        <f t="shared" ref="I219:J219" si="636">E219/24</f>
        <v>45.96666667</v>
      </c>
      <c r="J219" s="16">
        <f t="shared" si="636"/>
        <v>41.04166667</v>
      </c>
      <c r="K219" s="16">
        <f t="shared" ref="K219:L219" si="637">E219/125</f>
        <v>8.8256</v>
      </c>
      <c r="L219" s="16">
        <f t="shared" si="637"/>
        <v>7.88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ht="15.75" customHeight="1">
      <c r="A220" s="1"/>
      <c r="B220" s="1" t="s">
        <v>365</v>
      </c>
      <c r="C220" s="24" t="s">
        <v>389</v>
      </c>
      <c r="D220" s="22">
        <v>1.0</v>
      </c>
      <c r="E220" s="18">
        <f t="shared" si="625"/>
        <v>1170.4</v>
      </c>
      <c r="F220" s="1">
        <v>1045.0</v>
      </c>
      <c r="G220" s="15">
        <f t="shared" ref="G220:H220" si="638">E220/94</f>
        <v>12.45106383</v>
      </c>
      <c r="H220" s="15">
        <f t="shared" si="638"/>
        <v>11.11702128</v>
      </c>
      <c r="I220" s="16">
        <f t="shared" ref="I220:J220" si="639">E220/24</f>
        <v>48.76666667</v>
      </c>
      <c r="J220" s="16">
        <f t="shared" si="639"/>
        <v>43.54166667</v>
      </c>
      <c r="K220" s="16">
        <f t="shared" ref="K220:L220" si="640">E220/125</f>
        <v>9.3632</v>
      </c>
      <c r="L220" s="16">
        <f t="shared" si="640"/>
        <v>8.36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ht="15.75" customHeight="1">
      <c r="A221" s="1" t="s">
        <v>390</v>
      </c>
      <c r="B221" s="1"/>
      <c r="C221" s="1" t="s">
        <v>391</v>
      </c>
      <c r="D221" s="12">
        <v>58.0</v>
      </c>
      <c r="E221" s="18">
        <f t="shared" si="625"/>
        <v>996.8</v>
      </c>
      <c r="F221" s="14">
        <v>890.0</v>
      </c>
      <c r="G221" s="15">
        <f t="shared" ref="G221:H221" si="641">E221/94</f>
        <v>10.60425532</v>
      </c>
      <c r="H221" s="15">
        <f t="shared" si="641"/>
        <v>9.468085106</v>
      </c>
      <c r="I221" s="16">
        <f t="shared" ref="I221:J221" si="642">E221/24</f>
        <v>41.53333333</v>
      </c>
      <c r="J221" s="16">
        <f t="shared" si="642"/>
        <v>37.08333333</v>
      </c>
      <c r="K221" s="16">
        <f t="shared" ref="K221:L221" si="643">E221/125</f>
        <v>7.9744</v>
      </c>
      <c r="L221" s="16">
        <f t="shared" si="643"/>
        <v>7.12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ht="15.0" customHeight="1">
      <c r="A222" s="1" t="s">
        <v>392</v>
      </c>
      <c r="B222" s="1"/>
      <c r="C222" s="17" t="s">
        <v>393</v>
      </c>
      <c r="D222" s="12">
        <v>8.0</v>
      </c>
      <c r="E222" s="18">
        <f t="shared" si="625"/>
        <v>1108.8</v>
      </c>
      <c r="F222" s="14">
        <v>990.0</v>
      </c>
      <c r="G222" s="15">
        <f t="shared" ref="G222:H222" si="644">E222/94</f>
        <v>11.79574468</v>
      </c>
      <c r="H222" s="15">
        <f t="shared" si="644"/>
        <v>10.53191489</v>
      </c>
      <c r="I222" s="16">
        <f t="shared" ref="I222:J222" si="645">E222/24</f>
        <v>46.2</v>
      </c>
      <c r="J222" s="16">
        <f t="shared" si="645"/>
        <v>41.25</v>
      </c>
      <c r="K222" s="16">
        <f t="shared" ref="K222:L222" si="646">E222/125</f>
        <v>8.8704</v>
      </c>
      <c r="L222" s="16">
        <f t="shared" si="646"/>
        <v>7.92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ht="15.75" customHeight="1">
      <c r="A223" s="1" t="s">
        <v>394</v>
      </c>
      <c r="B223" s="1"/>
      <c r="C223" s="17" t="s">
        <v>395</v>
      </c>
      <c r="D223" s="12">
        <v>6.0</v>
      </c>
      <c r="E223" s="18">
        <f t="shared" si="625"/>
        <v>1108.8</v>
      </c>
      <c r="F223" s="14">
        <v>990.0</v>
      </c>
      <c r="G223" s="15">
        <f t="shared" ref="G223:H223" si="647">E223/94</f>
        <v>11.79574468</v>
      </c>
      <c r="H223" s="15">
        <f t="shared" si="647"/>
        <v>10.53191489</v>
      </c>
      <c r="I223" s="16">
        <f t="shared" ref="I223:J223" si="648">E223/24</f>
        <v>46.2</v>
      </c>
      <c r="J223" s="16">
        <f t="shared" si="648"/>
        <v>41.25</v>
      </c>
      <c r="K223" s="16">
        <f t="shared" ref="K223:L223" si="649">E223/125</f>
        <v>8.8704</v>
      </c>
      <c r="L223" s="16">
        <f t="shared" si="649"/>
        <v>7.92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ht="15.0" customHeight="1">
      <c r="A224" s="1" t="s">
        <v>396</v>
      </c>
      <c r="B224" s="1" t="s">
        <v>397</v>
      </c>
      <c r="C224" s="17" t="s">
        <v>398</v>
      </c>
      <c r="D224" s="12">
        <v>10.0</v>
      </c>
      <c r="E224" s="18">
        <f t="shared" si="625"/>
        <v>772.8</v>
      </c>
      <c r="F224" s="14">
        <v>690.0</v>
      </c>
      <c r="G224" s="15">
        <f t="shared" ref="G224:H224" si="650">E224/94</f>
        <v>8.221276596</v>
      </c>
      <c r="H224" s="15">
        <f t="shared" si="650"/>
        <v>7.340425532</v>
      </c>
      <c r="I224" s="16">
        <f t="shared" ref="I224:J224" si="651">E224/24</f>
        <v>32.2</v>
      </c>
      <c r="J224" s="16">
        <f t="shared" si="651"/>
        <v>28.75</v>
      </c>
      <c r="K224" s="16">
        <f t="shared" ref="K224:L224" si="652">E224/125</f>
        <v>6.1824</v>
      </c>
      <c r="L224" s="16">
        <f t="shared" si="652"/>
        <v>5.52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ht="15.75" customHeight="1">
      <c r="A225" s="1"/>
      <c r="B225" s="1" t="s">
        <v>399</v>
      </c>
      <c r="C225" s="17" t="s">
        <v>400</v>
      </c>
      <c r="D225" s="12">
        <v>13.0</v>
      </c>
      <c r="E225" s="18">
        <f t="shared" si="625"/>
        <v>772.8</v>
      </c>
      <c r="F225" s="14">
        <v>690.0</v>
      </c>
      <c r="G225" s="15">
        <f t="shared" ref="G225:H225" si="653">E225/94</f>
        <v>8.221276596</v>
      </c>
      <c r="H225" s="15">
        <f t="shared" si="653"/>
        <v>7.340425532</v>
      </c>
      <c r="I225" s="16">
        <f t="shared" ref="I225:J225" si="654">E225/24</f>
        <v>32.2</v>
      </c>
      <c r="J225" s="16">
        <f t="shared" si="654"/>
        <v>28.75</v>
      </c>
      <c r="K225" s="16">
        <f t="shared" ref="K225:L225" si="655">E225/125</f>
        <v>6.1824</v>
      </c>
      <c r="L225" s="16">
        <f t="shared" si="655"/>
        <v>5.52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ht="15.75" customHeight="1">
      <c r="A226" s="1"/>
      <c r="B226" s="1" t="s">
        <v>401</v>
      </c>
      <c r="C226" s="17" t="s">
        <v>402</v>
      </c>
      <c r="D226" s="12">
        <v>34.0</v>
      </c>
      <c r="E226" s="18">
        <f t="shared" si="625"/>
        <v>722.4</v>
      </c>
      <c r="F226" s="14">
        <v>645.0</v>
      </c>
      <c r="G226" s="15">
        <f t="shared" ref="G226:H226" si="656">E226/94</f>
        <v>7.685106383</v>
      </c>
      <c r="H226" s="15">
        <f t="shared" si="656"/>
        <v>6.861702128</v>
      </c>
      <c r="I226" s="16">
        <f t="shared" ref="I226:J226" si="657">E226/24</f>
        <v>30.1</v>
      </c>
      <c r="J226" s="16">
        <f t="shared" si="657"/>
        <v>26.875</v>
      </c>
      <c r="K226" s="16">
        <f t="shared" ref="K226:L226" si="658">E226/125</f>
        <v>5.7792</v>
      </c>
      <c r="L226" s="16">
        <f t="shared" si="658"/>
        <v>5.16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ht="15.75" customHeight="1">
      <c r="A227" s="1"/>
      <c r="B227" s="17" t="s">
        <v>403</v>
      </c>
      <c r="C227" s="17" t="s">
        <v>404</v>
      </c>
      <c r="D227" s="12">
        <v>0.0</v>
      </c>
      <c r="E227" s="18">
        <f t="shared" si="625"/>
        <v>2122.4</v>
      </c>
      <c r="F227" s="14">
        <v>1895.0</v>
      </c>
      <c r="G227" s="15">
        <f t="shared" ref="G227:H227" si="659">E227/94</f>
        <v>22.5787234</v>
      </c>
      <c r="H227" s="15">
        <f t="shared" si="659"/>
        <v>20.15957447</v>
      </c>
      <c r="I227" s="16">
        <f t="shared" ref="I227:J227" si="660">E227/24</f>
        <v>88.43333333</v>
      </c>
      <c r="J227" s="16">
        <f t="shared" si="660"/>
        <v>78.95833333</v>
      </c>
      <c r="K227" s="16">
        <f t="shared" ref="K227:L227" si="661">E227/125</f>
        <v>16.9792</v>
      </c>
      <c r="L227" s="16">
        <f t="shared" si="661"/>
        <v>15.16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ht="15.0" customHeight="1">
      <c r="A228" s="1" t="s">
        <v>405</v>
      </c>
      <c r="B228" s="1" t="s">
        <v>384</v>
      </c>
      <c r="C228" s="17" t="s">
        <v>406</v>
      </c>
      <c r="D228" s="12">
        <v>0.0</v>
      </c>
      <c r="E228" s="18">
        <f t="shared" si="625"/>
        <v>324.8</v>
      </c>
      <c r="F228" s="14">
        <v>290.0</v>
      </c>
      <c r="G228" s="15">
        <f t="shared" ref="G228:H228" si="662">E228/94</f>
        <v>3.455319149</v>
      </c>
      <c r="H228" s="15">
        <f t="shared" si="662"/>
        <v>3.085106383</v>
      </c>
      <c r="I228" s="16">
        <f t="shared" ref="I228:J228" si="663">E228/24</f>
        <v>13.53333333</v>
      </c>
      <c r="J228" s="16">
        <f t="shared" si="663"/>
        <v>12.08333333</v>
      </c>
      <c r="K228" s="16">
        <f t="shared" ref="K228:L228" si="664">E228/125</f>
        <v>2.5984</v>
      </c>
      <c r="L228" s="16">
        <f t="shared" si="664"/>
        <v>2.32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ht="15.75" customHeight="1">
      <c r="A229" s="1"/>
      <c r="B229" s="1" t="s">
        <v>365</v>
      </c>
      <c r="C229" s="17" t="s">
        <v>407</v>
      </c>
      <c r="D229" s="12">
        <v>1.0</v>
      </c>
      <c r="E229" s="18">
        <f t="shared" si="625"/>
        <v>358.4</v>
      </c>
      <c r="F229" s="14">
        <v>320.0</v>
      </c>
      <c r="G229" s="15">
        <f t="shared" ref="G229:H229" si="665">E229/94</f>
        <v>3.812765957</v>
      </c>
      <c r="H229" s="15">
        <f t="shared" si="665"/>
        <v>3.404255319</v>
      </c>
      <c r="I229" s="16">
        <f t="shared" ref="I229:J229" si="666">E229/24</f>
        <v>14.93333333</v>
      </c>
      <c r="J229" s="16">
        <f t="shared" si="666"/>
        <v>13.33333333</v>
      </c>
      <c r="K229" s="16">
        <f t="shared" ref="K229:L229" si="667">E229/125</f>
        <v>2.8672</v>
      </c>
      <c r="L229" s="16">
        <f t="shared" si="667"/>
        <v>2.56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ht="15.0" customHeight="1">
      <c r="A230" s="1" t="s">
        <v>408</v>
      </c>
      <c r="B230" s="1" t="s">
        <v>409</v>
      </c>
      <c r="C230" s="17" t="s">
        <v>410</v>
      </c>
      <c r="D230" s="12">
        <v>0.0</v>
      </c>
      <c r="E230" s="18">
        <f t="shared" si="625"/>
        <v>1036</v>
      </c>
      <c r="F230" s="14">
        <v>925.0</v>
      </c>
      <c r="G230" s="15">
        <f t="shared" ref="G230:H230" si="668">E230/94</f>
        <v>11.0212766</v>
      </c>
      <c r="H230" s="15">
        <f t="shared" si="668"/>
        <v>9.840425532</v>
      </c>
      <c r="I230" s="16">
        <f t="shared" ref="I230:J230" si="669">E230/24</f>
        <v>43.16666667</v>
      </c>
      <c r="J230" s="16">
        <f t="shared" si="669"/>
        <v>38.54166667</v>
      </c>
      <c r="K230" s="16">
        <f t="shared" ref="K230:L230" si="670">E230/125</f>
        <v>8.288</v>
      </c>
      <c r="L230" s="16">
        <f t="shared" si="670"/>
        <v>7.4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ht="15.75" customHeight="1">
      <c r="A231" s="1"/>
      <c r="B231" s="1" t="s">
        <v>411</v>
      </c>
      <c r="C231" s="17" t="s">
        <v>412</v>
      </c>
      <c r="D231" s="12">
        <v>12.0</v>
      </c>
      <c r="E231" s="18">
        <f t="shared" si="625"/>
        <v>957.6</v>
      </c>
      <c r="F231" s="14">
        <v>855.0</v>
      </c>
      <c r="G231" s="15">
        <f t="shared" ref="G231:H231" si="671">E231/94</f>
        <v>10.18723404</v>
      </c>
      <c r="H231" s="15">
        <f t="shared" si="671"/>
        <v>9.095744681</v>
      </c>
      <c r="I231" s="16">
        <f t="shared" ref="I231:J231" si="672">E231/24</f>
        <v>39.9</v>
      </c>
      <c r="J231" s="16">
        <f t="shared" si="672"/>
        <v>35.625</v>
      </c>
      <c r="K231" s="16">
        <f t="shared" ref="K231:L231" si="673">E231/125</f>
        <v>7.6608</v>
      </c>
      <c r="L231" s="16">
        <f t="shared" si="673"/>
        <v>6.84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ht="15.0" customHeight="1">
      <c r="A232" s="1" t="s">
        <v>413</v>
      </c>
      <c r="B232" s="1" t="s">
        <v>414</v>
      </c>
      <c r="C232" s="24" t="s">
        <v>415</v>
      </c>
      <c r="D232" s="22">
        <v>0.0</v>
      </c>
      <c r="E232" s="18">
        <f t="shared" si="625"/>
        <v>1400</v>
      </c>
      <c r="F232" s="1">
        <v>1250.0</v>
      </c>
      <c r="G232" s="15">
        <f t="shared" ref="G232:H232" si="674">E232/94</f>
        <v>14.89361702</v>
      </c>
      <c r="H232" s="15">
        <f t="shared" si="674"/>
        <v>13.29787234</v>
      </c>
      <c r="I232" s="16">
        <f t="shared" ref="I232:J232" si="675">E232/24</f>
        <v>58.33333333</v>
      </c>
      <c r="J232" s="16">
        <f t="shared" si="675"/>
        <v>52.08333333</v>
      </c>
      <c r="K232" s="16">
        <f t="shared" ref="K232:L232" si="676">E232/125</f>
        <v>11.2</v>
      </c>
      <c r="L232" s="16">
        <f t="shared" si="676"/>
        <v>10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ht="15.75" customHeight="1">
      <c r="A233" s="1"/>
      <c r="B233" s="1" t="s">
        <v>416</v>
      </c>
      <c r="C233" s="24" t="s">
        <v>417</v>
      </c>
      <c r="D233" s="22">
        <v>0.0</v>
      </c>
      <c r="E233" s="18">
        <f t="shared" si="625"/>
        <v>1288</v>
      </c>
      <c r="F233" s="1">
        <v>1150.0</v>
      </c>
      <c r="G233" s="15">
        <f t="shared" ref="G233:H233" si="677">E233/94</f>
        <v>13.70212766</v>
      </c>
      <c r="H233" s="15">
        <f t="shared" si="677"/>
        <v>12.23404255</v>
      </c>
      <c r="I233" s="16">
        <f t="shared" ref="I233:J233" si="678">E233/24</f>
        <v>53.66666667</v>
      </c>
      <c r="J233" s="16">
        <f t="shared" si="678"/>
        <v>47.91666667</v>
      </c>
      <c r="K233" s="16">
        <f t="shared" ref="K233:L233" si="679">E233/125</f>
        <v>10.304</v>
      </c>
      <c r="L233" s="16">
        <f t="shared" si="679"/>
        <v>9.2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ht="15.0" customHeight="1">
      <c r="A234" s="1" t="s">
        <v>418</v>
      </c>
      <c r="B234" s="1" t="s">
        <v>419</v>
      </c>
      <c r="C234" s="1" t="s">
        <v>420</v>
      </c>
      <c r="D234" s="2">
        <v>2.0</v>
      </c>
      <c r="E234" s="18">
        <f t="shared" si="625"/>
        <v>4984</v>
      </c>
      <c r="F234" s="14">
        <v>4450.0</v>
      </c>
      <c r="G234" s="15">
        <f t="shared" ref="G234:H234" si="680">E234/94</f>
        <v>53.0212766</v>
      </c>
      <c r="H234" s="15">
        <f t="shared" si="680"/>
        <v>47.34042553</v>
      </c>
      <c r="I234" s="16">
        <f t="shared" ref="I234:J234" si="681">E234/24</f>
        <v>207.6666667</v>
      </c>
      <c r="J234" s="16">
        <f t="shared" si="681"/>
        <v>185.4166667</v>
      </c>
      <c r="K234" s="16">
        <f t="shared" ref="K234:L234" si="682">E234/125</f>
        <v>39.872</v>
      </c>
      <c r="L234" s="16">
        <f t="shared" si="682"/>
        <v>35.6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ht="15.75" customHeight="1">
      <c r="A235" s="1"/>
      <c r="B235" s="1" t="s">
        <v>421</v>
      </c>
      <c r="C235" s="1" t="s">
        <v>422</v>
      </c>
      <c r="D235" s="2">
        <v>2.0</v>
      </c>
      <c r="E235" s="18">
        <f t="shared" si="625"/>
        <v>4984</v>
      </c>
      <c r="F235" s="14">
        <v>4450.0</v>
      </c>
      <c r="G235" s="15">
        <f t="shared" ref="G235:H235" si="683">E235/94</f>
        <v>53.0212766</v>
      </c>
      <c r="H235" s="15">
        <f t="shared" si="683"/>
        <v>47.34042553</v>
      </c>
      <c r="I235" s="16">
        <f t="shared" ref="I235:J235" si="684">E235/24</f>
        <v>207.6666667</v>
      </c>
      <c r="J235" s="16">
        <f t="shared" si="684"/>
        <v>185.4166667</v>
      </c>
      <c r="K235" s="16">
        <f t="shared" ref="K235:L235" si="685">E235/125</f>
        <v>39.872</v>
      </c>
      <c r="L235" s="16">
        <f t="shared" si="685"/>
        <v>35.6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ht="15.75" customHeight="1">
      <c r="A236" s="1"/>
      <c r="B236" s="1" t="s">
        <v>423</v>
      </c>
      <c r="C236" s="1" t="s">
        <v>424</v>
      </c>
      <c r="D236" s="2">
        <v>2.0</v>
      </c>
      <c r="E236" s="18">
        <f t="shared" si="625"/>
        <v>7112</v>
      </c>
      <c r="F236" s="14">
        <v>6350.0</v>
      </c>
      <c r="G236" s="15">
        <f t="shared" ref="G236:H236" si="686">E236/94</f>
        <v>75.65957447</v>
      </c>
      <c r="H236" s="15">
        <f t="shared" si="686"/>
        <v>67.55319149</v>
      </c>
      <c r="I236" s="16">
        <f t="shared" ref="I236:J236" si="687">E236/24</f>
        <v>296.3333333</v>
      </c>
      <c r="J236" s="16">
        <f t="shared" si="687"/>
        <v>264.5833333</v>
      </c>
      <c r="K236" s="16">
        <f t="shared" ref="K236:L236" si="688">E236/125</f>
        <v>56.896</v>
      </c>
      <c r="L236" s="16">
        <f t="shared" si="688"/>
        <v>50.8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ht="15.75" customHeight="1">
      <c r="A237" s="1"/>
      <c r="B237" s="1" t="s">
        <v>425</v>
      </c>
      <c r="C237" s="1" t="s">
        <v>426</v>
      </c>
      <c r="D237" s="2">
        <v>3.0</v>
      </c>
      <c r="E237" s="18">
        <f t="shared" si="625"/>
        <v>7112</v>
      </c>
      <c r="F237" s="14">
        <v>6350.0</v>
      </c>
      <c r="G237" s="15">
        <f t="shared" ref="G237:H237" si="689">E237/94</f>
        <v>75.65957447</v>
      </c>
      <c r="H237" s="15">
        <f t="shared" si="689"/>
        <v>67.55319149</v>
      </c>
      <c r="I237" s="16">
        <f t="shared" ref="I237:J237" si="690">E237/24</f>
        <v>296.3333333</v>
      </c>
      <c r="J237" s="16">
        <f t="shared" si="690"/>
        <v>264.5833333</v>
      </c>
      <c r="K237" s="16">
        <f t="shared" ref="K237:L237" si="691">E237/125</f>
        <v>56.896</v>
      </c>
      <c r="L237" s="16">
        <f t="shared" si="691"/>
        <v>50.8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ht="15.75" customHeight="1">
      <c r="A238" s="1"/>
      <c r="B238" s="1" t="s">
        <v>427</v>
      </c>
      <c r="C238" s="1" t="s">
        <v>428</v>
      </c>
      <c r="D238" s="2">
        <v>3.0</v>
      </c>
      <c r="E238" s="18">
        <f t="shared" si="625"/>
        <v>8232</v>
      </c>
      <c r="F238" s="14">
        <v>7350.0</v>
      </c>
      <c r="G238" s="15">
        <f t="shared" ref="G238:H238" si="692">E238/94</f>
        <v>87.57446809</v>
      </c>
      <c r="H238" s="15">
        <f t="shared" si="692"/>
        <v>78.19148936</v>
      </c>
      <c r="I238" s="16">
        <f t="shared" ref="I238:J238" si="693">E238/24</f>
        <v>343</v>
      </c>
      <c r="J238" s="16">
        <f t="shared" si="693"/>
        <v>306.25</v>
      </c>
      <c r="K238" s="16">
        <f t="shared" ref="K238:L238" si="694">E238/125</f>
        <v>65.856</v>
      </c>
      <c r="L238" s="16">
        <f t="shared" si="694"/>
        <v>58.8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ht="15.75" customHeight="1">
      <c r="A239" s="1"/>
      <c r="B239" s="1" t="s">
        <v>429</v>
      </c>
      <c r="C239" s="1" t="s">
        <v>430</v>
      </c>
      <c r="D239" s="2">
        <v>2.0</v>
      </c>
      <c r="E239" s="18">
        <f t="shared" si="625"/>
        <v>8232</v>
      </c>
      <c r="F239" s="14">
        <v>7350.0</v>
      </c>
      <c r="G239" s="15">
        <f t="shared" ref="G239:H239" si="695">E239/94</f>
        <v>87.57446809</v>
      </c>
      <c r="H239" s="15">
        <f t="shared" si="695"/>
        <v>78.19148936</v>
      </c>
      <c r="I239" s="16">
        <f t="shared" ref="I239:J239" si="696">E239/24</f>
        <v>343</v>
      </c>
      <c r="J239" s="16">
        <f t="shared" si="696"/>
        <v>306.25</v>
      </c>
      <c r="K239" s="16">
        <f t="shared" ref="K239:L239" si="697">E239/125</f>
        <v>65.856</v>
      </c>
      <c r="L239" s="16">
        <f t="shared" si="697"/>
        <v>58.8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ht="15.75" customHeight="1">
      <c r="A240" s="1"/>
      <c r="B240" s="1" t="s">
        <v>431</v>
      </c>
      <c r="C240" s="1" t="s">
        <v>432</v>
      </c>
      <c r="D240" s="2">
        <v>2.0</v>
      </c>
      <c r="E240" s="18">
        <f t="shared" si="625"/>
        <v>9240</v>
      </c>
      <c r="F240" s="14">
        <v>8250.0</v>
      </c>
      <c r="G240" s="15">
        <f t="shared" ref="G240:H240" si="698">E240/94</f>
        <v>98.29787234</v>
      </c>
      <c r="H240" s="15">
        <f t="shared" si="698"/>
        <v>87.76595745</v>
      </c>
      <c r="I240" s="16">
        <f t="shared" ref="I240:J240" si="699">E240/24</f>
        <v>385</v>
      </c>
      <c r="J240" s="16">
        <f t="shared" si="699"/>
        <v>343.75</v>
      </c>
      <c r="K240" s="16">
        <f t="shared" ref="K240:L240" si="700">E240/125</f>
        <v>73.92</v>
      </c>
      <c r="L240" s="16">
        <f t="shared" si="700"/>
        <v>66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ht="15.75" customHeight="1">
      <c r="A241" s="1"/>
      <c r="B241" s="1" t="s">
        <v>433</v>
      </c>
      <c r="C241" s="1" t="s">
        <v>434</v>
      </c>
      <c r="D241" s="2">
        <v>1.0</v>
      </c>
      <c r="E241" s="18">
        <f t="shared" si="625"/>
        <v>9240</v>
      </c>
      <c r="F241" s="14">
        <v>8250.0</v>
      </c>
      <c r="G241" s="15">
        <f t="shared" ref="G241:H241" si="701">E241/94</f>
        <v>98.29787234</v>
      </c>
      <c r="H241" s="15">
        <f t="shared" si="701"/>
        <v>87.76595745</v>
      </c>
      <c r="I241" s="16">
        <f t="shared" ref="I241:J241" si="702">E241/24</f>
        <v>385</v>
      </c>
      <c r="J241" s="16">
        <f t="shared" si="702"/>
        <v>343.75</v>
      </c>
      <c r="K241" s="16">
        <f t="shared" ref="K241:L241" si="703">E241/125</f>
        <v>73.92</v>
      </c>
      <c r="L241" s="16">
        <f t="shared" si="703"/>
        <v>66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ht="15.0" customHeight="1">
      <c r="A242" s="1" t="s">
        <v>435</v>
      </c>
      <c r="B242" s="17" t="s">
        <v>436</v>
      </c>
      <c r="C242" s="24" t="s">
        <v>437</v>
      </c>
      <c r="D242" s="22">
        <v>0.0</v>
      </c>
      <c r="E242" s="18">
        <f t="shared" si="625"/>
        <v>1668.8</v>
      </c>
      <c r="F242" s="14">
        <v>1490.0</v>
      </c>
      <c r="G242" s="15">
        <f t="shared" ref="G242:H242" si="704">E242/94</f>
        <v>17.75319149</v>
      </c>
      <c r="H242" s="15">
        <f t="shared" si="704"/>
        <v>15.85106383</v>
      </c>
      <c r="I242" s="16">
        <f t="shared" ref="I242:J242" si="705">E242/24</f>
        <v>69.53333333</v>
      </c>
      <c r="J242" s="16">
        <f t="shared" si="705"/>
        <v>62.08333333</v>
      </c>
      <c r="K242" s="16">
        <f t="shared" ref="K242:L242" si="706">E242/125</f>
        <v>13.3504</v>
      </c>
      <c r="L242" s="16">
        <f t="shared" si="706"/>
        <v>11.92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ht="15.75" customHeight="1">
      <c r="A243" s="1"/>
      <c r="B243" s="17" t="s">
        <v>438</v>
      </c>
      <c r="C243" s="24" t="s">
        <v>439</v>
      </c>
      <c r="D243" s="22">
        <v>0.0</v>
      </c>
      <c r="E243" s="18">
        <f t="shared" si="625"/>
        <v>1892.8</v>
      </c>
      <c r="F243" s="14">
        <v>1690.0</v>
      </c>
      <c r="G243" s="15">
        <f t="shared" ref="G243:H243" si="707">E243/94</f>
        <v>20.13617021</v>
      </c>
      <c r="H243" s="15">
        <f t="shared" si="707"/>
        <v>17.9787234</v>
      </c>
      <c r="I243" s="16">
        <f t="shared" ref="I243:J243" si="708">E243/24</f>
        <v>78.86666667</v>
      </c>
      <c r="J243" s="16">
        <f t="shared" si="708"/>
        <v>70.41666667</v>
      </c>
      <c r="K243" s="16">
        <f t="shared" ref="K243:L243" si="709">E243/125</f>
        <v>15.1424</v>
      </c>
      <c r="L243" s="16">
        <f t="shared" si="709"/>
        <v>13.52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ht="15.75" customHeight="1">
      <c r="A244" s="1"/>
      <c r="B244" s="17" t="s">
        <v>440</v>
      </c>
      <c r="C244" s="24" t="s">
        <v>441</v>
      </c>
      <c r="D244" s="22">
        <v>0.0</v>
      </c>
      <c r="E244" s="18">
        <f t="shared" si="625"/>
        <v>2116.8</v>
      </c>
      <c r="F244" s="14">
        <v>1890.0</v>
      </c>
      <c r="G244" s="15">
        <f t="shared" ref="G244:H244" si="710">E244/94</f>
        <v>22.51914894</v>
      </c>
      <c r="H244" s="15">
        <f t="shared" si="710"/>
        <v>20.10638298</v>
      </c>
      <c r="I244" s="16">
        <f t="shared" ref="I244:J244" si="711">E244/24</f>
        <v>88.2</v>
      </c>
      <c r="J244" s="16">
        <f t="shared" si="711"/>
        <v>78.75</v>
      </c>
      <c r="K244" s="16">
        <f t="shared" ref="K244:L244" si="712">E244/125</f>
        <v>16.9344</v>
      </c>
      <c r="L244" s="16">
        <f t="shared" si="712"/>
        <v>15.12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ht="15.75" customHeight="1">
      <c r="A245" s="1" t="s">
        <v>442</v>
      </c>
      <c r="B245" s="1"/>
      <c r="C245" s="1" t="s">
        <v>443</v>
      </c>
      <c r="D245" s="12">
        <v>35.0</v>
      </c>
      <c r="E245" s="18">
        <f t="shared" si="625"/>
        <v>1332.8</v>
      </c>
      <c r="F245" s="14">
        <v>1190.0</v>
      </c>
      <c r="G245" s="15">
        <f t="shared" ref="G245:H245" si="713">E245/94</f>
        <v>14.1787234</v>
      </c>
      <c r="H245" s="15">
        <f t="shared" si="713"/>
        <v>12.65957447</v>
      </c>
      <c r="I245" s="16">
        <f t="shared" ref="I245:J245" si="714">E245/24</f>
        <v>55.53333333</v>
      </c>
      <c r="J245" s="16">
        <f t="shared" si="714"/>
        <v>49.58333333</v>
      </c>
      <c r="K245" s="16">
        <f t="shared" ref="K245:L245" si="715">E245/125</f>
        <v>10.6624</v>
      </c>
      <c r="L245" s="16">
        <f t="shared" si="715"/>
        <v>9.52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ht="15.75" customHeight="1">
      <c r="A246" s="1" t="s">
        <v>444</v>
      </c>
      <c r="B246" s="1" t="s">
        <v>120</v>
      </c>
      <c r="C246" s="1" t="s">
        <v>445</v>
      </c>
      <c r="D246" s="12">
        <v>24.0</v>
      </c>
      <c r="E246" s="18">
        <f t="shared" si="625"/>
        <v>2788.8</v>
      </c>
      <c r="F246" s="14">
        <v>2490.0</v>
      </c>
      <c r="G246" s="15">
        <f t="shared" ref="G246:H246" si="716">E246/94</f>
        <v>29.66808511</v>
      </c>
      <c r="H246" s="15">
        <f t="shared" si="716"/>
        <v>26.4893617</v>
      </c>
      <c r="I246" s="16">
        <f t="shared" ref="I246:J246" si="717">E246/24</f>
        <v>116.2</v>
      </c>
      <c r="J246" s="16">
        <f t="shared" si="717"/>
        <v>103.75</v>
      </c>
      <c r="K246" s="16">
        <f t="shared" ref="K246:L246" si="718">E246/125</f>
        <v>22.3104</v>
      </c>
      <c r="L246" s="16">
        <f t="shared" si="718"/>
        <v>19.92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ht="15.75" customHeight="1">
      <c r="A247" s="1" t="s">
        <v>446</v>
      </c>
      <c r="B247" s="1" t="s">
        <v>120</v>
      </c>
      <c r="C247" s="19" t="s">
        <v>447</v>
      </c>
      <c r="D247" s="12">
        <v>23.0</v>
      </c>
      <c r="E247" s="18">
        <f t="shared" si="625"/>
        <v>0</v>
      </c>
      <c r="F247" s="14"/>
      <c r="G247" s="15"/>
      <c r="H247" s="15"/>
      <c r="I247" s="16"/>
      <c r="J247" s="16"/>
      <c r="K247" s="16"/>
      <c r="L247" s="1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ht="15.75" customHeight="1">
      <c r="A248" s="1" t="s">
        <v>448</v>
      </c>
      <c r="B248" s="1" t="s">
        <v>120</v>
      </c>
      <c r="C248" s="1" t="s">
        <v>449</v>
      </c>
      <c r="D248" s="12">
        <v>11.0</v>
      </c>
      <c r="E248" s="18">
        <f t="shared" si="625"/>
        <v>2228.8</v>
      </c>
      <c r="F248" s="14">
        <v>1990.0</v>
      </c>
      <c r="G248" s="15">
        <f t="shared" ref="G248:H248" si="719">E248/94</f>
        <v>23.7106383</v>
      </c>
      <c r="H248" s="15">
        <f t="shared" si="719"/>
        <v>21.17021277</v>
      </c>
      <c r="I248" s="16">
        <f t="shared" ref="I248:J248" si="720">E248/24</f>
        <v>92.86666667</v>
      </c>
      <c r="J248" s="16">
        <f t="shared" si="720"/>
        <v>82.91666667</v>
      </c>
      <c r="K248" s="16">
        <f t="shared" ref="K248:L248" si="721">E248/125</f>
        <v>17.8304</v>
      </c>
      <c r="L248" s="16">
        <f t="shared" si="721"/>
        <v>15.92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ht="15.0" customHeight="1">
      <c r="A249" s="1" t="s">
        <v>450</v>
      </c>
      <c r="B249" s="1" t="s">
        <v>315</v>
      </c>
      <c r="C249" s="24" t="s">
        <v>451</v>
      </c>
      <c r="D249" s="22">
        <v>0.0</v>
      </c>
      <c r="E249" s="18">
        <f t="shared" si="625"/>
        <v>2452.8</v>
      </c>
      <c r="F249" s="14">
        <v>2190.0</v>
      </c>
      <c r="G249" s="15">
        <f t="shared" ref="G249:H249" si="722">E249/94</f>
        <v>26.09361702</v>
      </c>
      <c r="H249" s="15">
        <f t="shared" si="722"/>
        <v>23.29787234</v>
      </c>
      <c r="I249" s="16">
        <f t="shared" ref="I249:J249" si="723">E249/24</f>
        <v>102.2</v>
      </c>
      <c r="J249" s="16">
        <f t="shared" si="723"/>
        <v>91.25</v>
      </c>
      <c r="K249" s="16">
        <f t="shared" ref="K249:L249" si="724">E249/125</f>
        <v>19.6224</v>
      </c>
      <c r="L249" s="16">
        <f t="shared" si="724"/>
        <v>17.52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ht="15.75" customHeight="1">
      <c r="A250" s="1"/>
      <c r="B250" s="1" t="s">
        <v>319</v>
      </c>
      <c r="C250" s="24" t="s">
        <v>452</v>
      </c>
      <c r="D250" s="22">
        <v>0.0</v>
      </c>
      <c r="E250" s="18">
        <f t="shared" si="625"/>
        <v>5588.8</v>
      </c>
      <c r="F250" s="14">
        <v>4990.0</v>
      </c>
      <c r="G250" s="15">
        <f t="shared" ref="G250:H250" si="725">E250/94</f>
        <v>59.45531915</v>
      </c>
      <c r="H250" s="15">
        <f t="shared" si="725"/>
        <v>53.08510638</v>
      </c>
      <c r="I250" s="16">
        <f t="shared" ref="I250:J250" si="726">E250/24</f>
        <v>232.8666667</v>
      </c>
      <c r="J250" s="16">
        <f t="shared" si="726"/>
        <v>207.9166667</v>
      </c>
      <c r="K250" s="16">
        <f t="shared" ref="K250:L250" si="727">E250/125</f>
        <v>44.7104</v>
      </c>
      <c r="L250" s="16">
        <f t="shared" si="727"/>
        <v>39.92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ht="15.0" customHeight="1">
      <c r="A251" s="1" t="s">
        <v>453</v>
      </c>
      <c r="B251" s="1" t="s">
        <v>315</v>
      </c>
      <c r="C251" s="17" t="s">
        <v>454</v>
      </c>
      <c r="D251" s="12">
        <v>23.0</v>
      </c>
      <c r="E251" s="18">
        <f t="shared" si="625"/>
        <v>1506.4</v>
      </c>
      <c r="F251" s="14">
        <v>1345.0</v>
      </c>
      <c r="G251" s="15">
        <f t="shared" ref="G251:H251" si="728">E251/94</f>
        <v>16.02553191</v>
      </c>
      <c r="H251" s="15">
        <f t="shared" si="728"/>
        <v>14.30851064</v>
      </c>
      <c r="I251" s="16">
        <f t="shared" ref="I251:J251" si="729">E251/24</f>
        <v>62.76666667</v>
      </c>
      <c r="J251" s="16">
        <f t="shared" si="729"/>
        <v>56.04166667</v>
      </c>
      <c r="K251" s="16">
        <f t="shared" ref="K251:L251" si="730">E251/125</f>
        <v>12.0512</v>
      </c>
      <c r="L251" s="16">
        <f t="shared" si="730"/>
        <v>10.76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ht="15.75" customHeight="1">
      <c r="A252" s="1"/>
      <c r="B252" s="1" t="s">
        <v>319</v>
      </c>
      <c r="C252" s="17" t="s">
        <v>455</v>
      </c>
      <c r="D252" s="12">
        <v>8.0</v>
      </c>
      <c r="E252" s="18">
        <f t="shared" si="625"/>
        <v>2234.4</v>
      </c>
      <c r="F252" s="14">
        <v>1995.0</v>
      </c>
      <c r="G252" s="15">
        <f t="shared" ref="G252:H252" si="731">E252/94</f>
        <v>23.77021277</v>
      </c>
      <c r="H252" s="15">
        <f t="shared" si="731"/>
        <v>21.22340426</v>
      </c>
      <c r="I252" s="16">
        <f t="shared" ref="I252:J252" si="732">E252/24</f>
        <v>93.1</v>
      </c>
      <c r="J252" s="16">
        <f t="shared" si="732"/>
        <v>83.125</v>
      </c>
      <c r="K252" s="16">
        <f t="shared" ref="K252:L252" si="733">E252/125</f>
        <v>17.8752</v>
      </c>
      <c r="L252" s="16">
        <f t="shared" si="733"/>
        <v>15.96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ht="15.75" customHeight="1">
      <c r="A253" s="1" t="s">
        <v>456</v>
      </c>
      <c r="B253" s="1" t="s">
        <v>120</v>
      </c>
      <c r="C253" s="17" t="s">
        <v>457</v>
      </c>
      <c r="D253" s="12">
        <v>7.0</v>
      </c>
      <c r="E253" s="18">
        <f t="shared" si="625"/>
        <v>5992</v>
      </c>
      <c r="F253" s="14">
        <v>5350.0</v>
      </c>
      <c r="G253" s="15">
        <f t="shared" ref="G253:H253" si="734">E253/94</f>
        <v>63.74468085</v>
      </c>
      <c r="H253" s="15">
        <f t="shared" si="734"/>
        <v>56.91489362</v>
      </c>
      <c r="I253" s="16">
        <f t="shared" ref="I253:J253" si="735">E253/24</f>
        <v>249.6666667</v>
      </c>
      <c r="J253" s="16">
        <f t="shared" si="735"/>
        <v>222.9166667</v>
      </c>
      <c r="K253" s="16">
        <f t="shared" ref="K253:L253" si="736">E253/125</f>
        <v>47.936</v>
      </c>
      <c r="L253" s="16">
        <f t="shared" si="736"/>
        <v>42.8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ht="15.0" customHeight="1">
      <c r="A254" s="17" t="s">
        <v>458</v>
      </c>
      <c r="B254" s="1" t="s">
        <v>120</v>
      </c>
      <c r="C254" s="17" t="s">
        <v>459</v>
      </c>
      <c r="D254" s="12">
        <v>19.0</v>
      </c>
      <c r="E254" s="13">
        <v>1750.0</v>
      </c>
      <c r="F254" s="20">
        <v>1490.0</v>
      </c>
      <c r="G254" s="15">
        <f t="shared" ref="G254:H254" si="737">E254/94</f>
        <v>18.61702128</v>
      </c>
      <c r="H254" s="15">
        <f t="shared" si="737"/>
        <v>15.85106383</v>
      </c>
      <c r="I254" s="16">
        <f t="shared" ref="I254:J254" si="738">E254/24</f>
        <v>72.91666667</v>
      </c>
      <c r="J254" s="16">
        <f t="shared" si="738"/>
        <v>62.08333333</v>
      </c>
      <c r="K254" s="16">
        <f t="shared" ref="K254:L254" si="739">E254/125</f>
        <v>14</v>
      </c>
      <c r="L254" s="16">
        <f t="shared" si="739"/>
        <v>11.92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ht="15.0" customHeight="1">
      <c r="A255" s="1" t="s">
        <v>460</v>
      </c>
      <c r="B255" s="1" t="s">
        <v>461</v>
      </c>
      <c r="C255" s="1" t="s">
        <v>462</v>
      </c>
      <c r="D255" s="2">
        <v>1.0</v>
      </c>
      <c r="E255" s="18">
        <f>F255+(F255*12%)</f>
        <v>3124.8</v>
      </c>
      <c r="F255" s="14">
        <v>2790.0</v>
      </c>
      <c r="G255" s="15">
        <f t="shared" ref="G255:H255" si="740">E255/94</f>
        <v>33.24255319</v>
      </c>
      <c r="H255" s="15">
        <f t="shared" si="740"/>
        <v>29.68085106</v>
      </c>
      <c r="I255" s="16">
        <f t="shared" ref="I255:J255" si="741">E255/24</f>
        <v>130.2</v>
      </c>
      <c r="J255" s="16">
        <f t="shared" si="741"/>
        <v>116.25</v>
      </c>
      <c r="K255" s="16">
        <f t="shared" ref="K255:L255" si="742">E255/125</f>
        <v>24.9984</v>
      </c>
      <c r="L255" s="16">
        <f t="shared" si="742"/>
        <v>22.32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ht="15.75" customHeight="1">
      <c r="A256" s="1"/>
      <c r="B256" s="1" t="s">
        <v>463</v>
      </c>
      <c r="C256" s="1" t="s">
        <v>464</v>
      </c>
      <c r="D256" s="12">
        <v>0.0</v>
      </c>
      <c r="E256" s="13">
        <v>3900.0</v>
      </c>
      <c r="F256" s="20">
        <v>3590.0</v>
      </c>
      <c r="G256" s="15">
        <f t="shared" ref="G256:H256" si="743">E256/94</f>
        <v>41.4893617</v>
      </c>
      <c r="H256" s="15">
        <f t="shared" si="743"/>
        <v>38.19148936</v>
      </c>
      <c r="I256" s="16">
        <f t="shared" ref="I256:J256" si="744">E256/24</f>
        <v>162.5</v>
      </c>
      <c r="J256" s="16">
        <f t="shared" si="744"/>
        <v>149.5833333</v>
      </c>
      <c r="K256" s="16">
        <f t="shared" ref="K256:L256" si="745">E256/125</f>
        <v>31.2</v>
      </c>
      <c r="L256" s="16">
        <f t="shared" si="745"/>
        <v>28.72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ht="15.75" customHeight="1">
      <c r="A257" s="1"/>
      <c r="B257" s="1" t="s">
        <v>465</v>
      </c>
      <c r="C257" s="1" t="s">
        <v>466</v>
      </c>
      <c r="D257" s="12">
        <v>0.0</v>
      </c>
      <c r="E257" s="13">
        <v>4400.0</v>
      </c>
      <c r="F257" s="20">
        <v>3990.0</v>
      </c>
      <c r="G257" s="15">
        <f t="shared" ref="G257:H257" si="746">E257/94</f>
        <v>46.80851064</v>
      </c>
      <c r="H257" s="15">
        <f t="shared" si="746"/>
        <v>42.44680851</v>
      </c>
      <c r="I257" s="16">
        <f t="shared" ref="I257:J257" si="747">E257/24</f>
        <v>183.3333333</v>
      </c>
      <c r="J257" s="16">
        <f t="shared" si="747"/>
        <v>166.25</v>
      </c>
      <c r="K257" s="16">
        <f t="shared" ref="K257:L257" si="748">E257/125</f>
        <v>35.2</v>
      </c>
      <c r="L257" s="16">
        <f t="shared" si="748"/>
        <v>31.92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ht="15.75" customHeight="1">
      <c r="A258" s="1"/>
      <c r="B258" s="1" t="s">
        <v>467</v>
      </c>
      <c r="C258" s="1" t="s">
        <v>468</v>
      </c>
      <c r="D258" s="12">
        <v>0.0</v>
      </c>
      <c r="E258" s="13">
        <v>3500.0</v>
      </c>
      <c r="F258" s="20">
        <v>3190.0</v>
      </c>
      <c r="G258" s="15">
        <f t="shared" ref="G258:H258" si="749">E258/94</f>
        <v>37.23404255</v>
      </c>
      <c r="H258" s="15">
        <f t="shared" si="749"/>
        <v>33.93617021</v>
      </c>
      <c r="I258" s="16">
        <f t="shared" ref="I258:J258" si="750">E258/24</f>
        <v>145.8333333</v>
      </c>
      <c r="J258" s="16">
        <f t="shared" si="750"/>
        <v>132.9166667</v>
      </c>
      <c r="K258" s="16">
        <f t="shared" ref="K258:L258" si="751">E258/125</f>
        <v>28</v>
      </c>
      <c r="L258" s="16">
        <f t="shared" si="751"/>
        <v>25.52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ht="15.75" customHeight="1">
      <c r="A259" s="1"/>
      <c r="B259" s="1" t="s">
        <v>469</v>
      </c>
      <c r="C259" s="1" t="s">
        <v>470</v>
      </c>
      <c r="D259" s="12">
        <v>0.0</v>
      </c>
      <c r="E259" s="13">
        <v>3950.0</v>
      </c>
      <c r="F259" s="20">
        <v>3590.0</v>
      </c>
      <c r="G259" s="15">
        <f t="shared" ref="G259:H259" si="752">E259/94</f>
        <v>42.0212766</v>
      </c>
      <c r="H259" s="15">
        <f t="shared" si="752"/>
        <v>38.19148936</v>
      </c>
      <c r="I259" s="16">
        <f t="shared" ref="I259:J259" si="753">E259/24</f>
        <v>164.5833333</v>
      </c>
      <c r="J259" s="16">
        <f t="shared" si="753"/>
        <v>149.5833333</v>
      </c>
      <c r="K259" s="16">
        <f t="shared" ref="K259:L259" si="754">E259/125</f>
        <v>31.6</v>
      </c>
      <c r="L259" s="16">
        <f t="shared" si="754"/>
        <v>28.72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ht="15.75" customHeight="1">
      <c r="A260" s="1"/>
      <c r="B260" s="1" t="s">
        <v>471</v>
      </c>
      <c r="C260" s="1" t="s">
        <v>472</v>
      </c>
      <c r="D260" s="12">
        <v>0.0</v>
      </c>
      <c r="E260" s="13">
        <v>4490.0</v>
      </c>
      <c r="F260" s="20">
        <v>3990.0</v>
      </c>
      <c r="G260" s="15">
        <f t="shared" ref="G260:H260" si="755">E260/94</f>
        <v>47.76595745</v>
      </c>
      <c r="H260" s="15">
        <f t="shared" si="755"/>
        <v>42.44680851</v>
      </c>
      <c r="I260" s="16">
        <f t="shared" ref="I260:J260" si="756">E260/24</f>
        <v>187.0833333</v>
      </c>
      <c r="J260" s="16">
        <f t="shared" si="756"/>
        <v>166.25</v>
      </c>
      <c r="K260" s="16">
        <f t="shared" ref="K260:L260" si="757">E260/125</f>
        <v>35.92</v>
      </c>
      <c r="L260" s="16">
        <f t="shared" si="757"/>
        <v>31.92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ht="15.75" customHeight="1">
      <c r="A261" s="1"/>
      <c r="B261" s="1" t="s">
        <v>473</v>
      </c>
      <c r="C261" s="21" t="s">
        <v>474</v>
      </c>
      <c r="D261" s="22">
        <v>0.0</v>
      </c>
      <c r="E261" s="13">
        <v>3500.0</v>
      </c>
      <c r="F261" s="20">
        <v>3190.0</v>
      </c>
      <c r="G261" s="15">
        <f t="shared" ref="G261:H261" si="758">E261/94</f>
        <v>37.23404255</v>
      </c>
      <c r="H261" s="15">
        <f t="shared" si="758"/>
        <v>33.93617021</v>
      </c>
      <c r="I261" s="16">
        <f t="shared" ref="I261:J261" si="759">E261/24</f>
        <v>145.8333333</v>
      </c>
      <c r="J261" s="16">
        <f t="shared" si="759"/>
        <v>132.9166667</v>
      </c>
      <c r="K261" s="16">
        <f t="shared" ref="K261:L261" si="760">E261/125</f>
        <v>28</v>
      </c>
      <c r="L261" s="16">
        <f t="shared" si="760"/>
        <v>25.52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ht="15.75" customHeight="1">
      <c r="A262" s="1"/>
      <c r="B262" s="1" t="s">
        <v>475</v>
      </c>
      <c r="C262" s="21" t="s">
        <v>476</v>
      </c>
      <c r="D262" s="22">
        <v>0.0</v>
      </c>
      <c r="E262" s="13">
        <v>3950.0</v>
      </c>
      <c r="F262" s="20">
        <v>3590.0</v>
      </c>
      <c r="G262" s="15">
        <f t="shared" ref="G262:H262" si="761">E262/94</f>
        <v>42.0212766</v>
      </c>
      <c r="H262" s="15">
        <f t="shared" si="761"/>
        <v>38.19148936</v>
      </c>
      <c r="I262" s="16">
        <f t="shared" ref="I262:J262" si="762">E262/24</f>
        <v>164.5833333</v>
      </c>
      <c r="J262" s="16">
        <f t="shared" si="762"/>
        <v>149.5833333</v>
      </c>
      <c r="K262" s="16">
        <f t="shared" ref="K262:L262" si="763">E262/125</f>
        <v>31.6</v>
      </c>
      <c r="L262" s="16">
        <f t="shared" si="763"/>
        <v>28.72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ht="15.75" customHeight="1">
      <c r="A263" s="1"/>
      <c r="B263" s="1" t="s">
        <v>477</v>
      </c>
      <c r="C263" s="21" t="s">
        <v>478</v>
      </c>
      <c r="D263" s="22">
        <v>0.0</v>
      </c>
      <c r="E263" s="13">
        <v>4490.0</v>
      </c>
      <c r="F263" s="20">
        <v>3990.0</v>
      </c>
      <c r="G263" s="15">
        <f t="shared" ref="G263:H263" si="764">E263/94</f>
        <v>47.76595745</v>
      </c>
      <c r="H263" s="15">
        <f t="shared" si="764"/>
        <v>42.44680851</v>
      </c>
      <c r="I263" s="16">
        <f t="shared" ref="I263:J263" si="765">E263/24</f>
        <v>187.0833333</v>
      </c>
      <c r="J263" s="16">
        <f t="shared" si="765"/>
        <v>166.25</v>
      </c>
      <c r="K263" s="16">
        <f t="shared" ref="K263:L263" si="766">E263/125</f>
        <v>35.92</v>
      </c>
      <c r="L263" s="16">
        <f t="shared" si="766"/>
        <v>31.92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ht="15.0" customHeight="1">
      <c r="A264" s="1" t="s">
        <v>479</v>
      </c>
      <c r="B264" s="1" t="s">
        <v>461</v>
      </c>
      <c r="C264" s="1" t="s">
        <v>480</v>
      </c>
      <c r="D264" s="2">
        <v>7.0</v>
      </c>
      <c r="E264" s="18">
        <f t="shared" ref="E264:E304" si="770">F264+(F264*12%)</f>
        <v>5924.8</v>
      </c>
      <c r="F264" s="14">
        <v>5290.0</v>
      </c>
      <c r="G264" s="15">
        <f t="shared" ref="G264:H264" si="767">E264/94</f>
        <v>63.02978723</v>
      </c>
      <c r="H264" s="15">
        <f t="shared" si="767"/>
        <v>56.27659574</v>
      </c>
      <c r="I264" s="16">
        <f t="shared" ref="I264:J264" si="768">E264/24</f>
        <v>246.8666667</v>
      </c>
      <c r="J264" s="16">
        <f t="shared" si="768"/>
        <v>220.4166667</v>
      </c>
      <c r="K264" s="16">
        <f t="shared" ref="K264:L264" si="769">E264/125</f>
        <v>47.3984</v>
      </c>
      <c r="L264" s="16">
        <f t="shared" si="769"/>
        <v>42.32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ht="15.75" customHeight="1">
      <c r="A265" s="1"/>
      <c r="B265" s="1" t="s">
        <v>465</v>
      </c>
      <c r="C265" s="1" t="s">
        <v>481</v>
      </c>
      <c r="D265" s="12">
        <v>0.0</v>
      </c>
      <c r="E265" s="18">
        <f t="shared" si="770"/>
        <v>6596.8</v>
      </c>
      <c r="F265" s="14">
        <v>5890.0</v>
      </c>
      <c r="G265" s="15">
        <f t="shared" ref="G265:H265" si="771">E265/94</f>
        <v>70.1787234</v>
      </c>
      <c r="H265" s="15">
        <f t="shared" si="771"/>
        <v>62.65957447</v>
      </c>
      <c r="I265" s="16">
        <f t="shared" ref="I265:J265" si="772">E265/24</f>
        <v>274.8666667</v>
      </c>
      <c r="J265" s="16">
        <f t="shared" si="772"/>
        <v>245.4166667</v>
      </c>
      <c r="K265" s="16">
        <f t="shared" ref="K265:L265" si="773">E265/125</f>
        <v>52.7744</v>
      </c>
      <c r="L265" s="16">
        <f t="shared" si="773"/>
        <v>47.12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ht="15.75" customHeight="1">
      <c r="A266" s="1"/>
      <c r="B266" s="1" t="s">
        <v>482</v>
      </c>
      <c r="C266" s="1" t="s">
        <v>483</v>
      </c>
      <c r="D266" s="12">
        <v>0.0</v>
      </c>
      <c r="E266" s="18">
        <f t="shared" si="770"/>
        <v>7492.8</v>
      </c>
      <c r="F266" s="14">
        <v>6690.0</v>
      </c>
      <c r="G266" s="15">
        <f t="shared" ref="G266:H266" si="774">E266/94</f>
        <v>79.7106383</v>
      </c>
      <c r="H266" s="15">
        <f t="shared" si="774"/>
        <v>71.17021277</v>
      </c>
      <c r="I266" s="16">
        <f t="shared" ref="I266:J266" si="775">E266/24</f>
        <v>312.2</v>
      </c>
      <c r="J266" s="16">
        <f t="shared" si="775"/>
        <v>278.75</v>
      </c>
      <c r="K266" s="16">
        <f t="shared" ref="K266:L266" si="776">E266/125</f>
        <v>59.9424</v>
      </c>
      <c r="L266" s="16">
        <f t="shared" si="776"/>
        <v>53.52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ht="15.75" customHeight="1">
      <c r="A267" s="1"/>
      <c r="B267" s="1" t="s">
        <v>484</v>
      </c>
      <c r="C267" s="1" t="s">
        <v>485</v>
      </c>
      <c r="D267" s="2">
        <v>6.0</v>
      </c>
      <c r="E267" s="18">
        <f t="shared" si="770"/>
        <v>5924.8</v>
      </c>
      <c r="F267" s="14">
        <v>5290.0</v>
      </c>
      <c r="G267" s="15">
        <f t="shared" ref="G267:H267" si="777">E267/94</f>
        <v>63.02978723</v>
      </c>
      <c r="H267" s="15">
        <f t="shared" si="777"/>
        <v>56.27659574</v>
      </c>
      <c r="I267" s="16">
        <f t="shared" ref="I267:J267" si="778">E267/24</f>
        <v>246.8666667</v>
      </c>
      <c r="J267" s="16">
        <f t="shared" si="778"/>
        <v>220.4166667</v>
      </c>
      <c r="K267" s="16">
        <f t="shared" ref="K267:L267" si="779">E267/125</f>
        <v>47.3984</v>
      </c>
      <c r="L267" s="16">
        <f t="shared" si="779"/>
        <v>42.32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ht="15.75" customHeight="1">
      <c r="A268" s="1"/>
      <c r="B268" s="1" t="s">
        <v>486</v>
      </c>
      <c r="C268" s="1" t="s">
        <v>487</v>
      </c>
      <c r="D268" s="2">
        <v>1.0</v>
      </c>
      <c r="E268" s="18">
        <f t="shared" si="770"/>
        <v>6596.8</v>
      </c>
      <c r="F268" s="14">
        <v>5890.0</v>
      </c>
      <c r="G268" s="15">
        <f t="shared" ref="G268:H268" si="780">E268/94</f>
        <v>70.1787234</v>
      </c>
      <c r="H268" s="15">
        <f t="shared" si="780"/>
        <v>62.65957447</v>
      </c>
      <c r="I268" s="16">
        <f t="shared" ref="I268:J268" si="781">E268/24</f>
        <v>274.8666667</v>
      </c>
      <c r="J268" s="16">
        <f t="shared" si="781"/>
        <v>245.4166667</v>
      </c>
      <c r="K268" s="16">
        <f t="shared" ref="K268:L268" si="782">E268/125</f>
        <v>52.7744</v>
      </c>
      <c r="L268" s="16">
        <f t="shared" si="782"/>
        <v>47.12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ht="15.75" customHeight="1">
      <c r="A269" s="1"/>
      <c r="B269" s="1" t="s">
        <v>488</v>
      </c>
      <c r="C269" s="1" t="s">
        <v>489</v>
      </c>
      <c r="D269" s="2">
        <v>2.0</v>
      </c>
      <c r="E269" s="18">
        <f t="shared" si="770"/>
        <v>7492.8</v>
      </c>
      <c r="F269" s="14">
        <v>6690.0</v>
      </c>
      <c r="G269" s="15">
        <f t="shared" ref="G269:H269" si="783">E269/94</f>
        <v>79.7106383</v>
      </c>
      <c r="H269" s="15">
        <f t="shared" si="783"/>
        <v>71.17021277</v>
      </c>
      <c r="I269" s="16">
        <f t="shared" ref="I269:J269" si="784">E269/24</f>
        <v>312.2</v>
      </c>
      <c r="J269" s="16">
        <f t="shared" si="784"/>
        <v>278.75</v>
      </c>
      <c r="K269" s="16">
        <f t="shared" ref="K269:L269" si="785">E269/125</f>
        <v>59.9424</v>
      </c>
      <c r="L269" s="16">
        <f t="shared" si="785"/>
        <v>53.52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ht="15.75" customHeight="1">
      <c r="A270" s="1"/>
      <c r="B270" s="1" t="s">
        <v>490</v>
      </c>
      <c r="C270" s="24" t="s">
        <v>491</v>
      </c>
      <c r="D270" s="23">
        <v>7.0</v>
      </c>
      <c r="E270" s="18">
        <f t="shared" si="770"/>
        <v>5924.8</v>
      </c>
      <c r="F270" s="14">
        <v>5290.0</v>
      </c>
      <c r="G270" s="15">
        <f t="shared" ref="G270:H270" si="786">E270/94</f>
        <v>63.02978723</v>
      </c>
      <c r="H270" s="15">
        <f t="shared" si="786"/>
        <v>56.27659574</v>
      </c>
      <c r="I270" s="16">
        <f t="shared" ref="I270:J270" si="787">E270/24</f>
        <v>246.8666667</v>
      </c>
      <c r="J270" s="16">
        <f t="shared" si="787"/>
        <v>220.4166667</v>
      </c>
      <c r="K270" s="16">
        <f t="shared" ref="K270:L270" si="788">E270/125</f>
        <v>47.3984</v>
      </c>
      <c r="L270" s="16">
        <f t="shared" si="788"/>
        <v>42.32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ht="15.75" customHeight="1">
      <c r="A271" s="1"/>
      <c r="B271" s="1" t="s">
        <v>492</v>
      </c>
      <c r="C271" s="24" t="s">
        <v>493</v>
      </c>
      <c r="D271" s="22">
        <v>0.0</v>
      </c>
      <c r="E271" s="18">
        <f t="shared" si="770"/>
        <v>6596.8</v>
      </c>
      <c r="F271" s="14">
        <v>5890.0</v>
      </c>
      <c r="G271" s="15">
        <f t="shared" ref="G271:H271" si="789">E271/94</f>
        <v>70.1787234</v>
      </c>
      <c r="H271" s="15">
        <f t="shared" si="789"/>
        <v>62.65957447</v>
      </c>
      <c r="I271" s="16">
        <f t="shared" ref="I271:J271" si="790">E271/24</f>
        <v>274.8666667</v>
      </c>
      <c r="J271" s="16">
        <f t="shared" si="790"/>
        <v>245.4166667</v>
      </c>
      <c r="K271" s="16">
        <f t="shared" ref="K271:L271" si="791">E271/125</f>
        <v>52.7744</v>
      </c>
      <c r="L271" s="16">
        <f t="shared" si="791"/>
        <v>47.12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ht="15.75" customHeight="1">
      <c r="A272" s="1"/>
      <c r="B272" s="1" t="s">
        <v>494</v>
      </c>
      <c r="C272" s="24" t="s">
        <v>495</v>
      </c>
      <c r="D272" s="22">
        <v>0.0</v>
      </c>
      <c r="E272" s="18">
        <f t="shared" si="770"/>
        <v>7492.8</v>
      </c>
      <c r="F272" s="14">
        <v>6690.0</v>
      </c>
      <c r="G272" s="15">
        <f t="shared" ref="G272:H272" si="792">E272/94</f>
        <v>79.7106383</v>
      </c>
      <c r="H272" s="15">
        <f t="shared" si="792"/>
        <v>71.17021277</v>
      </c>
      <c r="I272" s="16">
        <f t="shared" ref="I272:J272" si="793">E272/24</f>
        <v>312.2</v>
      </c>
      <c r="J272" s="16">
        <f t="shared" si="793"/>
        <v>278.75</v>
      </c>
      <c r="K272" s="16">
        <f t="shared" ref="K272:L272" si="794">E272/125</f>
        <v>59.9424</v>
      </c>
      <c r="L272" s="16">
        <f t="shared" si="794"/>
        <v>53.52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ht="15.0" customHeight="1">
      <c r="A273" s="1" t="s">
        <v>496</v>
      </c>
      <c r="B273" s="1" t="s">
        <v>315</v>
      </c>
      <c r="C273" s="24" t="s">
        <v>497</v>
      </c>
      <c r="D273" s="22">
        <v>27.0</v>
      </c>
      <c r="E273" s="18">
        <f t="shared" si="770"/>
        <v>548.8</v>
      </c>
      <c r="F273" s="14">
        <v>490.0</v>
      </c>
      <c r="G273" s="15">
        <f t="shared" ref="G273:H273" si="795">E273/94</f>
        <v>5.838297872</v>
      </c>
      <c r="H273" s="15">
        <f t="shared" si="795"/>
        <v>5.212765957</v>
      </c>
      <c r="I273" s="16">
        <f t="shared" ref="I273:J273" si="796">E273/24</f>
        <v>22.86666667</v>
      </c>
      <c r="J273" s="16">
        <f t="shared" si="796"/>
        <v>20.41666667</v>
      </c>
      <c r="K273" s="16">
        <f t="shared" ref="K273:L273" si="797">E273/125</f>
        <v>4.3904</v>
      </c>
      <c r="L273" s="16">
        <f t="shared" si="797"/>
        <v>3.92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ht="15.75" customHeight="1">
      <c r="A274" s="1"/>
      <c r="B274" s="17" t="s">
        <v>317</v>
      </c>
      <c r="C274" s="24" t="s">
        <v>498</v>
      </c>
      <c r="D274" s="22">
        <v>29.0</v>
      </c>
      <c r="E274" s="18">
        <f t="shared" si="770"/>
        <v>604.8</v>
      </c>
      <c r="F274" s="14">
        <v>540.0</v>
      </c>
      <c r="G274" s="15">
        <f t="shared" ref="G274:H274" si="798">E274/94</f>
        <v>6.434042553</v>
      </c>
      <c r="H274" s="15">
        <f t="shared" si="798"/>
        <v>5.744680851</v>
      </c>
      <c r="I274" s="16">
        <f t="shared" ref="I274:J274" si="799">E274/24</f>
        <v>25.2</v>
      </c>
      <c r="J274" s="16">
        <f t="shared" si="799"/>
        <v>22.5</v>
      </c>
      <c r="K274" s="16">
        <f t="shared" ref="K274:L274" si="800">E274/125</f>
        <v>4.8384</v>
      </c>
      <c r="L274" s="16">
        <f t="shared" si="800"/>
        <v>4.32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ht="15.75" customHeight="1">
      <c r="A275" s="1"/>
      <c r="B275" s="17" t="s">
        <v>319</v>
      </c>
      <c r="C275" s="24" t="s">
        <v>499</v>
      </c>
      <c r="D275" s="22">
        <v>24.0</v>
      </c>
      <c r="E275" s="18">
        <f t="shared" si="770"/>
        <v>660.8</v>
      </c>
      <c r="F275" s="14">
        <v>590.0</v>
      </c>
      <c r="G275" s="15">
        <f t="shared" ref="G275:H275" si="801">E275/94</f>
        <v>7.029787234</v>
      </c>
      <c r="H275" s="15">
        <f t="shared" si="801"/>
        <v>6.276595745</v>
      </c>
      <c r="I275" s="16">
        <f t="shared" ref="I275:J275" si="802">E275/24</f>
        <v>27.53333333</v>
      </c>
      <c r="J275" s="16">
        <f t="shared" si="802"/>
        <v>24.58333333</v>
      </c>
      <c r="K275" s="16">
        <f t="shared" ref="K275:L275" si="803">E275/125</f>
        <v>5.2864</v>
      </c>
      <c r="L275" s="16">
        <f t="shared" si="803"/>
        <v>4.72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ht="15.0" customHeight="1">
      <c r="A276" s="1" t="s">
        <v>500</v>
      </c>
      <c r="B276" s="1" t="s">
        <v>501</v>
      </c>
      <c r="C276" s="1" t="s">
        <v>502</v>
      </c>
      <c r="D276" s="2">
        <v>1.0</v>
      </c>
      <c r="E276" s="18">
        <f t="shared" si="770"/>
        <v>11144</v>
      </c>
      <c r="F276" s="14">
        <v>9950.0</v>
      </c>
      <c r="G276" s="15">
        <f t="shared" ref="G276:H276" si="804">E276/94</f>
        <v>118.5531915</v>
      </c>
      <c r="H276" s="15">
        <f t="shared" si="804"/>
        <v>105.8510638</v>
      </c>
      <c r="I276" s="16">
        <f t="shared" ref="I276:J276" si="805">E276/24</f>
        <v>464.3333333</v>
      </c>
      <c r="J276" s="16">
        <f t="shared" si="805"/>
        <v>414.5833333</v>
      </c>
      <c r="K276" s="16">
        <f t="shared" ref="K276:L276" si="806">E276/125</f>
        <v>89.152</v>
      </c>
      <c r="L276" s="16">
        <f t="shared" si="806"/>
        <v>79.6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ht="15.75" customHeight="1">
      <c r="A277" s="1"/>
      <c r="B277" s="1" t="s">
        <v>503</v>
      </c>
      <c r="C277" s="1" t="s">
        <v>504</v>
      </c>
      <c r="D277" s="12">
        <v>0.0</v>
      </c>
      <c r="E277" s="18">
        <f t="shared" si="770"/>
        <v>12152</v>
      </c>
      <c r="F277" s="14">
        <v>10850.0</v>
      </c>
      <c r="G277" s="15">
        <f t="shared" ref="G277:H277" si="807">E277/94</f>
        <v>129.2765957</v>
      </c>
      <c r="H277" s="15">
        <f t="shared" si="807"/>
        <v>115.4255319</v>
      </c>
      <c r="I277" s="16">
        <f t="shared" ref="I277:J277" si="808">E277/24</f>
        <v>506.3333333</v>
      </c>
      <c r="J277" s="16">
        <f t="shared" si="808"/>
        <v>452.0833333</v>
      </c>
      <c r="K277" s="16">
        <f t="shared" ref="K277:L277" si="809">E277/125</f>
        <v>97.216</v>
      </c>
      <c r="L277" s="16">
        <f t="shared" si="809"/>
        <v>86.8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ht="15.75" customHeight="1">
      <c r="A278" s="1"/>
      <c r="B278" s="1" t="s">
        <v>505</v>
      </c>
      <c r="C278" s="1" t="s">
        <v>506</v>
      </c>
      <c r="D278" s="12">
        <v>0.0</v>
      </c>
      <c r="E278" s="18">
        <f t="shared" si="770"/>
        <v>13048</v>
      </c>
      <c r="F278" s="14">
        <v>11650.0</v>
      </c>
      <c r="G278" s="15">
        <f t="shared" ref="G278:H278" si="810">E278/94</f>
        <v>138.8085106</v>
      </c>
      <c r="H278" s="15">
        <f t="shared" si="810"/>
        <v>123.9361702</v>
      </c>
      <c r="I278" s="16">
        <f t="shared" ref="I278:J278" si="811">E278/24</f>
        <v>543.6666667</v>
      </c>
      <c r="J278" s="16">
        <f t="shared" si="811"/>
        <v>485.4166667</v>
      </c>
      <c r="K278" s="16">
        <f t="shared" ref="K278:L278" si="812">E278/125</f>
        <v>104.384</v>
      </c>
      <c r="L278" s="16">
        <f t="shared" si="812"/>
        <v>93.2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ht="15.75" customHeight="1">
      <c r="A279" s="1"/>
      <c r="B279" s="1" t="s">
        <v>507</v>
      </c>
      <c r="C279" s="1" t="s">
        <v>508</v>
      </c>
      <c r="D279" s="12">
        <v>0.0</v>
      </c>
      <c r="E279" s="18">
        <f t="shared" si="770"/>
        <v>14000</v>
      </c>
      <c r="F279" s="14">
        <v>12500.0</v>
      </c>
      <c r="G279" s="15">
        <f t="shared" ref="G279:H279" si="813">E279/94</f>
        <v>148.9361702</v>
      </c>
      <c r="H279" s="15">
        <f t="shared" si="813"/>
        <v>132.9787234</v>
      </c>
      <c r="I279" s="16">
        <f t="shared" ref="I279:J279" si="814">E279/24</f>
        <v>583.3333333</v>
      </c>
      <c r="J279" s="16">
        <f t="shared" si="814"/>
        <v>520.8333333</v>
      </c>
      <c r="K279" s="16">
        <f t="shared" ref="K279:L279" si="815">E279/125</f>
        <v>112</v>
      </c>
      <c r="L279" s="16">
        <f t="shared" si="815"/>
        <v>100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ht="15.75" customHeight="1">
      <c r="A280" s="1"/>
      <c r="B280" s="1" t="s">
        <v>509</v>
      </c>
      <c r="C280" s="1" t="s">
        <v>510</v>
      </c>
      <c r="D280" s="12">
        <v>0.0</v>
      </c>
      <c r="E280" s="18">
        <f t="shared" si="770"/>
        <v>15624</v>
      </c>
      <c r="F280" s="14">
        <v>13950.0</v>
      </c>
      <c r="G280" s="15">
        <f t="shared" ref="G280:H280" si="816">E280/94</f>
        <v>166.212766</v>
      </c>
      <c r="H280" s="15">
        <f t="shared" si="816"/>
        <v>148.4042553</v>
      </c>
      <c r="I280" s="16">
        <f t="shared" ref="I280:J280" si="817">E280/24</f>
        <v>651</v>
      </c>
      <c r="J280" s="16">
        <f t="shared" si="817"/>
        <v>581.25</v>
      </c>
      <c r="K280" s="16">
        <f t="shared" ref="K280:L280" si="818">E280/125</f>
        <v>124.992</v>
      </c>
      <c r="L280" s="16">
        <f t="shared" si="818"/>
        <v>111.6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ht="15.75" customHeight="1">
      <c r="A281" s="1"/>
      <c r="B281" s="1" t="s">
        <v>511</v>
      </c>
      <c r="C281" s="1" t="s">
        <v>512</v>
      </c>
      <c r="D281" s="12">
        <v>0.0</v>
      </c>
      <c r="E281" s="18">
        <f t="shared" si="770"/>
        <v>18424</v>
      </c>
      <c r="F281" s="14">
        <v>16450.0</v>
      </c>
      <c r="G281" s="15">
        <f t="shared" ref="G281:H281" si="819">E281/94</f>
        <v>196</v>
      </c>
      <c r="H281" s="15">
        <f t="shared" si="819"/>
        <v>175</v>
      </c>
      <c r="I281" s="16">
        <f t="shared" ref="I281:J281" si="820">E281/24</f>
        <v>767.6666667</v>
      </c>
      <c r="J281" s="16">
        <f t="shared" si="820"/>
        <v>685.4166667</v>
      </c>
      <c r="K281" s="16">
        <f t="shared" ref="K281:L281" si="821">E281/125</f>
        <v>147.392</v>
      </c>
      <c r="L281" s="16">
        <f t="shared" si="821"/>
        <v>131.6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ht="15.75" customHeight="1">
      <c r="A282" s="1"/>
      <c r="B282" s="1" t="s">
        <v>513</v>
      </c>
      <c r="C282" s="1" t="s">
        <v>514</v>
      </c>
      <c r="D282" s="12">
        <v>0.0</v>
      </c>
      <c r="E282" s="18">
        <f t="shared" si="770"/>
        <v>21224</v>
      </c>
      <c r="F282" s="14">
        <v>18950.0</v>
      </c>
      <c r="G282" s="15">
        <f t="shared" ref="G282:H282" si="822">E282/94</f>
        <v>225.787234</v>
      </c>
      <c r="H282" s="15">
        <f t="shared" si="822"/>
        <v>201.5957447</v>
      </c>
      <c r="I282" s="16">
        <f t="shared" ref="I282:J282" si="823">E282/24</f>
        <v>884.3333333</v>
      </c>
      <c r="J282" s="16">
        <f t="shared" si="823"/>
        <v>789.5833333</v>
      </c>
      <c r="K282" s="16">
        <f t="shared" ref="K282:L282" si="824">E282/125</f>
        <v>169.792</v>
      </c>
      <c r="L282" s="16">
        <f t="shared" si="824"/>
        <v>151.6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ht="15.75" customHeight="1">
      <c r="A283" s="1"/>
      <c r="B283" s="1" t="s">
        <v>515</v>
      </c>
      <c r="C283" s="1" t="s">
        <v>516</v>
      </c>
      <c r="D283" s="2">
        <v>1.0</v>
      </c>
      <c r="E283" s="18">
        <f t="shared" si="770"/>
        <v>24920</v>
      </c>
      <c r="F283" s="14">
        <v>22250.0</v>
      </c>
      <c r="G283" s="15">
        <f t="shared" ref="G283:H283" si="825">E283/94</f>
        <v>265.106383</v>
      </c>
      <c r="H283" s="15">
        <f t="shared" si="825"/>
        <v>236.7021277</v>
      </c>
      <c r="I283" s="16">
        <f t="shared" ref="I283:J283" si="826">E283/24</f>
        <v>1038.333333</v>
      </c>
      <c r="J283" s="16">
        <f t="shared" si="826"/>
        <v>927.0833333</v>
      </c>
      <c r="K283" s="16">
        <f t="shared" ref="K283:L283" si="827">E283/125</f>
        <v>199.36</v>
      </c>
      <c r="L283" s="16">
        <f t="shared" si="827"/>
        <v>178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ht="15.75" customHeight="1">
      <c r="A284" s="1"/>
      <c r="B284" s="1" t="s">
        <v>517</v>
      </c>
      <c r="C284" s="1" t="s">
        <v>518</v>
      </c>
      <c r="D284" s="2">
        <v>1.0</v>
      </c>
      <c r="E284" s="18">
        <f t="shared" si="770"/>
        <v>26880</v>
      </c>
      <c r="F284" s="14">
        <v>24000.0</v>
      </c>
      <c r="G284" s="15">
        <f t="shared" ref="G284:H284" si="828">E284/94</f>
        <v>285.9574468</v>
      </c>
      <c r="H284" s="15">
        <f t="shared" si="828"/>
        <v>255.3191489</v>
      </c>
      <c r="I284" s="16">
        <f t="shared" ref="I284:J284" si="829">E284/24</f>
        <v>1120</v>
      </c>
      <c r="J284" s="16">
        <f t="shared" si="829"/>
        <v>1000</v>
      </c>
      <c r="K284" s="16">
        <f t="shared" ref="K284:L284" si="830">E284/125</f>
        <v>215.04</v>
      </c>
      <c r="L284" s="16">
        <f t="shared" si="830"/>
        <v>192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ht="15.0" customHeight="1">
      <c r="A285" s="1" t="s">
        <v>519</v>
      </c>
      <c r="B285" s="1" t="s">
        <v>501</v>
      </c>
      <c r="C285" s="1" t="s">
        <v>520</v>
      </c>
      <c r="D285" s="12">
        <v>0.0</v>
      </c>
      <c r="E285" s="18">
        <f t="shared" si="770"/>
        <v>12152</v>
      </c>
      <c r="F285" s="14">
        <v>10850.0</v>
      </c>
      <c r="G285" s="15">
        <f t="shared" ref="G285:H285" si="831">E285/94</f>
        <v>129.2765957</v>
      </c>
      <c r="H285" s="15">
        <f t="shared" si="831"/>
        <v>115.4255319</v>
      </c>
      <c r="I285" s="16">
        <f t="shared" ref="I285:J285" si="832">E285/24</f>
        <v>506.3333333</v>
      </c>
      <c r="J285" s="16">
        <f t="shared" si="832"/>
        <v>452.0833333</v>
      </c>
      <c r="K285" s="16">
        <f t="shared" ref="K285:L285" si="833">E285/125</f>
        <v>97.216</v>
      </c>
      <c r="L285" s="16">
        <f t="shared" si="833"/>
        <v>86.8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ht="15.75" customHeight="1">
      <c r="A286" s="1"/>
      <c r="B286" s="1" t="s">
        <v>503</v>
      </c>
      <c r="C286" s="1" t="s">
        <v>521</v>
      </c>
      <c r="D286" s="12">
        <v>0.0</v>
      </c>
      <c r="E286" s="18">
        <f t="shared" si="770"/>
        <v>13048</v>
      </c>
      <c r="F286" s="14">
        <v>11650.0</v>
      </c>
      <c r="G286" s="15">
        <f t="shared" ref="G286:H286" si="834">E286/94</f>
        <v>138.8085106</v>
      </c>
      <c r="H286" s="15">
        <f t="shared" si="834"/>
        <v>123.9361702</v>
      </c>
      <c r="I286" s="16">
        <f t="shared" ref="I286:J286" si="835">E286/24</f>
        <v>543.6666667</v>
      </c>
      <c r="J286" s="16">
        <f t="shared" si="835"/>
        <v>485.4166667</v>
      </c>
      <c r="K286" s="16">
        <f t="shared" ref="K286:L286" si="836">E286/125</f>
        <v>104.384</v>
      </c>
      <c r="L286" s="16">
        <f t="shared" si="836"/>
        <v>93.2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ht="15.75" customHeight="1">
      <c r="A287" s="1"/>
      <c r="B287" s="1" t="s">
        <v>505</v>
      </c>
      <c r="C287" s="1" t="s">
        <v>522</v>
      </c>
      <c r="D287" s="12">
        <v>0.0</v>
      </c>
      <c r="E287" s="18">
        <f t="shared" si="770"/>
        <v>14000</v>
      </c>
      <c r="F287" s="14">
        <v>12500.0</v>
      </c>
      <c r="G287" s="15">
        <f t="shared" ref="G287:H287" si="837">E287/94</f>
        <v>148.9361702</v>
      </c>
      <c r="H287" s="15">
        <f t="shared" si="837"/>
        <v>132.9787234</v>
      </c>
      <c r="I287" s="16">
        <f t="shared" ref="I287:J287" si="838">E287/24</f>
        <v>583.3333333</v>
      </c>
      <c r="J287" s="16">
        <f t="shared" si="838"/>
        <v>520.8333333</v>
      </c>
      <c r="K287" s="16">
        <f t="shared" ref="K287:L287" si="839">E287/125</f>
        <v>112</v>
      </c>
      <c r="L287" s="16">
        <f t="shared" si="839"/>
        <v>100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ht="15.75" customHeight="1">
      <c r="A288" s="1"/>
      <c r="B288" s="1" t="s">
        <v>507</v>
      </c>
      <c r="C288" s="1" t="s">
        <v>523</v>
      </c>
      <c r="D288" s="12">
        <v>0.0</v>
      </c>
      <c r="E288" s="18">
        <f t="shared" si="770"/>
        <v>14840</v>
      </c>
      <c r="F288" s="14">
        <v>13250.0</v>
      </c>
      <c r="G288" s="15">
        <f t="shared" ref="G288:H288" si="840">E288/94</f>
        <v>157.8723404</v>
      </c>
      <c r="H288" s="15">
        <f t="shared" si="840"/>
        <v>140.9574468</v>
      </c>
      <c r="I288" s="16">
        <f t="shared" ref="I288:J288" si="841">E288/24</f>
        <v>618.3333333</v>
      </c>
      <c r="J288" s="16">
        <f t="shared" si="841"/>
        <v>552.0833333</v>
      </c>
      <c r="K288" s="16">
        <f t="shared" ref="K288:L288" si="842">E288/125</f>
        <v>118.72</v>
      </c>
      <c r="L288" s="16">
        <f t="shared" si="842"/>
        <v>106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ht="15.75" customHeight="1">
      <c r="A289" s="1"/>
      <c r="B289" s="1" t="s">
        <v>509</v>
      </c>
      <c r="C289" s="1" t="s">
        <v>524</v>
      </c>
      <c r="D289" s="12">
        <v>0.0</v>
      </c>
      <c r="E289" s="18">
        <f t="shared" si="770"/>
        <v>16744</v>
      </c>
      <c r="F289" s="14">
        <v>14950.0</v>
      </c>
      <c r="G289" s="15">
        <f t="shared" ref="G289:H289" si="843">E289/94</f>
        <v>178.1276596</v>
      </c>
      <c r="H289" s="15">
        <f t="shared" si="843"/>
        <v>159.0425532</v>
      </c>
      <c r="I289" s="16">
        <f t="shared" ref="I289:J289" si="844">E289/24</f>
        <v>697.6666667</v>
      </c>
      <c r="J289" s="16">
        <f t="shared" si="844"/>
        <v>622.9166667</v>
      </c>
      <c r="K289" s="16">
        <f t="shared" ref="K289:L289" si="845">E289/125</f>
        <v>133.952</v>
      </c>
      <c r="L289" s="16">
        <f t="shared" si="845"/>
        <v>119.6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ht="15.75" customHeight="1">
      <c r="A290" s="1"/>
      <c r="B290" s="1" t="s">
        <v>511</v>
      </c>
      <c r="C290" s="1" t="s">
        <v>525</v>
      </c>
      <c r="D290" s="12">
        <v>0.0</v>
      </c>
      <c r="E290" s="18">
        <f t="shared" si="770"/>
        <v>19544</v>
      </c>
      <c r="F290" s="14">
        <v>17450.0</v>
      </c>
      <c r="G290" s="15">
        <f t="shared" ref="G290:H290" si="846">E290/94</f>
        <v>207.9148936</v>
      </c>
      <c r="H290" s="15">
        <f t="shared" si="846"/>
        <v>185.6382979</v>
      </c>
      <c r="I290" s="16">
        <f t="shared" ref="I290:J290" si="847">E290/24</f>
        <v>814.3333333</v>
      </c>
      <c r="J290" s="16">
        <f t="shared" si="847"/>
        <v>727.0833333</v>
      </c>
      <c r="K290" s="16">
        <f t="shared" ref="K290:L290" si="848">E290/125</f>
        <v>156.352</v>
      </c>
      <c r="L290" s="16">
        <f t="shared" si="848"/>
        <v>139.6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ht="15.75" customHeight="1">
      <c r="A291" s="1"/>
      <c r="B291" s="1" t="s">
        <v>513</v>
      </c>
      <c r="C291" s="1" t="s">
        <v>526</v>
      </c>
      <c r="D291" s="12">
        <v>0.0</v>
      </c>
      <c r="E291" s="18">
        <f t="shared" si="770"/>
        <v>22344</v>
      </c>
      <c r="F291" s="14">
        <v>19950.0</v>
      </c>
      <c r="G291" s="15">
        <f t="shared" ref="G291:H291" si="849">E291/94</f>
        <v>237.7021277</v>
      </c>
      <c r="H291" s="15">
        <f t="shared" si="849"/>
        <v>212.2340426</v>
      </c>
      <c r="I291" s="16">
        <f t="shared" ref="I291:J291" si="850">E291/24</f>
        <v>931</v>
      </c>
      <c r="J291" s="16">
        <f t="shared" si="850"/>
        <v>831.25</v>
      </c>
      <c r="K291" s="16">
        <f t="shared" ref="K291:L291" si="851">E291/125</f>
        <v>178.752</v>
      </c>
      <c r="L291" s="16">
        <f t="shared" si="851"/>
        <v>159.6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ht="15.75" customHeight="1">
      <c r="A292" s="3"/>
      <c r="B292" s="3" t="s">
        <v>515</v>
      </c>
      <c r="C292" s="3" t="s">
        <v>527</v>
      </c>
      <c r="D292" s="22">
        <v>0.0</v>
      </c>
      <c r="E292" s="18">
        <f t="shared" si="770"/>
        <v>26040</v>
      </c>
      <c r="F292" s="18">
        <v>23250.0</v>
      </c>
      <c r="G292" s="29">
        <f t="shared" ref="G292:H292" si="852">E292/94</f>
        <v>277.0212766</v>
      </c>
      <c r="H292" s="29">
        <f t="shared" si="852"/>
        <v>247.3404255</v>
      </c>
      <c r="I292" s="30">
        <f t="shared" ref="I292:J292" si="853">E292/24</f>
        <v>1085</v>
      </c>
      <c r="J292" s="30">
        <f t="shared" si="853"/>
        <v>968.75</v>
      </c>
      <c r="K292" s="30">
        <f t="shared" ref="K292:L292" si="854">E292/125</f>
        <v>208.32</v>
      </c>
      <c r="L292" s="30">
        <f t="shared" si="854"/>
        <v>186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ht="15.75" customHeight="1">
      <c r="A293" s="3"/>
      <c r="B293" s="3" t="s">
        <v>517</v>
      </c>
      <c r="C293" s="3" t="s">
        <v>528</v>
      </c>
      <c r="D293" s="22">
        <v>0.0</v>
      </c>
      <c r="E293" s="18">
        <f t="shared" si="770"/>
        <v>27888</v>
      </c>
      <c r="F293" s="18">
        <v>24900.0</v>
      </c>
      <c r="G293" s="29">
        <f t="shared" ref="G293:H293" si="855">E293/94</f>
        <v>296.6808511</v>
      </c>
      <c r="H293" s="29">
        <f t="shared" si="855"/>
        <v>264.893617</v>
      </c>
      <c r="I293" s="30">
        <f t="shared" ref="I293:J293" si="856">E293/24</f>
        <v>1162</v>
      </c>
      <c r="J293" s="30">
        <f t="shared" si="856"/>
        <v>1037.5</v>
      </c>
      <c r="K293" s="30">
        <f t="shared" ref="K293:L293" si="857">E293/125</f>
        <v>223.104</v>
      </c>
      <c r="L293" s="30">
        <f t="shared" si="857"/>
        <v>199.2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ht="15.0" customHeight="1">
      <c r="A294" s="1" t="s">
        <v>529</v>
      </c>
      <c r="B294" s="1" t="s">
        <v>530</v>
      </c>
      <c r="C294" s="17" t="s">
        <v>531</v>
      </c>
      <c r="D294" s="12">
        <v>0.0</v>
      </c>
      <c r="E294" s="18">
        <f t="shared" si="770"/>
        <v>91280</v>
      </c>
      <c r="F294" s="14">
        <v>81500.0</v>
      </c>
      <c r="G294" s="15">
        <f t="shared" ref="G294:H294" si="858">E294/94</f>
        <v>971.0638298</v>
      </c>
      <c r="H294" s="15">
        <f t="shared" si="858"/>
        <v>867.0212766</v>
      </c>
      <c r="I294" s="16">
        <f t="shared" ref="I294:J294" si="859">E294/24</f>
        <v>3803.333333</v>
      </c>
      <c r="J294" s="16">
        <f t="shared" si="859"/>
        <v>3395.833333</v>
      </c>
      <c r="K294" s="16">
        <f t="shared" ref="K294:L294" si="860">E294/125</f>
        <v>730.24</v>
      </c>
      <c r="L294" s="16">
        <f t="shared" si="860"/>
        <v>652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ht="15.75" customHeight="1">
      <c r="A295" s="1"/>
      <c r="B295" s="1" t="s">
        <v>532</v>
      </c>
      <c r="C295" s="17" t="s">
        <v>533</v>
      </c>
      <c r="D295" s="2">
        <v>1.0</v>
      </c>
      <c r="E295" s="18">
        <f t="shared" si="770"/>
        <v>100240</v>
      </c>
      <c r="F295" s="14">
        <v>89500.0</v>
      </c>
      <c r="G295" s="15">
        <f t="shared" ref="G295:H295" si="861">E295/94</f>
        <v>1066.382979</v>
      </c>
      <c r="H295" s="15">
        <f t="shared" si="861"/>
        <v>952.1276596</v>
      </c>
      <c r="I295" s="16">
        <f t="shared" ref="I295:J295" si="862">E295/24</f>
        <v>4176.666667</v>
      </c>
      <c r="J295" s="16">
        <f t="shared" si="862"/>
        <v>3729.166667</v>
      </c>
      <c r="K295" s="16">
        <f t="shared" ref="K295:L295" si="863">E295/125</f>
        <v>801.92</v>
      </c>
      <c r="L295" s="16">
        <f t="shared" si="863"/>
        <v>716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ht="15.75" customHeight="1">
      <c r="A296" s="1"/>
      <c r="B296" s="1" t="s">
        <v>534</v>
      </c>
      <c r="C296" s="17" t="s">
        <v>535</v>
      </c>
      <c r="D296" s="12">
        <v>0.0</v>
      </c>
      <c r="E296" s="18">
        <f t="shared" si="770"/>
        <v>109200</v>
      </c>
      <c r="F296" s="14">
        <v>97500.0</v>
      </c>
      <c r="G296" s="15">
        <f t="shared" ref="G296:H296" si="864">E296/94</f>
        <v>1161.702128</v>
      </c>
      <c r="H296" s="15">
        <f t="shared" si="864"/>
        <v>1037.234043</v>
      </c>
      <c r="I296" s="16">
        <f t="shared" ref="I296:J296" si="865">E296/24</f>
        <v>4550</v>
      </c>
      <c r="J296" s="16">
        <f t="shared" si="865"/>
        <v>4062.5</v>
      </c>
      <c r="K296" s="16">
        <f t="shared" ref="K296:L296" si="866">E296/125</f>
        <v>873.6</v>
      </c>
      <c r="L296" s="16">
        <f t="shared" si="866"/>
        <v>780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ht="15.75" customHeight="1">
      <c r="A297" s="1"/>
      <c r="B297" s="1" t="s">
        <v>536</v>
      </c>
      <c r="C297" s="17" t="s">
        <v>537</v>
      </c>
      <c r="D297" s="12">
        <v>0.0</v>
      </c>
      <c r="E297" s="18">
        <f t="shared" si="770"/>
        <v>118160</v>
      </c>
      <c r="F297" s="14">
        <v>105500.0</v>
      </c>
      <c r="G297" s="15">
        <f t="shared" ref="G297:H297" si="867">E297/94</f>
        <v>1257.021277</v>
      </c>
      <c r="H297" s="15">
        <f t="shared" si="867"/>
        <v>1122.340426</v>
      </c>
      <c r="I297" s="16">
        <f t="shared" ref="I297:J297" si="868">E297/24</f>
        <v>4923.333333</v>
      </c>
      <c r="J297" s="16">
        <f t="shared" si="868"/>
        <v>4395.833333</v>
      </c>
      <c r="K297" s="16">
        <f t="shared" ref="K297:L297" si="869">E297/125</f>
        <v>945.28</v>
      </c>
      <c r="L297" s="16">
        <f t="shared" si="869"/>
        <v>844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ht="15.0" customHeight="1">
      <c r="A298" s="1" t="s">
        <v>538</v>
      </c>
      <c r="B298" s="1" t="s">
        <v>539</v>
      </c>
      <c r="C298" s="24" t="s">
        <v>540</v>
      </c>
      <c r="D298" s="22">
        <v>0.0</v>
      </c>
      <c r="E298" s="18">
        <f t="shared" si="770"/>
        <v>47028.8</v>
      </c>
      <c r="F298" s="14">
        <v>41990.0</v>
      </c>
      <c r="G298" s="15">
        <f t="shared" ref="G298:H298" si="870">E298/94</f>
        <v>500.306383</v>
      </c>
      <c r="H298" s="15">
        <f t="shared" si="870"/>
        <v>446.7021277</v>
      </c>
      <c r="I298" s="16">
        <f t="shared" ref="I298:J298" si="871">E298/24</f>
        <v>1959.533333</v>
      </c>
      <c r="J298" s="16">
        <f t="shared" si="871"/>
        <v>1749.583333</v>
      </c>
      <c r="K298" s="16">
        <f t="shared" ref="K298:L298" si="872">E298/125</f>
        <v>376.2304</v>
      </c>
      <c r="L298" s="16">
        <f t="shared" si="872"/>
        <v>335.92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ht="15.75" customHeight="1">
      <c r="A299" s="1"/>
      <c r="B299" s="1" t="s">
        <v>541</v>
      </c>
      <c r="C299" s="24" t="s">
        <v>542</v>
      </c>
      <c r="D299" s="22">
        <v>2.0</v>
      </c>
      <c r="E299" s="18">
        <f t="shared" si="770"/>
        <v>41428.8</v>
      </c>
      <c r="F299" s="14">
        <v>36990.0</v>
      </c>
      <c r="G299" s="15">
        <f t="shared" ref="G299:H299" si="873">E299/94</f>
        <v>440.7319149</v>
      </c>
      <c r="H299" s="15">
        <f t="shared" si="873"/>
        <v>393.5106383</v>
      </c>
      <c r="I299" s="16">
        <f t="shared" ref="I299:J299" si="874">E299/24</f>
        <v>1726.2</v>
      </c>
      <c r="J299" s="16">
        <f t="shared" si="874"/>
        <v>1541.25</v>
      </c>
      <c r="K299" s="16">
        <f t="shared" ref="K299:L299" si="875">E299/125</f>
        <v>331.4304</v>
      </c>
      <c r="L299" s="16">
        <f t="shared" si="875"/>
        <v>295.92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ht="15.75" customHeight="1">
      <c r="A300" s="1"/>
      <c r="B300" s="1" t="s">
        <v>543</v>
      </c>
      <c r="C300" s="24" t="s">
        <v>544</v>
      </c>
      <c r="D300" s="22">
        <v>0.0</v>
      </c>
      <c r="E300" s="18">
        <f t="shared" si="770"/>
        <v>38628.8</v>
      </c>
      <c r="F300" s="14">
        <v>34490.0</v>
      </c>
      <c r="G300" s="15">
        <f t="shared" ref="G300:H300" si="876">E300/94</f>
        <v>410.9446809</v>
      </c>
      <c r="H300" s="15">
        <f t="shared" si="876"/>
        <v>366.9148936</v>
      </c>
      <c r="I300" s="16">
        <f t="shared" ref="I300:J300" si="877">E300/24</f>
        <v>1609.533333</v>
      </c>
      <c r="J300" s="16">
        <f t="shared" si="877"/>
        <v>1437.083333</v>
      </c>
      <c r="K300" s="16">
        <f t="shared" ref="K300:L300" si="878">E300/125</f>
        <v>309.0304</v>
      </c>
      <c r="L300" s="16">
        <f t="shared" si="878"/>
        <v>275.92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ht="15.0" customHeight="1">
      <c r="A301" s="1" t="s">
        <v>545</v>
      </c>
      <c r="B301" s="1" t="s">
        <v>315</v>
      </c>
      <c r="C301" s="17" t="s">
        <v>546</v>
      </c>
      <c r="D301" s="12">
        <v>0.0</v>
      </c>
      <c r="E301" s="18">
        <f t="shared" si="770"/>
        <v>1892.8</v>
      </c>
      <c r="F301" s="14">
        <v>1690.0</v>
      </c>
      <c r="G301" s="15">
        <f t="shared" ref="G301:H301" si="879">E301/94</f>
        <v>20.13617021</v>
      </c>
      <c r="H301" s="15">
        <f t="shared" si="879"/>
        <v>17.9787234</v>
      </c>
      <c r="I301" s="16">
        <f t="shared" ref="I301:J301" si="880">E301/24</f>
        <v>78.86666667</v>
      </c>
      <c r="J301" s="16">
        <f t="shared" si="880"/>
        <v>70.41666667</v>
      </c>
      <c r="K301" s="16">
        <f t="shared" ref="K301:L301" si="881">E301/125</f>
        <v>15.1424</v>
      </c>
      <c r="L301" s="16">
        <f t="shared" si="881"/>
        <v>13.52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ht="15.75" customHeight="1">
      <c r="A302" s="1"/>
      <c r="B302" s="1" t="s">
        <v>317</v>
      </c>
      <c r="C302" s="17" t="s">
        <v>547</v>
      </c>
      <c r="D302" s="12">
        <v>0.0</v>
      </c>
      <c r="E302" s="18">
        <f t="shared" si="770"/>
        <v>2228.8</v>
      </c>
      <c r="F302" s="14">
        <v>1990.0</v>
      </c>
      <c r="G302" s="15">
        <f t="shared" ref="G302:H302" si="882">E302/94</f>
        <v>23.7106383</v>
      </c>
      <c r="H302" s="15">
        <f t="shared" si="882"/>
        <v>21.17021277</v>
      </c>
      <c r="I302" s="16">
        <f t="shared" ref="I302:J302" si="883">E302/24</f>
        <v>92.86666667</v>
      </c>
      <c r="J302" s="16">
        <f t="shared" si="883"/>
        <v>82.91666667</v>
      </c>
      <c r="K302" s="16">
        <f t="shared" ref="K302:L302" si="884">E302/125</f>
        <v>17.8304</v>
      </c>
      <c r="L302" s="16">
        <f t="shared" si="884"/>
        <v>15.92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ht="15.75" customHeight="1">
      <c r="A303" s="1"/>
      <c r="B303" s="1" t="s">
        <v>319</v>
      </c>
      <c r="C303" s="17" t="s">
        <v>548</v>
      </c>
      <c r="D303" s="12">
        <v>0.0</v>
      </c>
      <c r="E303" s="18">
        <f t="shared" si="770"/>
        <v>2564.8</v>
      </c>
      <c r="F303" s="14">
        <v>2290.0</v>
      </c>
      <c r="G303" s="15">
        <f t="shared" ref="G303:H303" si="885">E303/94</f>
        <v>27.28510638</v>
      </c>
      <c r="H303" s="15">
        <f t="shared" si="885"/>
        <v>24.36170213</v>
      </c>
      <c r="I303" s="16">
        <f t="shared" ref="I303:J303" si="886">E303/24</f>
        <v>106.8666667</v>
      </c>
      <c r="J303" s="16">
        <f t="shared" si="886"/>
        <v>95.41666667</v>
      </c>
      <c r="K303" s="16">
        <f t="shared" ref="K303:L303" si="887">E303/125</f>
        <v>20.5184</v>
      </c>
      <c r="L303" s="16">
        <f t="shared" si="887"/>
        <v>18.32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ht="15.75" customHeight="1">
      <c r="A304" s="1" t="s">
        <v>549</v>
      </c>
      <c r="B304" s="1"/>
      <c r="C304" s="17" t="s">
        <v>550</v>
      </c>
      <c r="D304" s="12">
        <v>0.0</v>
      </c>
      <c r="E304" s="18" t="str">
        <f t="shared" si="770"/>
        <v>#REF!</v>
      </c>
      <c r="F304" s="14" t="str">
        <f>E304-(E304*7%)</f>
        <v>#REF!</v>
      </c>
      <c r="G304" s="15" t="str">
        <f t="shared" ref="G304:H304" si="888">E304/94</f>
        <v>#REF!</v>
      </c>
      <c r="H304" s="15" t="str">
        <f t="shared" si="888"/>
        <v>#REF!</v>
      </c>
      <c r="I304" s="16" t="str">
        <f t="shared" ref="I304:J304" si="889">E304/24</f>
        <v>#REF!</v>
      </c>
      <c r="J304" s="16" t="str">
        <f t="shared" si="889"/>
        <v>#REF!</v>
      </c>
      <c r="K304" s="16" t="str">
        <f t="shared" ref="K304:L304" si="890">E304/125</f>
        <v>#REF!</v>
      </c>
      <c r="L304" s="16" t="str">
        <f t="shared" si="890"/>
        <v>#REF!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ht="15.0" customHeight="1">
      <c r="A305" s="1" t="s">
        <v>551</v>
      </c>
      <c r="B305" s="1" t="s">
        <v>501</v>
      </c>
      <c r="C305" s="1" t="s">
        <v>552</v>
      </c>
      <c r="D305" s="12">
        <v>0.0</v>
      </c>
      <c r="E305" s="13">
        <v>10300.0</v>
      </c>
      <c r="F305" s="14">
        <v>9250.0</v>
      </c>
      <c r="G305" s="15">
        <f t="shared" ref="G305:H305" si="891">E305/94</f>
        <v>109.5744681</v>
      </c>
      <c r="H305" s="15">
        <f t="shared" si="891"/>
        <v>98.40425532</v>
      </c>
      <c r="I305" s="16">
        <f t="shared" ref="I305:J305" si="892">E305/24</f>
        <v>429.1666667</v>
      </c>
      <c r="J305" s="16">
        <f t="shared" si="892"/>
        <v>385.4166667</v>
      </c>
      <c r="K305" s="16">
        <f t="shared" ref="K305:L305" si="893">E305/125</f>
        <v>82.4</v>
      </c>
      <c r="L305" s="16">
        <f t="shared" si="893"/>
        <v>74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ht="15.75" customHeight="1">
      <c r="A306" s="1"/>
      <c r="B306" s="1" t="s">
        <v>505</v>
      </c>
      <c r="C306" s="1" t="s">
        <v>553</v>
      </c>
      <c r="D306" s="12">
        <v>0.0</v>
      </c>
      <c r="E306" s="13">
        <v>12900.0</v>
      </c>
      <c r="F306" s="14">
        <v>11450.0</v>
      </c>
      <c r="G306" s="15">
        <f t="shared" ref="G306:H306" si="894">E306/94</f>
        <v>137.2340426</v>
      </c>
      <c r="H306" s="15">
        <f t="shared" si="894"/>
        <v>121.8085106</v>
      </c>
      <c r="I306" s="16">
        <f t="shared" ref="I306:J306" si="895">E306/24</f>
        <v>537.5</v>
      </c>
      <c r="J306" s="16">
        <f t="shared" si="895"/>
        <v>477.0833333</v>
      </c>
      <c r="K306" s="16">
        <f t="shared" ref="K306:L306" si="896">E306/125</f>
        <v>103.2</v>
      </c>
      <c r="L306" s="16">
        <f t="shared" si="896"/>
        <v>91.6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ht="15.0" customHeight="1">
      <c r="A307" s="17" t="s">
        <v>554</v>
      </c>
      <c r="B307" s="1" t="s">
        <v>555</v>
      </c>
      <c r="C307" s="24" t="s">
        <v>556</v>
      </c>
      <c r="D307" s="23">
        <v>1.0</v>
      </c>
      <c r="E307" s="13">
        <v>9990.0</v>
      </c>
      <c r="F307" s="14">
        <v>8990.0</v>
      </c>
      <c r="G307" s="15">
        <f t="shared" ref="G307:H307" si="897">E307/94</f>
        <v>106.2765957</v>
      </c>
      <c r="H307" s="15">
        <f t="shared" si="897"/>
        <v>95.63829787</v>
      </c>
      <c r="I307" s="16">
        <f t="shared" ref="I307:J307" si="898">E307/24</f>
        <v>416.25</v>
      </c>
      <c r="J307" s="16">
        <f t="shared" si="898"/>
        <v>374.5833333</v>
      </c>
      <c r="K307" s="16">
        <f t="shared" ref="K307:L307" si="899">E307/125</f>
        <v>79.92</v>
      </c>
      <c r="L307" s="16">
        <f t="shared" si="899"/>
        <v>71.92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ht="15.75" customHeight="1">
      <c r="A308" s="1"/>
      <c r="B308" s="1" t="s">
        <v>557</v>
      </c>
      <c r="C308" s="24" t="s">
        <v>558</v>
      </c>
      <c r="D308" s="23">
        <v>1.0</v>
      </c>
      <c r="E308" s="13">
        <v>10990.0</v>
      </c>
      <c r="F308" s="20">
        <v>9990.0</v>
      </c>
      <c r="G308" s="15">
        <f t="shared" ref="G308:H308" si="900">E308/94</f>
        <v>116.9148936</v>
      </c>
      <c r="H308" s="15">
        <f t="shared" si="900"/>
        <v>106.2765957</v>
      </c>
      <c r="I308" s="16">
        <f t="shared" ref="I308:J308" si="901">E308/24</f>
        <v>457.9166667</v>
      </c>
      <c r="J308" s="16">
        <f t="shared" si="901"/>
        <v>416.25</v>
      </c>
      <c r="K308" s="16">
        <f t="shared" ref="K308:L308" si="902">E308/125</f>
        <v>87.92</v>
      </c>
      <c r="L308" s="16">
        <f t="shared" si="902"/>
        <v>79.92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ht="15.75" customHeight="1">
      <c r="A309" s="1"/>
      <c r="B309" s="1" t="s">
        <v>559</v>
      </c>
      <c r="C309" s="24" t="s">
        <v>560</v>
      </c>
      <c r="D309" s="23">
        <v>0.0</v>
      </c>
      <c r="E309" s="13">
        <v>12290.0</v>
      </c>
      <c r="F309" s="14">
        <v>10990.0</v>
      </c>
      <c r="G309" s="15">
        <f t="shared" ref="G309:H309" si="903">E309/94</f>
        <v>130.7446809</v>
      </c>
      <c r="H309" s="15">
        <f t="shared" si="903"/>
        <v>116.9148936</v>
      </c>
      <c r="I309" s="16">
        <f t="shared" ref="I309:J309" si="904">E309/24</f>
        <v>512.0833333</v>
      </c>
      <c r="J309" s="16">
        <f t="shared" si="904"/>
        <v>457.9166667</v>
      </c>
      <c r="K309" s="16">
        <f t="shared" ref="K309:L309" si="905">E309/125</f>
        <v>98.32</v>
      </c>
      <c r="L309" s="16">
        <f t="shared" si="905"/>
        <v>87.92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ht="15.75" customHeight="1">
      <c r="A310" s="1"/>
      <c r="B310" s="1" t="s">
        <v>561</v>
      </c>
      <c r="C310" s="24" t="s">
        <v>562</v>
      </c>
      <c r="D310" s="23">
        <v>2.0</v>
      </c>
      <c r="E310" s="13">
        <v>13990.0</v>
      </c>
      <c r="F310" s="14">
        <v>11990.0</v>
      </c>
      <c r="G310" s="15">
        <f t="shared" ref="G310:H310" si="906">E310/94</f>
        <v>148.8297872</v>
      </c>
      <c r="H310" s="15">
        <f t="shared" si="906"/>
        <v>127.5531915</v>
      </c>
      <c r="I310" s="16">
        <f t="shared" ref="I310:J310" si="907">E310/24</f>
        <v>582.9166667</v>
      </c>
      <c r="J310" s="16">
        <f t="shared" si="907"/>
        <v>499.5833333</v>
      </c>
      <c r="K310" s="16">
        <f t="shared" ref="K310:L310" si="908">E310/125</f>
        <v>111.92</v>
      </c>
      <c r="L310" s="16">
        <f t="shared" si="908"/>
        <v>95.92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ht="15.75" customHeight="1">
      <c r="A311" s="1"/>
      <c r="B311" s="1" t="s">
        <v>563</v>
      </c>
      <c r="C311" s="24" t="s">
        <v>564</v>
      </c>
      <c r="D311" s="23">
        <v>1.0</v>
      </c>
      <c r="E311" s="13">
        <v>14490.0</v>
      </c>
      <c r="F311" s="14">
        <v>12990.0</v>
      </c>
      <c r="G311" s="15">
        <f t="shared" ref="G311:H311" si="909">E311/94</f>
        <v>154.1489362</v>
      </c>
      <c r="H311" s="15">
        <f t="shared" si="909"/>
        <v>138.1914894</v>
      </c>
      <c r="I311" s="16">
        <f t="shared" ref="I311:J311" si="910">E311/24</f>
        <v>603.75</v>
      </c>
      <c r="J311" s="16">
        <f t="shared" si="910"/>
        <v>541.25</v>
      </c>
      <c r="K311" s="16">
        <f t="shared" ref="K311:L311" si="911">E311/125</f>
        <v>115.92</v>
      </c>
      <c r="L311" s="16">
        <f t="shared" si="911"/>
        <v>103.92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ht="15.75" customHeight="1">
      <c r="A312" s="1"/>
      <c r="B312" s="1" t="s">
        <v>565</v>
      </c>
      <c r="C312" s="24" t="s">
        <v>566</v>
      </c>
      <c r="D312" s="23">
        <v>2.0</v>
      </c>
      <c r="E312" s="13">
        <v>16790.0</v>
      </c>
      <c r="F312" s="14">
        <v>14990.0</v>
      </c>
      <c r="G312" s="15">
        <f t="shared" ref="G312:H312" si="912">E312/94</f>
        <v>178.6170213</v>
      </c>
      <c r="H312" s="15">
        <f t="shared" si="912"/>
        <v>159.4680851</v>
      </c>
      <c r="I312" s="16">
        <f t="shared" ref="I312:J312" si="913">E312/24</f>
        <v>699.5833333</v>
      </c>
      <c r="J312" s="16">
        <f t="shared" si="913"/>
        <v>624.5833333</v>
      </c>
      <c r="K312" s="16">
        <f t="shared" ref="K312:L312" si="914">E312/125</f>
        <v>134.32</v>
      </c>
      <c r="L312" s="16">
        <f t="shared" si="914"/>
        <v>119.92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ht="15.75" customHeight="1">
      <c r="A313" s="1"/>
      <c r="B313" s="1" t="s">
        <v>567</v>
      </c>
      <c r="C313" s="24" t="s">
        <v>568</v>
      </c>
      <c r="D313" s="23">
        <v>1.0</v>
      </c>
      <c r="E313" s="13">
        <v>19990.0</v>
      </c>
      <c r="F313" s="14">
        <v>17990.0</v>
      </c>
      <c r="G313" s="15">
        <f t="shared" ref="G313:H313" si="915">E313/94</f>
        <v>212.6595745</v>
      </c>
      <c r="H313" s="15">
        <f t="shared" si="915"/>
        <v>191.3829787</v>
      </c>
      <c r="I313" s="16">
        <f t="shared" ref="I313:J313" si="916">E313/24</f>
        <v>832.9166667</v>
      </c>
      <c r="J313" s="16">
        <f t="shared" si="916"/>
        <v>749.5833333</v>
      </c>
      <c r="K313" s="16">
        <f t="shared" ref="K313:L313" si="917">E313/125</f>
        <v>159.92</v>
      </c>
      <c r="L313" s="16">
        <f t="shared" si="917"/>
        <v>143.92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ht="15.75" customHeight="1">
      <c r="A314" s="1"/>
      <c r="B314" s="1" t="s">
        <v>569</v>
      </c>
      <c r="C314" s="24" t="s">
        <v>570</v>
      </c>
      <c r="D314" s="22">
        <v>0.0</v>
      </c>
      <c r="E314" s="13">
        <v>111990.0</v>
      </c>
      <c r="F314" s="14">
        <v>99990.0</v>
      </c>
      <c r="G314" s="15">
        <f t="shared" ref="G314:H314" si="918">E314/94</f>
        <v>1191.382979</v>
      </c>
      <c r="H314" s="15">
        <f t="shared" si="918"/>
        <v>1063.723404</v>
      </c>
      <c r="I314" s="16">
        <f t="shared" ref="I314:J314" si="919">E314/24</f>
        <v>4666.25</v>
      </c>
      <c r="J314" s="16">
        <f t="shared" si="919"/>
        <v>4166.25</v>
      </c>
      <c r="K314" s="16">
        <f t="shared" ref="K314:L314" si="920">E314/125</f>
        <v>895.92</v>
      </c>
      <c r="L314" s="16">
        <f t="shared" si="920"/>
        <v>799.92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ht="15.0" customHeight="1">
      <c r="A315" s="17" t="s">
        <v>571</v>
      </c>
      <c r="B315" s="1" t="s">
        <v>555</v>
      </c>
      <c r="C315" s="24" t="s">
        <v>572</v>
      </c>
      <c r="D315" s="22">
        <v>0.0</v>
      </c>
      <c r="E315" s="13">
        <v>11800.0</v>
      </c>
      <c r="F315" s="20">
        <v>10990.0</v>
      </c>
      <c r="G315" s="15">
        <f t="shared" ref="G315:H315" si="921">E315/94</f>
        <v>125.5319149</v>
      </c>
      <c r="H315" s="15">
        <f t="shared" si="921"/>
        <v>116.9148936</v>
      </c>
      <c r="I315" s="16">
        <f t="shared" ref="I315:J315" si="922">E315/24</f>
        <v>491.6666667</v>
      </c>
      <c r="J315" s="16">
        <f t="shared" si="922"/>
        <v>457.9166667</v>
      </c>
      <c r="K315" s="16">
        <f t="shared" ref="K315:L315" si="923">E315/125</f>
        <v>94.4</v>
      </c>
      <c r="L315" s="16">
        <f t="shared" si="923"/>
        <v>87.92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ht="15.75" customHeight="1">
      <c r="A316" s="1"/>
      <c r="B316" s="1" t="s">
        <v>557</v>
      </c>
      <c r="C316" s="24" t="s">
        <v>573</v>
      </c>
      <c r="D316" s="22">
        <v>0.0</v>
      </c>
      <c r="E316" s="13">
        <v>14300.0</v>
      </c>
      <c r="F316" s="20">
        <v>12490.0</v>
      </c>
      <c r="G316" s="15">
        <f t="shared" ref="G316:H316" si="924">E316/94</f>
        <v>152.1276596</v>
      </c>
      <c r="H316" s="15">
        <f t="shared" si="924"/>
        <v>132.8723404</v>
      </c>
      <c r="I316" s="16">
        <f t="shared" ref="I316:J316" si="925">E316/24</f>
        <v>595.8333333</v>
      </c>
      <c r="J316" s="16">
        <f t="shared" si="925"/>
        <v>520.4166667</v>
      </c>
      <c r="K316" s="16">
        <f t="shared" ref="K316:L316" si="926">E316/125</f>
        <v>114.4</v>
      </c>
      <c r="L316" s="16">
        <f t="shared" si="926"/>
        <v>99.92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ht="15.75" customHeight="1">
      <c r="A317" s="1"/>
      <c r="B317" s="1" t="s">
        <v>559</v>
      </c>
      <c r="C317" s="24" t="s">
        <v>574</v>
      </c>
      <c r="D317" s="22">
        <v>0.0</v>
      </c>
      <c r="E317" s="13">
        <v>15990.0</v>
      </c>
      <c r="F317" s="20">
        <v>13490.0</v>
      </c>
      <c r="G317" s="15">
        <f t="shared" ref="G317:H317" si="927">E317/94</f>
        <v>170.106383</v>
      </c>
      <c r="H317" s="15">
        <f t="shared" si="927"/>
        <v>143.5106383</v>
      </c>
      <c r="I317" s="16">
        <f t="shared" ref="I317:J317" si="928">E317/24</f>
        <v>666.25</v>
      </c>
      <c r="J317" s="16">
        <f t="shared" si="928"/>
        <v>562.0833333</v>
      </c>
      <c r="K317" s="16">
        <f t="shared" ref="K317:L317" si="929">E317/125</f>
        <v>127.92</v>
      </c>
      <c r="L317" s="16">
        <f t="shared" si="929"/>
        <v>107.92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ht="15.75" customHeight="1">
      <c r="A318" s="1"/>
      <c r="B318" s="1" t="s">
        <v>561</v>
      </c>
      <c r="C318" s="24" t="s">
        <v>575</v>
      </c>
      <c r="D318" s="22">
        <v>0.0</v>
      </c>
      <c r="E318" s="13">
        <v>16990.0</v>
      </c>
      <c r="F318" s="20">
        <v>14990.0</v>
      </c>
      <c r="G318" s="15">
        <f t="shared" ref="G318:H318" si="930">E318/94</f>
        <v>180.7446809</v>
      </c>
      <c r="H318" s="15">
        <f t="shared" si="930"/>
        <v>159.4680851</v>
      </c>
      <c r="I318" s="16">
        <f t="shared" ref="I318:J318" si="931">E318/24</f>
        <v>707.9166667</v>
      </c>
      <c r="J318" s="16">
        <f t="shared" si="931"/>
        <v>624.5833333</v>
      </c>
      <c r="K318" s="16">
        <f t="shared" ref="K318:L318" si="932">E318/125</f>
        <v>135.92</v>
      </c>
      <c r="L318" s="16">
        <f t="shared" si="932"/>
        <v>119.92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ht="15.75" customHeight="1">
      <c r="A319" s="1"/>
      <c r="B319" s="1" t="s">
        <v>563</v>
      </c>
      <c r="C319" s="24" t="s">
        <v>576</v>
      </c>
      <c r="D319" s="22">
        <v>0.0</v>
      </c>
      <c r="E319" s="13">
        <v>17990.0</v>
      </c>
      <c r="F319" s="20">
        <v>15990.0</v>
      </c>
      <c r="G319" s="15">
        <f t="shared" ref="G319:H319" si="933">E319/94</f>
        <v>191.3829787</v>
      </c>
      <c r="H319" s="15">
        <f t="shared" si="933"/>
        <v>170.106383</v>
      </c>
      <c r="I319" s="16">
        <f t="shared" ref="I319:J319" si="934">E319/24</f>
        <v>749.5833333</v>
      </c>
      <c r="J319" s="16">
        <f t="shared" si="934"/>
        <v>666.25</v>
      </c>
      <c r="K319" s="16">
        <f t="shared" ref="K319:L319" si="935">E319/125</f>
        <v>143.92</v>
      </c>
      <c r="L319" s="16">
        <f t="shared" si="935"/>
        <v>127.92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ht="15.75" customHeight="1">
      <c r="A320" s="1"/>
      <c r="B320" s="1" t="s">
        <v>565</v>
      </c>
      <c r="C320" s="24" t="s">
        <v>577</v>
      </c>
      <c r="D320" s="22">
        <v>0.0</v>
      </c>
      <c r="E320" s="13">
        <v>18990.0</v>
      </c>
      <c r="F320" s="20">
        <v>16990.0</v>
      </c>
      <c r="G320" s="15">
        <f t="shared" ref="G320:H320" si="936">E320/94</f>
        <v>202.0212766</v>
      </c>
      <c r="H320" s="15">
        <f t="shared" si="936"/>
        <v>180.7446809</v>
      </c>
      <c r="I320" s="16">
        <f t="shared" ref="I320:J320" si="937">E320/24</f>
        <v>791.25</v>
      </c>
      <c r="J320" s="16">
        <f t="shared" si="937"/>
        <v>707.9166667</v>
      </c>
      <c r="K320" s="16">
        <f t="shared" ref="K320:L320" si="938">E320/125</f>
        <v>151.92</v>
      </c>
      <c r="L320" s="16">
        <f t="shared" si="938"/>
        <v>135.92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ht="15.75" customHeight="1">
      <c r="A321" s="1"/>
      <c r="B321" s="1" t="s">
        <v>567</v>
      </c>
      <c r="C321" s="24" t="s">
        <v>578</v>
      </c>
      <c r="D321" s="22">
        <v>0.0</v>
      </c>
      <c r="E321" s="13">
        <v>21490.0</v>
      </c>
      <c r="F321" s="20">
        <v>18990.0</v>
      </c>
      <c r="G321" s="15">
        <f t="shared" ref="G321:H321" si="939">E321/94</f>
        <v>228.6170213</v>
      </c>
      <c r="H321" s="15">
        <f t="shared" si="939"/>
        <v>202.0212766</v>
      </c>
      <c r="I321" s="16">
        <f t="shared" ref="I321:J321" si="940">E321/24</f>
        <v>895.4166667</v>
      </c>
      <c r="J321" s="16">
        <f t="shared" si="940"/>
        <v>791.25</v>
      </c>
      <c r="K321" s="16">
        <f t="shared" ref="K321:L321" si="941">E321/125</f>
        <v>171.92</v>
      </c>
      <c r="L321" s="16">
        <f t="shared" si="941"/>
        <v>151.92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ht="15.75" customHeight="1">
      <c r="A322" s="1"/>
      <c r="B322" s="1" t="s">
        <v>569</v>
      </c>
      <c r="C322" s="24" t="s">
        <v>579</v>
      </c>
      <c r="D322" s="22">
        <v>0.0</v>
      </c>
      <c r="E322" s="13">
        <v>129900.0</v>
      </c>
      <c r="F322" s="20">
        <v>114990.0</v>
      </c>
      <c r="G322" s="15">
        <f t="shared" ref="G322:H322" si="942">E322/94</f>
        <v>1381.914894</v>
      </c>
      <c r="H322" s="15">
        <f t="shared" si="942"/>
        <v>1223.297872</v>
      </c>
      <c r="I322" s="16">
        <f t="shared" ref="I322:J322" si="943">E322/24</f>
        <v>5412.5</v>
      </c>
      <c r="J322" s="16">
        <f t="shared" si="943"/>
        <v>4791.25</v>
      </c>
      <c r="K322" s="16">
        <f t="shared" ref="K322:L322" si="944">E322/125</f>
        <v>1039.2</v>
      </c>
      <c r="L322" s="16">
        <f t="shared" si="944"/>
        <v>919.92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ht="15.75" customHeight="1">
      <c r="A323" s="17" t="s">
        <v>580</v>
      </c>
      <c r="B323" s="1" t="s">
        <v>581</v>
      </c>
      <c r="C323" s="24" t="s">
        <v>582</v>
      </c>
      <c r="D323" s="22">
        <v>1.0</v>
      </c>
      <c r="E323" s="13">
        <v>11990.0</v>
      </c>
      <c r="F323" s="20">
        <v>9990.0</v>
      </c>
      <c r="G323" s="15">
        <f t="shared" ref="G323:H323" si="945">E323/94</f>
        <v>127.5531915</v>
      </c>
      <c r="H323" s="15">
        <f t="shared" si="945"/>
        <v>106.2765957</v>
      </c>
      <c r="I323" s="16">
        <f t="shared" ref="I323:J323" si="946">E323/24</f>
        <v>499.5833333</v>
      </c>
      <c r="J323" s="16">
        <f t="shared" si="946"/>
        <v>416.25</v>
      </c>
      <c r="K323" s="16">
        <f t="shared" ref="K323:L323" si="947">E323/125</f>
        <v>95.92</v>
      </c>
      <c r="L323" s="16">
        <f t="shared" si="947"/>
        <v>79.92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ht="15.75" customHeight="1">
      <c r="A324" s="3" t="s">
        <v>583</v>
      </c>
      <c r="B324" s="31" t="s">
        <v>584</v>
      </c>
      <c r="C324" s="32"/>
      <c r="D324" s="22">
        <v>0.0</v>
      </c>
      <c r="E324" s="13">
        <v>23000.0</v>
      </c>
      <c r="F324" s="20">
        <v>19990.0</v>
      </c>
      <c r="G324" s="15">
        <f t="shared" ref="G324:H324" si="948">E324/94</f>
        <v>244.6808511</v>
      </c>
      <c r="H324" s="15">
        <f t="shared" si="948"/>
        <v>212.6595745</v>
      </c>
      <c r="I324" s="16">
        <f t="shared" ref="I324:J324" si="949">E324/24</f>
        <v>958.3333333</v>
      </c>
      <c r="J324" s="16">
        <f t="shared" si="949"/>
        <v>832.9166667</v>
      </c>
      <c r="K324" s="16">
        <f t="shared" ref="K324:L324" si="950">E324/125</f>
        <v>184</v>
      </c>
      <c r="L324" s="16">
        <f t="shared" si="950"/>
        <v>159.92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ht="15.75" customHeight="1">
      <c r="B325" s="3" t="s">
        <v>585</v>
      </c>
      <c r="C325" s="32" t="s">
        <v>586</v>
      </c>
      <c r="D325" s="22">
        <v>0.0</v>
      </c>
      <c r="E325" s="18">
        <f t="shared" ref="E325:E337" si="954">F325+(F325*12%)</f>
        <v>29680</v>
      </c>
      <c r="F325" s="20">
        <v>26500.0</v>
      </c>
      <c r="G325" s="15">
        <f t="shared" ref="G325:H325" si="951">E325/94</f>
        <v>315.7446809</v>
      </c>
      <c r="H325" s="15">
        <f t="shared" si="951"/>
        <v>281.9148936</v>
      </c>
      <c r="I325" s="16">
        <f t="shared" ref="I325:J325" si="952">E325/24</f>
        <v>1236.666667</v>
      </c>
      <c r="J325" s="16">
        <f t="shared" si="952"/>
        <v>1104.166667</v>
      </c>
      <c r="K325" s="16">
        <f t="shared" ref="K325:L325" si="953">E325/125</f>
        <v>237.44</v>
      </c>
      <c r="L325" s="16">
        <f t="shared" si="953"/>
        <v>212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ht="15.75" customHeight="1">
      <c r="A326" s="3"/>
      <c r="B326" s="3" t="s">
        <v>587</v>
      </c>
      <c r="C326" s="32" t="s">
        <v>588</v>
      </c>
      <c r="D326" s="22">
        <v>0.0</v>
      </c>
      <c r="E326" s="18">
        <f t="shared" si="954"/>
        <v>38640</v>
      </c>
      <c r="F326" s="20">
        <v>34500.0</v>
      </c>
      <c r="G326" s="15">
        <f t="shared" ref="G326:H326" si="955">E326/94</f>
        <v>411.0638298</v>
      </c>
      <c r="H326" s="15">
        <f t="shared" si="955"/>
        <v>367.0212766</v>
      </c>
      <c r="I326" s="16">
        <f t="shared" ref="I326:J326" si="956">E326/24</f>
        <v>1610</v>
      </c>
      <c r="J326" s="16">
        <f t="shared" si="956"/>
        <v>1437.5</v>
      </c>
      <c r="K326" s="16">
        <f t="shared" ref="K326:L326" si="957">E326/125</f>
        <v>309.12</v>
      </c>
      <c r="L326" s="16">
        <f t="shared" si="957"/>
        <v>276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ht="15.75" customHeight="1">
      <c r="A327" s="3"/>
      <c r="B327" s="3" t="s">
        <v>589</v>
      </c>
      <c r="C327" s="32" t="s">
        <v>590</v>
      </c>
      <c r="D327" s="22">
        <v>0.0</v>
      </c>
      <c r="E327" s="18">
        <f t="shared" si="954"/>
        <v>44788.8</v>
      </c>
      <c r="F327" s="20">
        <v>39990.0</v>
      </c>
      <c r="G327" s="15">
        <f t="shared" ref="G327:H327" si="958">E327/94</f>
        <v>476.4765957</v>
      </c>
      <c r="H327" s="15">
        <f t="shared" si="958"/>
        <v>425.4255319</v>
      </c>
      <c r="I327" s="16">
        <f t="shared" ref="I327:J327" si="959">E327/24</f>
        <v>1866.2</v>
      </c>
      <c r="J327" s="16">
        <f t="shared" si="959"/>
        <v>1666.25</v>
      </c>
      <c r="K327" s="16">
        <f t="shared" ref="K327:L327" si="960">E327/125</f>
        <v>358.3104</v>
      </c>
      <c r="L327" s="16">
        <f t="shared" si="960"/>
        <v>319.92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ht="15.75" customHeight="1">
      <c r="A328" s="3"/>
      <c r="B328" s="3" t="s">
        <v>591</v>
      </c>
      <c r="C328" s="32" t="s">
        <v>592</v>
      </c>
      <c r="D328" s="22">
        <v>0.0</v>
      </c>
      <c r="E328" s="18">
        <f t="shared" si="954"/>
        <v>55988.8</v>
      </c>
      <c r="F328" s="20">
        <v>49990.0</v>
      </c>
      <c r="G328" s="15">
        <f t="shared" ref="G328:H328" si="961">E328/94</f>
        <v>595.6255319</v>
      </c>
      <c r="H328" s="15">
        <f t="shared" si="961"/>
        <v>531.8085106</v>
      </c>
      <c r="I328" s="16">
        <f t="shared" ref="I328:J328" si="962">E328/24</f>
        <v>2332.866667</v>
      </c>
      <c r="J328" s="16">
        <f t="shared" si="962"/>
        <v>2082.916667</v>
      </c>
      <c r="K328" s="16">
        <f t="shared" ref="K328:L328" si="963">E328/125</f>
        <v>447.9104</v>
      </c>
      <c r="L328" s="16">
        <f t="shared" si="963"/>
        <v>399.92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ht="15.75" customHeight="1">
      <c r="A329" s="3"/>
      <c r="B329" s="3" t="s">
        <v>593</v>
      </c>
      <c r="C329" s="32" t="s">
        <v>594</v>
      </c>
      <c r="D329" s="22">
        <v>0.0</v>
      </c>
      <c r="E329" s="18">
        <f t="shared" si="954"/>
        <v>73360</v>
      </c>
      <c r="F329" s="13">
        <v>65500.0</v>
      </c>
      <c r="G329" s="15">
        <f t="shared" ref="G329:H329" si="964">E329/94</f>
        <v>780.4255319</v>
      </c>
      <c r="H329" s="15">
        <f t="shared" si="964"/>
        <v>696.8085106</v>
      </c>
      <c r="I329" s="16">
        <f t="shared" ref="I329:J329" si="965">E329/24</f>
        <v>3056.666667</v>
      </c>
      <c r="J329" s="16">
        <f t="shared" si="965"/>
        <v>2729.166667</v>
      </c>
      <c r="K329" s="16">
        <f t="shared" ref="K329:L329" si="966">E329/125</f>
        <v>586.88</v>
      </c>
      <c r="L329" s="16">
        <f t="shared" si="966"/>
        <v>524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ht="15.75" customHeight="1">
      <c r="A330" s="3"/>
      <c r="B330" s="3" t="s">
        <v>595</v>
      </c>
      <c r="C330" s="32" t="s">
        <v>596</v>
      </c>
      <c r="D330" s="22">
        <v>1.0</v>
      </c>
      <c r="E330" s="18">
        <f t="shared" si="954"/>
        <v>98000</v>
      </c>
      <c r="F330" s="13">
        <v>87500.0</v>
      </c>
      <c r="G330" s="15">
        <f t="shared" ref="G330:H330" si="967">E330/94</f>
        <v>1042.553191</v>
      </c>
      <c r="H330" s="15">
        <f t="shared" si="967"/>
        <v>930.8510638</v>
      </c>
      <c r="I330" s="16">
        <f t="shared" ref="I330:J330" si="968">E330/24</f>
        <v>4083.333333</v>
      </c>
      <c r="J330" s="16">
        <f t="shared" si="968"/>
        <v>3645.833333</v>
      </c>
      <c r="K330" s="16">
        <f t="shared" ref="K330:L330" si="969">E330/125</f>
        <v>784</v>
      </c>
      <c r="L330" s="16">
        <f t="shared" si="969"/>
        <v>700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ht="15.75" customHeight="1">
      <c r="A331" s="3"/>
      <c r="B331" s="3" t="s">
        <v>597</v>
      </c>
      <c r="C331" s="32" t="s">
        <v>598</v>
      </c>
      <c r="D331" s="22">
        <v>1.0</v>
      </c>
      <c r="E331" s="18">
        <f t="shared" si="954"/>
        <v>109760</v>
      </c>
      <c r="F331" s="20">
        <v>98000.0</v>
      </c>
      <c r="G331" s="15">
        <f t="shared" ref="G331:H331" si="970">E331/94</f>
        <v>1167.659574</v>
      </c>
      <c r="H331" s="15">
        <f t="shared" si="970"/>
        <v>1042.553191</v>
      </c>
      <c r="I331" s="16">
        <f t="shared" ref="I331:J331" si="971">E331/24</f>
        <v>4573.333333</v>
      </c>
      <c r="J331" s="16">
        <f t="shared" si="971"/>
        <v>4083.333333</v>
      </c>
      <c r="K331" s="16">
        <f t="shared" ref="K331:L331" si="972">E331/125</f>
        <v>878.08</v>
      </c>
      <c r="L331" s="16">
        <f t="shared" si="972"/>
        <v>784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ht="15.75" customHeight="1">
      <c r="A332" s="1" t="s">
        <v>599</v>
      </c>
      <c r="B332" s="1" t="s">
        <v>585</v>
      </c>
      <c r="C332" s="33" t="s">
        <v>600</v>
      </c>
      <c r="D332" s="22">
        <v>0.0</v>
      </c>
      <c r="E332" s="18">
        <f t="shared" si="954"/>
        <v>22388.8</v>
      </c>
      <c r="F332" s="14">
        <v>19990.0</v>
      </c>
      <c r="G332" s="15">
        <f t="shared" ref="G332:H332" si="973">E332/94</f>
        <v>238.1787234</v>
      </c>
      <c r="H332" s="15">
        <f t="shared" si="973"/>
        <v>212.6595745</v>
      </c>
      <c r="I332" s="16">
        <f t="shared" ref="I332:J332" si="974">E332/24</f>
        <v>932.8666667</v>
      </c>
      <c r="J332" s="16">
        <f t="shared" si="974"/>
        <v>832.9166667</v>
      </c>
      <c r="K332" s="16">
        <f t="shared" ref="K332:L332" si="975">E332/125</f>
        <v>179.1104</v>
      </c>
      <c r="L332" s="16">
        <f t="shared" si="975"/>
        <v>159.92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ht="15.75" customHeight="1">
      <c r="A333" s="1"/>
      <c r="B333" s="1" t="s">
        <v>587</v>
      </c>
      <c r="C333" s="33" t="s">
        <v>601</v>
      </c>
      <c r="D333" s="22">
        <v>0.0</v>
      </c>
      <c r="E333" s="18">
        <f t="shared" si="954"/>
        <v>27988.8</v>
      </c>
      <c r="F333" s="14">
        <v>24990.0</v>
      </c>
      <c r="G333" s="15">
        <f t="shared" ref="G333:H333" si="976">E333/94</f>
        <v>297.7531915</v>
      </c>
      <c r="H333" s="15">
        <f t="shared" si="976"/>
        <v>265.8510638</v>
      </c>
      <c r="I333" s="16">
        <f t="shared" ref="I333:J333" si="977">E333/24</f>
        <v>1166.2</v>
      </c>
      <c r="J333" s="16">
        <f t="shared" si="977"/>
        <v>1041.25</v>
      </c>
      <c r="K333" s="16">
        <f t="shared" ref="K333:L333" si="978">E333/125</f>
        <v>223.9104</v>
      </c>
      <c r="L333" s="16">
        <f t="shared" si="978"/>
        <v>199.92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ht="15.75" customHeight="1">
      <c r="A334" s="1"/>
      <c r="B334" s="1" t="s">
        <v>589</v>
      </c>
      <c r="C334" s="33" t="s">
        <v>602</v>
      </c>
      <c r="D334" s="22">
        <v>0.0</v>
      </c>
      <c r="E334" s="18">
        <f t="shared" si="954"/>
        <v>36948.8</v>
      </c>
      <c r="F334" s="14">
        <v>32990.0</v>
      </c>
      <c r="G334" s="15">
        <f t="shared" ref="G334:H334" si="979">E334/94</f>
        <v>393.0723404</v>
      </c>
      <c r="H334" s="15">
        <f t="shared" si="979"/>
        <v>350.9574468</v>
      </c>
      <c r="I334" s="16">
        <f t="shared" ref="I334:J334" si="980">E334/24</f>
        <v>1539.533333</v>
      </c>
      <c r="J334" s="16">
        <f t="shared" si="980"/>
        <v>1374.583333</v>
      </c>
      <c r="K334" s="16">
        <f t="shared" ref="K334:L334" si="981">E334/125</f>
        <v>295.5904</v>
      </c>
      <c r="L334" s="16">
        <f t="shared" si="981"/>
        <v>263.92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ht="15.75" customHeight="1">
      <c r="A335" s="1"/>
      <c r="B335" s="1" t="s">
        <v>591</v>
      </c>
      <c r="C335" s="33" t="s">
        <v>603</v>
      </c>
      <c r="D335" s="22">
        <v>0.0</v>
      </c>
      <c r="E335" s="18">
        <f t="shared" si="954"/>
        <v>44788.8</v>
      </c>
      <c r="F335" s="14">
        <v>39990.0</v>
      </c>
      <c r="G335" s="15">
        <f t="shared" ref="G335:H335" si="982">E335/94</f>
        <v>476.4765957</v>
      </c>
      <c r="H335" s="15">
        <f t="shared" si="982"/>
        <v>425.4255319</v>
      </c>
      <c r="I335" s="16">
        <f t="shared" ref="I335:J335" si="983">E335/24</f>
        <v>1866.2</v>
      </c>
      <c r="J335" s="16">
        <f t="shared" si="983"/>
        <v>1666.25</v>
      </c>
      <c r="K335" s="16">
        <f t="shared" ref="K335:L335" si="984">E335/125</f>
        <v>358.3104</v>
      </c>
      <c r="L335" s="16">
        <f t="shared" si="984"/>
        <v>319.92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ht="15.75" customHeight="1">
      <c r="A336" s="1"/>
      <c r="B336" s="1" t="s">
        <v>593</v>
      </c>
      <c r="C336" s="33" t="s">
        <v>604</v>
      </c>
      <c r="D336" s="22">
        <v>0.0</v>
      </c>
      <c r="E336" s="18">
        <f t="shared" si="954"/>
        <v>67188.8</v>
      </c>
      <c r="F336" s="14">
        <v>59990.0</v>
      </c>
      <c r="G336" s="15">
        <f t="shared" ref="G336:H336" si="985">E336/94</f>
        <v>714.7744681</v>
      </c>
      <c r="H336" s="15">
        <f t="shared" si="985"/>
        <v>638.1914894</v>
      </c>
      <c r="I336" s="16">
        <f t="shared" ref="I336:J336" si="986">E336/24</f>
        <v>2799.533333</v>
      </c>
      <c r="J336" s="16">
        <f t="shared" si="986"/>
        <v>2499.583333</v>
      </c>
      <c r="K336" s="16">
        <f t="shared" ref="K336:L336" si="987">E336/125</f>
        <v>537.5104</v>
      </c>
      <c r="L336" s="16">
        <f t="shared" si="987"/>
        <v>479.92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ht="15.75" customHeight="1">
      <c r="A337" s="1"/>
      <c r="B337" s="1" t="s">
        <v>595</v>
      </c>
      <c r="C337" s="33" t="s">
        <v>605</v>
      </c>
      <c r="D337" s="22">
        <v>0.0</v>
      </c>
      <c r="E337" s="18">
        <f t="shared" si="954"/>
        <v>111988.8</v>
      </c>
      <c r="F337" s="14">
        <v>99990.0</v>
      </c>
      <c r="G337" s="15">
        <f t="shared" ref="G337:H337" si="988">E337/94</f>
        <v>1191.370213</v>
      </c>
      <c r="H337" s="15">
        <f t="shared" si="988"/>
        <v>1063.723404</v>
      </c>
      <c r="I337" s="16">
        <f t="shared" ref="I337:J337" si="989">E337/24</f>
        <v>4666.2</v>
      </c>
      <c r="J337" s="16">
        <f t="shared" si="989"/>
        <v>4166.25</v>
      </c>
      <c r="K337" s="16">
        <f t="shared" ref="K337:L337" si="990">E337/125</f>
        <v>895.9104</v>
      </c>
      <c r="L337" s="16">
        <f t="shared" si="990"/>
        <v>799.92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ht="15.75" customHeight="1">
      <c r="A338" s="1"/>
      <c r="B338" s="1" t="s">
        <v>597</v>
      </c>
      <c r="C338" s="33" t="s">
        <v>606</v>
      </c>
      <c r="D338" s="22">
        <v>0.0</v>
      </c>
      <c r="E338" s="13">
        <v>149000.0</v>
      </c>
      <c r="F338" s="20">
        <v>119000.0</v>
      </c>
      <c r="G338" s="15">
        <f t="shared" ref="G338:H338" si="991">E338/94</f>
        <v>1585.106383</v>
      </c>
      <c r="H338" s="15">
        <f t="shared" si="991"/>
        <v>1265.957447</v>
      </c>
      <c r="I338" s="16">
        <f t="shared" ref="I338:J338" si="992">E338/24</f>
        <v>6208.333333</v>
      </c>
      <c r="J338" s="16">
        <f t="shared" si="992"/>
        <v>4958.333333</v>
      </c>
      <c r="K338" s="16">
        <f t="shared" ref="K338:L338" si="993">E338/125</f>
        <v>1192</v>
      </c>
      <c r="L338" s="16">
        <f t="shared" si="993"/>
        <v>952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ht="15.75" customHeight="1">
      <c r="A339" s="3"/>
      <c r="B339" s="3" t="s">
        <v>607</v>
      </c>
      <c r="C339" s="32" t="s">
        <v>608</v>
      </c>
      <c r="D339" s="22">
        <v>0.0</v>
      </c>
      <c r="E339" s="18">
        <f t="shared" ref="E339:E430" si="997">F339+(F339*12%)</f>
        <v>42548.8</v>
      </c>
      <c r="F339" s="14">
        <v>37990.0</v>
      </c>
      <c r="G339" s="15">
        <f t="shared" ref="G339:H339" si="994">E339/94</f>
        <v>452.6468085</v>
      </c>
      <c r="H339" s="15">
        <f t="shared" si="994"/>
        <v>404.1489362</v>
      </c>
      <c r="I339" s="16">
        <f t="shared" ref="I339:J339" si="995">E339/24</f>
        <v>1772.866667</v>
      </c>
      <c r="J339" s="16">
        <f t="shared" si="995"/>
        <v>1582.916667</v>
      </c>
      <c r="K339" s="16">
        <f t="shared" ref="K339:L339" si="996">E339/125</f>
        <v>340.3904</v>
      </c>
      <c r="L339" s="16">
        <f t="shared" si="996"/>
        <v>303.92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ht="15.75" customHeight="1">
      <c r="A340" s="3" t="s">
        <v>609</v>
      </c>
      <c r="B340" s="3" t="s">
        <v>610</v>
      </c>
      <c r="C340" s="33" t="s">
        <v>611</v>
      </c>
      <c r="D340" s="22">
        <v>0.0</v>
      </c>
      <c r="E340" s="18">
        <f t="shared" si="997"/>
        <v>8612.8</v>
      </c>
      <c r="F340" s="14">
        <v>7690.0</v>
      </c>
      <c r="G340" s="15">
        <f t="shared" ref="G340:H340" si="998">E340/94</f>
        <v>91.62553191</v>
      </c>
      <c r="H340" s="15">
        <f t="shared" si="998"/>
        <v>81.80851064</v>
      </c>
      <c r="I340" s="16">
        <f t="shared" ref="I340:J340" si="999">E340/24</f>
        <v>358.8666667</v>
      </c>
      <c r="J340" s="16">
        <f t="shared" si="999"/>
        <v>320.4166667</v>
      </c>
      <c r="K340" s="16">
        <f t="shared" ref="K340:L340" si="1000">E340/125</f>
        <v>68.9024</v>
      </c>
      <c r="L340" s="16">
        <f t="shared" si="1000"/>
        <v>61.52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ht="15.75" customHeight="1">
      <c r="A341" s="3"/>
      <c r="B341" s="3" t="s">
        <v>612</v>
      </c>
      <c r="C341" s="32" t="s">
        <v>613</v>
      </c>
      <c r="D341" s="22">
        <v>0.0</v>
      </c>
      <c r="E341" s="18">
        <f t="shared" si="997"/>
        <v>11188.8</v>
      </c>
      <c r="F341" s="14">
        <v>9990.0</v>
      </c>
      <c r="G341" s="15">
        <f t="shared" ref="G341:H341" si="1001">E341/94</f>
        <v>119.0297872</v>
      </c>
      <c r="H341" s="15">
        <f t="shared" si="1001"/>
        <v>106.2765957</v>
      </c>
      <c r="I341" s="16">
        <f t="shared" ref="I341:J341" si="1002">E341/24</f>
        <v>466.2</v>
      </c>
      <c r="J341" s="16">
        <f t="shared" si="1002"/>
        <v>416.25</v>
      </c>
      <c r="K341" s="16">
        <f t="shared" ref="K341:L341" si="1003">E341/125</f>
        <v>89.5104</v>
      </c>
      <c r="L341" s="16">
        <f t="shared" si="1003"/>
        <v>79.92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ht="15.75" customHeight="1">
      <c r="A342" s="3"/>
      <c r="B342" s="3" t="s">
        <v>614</v>
      </c>
      <c r="C342" s="32" t="s">
        <v>615</v>
      </c>
      <c r="D342" s="22">
        <v>0.0</v>
      </c>
      <c r="E342" s="18">
        <f t="shared" si="997"/>
        <v>13428.8</v>
      </c>
      <c r="F342" s="14">
        <v>11990.0</v>
      </c>
      <c r="G342" s="15">
        <f t="shared" ref="G342:H342" si="1004">E342/94</f>
        <v>142.8595745</v>
      </c>
      <c r="H342" s="15">
        <f t="shared" si="1004"/>
        <v>127.5531915</v>
      </c>
      <c r="I342" s="16">
        <f t="shared" ref="I342:J342" si="1005">E342/24</f>
        <v>559.5333333</v>
      </c>
      <c r="J342" s="16">
        <f t="shared" si="1005"/>
        <v>499.5833333</v>
      </c>
      <c r="K342" s="16">
        <f t="shared" ref="K342:L342" si="1006">E342/125</f>
        <v>107.4304</v>
      </c>
      <c r="L342" s="16">
        <f t="shared" si="1006"/>
        <v>95.92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ht="15.75" customHeight="1">
      <c r="A343" s="3"/>
      <c r="B343" s="3" t="s">
        <v>616</v>
      </c>
      <c r="C343" s="32" t="s">
        <v>617</v>
      </c>
      <c r="D343" s="22">
        <v>0.0</v>
      </c>
      <c r="E343" s="18">
        <f t="shared" si="997"/>
        <v>39188.8</v>
      </c>
      <c r="F343" s="14">
        <v>34990.0</v>
      </c>
      <c r="G343" s="15">
        <f t="shared" ref="G343:H343" si="1007">E343/94</f>
        <v>416.9021277</v>
      </c>
      <c r="H343" s="15">
        <f t="shared" si="1007"/>
        <v>372.2340426</v>
      </c>
      <c r="I343" s="16">
        <f t="shared" ref="I343:J343" si="1008">E343/24</f>
        <v>1632.866667</v>
      </c>
      <c r="J343" s="16">
        <f t="shared" si="1008"/>
        <v>1457.916667</v>
      </c>
      <c r="K343" s="16">
        <f t="shared" ref="K343:L343" si="1009">E343/125</f>
        <v>313.5104</v>
      </c>
      <c r="L343" s="16">
        <f t="shared" si="1009"/>
        <v>279.92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ht="15.75" customHeight="1">
      <c r="A344" s="3"/>
      <c r="B344" s="3" t="s">
        <v>618</v>
      </c>
      <c r="C344" s="32" t="s">
        <v>619</v>
      </c>
      <c r="D344" s="22">
        <v>1.0</v>
      </c>
      <c r="E344" s="18">
        <f t="shared" si="997"/>
        <v>22388.8</v>
      </c>
      <c r="F344" s="14">
        <v>19990.0</v>
      </c>
      <c r="G344" s="15">
        <f t="shared" ref="G344:H344" si="1010">E344/94</f>
        <v>238.1787234</v>
      </c>
      <c r="H344" s="15">
        <f t="shared" si="1010"/>
        <v>212.6595745</v>
      </c>
      <c r="I344" s="16">
        <f t="shared" ref="I344:J344" si="1011">E344/24</f>
        <v>932.8666667</v>
      </c>
      <c r="J344" s="16">
        <f t="shared" si="1011"/>
        <v>832.9166667</v>
      </c>
      <c r="K344" s="16">
        <f t="shared" ref="K344:L344" si="1012">E344/125</f>
        <v>179.1104</v>
      </c>
      <c r="L344" s="16">
        <f t="shared" si="1012"/>
        <v>159.92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ht="15.75" customHeight="1">
      <c r="A345" s="3"/>
      <c r="B345" s="3" t="s">
        <v>620</v>
      </c>
      <c r="C345" s="32" t="s">
        <v>621</v>
      </c>
      <c r="D345" s="22">
        <v>1.0</v>
      </c>
      <c r="E345" s="18">
        <f t="shared" si="997"/>
        <v>29108.8</v>
      </c>
      <c r="F345" s="14">
        <v>25990.0</v>
      </c>
      <c r="G345" s="15">
        <f t="shared" ref="G345:H345" si="1013">E345/94</f>
        <v>309.6680851</v>
      </c>
      <c r="H345" s="15">
        <f t="shared" si="1013"/>
        <v>276.4893617</v>
      </c>
      <c r="I345" s="16">
        <f t="shared" ref="I345:J345" si="1014">E345/24</f>
        <v>1212.866667</v>
      </c>
      <c r="J345" s="16">
        <f t="shared" si="1014"/>
        <v>1082.916667</v>
      </c>
      <c r="K345" s="16">
        <f t="shared" ref="K345:L345" si="1015">E345/125</f>
        <v>232.8704</v>
      </c>
      <c r="L345" s="16">
        <f t="shared" si="1015"/>
        <v>207.92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ht="15.75" customHeight="1">
      <c r="A346" s="3"/>
      <c r="B346" s="3" t="s">
        <v>622</v>
      </c>
      <c r="C346" s="32" t="s">
        <v>623</v>
      </c>
      <c r="D346" s="22">
        <v>0.0</v>
      </c>
      <c r="E346" s="18">
        <f t="shared" si="997"/>
        <v>36948.8</v>
      </c>
      <c r="F346" s="14">
        <v>32990.0</v>
      </c>
      <c r="G346" s="15">
        <f t="shared" ref="G346:H346" si="1016">E346/94</f>
        <v>393.0723404</v>
      </c>
      <c r="H346" s="15">
        <f t="shared" si="1016"/>
        <v>350.9574468</v>
      </c>
      <c r="I346" s="16">
        <f t="shared" ref="I346:J346" si="1017">E346/24</f>
        <v>1539.533333</v>
      </c>
      <c r="J346" s="16">
        <f t="shared" si="1017"/>
        <v>1374.583333</v>
      </c>
      <c r="K346" s="16">
        <f t="shared" ref="K346:L346" si="1018">E346/125</f>
        <v>295.5904</v>
      </c>
      <c r="L346" s="16">
        <f t="shared" si="1018"/>
        <v>263.92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ht="15.75" customHeight="1">
      <c r="A347" s="3"/>
      <c r="B347" s="3" t="s">
        <v>624</v>
      </c>
      <c r="C347" s="32" t="s">
        <v>625</v>
      </c>
      <c r="D347" s="22">
        <v>0.0</v>
      </c>
      <c r="E347" s="18">
        <f t="shared" si="997"/>
        <v>40308.8</v>
      </c>
      <c r="F347" s="14">
        <v>35990.0</v>
      </c>
      <c r="G347" s="15">
        <f t="shared" ref="G347:H347" si="1019">E347/94</f>
        <v>428.8170213</v>
      </c>
      <c r="H347" s="15">
        <f t="shared" si="1019"/>
        <v>382.8723404</v>
      </c>
      <c r="I347" s="16">
        <f t="shared" ref="I347:J347" si="1020">E347/24</f>
        <v>1679.533333</v>
      </c>
      <c r="J347" s="16">
        <f t="shared" si="1020"/>
        <v>1499.583333</v>
      </c>
      <c r="K347" s="16">
        <f t="shared" ref="K347:L347" si="1021">E347/125</f>
        <v>322.4704</v>
      </c>
      <c r="L347" s="16">
        <f t="shared" si="1021"/>
        <v>287.92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ht="15.75" customHeight="1">
      <c r="A348" s="1" t="s">
        <v>626</v>
      </c>
      <c r="B348" s="1" t="s">
        <v>627</v>
      </c>
      <c r="C348" s="33" t="s">
        <v>628</v>
      </c>
      <c r="D348" s="12">
        <v>0.0</v>
      </c>
      <c r="E348" s="18">
        <f t="shared" si="997"/>
        <v>14548.8</v>
      </c>
      <c r="F348" s="14">
        <v>12990.0</v>
      </c>
      <c r="G348" s="15">
        <f t="shared" ref="G348:H348" si="1022">E348/94</f>
        <v>154.7744681</v>
      </c>
      <c r="H348" s="15">
        <f t="shared" si="1022"/>
        <v>138.1914894</v>
      </c>
      <c r="I348" s="16">
        <f t="shared" ref="I348:J348" si="1023">E348/24</f>
        <v>606.2</v>
      </c>
      <c r="J348" s="16">
        <f t="shared" si="1023"/>
        <v>541.25</v>
      </c>
      <c r="K348" s="16">
        <f t="shared" ref="K348:L348" si="1024">E348/125</f>
        <v>116.3904</v>
      </c>
      <c r="L348" s="16">
        <f t="shared" si="1024"/>
        <v>103.92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ht="15.75" customHeight="1">
      <c r="A349" s="1"/>
      <c r="B349" s="1" t="s">
        <v>629</v>
      </c>
      <c r="C349" s="19" t="s">
        <v>630</v>
      </c>
      <c r="D349" s="12">
        <v>0.0</v>
      </c>
      <c r="E349" s="18">
        <f t="shared" si="997"/>
        <v>17908.8</v>
      </c>
      <c r="F349" s="14">
        <v>15990.0</v>
      </c>
      <c r="G349" s="15">
        <f t="shared" ref="G349:H349" si="1025">E349/94</f>
        <v>190.5191489</v>
      </c>
      <c r="H349" s="15">
        <f t="shared" si="1025"/>
        <v>170.106383</v>
      </c>
      <c r="I349" s="16">
        <f t="shared" ref="I349:J349" si="1026">E349/24</f>
        <v>746.2</v>
      </c>
      <c r="J349" s="16">
        <f t="shared" si="1026"/>
        <v>666.25</v>
      </c>
      <c r="K349" s="16">
        <f t="shared" ref="K349:L349" si="1027">E349/125</f>
        <v>143.2704</v>
      </c>
      <c r="L349" s="16">
        <f t="shared" si="1027"/>
        <v>127.92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ht="15.75" customHeight="1">
      <c r="A350" s="1"/>
      <c r="B350" s="1" t="s">
        <v>631</v>
      </c>
      <c r="C350" s="19" t="s">
        <v>632</v>
      </c>
      <c r="D350" s="12">
        <v>0.0</v>
      </c>
      <c r="E350" s="18">
        <f t="shared" si="997"/>
        <v>21268.8</v>
      </c>
      <c r="F350" s="14">
        <v>18990.0</v>
      </c>
      <c r="G350" s="15">
        <f t="shared" ref="G350:H350" si="1028">E350/94</f>
        <v>226.2638298</v>
      </c>
      <c r="H350" s="15">
        <f t="shared" si="1028"/>
        <v>202.0212766</v>
      </c>
      <c r="I350" s="16">
        <f t="shared" ref="I350:J350" si="1029">E350/24</f>
        <v>886.2</v>
      </c>
      <c r="J350" s="16">
        <f t="shared" si="1029"/>
        <v>791.25</v>
      </c>
      <c r="K350" s="16">
        <f t="shared" ref="K350:L350" si="1030">E350/125</f>
        <v>170.1504</v>
      </c>
      <c r="L350" s="16">
        <f t="shared" si="1030"/>
        <v>151.92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ht="15.75" customHeight="1">
      <c r="A351" s="1"/>
      <c r="B351" s="1" t="s">
        <v>633</v>
      </c>
      <c r="C351" s="19" t="s">
        <v>634</v>
      </c>
      <c r="D351" s="12">
        <v>0.0</v>
      </c>
      <c r="E351" s="18">
        <f t="shared" si="997"/>
        <v>27988.8</v>
      </c>
      <c r="F351" s="14">
        <v>24990.0</v>
      </c>
      <c r="G351" s="15">
        <f t="shared" ref="G351:H351" si="1031">E351/94</f>
        <v>297.7531915</v>
      </c>
      <c r="H351" s="15">
        <f t="shared" si="1031"/>
        <v>265.8510638</v>
      </c>
      <c r="I351" s="16">
        <f t="shared" ref="I351:J351" si="1032">E351/24</f>
        <v>1166.2</v>
      </c>
      <c r="J351" s="16">
        <f t="shared" si="1032"/>
        <v>1041.25</v>
      </c>
      <c r="K351" s="16">
        <f t="shared" ref="K351:L351" si="1033">E351/125</f>
        <v>223.9104</v>
      </c>
      <c r="L351" s="16">
        <f t="shared" si="1033"/>
        <v>199.92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ht="15.75" customHeight="1">
      <c r="A352" s="1"/>
      <c r="B352" s="1" t="s">
        <v>635</v>
      </c>
      <c r="C352" s="19" t="s">
        <v>636</v>
      </c>
      <c r="D352" s="12">
        <v>0.0</v>
      </c>
      <c r="E352" s="18">
        <f t="shared" si="997"/>
        <v>33588.8</v>
      </c>
      <c r="F352" s="14">
        <v>29990.0</v>
      </c>
      <c r="G352" s="15">
        <f t="shared" ref="G352:H352" si="1034">E352/94</f>
        <v>357.3276596</v>
      </c>
      <c r="H352" s="15">
        <f t="shared" si="1034"/>
        <v>319.0425532</v>
      </c>
      <c r="I352" s="16">
        <f t="shared" ref="I352:J352" si="1035">E352/24</f>
        <v>1399.533333</v>
      </c>
      <c r="J352" s="16">
        <f t="shared" si="1035"/>
        <v>1249.583333</v>
      </c>
      <c r="K352" s="16">
        <f t="shared" ref="K352:L352" si="1036">E352/125</f>
        <v>268.7104</v>
      </c>
      <c r="L352" s="16">
        <f t="shared" si="1036"/>
        <v>239.92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ht="15.75" customHeight="1">
      <c r="A353" s="1"/>
      <c r="B353" s="1" t="s">
        <v>637</v>
      </c>
      <c r="C353" s="19" t="s">
        <v>638</v>
      </c>
      <c r="D353" s="12">
        <v>0.0</v>
      </c>
      <c r="E353" s="18">
        <f t="shared" si="997"/>
        <v>44788.8</v>
      </c>
      <c r="F353" s="14">
        <v>39990.0</v>
      </c>
      <c r="G353" s="15">
        <f t="shared" ref="G353:H353" si="1037">E353/94</f>
        <v>476.4765957</v>
      </c>
      <c r="H353" s="15">
        <f t="shared" si="1037"/>
        <v>425.4255319</v>
      </c>
      <c r="I353" s="16">
        <f t="shared" ref="I353:J353" si="1038">E353/24</f>
        <v>1866.2</v>
      </c>
      <c r="J353" s="16">
        <f t="shared" si="1038"/>
        <v>1666.25</v>
      </c>
      <c r="K353" s="16">
        <f t="shared" ref="K353:L353" si="1039">E353/125</f>
        <v>358.3104</v>
      </c>
      <c r="L353" s="16">
        <f t="shared" si="1039"/>
        <v>319.92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ht="15.75" customHeight="1">
      <c r="A354" s="1"/>
      <c r="B354" s="1" t="s">
        <v>639</v>
      </c>
      <c r="C354" s="19" t="s">
        <v>640</v>
      </c>
      <c r="D354" s="12">
        <v>0.0</v>
      </c>
      <c r="E354" s="18">
        <f t="shared" si="997"/>
        <v>43668.8</v>
      </c>
      <c r="F354" s="14">
        <v>38990.0</v>
      </c>
      <c r="G354" s="15">
        <f t="shared" ref="G354:H354" si="1040">E354/94</f>
        <v>464.5617021</v>
      </c>
      <c r="H354" s="15">
        <f t="shared" si="1040"/>
        <v>414.787234</v>
      </c>
      <c r="I354" s="16">
        <f t="shared" ref="I354:J354" si="1041">E354/24</f>
        <v>1819.533333</v>
      </c>
      <c r="J354" s="16">
        <f t="shared" si="1041"/>
        <v>1624.583333</v>
      </c>
      <c r="K354" s="16">
        <f t="shared" ref="K354:L354" si="1042">E354/125</f>
        <v>349.3504</v>
      </c>
      <c r="L354" s="16">
        <f t="shared" si="1042"/>
        <v>311.92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ht="15.75" customHeight="1">
      <c r="A355" s="1"/>
      <c r="B355" s="1" t="s">
        <v>641</v>
      </c>
      <c r="C355" s="19" t="s">
        <v>642</v>
      </c>
      <c r="D355" s="12">
        <v>0.0</v>
      </c>
      <c r="E355" s="18">
        <f t="shared" si="997"/>
        <v>51508.8</v>
      </c>
      <c r="F355" s="14">
        <v>45990.0</v>
      </c>
      <c r="G355" s="15">
        <f t="shared" ref="G355:H355" si="1043">E355/94</f>
        <v>547.9659574</v>
      </c>
      <c r="H355" s="15">
        <f t="shared" si="1043"/>
        <v>489.2553191</v>
      </c>
      <c r="I355" s="16">
        <f t="shared" ref="I355:J355" si="1044">E355/24</f>
        <v>2146.2</v>
      </c>
      <c r="J355" s="16">
        <f t="shared" si="1044"/>
        <v>1916.25</v>
      </c>
      <c r="K355" s="16">
        <f t="shared" ref="K355:L355" si="1045">E355/125</f>
        <v>412.0704</v>
      </c>
      <c r="L355" s="16">
        <f t="shared" si="1045"/>
        <v>367.92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ht="15.75" customHeight="1">
      <c r="A356" s="1"/>
      <c r="B356" s="1" t="s">
        <v>643</v>
      </c>
      <c r="C356" s="19" t="s">
        <v>644</v>
      </c>
      <c r="D356" s="12">
        <v>0.0</v>
      </c>
      <c r="E356" s="18">
        <f t="shared" si="997"/>
        <v>14548.8</v>
      </c>
      <c r="F356" s="14">
        <v>12990.0</v>
      </c>
      <c r="G356" s="15">
        <f t="shared" ref="G356:H356" si="1046">E356/94</f>
        <v>154.7744681</v>
      </c>
      <c r="H356" s="15">
        <f t="shared" si="1046"/>
        <v>138.1914894</v>
      </c>
      <c r="I356" s="16">
        <f t="shared" ref="I356:J356" si="1047">E356/24</f>
        <v>606.2</v>
      </c>
      <c r="J356" s="16">
        <f t="shared" si="1047"/>
        <v>541.25</v>
      </c>
      <c r="K356" s="16">
        <f t="shared" ref="K356:L356" si="1048">E356/125</f>
        <v>116.3904</v>
      </c>
      <c r="L356" s="16">
        <f t="shared" si="1048"/>
        <v>103.92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ht="15.75" customHeight="1">
      <c r="A357" s="1"/>
      <c r="B357" s="1" t="s">
        <v>645</v>
      </c>
      <c r="C357" s="19" t="s">
        <v>646</v>
      </c>
      <c r="D357" s="12">
        <v>0.0</v>
      </c>
      <c r="E357" s="18">
        <f t="shared" si="997"/>
        <v>19028.8</v>
      </c>
      <c r="F357" s="14">
        <v>16990.0</v>
      </c>
      <c r="G357" s="15">
        <f t="shared" ref="G357:H357" si="1049">E357/94</f>
        <v>202.4340426</v>
      </c>
      <c r="H357" s="15">
        <f t="shared" si="1049"/>
        <v>180.7446809</v>
      </c>
      <c r="I357" s="16">
        <f t="shared" ref="I357:J357" si="1050">E357/24</f>
        <v>792.8666667</v>
      </c>
      <c r="J357" s="16">
        <f t="shared" si="1050"/>
        <v>707.9166667</v>
      </c>
      <c r="K357" s="16">
        <f t="shared" ref="K357:L357" si="1051">E357/125</f>
        <v>152.2304</v>
      </c>
      <c r="L357" s="16">
        <f t="shared" si="1051"/>
        <v>135.92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ht="15.75" customHeight="1">
      <c r="A358" s="1"/>
      <c r="B358" s="1" t="s">
        <v>647</v>
      </c>
      <c r="C358" s="19" t="s">
        <v>648</v>
      </c>
      <c r="D358" s="12">
        <v>0.0</v>
      </c>
      <c r="E358" s="18">
        <f t="shared" si="997"/>
        <v>22388.8</v>
      </c>
      <c r="F358" s="14">
        <v>19990.0</v>
      </c>
      <c r="G358" s="15">
        <f t="shared" ref="G358:H358" si="1052">E358/94</f>
        <v>238.1787234</v>
      </c>
      <c r="H358" s="15">
        <f t="shared" si="1052"/>
        <v>212.6595745</v>
      </c>
      <c r="I358" s="16">
        <f t="shared" ref="I358:J358" si="1053">E358/24</f>
        <v>932.8666667</v>
      </c>
      <c r="J358" s="16">
        <f t="shared" si="1053"/>
        <v>832.9166667</v>
      </c>
      <c r="K358" s="16">
        <f t="shared" ref="K358:L358" si="1054">E358/125</f>
        <v>179.1104</v>
      </c>
      <c r="L358" s="16">
        <f t="shared" si="1054"/>
        <v>159.92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ht="15.75" customHeight="1">
      <c r="A359" s="1"/>
      <c r="B359" s="1" t="s">
        <v>649</v>
      </c>
      <c r="C359" s="19" t="s">
        <v>650</v>
      </c>
      <c r="D359" s="12">
        <v>0.0</v>
      </c>
      <c r="E359" s="18">
        <f t="shared" si="997"/>
        <v>26868.8</v>
      </c>
      <c r="F359" s="14">
        <v>23990.0</v>
      </c>
      <c r="G359" s="15">
        <f t="shared" ref="G359:H359" si="1055">E359/94</f>
        <v>285.8382979</v>
      </c>
      <c r="H359" s="15">
        <f t="shared" si="1055"/>
        <v>255.212766</v>
      </c>
      <c r="I359" s="16">
        <f t="shared" ref="I359:J359" si="1056">E359/24</f>
        <v>1119.533333</v>
      </c>
      <c r="J359" s="16">
        <f t="shared" si="1056"/>
        <v>999.5833333</v>
      </c>
      <c r="K359" s="16">
        <f t="shared" ref="K359:L359" si="1057">E359/125</f>
        <v>214.9504</v>
      </c>
      <c r="L359" s="16">
        <f t="shared" si="1057"/>
        <v>191.92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ht="15.75" customHeight="1">
      <c r="A360" s="1"/>
      <c r="B360" s="1" t="s">
        <v>651</v>
      </c>
      <c r="C360" s="19" t="s">
        <v>652</v>
      </c>
      <c r="D360" s="12">
        <v>0.0</v>
      </c>
      <c r="E360" s="18">
        <f t="shared" si="997"/>
        <v>32468.8</v>
      </c>
      <c r="F360" s="14">
        <v>28990.0</v>
      </c>
      <c r="G360" s="15">
        <f t="shared" ref="G360:H360" si="1058">E360/94</f>
        <v>345.412766</v>
      </c>
      <c r="H360" s="15">
        <f t="shared" si="1058"/>
        <v>308.4042553</v>
      </c>
      <c r="I360" s="16">
        <f t="shared" ref="I360:J360" si="1059">E360/24</f>
        <v>1352.866667</v>
      </c>
      <c r="J360" s="16">
        <f t="shared" si="1059"/>
        <v>1207.916667</v>
      </c>
      <c r="K360" s="16">
        <f t="shared" ref="K360:L360" si="1060">E360/125</f>
        <v>259.7504</v>
      </c>
      <c r="L360" s="16">
        <f t="shared" si="1060"/>
        <v>231.92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ht="15.75" customHeight="1">
      <c r="A361" s="1"/>
      <c r="B361" s="1" t="s">
        <v>653</v>
      </c>
      <c r="C361" s="19" t="s">
        <v>654</v>
      </c>
      <c r="D361" s="12">
        <v>0.0</v>
      </c>
      <c r="E361" s="18">
        <f t="shared" si="997"/>
        <v>38068.8</v>
      </c>
      <c r="F361" s="14">
        <v>33990.0</v>
      </c>
      <c r="G361" s="15">
        <f t="shared" ref="G361:H361" si="1061">E361/94</f>
        <v>404.987234</v>
      </c>
      <c r="H361" s="15">
        <f t="shared" si="1061"/>
        <v>361.5957447</v>
      </c>
      <c r="I361" s="16">
        <f t="shared" ref="I361:J361" si="1062">E361/24</f>
        <v>1586.2</v>
      </c>
      <c r="J361" s="16">
        <f t="shared" si="1062"/>
        <v>1416.25</v>
      </c>
      <c r="K361" s="16">
        <f t="shared" ref="K361:L361" si="1063">E361/125</f>
        <v>304.5504</v>
      </c>
      <c r="L361" s="16">
        <f t="shared" si="1063"/>
        <v>271.92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ht="15.75" customHeight="1">
      <c r="A362" s="1"/>
      <c r="B362" s="1" t="s">
        <v>655</v>
      </c>
      <c r="C362" s="19" t="s">
        <v>656</v>
      </c>
      <c r="D362" s="12">
        <v>0.0</v>
      </c>
      <c r="E362" s="18">
        <f t="shared" si="997"/>
        <v>0</v>
      </c>
      <c r="F362" s="14"/>
      <c r="G362" s="15"/>
      <c r="H362" s="15"/>
      <c r="I362" s="16"/>
      <c r="J362" s="16"/>
      <c r="K362" s="16"/>
      <c r="L362" s="1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ht="15.75" customHeight="1">
      <c r="A363" s="1"/>
      <c r="B363" s="1" t="s">
        <v>657</v>
      </c>
      <c r="C363" s="19" t="s">
        <v>658</v>
      </c>
      <c r="D363" s="12">
        <v>0.0</v>
      </c>
      <c r="E363" s="18">
        <f t="shared" si="997"/>
        <v>0</v>
      </c>
      <c r="F363" s="14"/>
      <c r="G363" s="15"/>
      <c r="H363" s="15"/>
      <c r="I363" s="16"/>
      <c r="J363" s="16"/>
      <c r="K363" s="16"/>
      <c r="L363" s="1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ht="15.75" customHeight="1">
      <c r="A364" s="1"/>
      <c r="B364" s="1" t="s">
        <v>659</v>
      </c>
      <c r="C364" s="19" t="s">
        <v>660</v>
      </c>
      <c r="D364" s="12">
        <v>0.0</v>
      </c>
      <c r="E364" s="18">
        <f t="shared" si="997"/>
        <v>14548.8</v>
      </c>
      <c r="F364" s="14">
        <v>12990.0</v>
      </c>
      <c r="G364" s="15">
        <f t="shared" ref="G364:H364" si="1064">E364/94</f>
        <v>154.7744681</v>
      </c>
      <c r="H364" s="15">
        <f t="shared" si="1064"/>
        <v>138.1914894</v>
      </c>
      <c r="I364" s="16">
        <f t="shared" ref="I364:J364" si="1065">E364/24</f>
        <v>606.2</v>
      </c>
      <c r="J364" s="16">
        <f t="shared" si="1065"/>
        <v>541.25</v>
      </c>
      <c r="K364" s="16">
        <f t="shared" ref="K364:L364" si="1066">E364/125</f>
        <v>116.3904</v>
      </c>
      <c r="L364" s="16">
        <f t="shared" si="1066"/>
        <v>103.92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ht="15.75" customHeight="1">
      <c r="A365" s="1"/>
      <c r="B365" s="1" t="s">
        <v>661</v>
      </c>
      <c r="C365" s="19" t="s">
        <v>662</v>
      </c>
      <c r="D365" s="12">
        <v>0.0</v>
      </c>
      <c r="E365" s="18">
        <f t="shared" si="997"/>
        <v>19028.8</v>
      </c>
      <c r="F365" s="14">
        <v>16990.0</v>
      </c>
      <c r="G365" s="15">
        <f t="shared" ref="G365:H365" si="1067">E365/94</f>
        <v>202.4340426</v>
      </c>
      <c r="H365" s="15">
        <f t="shared" si="1067"/>
        <v>180.7446809</v>
      </c>
      <c r="I365" s="16">
        <f t="shared" ref="I365:J365" si="1068">E365/24</f>
        <v>792.8666667</v>
      </c>
      <c r="J365" s="16">
        <f t="shared" si="1068"/>
        <v>707.9166667</v>
      </c>
      <c r="K365" s="16">
        <f t="shared" ref="K365:L365" si="1069">E365/125</f>
        <v>152.2304</v>
      </c>
      <c r="L365" s="16">
        <f t="shared" si="1069"/>
        <v>135.92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ht="15.75" customHeight="1">
      <c r="A366" s="1"/>
      <c r="B366" s="1" t="s">
        <v>663</v>
      </c>
      <c r="C366" s="19" t="s">
        <v>664</v>
      </c>
      <c r="D366" s="12">
        <v>0.0</v>
      </c>
      <c r="E366" s="18">
        <f t="shared" si="997"/>
        <v>22288</v>
      </c>
      <c r="F366" s="14">
        <v>19900.0</v>
      </c>
      <c r="G366" s="15">
        <f t="shared" ref="G366:H366" si="1070">E366/94</f>
        <v>237.106383</v>
      </c>
      <c r="H366" s="15">
        <f t="shared" si="1070"/>
        <v>211.7021277</v>
      </c>
      <c r="I366" s="16">
        <f t="shared" ref="I366:J366" si="1071">E366/24</f>
        <v>928.6666667</v>
      </c>
      <c r="J366" s="16">
        <f t="shared" si="1071"/>
        <v>829.1666667</v>
      </c>
      <c r="K366" s="16">
        <f t="shared" ref="K366:L366" si="1072">E366/125</f>
        <v>178.304</v>
      </c>
      <c r="L366" s="16">
        <f t="shared" si="1072"/>
        <v>159.2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ht="15.75" customHeight="1">
      <c r="A367" s="1"/>
      <c r="B367" s="1" t="s">
        <v>665</v>
      </c>
      <c r="C367" s="19" t="s">
        <v>666</v>
      </c>
      <c r="D367" s="12">
        <v>0.0</v>
      </c>
      <c r="E367" s="18">
        <f t="shared" si="997"/>
        <v>26868.8</v>
      </c>
      <c r="F367" s="14">
        <v>23990.0</v>
      </c>
      <c r="G367" s="15">
        <f t="shared" ref="G367:H367" si="1073">E367/94</f>
        <v>285.8382979</v>
      </c>
      <c r="H367" s="15">
        <f t="shared" si="1073"/>
        <v>255.212766</v>
      </c>
      <c r="I367" s="16">
        <f t="shared" ref="I367:J367" si="1074">E367/24</f>
        <v>1119.533333</v>
      </c>
      <c r="J367" s="16">
        <f t="shared" si="1074"/>
        <v>999.5833333</v>
      </c>
      <c r="K367" s="16">
        <f t="shared" ref="K367:L367" si="1075">E367/125</f>
        <v>214.9504</v>
      </c>
      <c r="L367" s="16">
        <f t="shared" si="1075"/>
        <v>191.92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ht="15.75" customHeight="1">
      <c r="A368" s="1"/>
      <c r="B368" s="1" t="s">
        <v>667</v>
      </c>
      <c r="C368" s="19" t="s">
        <v>668</v>
      </c>
      <c r="D368" s="12">
        <v>0.0</v>
      </c>
      <c r="E368" s="18">
        <f t="shared" si="997"/>
        <v>32468.8</v>
      </c>
      <c r="F368" s="14">
        <v>28990.0</v>
      </c>
      <c r="G368" s="15">
        <f t="shared" ref="G368:H368" si="1076">E368/94</f>
        <v>345.412766</v>
      </c>
      <c r="H368" s="15">
        <f t="shared" si="1076"/>
        <v>308.4042553</v>
      </c>
      <c r="I368" s="16">
        <f t="shared" ref="I368:J368" si="1077">E368/24</f>
        <v>1352.866667</v>
      </c>
      <c r="J368" s="16">
        <f t="shared" si="1077"/>
        <v>1207.916667</v>
      </c>
      <c r="K368" s="16">
        <f t="shared" ref="K368:L368" si="1078">E368/125</f>
        <v>259.7504</v>
      </c>
      <c r="L368" s="16">
        <f t="shared" si="1078"/>
        <v>231.92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ht="15.75" customHeight="1">
      <c r="A369" s="1"/>
      <c r="B369" s="1" t="s">
        <v>669</v>
      </c>
      <c r="C369" s="19" t="s">
        <v>670</v>
      </c>
      <c r="D369" s="12">
        <v>0.0</v>
      </c>
      <c r="E369" s="18">
        <f t="shared" si="997"/>
        <v>39188.8</v>
      </c>
      <c r="F369" s="14">
        <v>34990.0</v>
      </c>
      <c r="G369" s="15">
        <f t="shared" ref="G369:H369" si="1079">E369/94</f>
        <v>416.9021277</v>
      </c>
      <c r="H369" s="15">
        <f t="shared" si="1079"/>
        <v>372.2340426</v>
      </c>
      <c r="I369" s="16">
        <f t="shared" ref="I369:J369" si="1080">E369/24</f>
        <v>1632.866667</v>
      </c>
      <c r="J369" s="16">
        <f t="shared" si="1080"/>
        <v>1457.916667</v>
      </c>
      <c r="K369" s="16">
        <f t="shared" ref="K369:L369" si="1081">E369/125</f>
        <v>313.5104</v>
      </c>
      <c r="L369" s="16">
        <f t="shared" si="1081"/>
        <v>279.92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ht="15.75" customHeight="1">
      <c r="A370" s="1"/>
      <c r="B370" s="1" t="s">
        <v>671</v>
      </c>
      <c r="C370" s="19" t="s">
        <v>672</v>
      </c>
      <c r="D370" s="12">
        <v>0.0</v>
      </c>
      <c r="E370" s="18">
        <f t="shared" si="997"/>
        <v>43668.8</v>
      </c>
      <c r="F370" s="14">
        <v>38990.0</v>
      </c>
      <c r="G370" s="15">
        <f t="shared" ref="G370:H370" si="1082">E370/94</f>
        <v>464.5617021</v>
      </c>
      <c r="H370" s="15">
        <f t="shared" si="1082"/>
        <v>414.787234</v>
      </c>
      <c r="I370" s="16">
        <f t="shared" ref="I370:J370" si="1083">E370/24</f>
        <v>1819.533333</v>
      </c>
      <c r="J370" s="16">
        <f t="shared" si="1083"/>
        <v>1624.583333</v>
      </c>
      <c r="K370" s="16">
        <f t="shared" ref="K370:L370" si="1084">E370/125</f>
        <v>349.3504</v>
      </c>
      <c r="L370" s="16">
        <f t="shared" si="1084"/>
        <v>311.92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ht="15.75" customHeight="1">
      <c r="A371" s="1"/>
      <c r="B371" s="1" t="s">
        <v>673</v>
      </c>
      <c r="C371" s="19" t="s">
        <v>674</v>
      </c>
      <c r="D371" s="12">
        <v>0.0</v>
      </c>
      <c r="E371" s="18">
        <f t="shared" si="997"/>
        <v>49828.8</v>
      </c>
      <c r="F371" s="14">
        <v>44490.0</v>
      </c>
      <c r="G371" s="15">
        <f t="shared" ref="G371:H371" si="1085">E371/94</f>
        <v>530.093617</v>
      </c>
      <c r="H371" s="15">
        <f t="shared" si="1085"/>
        <v>473.2978723</v>
      </c>
      <c r="I371" s="16">
        <f t="shared" ref="I371:J371" si="1086">E371/24</f>
        <v>2076.2</v>
      </c>
      <c r="J371" s="16">
        <f t="shared" si="1086"/>
        <v>1853.75</v>
      </c>
      <c r="K371" s="16">
        <f t="shared" ref="K371:L371" si="1087">E371/125</f>
        <v>398.6304</v>
      </c>
      <c r="L371" s="16">
        <f t="shared" si="1087"/>
        <v>355.92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ht="15.0" customHeight="1">
      <c r="A372" s="1"/>
      <c r="B372" s="1" t="s">
        <v>675</v>
      </c>
      <c r="C372" s="19" t="s">
        <v>676</v>
      </c>
      <c r="D372" s="12">
        <v>0.0</v>
      </c>
      <c r="E372" s="18">
        <f t="shared" si="997"/>
        <v>14548.8</v>
      </c>
      <c r="F372" s="14">
        <v>12990.0</v>
      </c>
      <c r="G372" s="15">
        <f t="shared" ref="G372:H372" si="1088">E372/94</f>
        <v>154.7744681</v>
      </c>
      <c r="H372" s="15">
        <f t="shared" si="1088"/>
        <v>138.1914894</v>
      </c>
      <c r="I372" s="16">
        <f t="shared" ref="I372:J372" si="1089">E372/24</f>
        <v>606.2</v>
      </c>
      <c r="J372" s="16">
        <f t="shared" si="1089"/>
        <v>541.25</v>
      </c>
      <c r="K372" s="16">
        <f t="shared" ref="K372:L372" si="1090">E372/125</f>
        <v>116.3904</v>
      </c>
      <c r="L372" s="16">
        <f t="shared" si="1090"/>
        <v>103.92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ht="15.75" customHeight="1">
      <c r="A373" s="1"/>
      <c r="B373" s="1" t="s">
        <v>677</v>
      </c>
      <c r="C373" s="19" t="s">
        <v>678</v>
      </c>
      <c r="D373" s="12">
        <v>0.0</v>
      </c>
      <c r="E373" s="18">
        <f t="shared" si="997"/>
        <v>19028.8</v>
      </c>
      <c r="F373" s="14">
        <v>16990.0</v>
      </c>
      <c r="G373" s="15">
        <f t="shared" ref="G373:H373" si="1091">E373/94</f>
        <v>202.4340426</v>
      </c>
      <c r="H373" s="15">
        <f t="shared" si="1091"/>
        <v>180.7446809</v>
      </c>
      <c r="I373" s="16">
        <f t="shared" ref="I373:J373" si="1092">E373/24</f>
        <v>792.8666667</v>
      </c>
      <c r="J373" s="16">
        <f t="shared" si="1092"/>
        <v>707.9166667</v>
      </c>
      <c r="K373" s="16">
        <f t="shared" ref="K373:L373" si="1093">E373/125</f>
        <v>152.2304</v>
      </c>
      <c r="L373" s="16">
        <f t="shared" si="1093"/>
        <v>135.92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ht="15.75" customHeight="1">
      <c r="A374" s="1"/>
      <c r="B374" s="1" t="s">
        <v>679</v>
      </c>
      <c r="C374" s="19" t="s">
        <v>680</v>
      </c>
      <c r="D374" s="12">
        <v>0.0</v>
      </c>
      <c r="E374" s="18">
        <f t="shared" si="997"/>
        <v>22388.8</v>
      </c>
      <c r="F374" s="14">
        <v>19990.0</v>
      </c>
      <c r="G374" s="15">
        <f t="shared" ref="G374:H374" si="1094">E374/94</f>
        <v>238.1787234</v>
      </c>
      <c r="H374" s="15">
        <f t="shared" si="1094"/>
        <v>212.6595745</v>
      </c>
      <c r="I374" s="16">
        <f t="shared" ref="I374:J374" si="1095">E374/24</f>
        <v>932.8666667</v>
      </c>
      <c r="J374" s="16">
        <f t="shared" si="1095"/>
        <v>832.9166667</v>
      </c>
      <c r="K374" s="16">
        <f t="shared" ref="K374:L374" si="1096">E374/125</f>
        <v>179.1104</v>
      </c>
      <c r="L374" s="16">
        <f t="shared" si="1096"/>
        <v>159.92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ht="15.75" customHeight="1">
      <c r="A375" s="1"/>
      <c r="B375" s="1" t="s">
        <v>681</v>
      </c>
      <c r="C375" s="19" t="s">
        <v>682</v>
      </c>
      <c r="D375" s="12">
        <v>0.0</v>
      </c>
      <c r="E375" s="18">
        <f t="shared" si="997"/>
        <v>26868.8</v>
      </c>
      <c r="F375" s="14">
        <v>23990.0</v>
      </c>
      <c r="G375" s="15">
        <f t="shared" ref="G375:H375" si="1097">E375/94</f>
        <v>285.8382979</v>
      </c>
      <c r="H375" s="15">
        <f t="shared" si="1097"/>
        <v>255.212766</v>
      </c>
      <c r="I375" s="16">
        <f t="shared" ref="I375:J375" si="1098">E375/24</f>
        <v>1119.533333</v>
      </c>
      <c r="J375" s="16">
        <f t="shared" si="1098"/>
        <v>999.5833333</v>
      </c>
      <c r="K375" s="16">
        <f t="shared" ref="K375:L375" si="1099">E375/125</f>
        <v>214.9504</v>
      </c>
      <c r="L375" s="16">
        <f t="shared" si="1099"/>
        <v>191.92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ht="15.75" customHeight="1">
      <c r="A376" s="1"/>
      <c r="B376" s="1" t="s">
        <v>683</v>
      </c>
      <c r="C376" s="19" t="s">
        <v>684</v>
      </c>
      <c r="D376" s="12">
        <v>0.0</v>
      </c>
      <c r="E376" s="18">
        <f t="shared" si="997"/>
        <v>32468.8</v>
      </c>
      <c r="F376" s="14">
        <v>28990.0</v>
      </c>
      <c r="G376" s="15">
        <f t="shared" ref="G376:H376" si="1100">E376/94</f>
        <v>345.412766</v>
      </c>
      <c r="H376" s="15">
        <f t="shared" si="1100"/>
        <v>308.4042553</v>
      </c>
      <c r="I376" s="16">
        <f t="shared" ref="I376:J376" si="1101">E376/24</f>
        <v>1352.866667</v>
      </c>
      <c r="J376" s="16">
        <f t="shared" si="1101"/>
        <v>1207.916667</v>
      </c>
      <c r="K376" s="16">
        <f t="shared" ref="K376:L376" si="1102">E376/125</f>
        <v>259.7504</v>
      </c>
      <c r="L376" s="16">
        <f t="shared" si="1102"/>
        <v>231.92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ht="15.75" customHeight="1">
      <c r="A377" s="1"/>
      <c r="B377" s="1" t="s">
        <v>685</v>
      </c>
      <c r="C377" s="19" t="s">
        <v>686</v>
      </c>
      <c r="D377" s="12">
        <v>0.0</v>
      </c>
      <c r="E377" s="18">
        <f t="shared" si="997"/>
        <v>38068.8</v>
      </c>
      <c r="F377" s="14">
        <v>33990.0</v>
      </c>
      <c r="G377" s="15">
        <f t="shared" ref="G377:H377" si="1103">E377/94</f>
        <v>404.987234</v>
      </c>
      <c r="H377" s="15">
        <f t="shared" si="1103"/>
        <v>361.5957447</v>
      </c>
      <c r="I377" s="16">
        <f t="shared" ref="I377:J377" si="1104">E377/24</f>
        <v>1586.2</v>
      </c>
      <c r="J377" s="16">
        <f t="shared" si="1104"/>
        <v>1416.25</v>
      </c>
      <c r="K377" s="16">
        <f t="shared" ref="K377:L377" si="1105">E377/125</f>
        <v>304.5504</v>
      </c>
      <c r="L377" s="16">
        <f t="shared" si="1105"/>
        <v>271.92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ht="15.75" customHeight="1">
      <c r="A378" s="1"/>
      <c r="B378" s="1" t="s">
        <v>687</v>
      </c>
      <c r="C378" s="19" t="s">
        <v>688</v>
      </c>
      <c r="D378" s="12">
        <v>0.0</v>
      </c>
      <c r="E378" s="18">
        <f t="shared" si="997"/>
        <v>44228.8</v>
      </c>
      <c r="F378" s="14">
        <v>39490.0</v>
      </c>
      <c r="G378" s="15">
        <f t="shared" ref="G378:H378" si="1106">E378/94</f>
        <v>470.5191489</v>
      </c>
      <c r="H378" s="15">
        <f t="shared" si="1106"/>
        <v>420.106383</v>
      </c>
      <c r="I378" s="16">
        <f t="shared" ref="I378:J378" si="1107">E378/24</f>
        <v>1842.866667</v>
      </c>
      <c r="J378" s="16">
        <f t="shared" si="1107"/>
        <v>1645.416667</v>
      </c>
      <c r="K378" s="16">
        <f t="shared" ref="K378:L378" si="1108">E378/125</f>
        <v>353.8304</v>
      </c>
      <c r="L378" s="16">
        <f t="shared" si="1108"/>
        <v>315.92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ht="15.75" customHeight="1">
      <c r="A379" s="1"/>
      <c r="B379" s="1" t="s">
        <v>689</v>
      </c>
      <c r="C379" s="19" t="s">
        <v>690</v>
      </c>
      <c r="D379" s="12">
        <v>0.0</v>
      </c>
      <c r="E379" s="18">
        <f t="shared" si="997"/>
        <v>49268.8</v>
      </c>
      <c r="F379" s="14">
        <v>43990.0</v>
      </c>
      <c r="G379" s="15">
        <f t="shared" ref="G379:H379" si="1109">E379/94</f>
        <v>524.1361702</v>
      </c>
      <c r="H379" s="15">
        <f t="shared" si="1109"/>
        <v>467.9787234</v>
      </c>
      <c r="I379" s="16">
        <f t="shared" ref="I379:J379" si="1110">E379/24</f>
        <v>2052.866667</v>
      </c>
      <c r="J379" s="16">
        <f t="shared" si="1110"/>
        <v>1832.916667</v>
      </c>
      <c r="K379" s="16">
        <f t="shared" ref="K379:L379" si="1111">E379/125</f>
        <v>394.1504</v>
      </c>
      <c r="L379" s="16">
        <f t="shared" si="1111"/>
        <v>351.92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ht="15.75" customHeight="1">
      <c r="A380" s="1"/>
      <c r="B380" s="1" t="s">
        <v>691</v>
      </c>
      <c r="C380" s="19" t="s">
        <v>692</v>
      </c>
      <c r="D380" s="12">
        <v>0.0</v>
      </c>
      <c r="E380" s="18">
        <f t="shared" si="997"/>
        <v>14548.8</v>
      </c>
      <c r="F380" s="14">
        <v>12990.0</v>
      </c>
      <c r="G380" s="15">
        <f t="shared" ref="G380:H380" si="1112">E380/94</f>
        <v>154.7744681</v>
      </c>
      <c r="H380" s="15">
        <f t="shared" si="1112"/>
        <v>138.1914894</v>
      </c>
      <c r="I380" s="16">
        <f t="shared" ref="I380:J380" si="1113">E380/24</f>
        <v>606.2</v>
      </c>
      <c r="J380" s="16">
        <f t="shared" si="1113"/>
        <v>541.25</v>
      </c>
      <c r="K380" s="16">
        <f t="shared" ref="K380:L380" si="1114">E380/125</f>
        <v>116.3904</v>
      </c>
      <c r="L380" s="16">
        <f t="shared" si="1114"/>
        <v>103.92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ht="15.75" customHeight="1">
      <c r="A381" s="1"/>
      <c r="B381" s="1" t="s">
        <v>693</v>
      </c>
      <c r="C381" s="19" t="s">
        <v>694</v>
      </c>
      <c r="D381" s="12">
        <v>0.0</v>
      </c>
      <c r="E381" s="18">
        <f t="shared" si="997"/>
        <v>18468.8</v>
      </c>
      <c r="F381" s="14">
        <v>16490.0</v>
      </c>
      <c r="G381" s="15">
        <f t="shared" ref="G381:H381" si="1115">E381/94</f>
        <v>196.4765957</v>
      </c>
      <c r="H381" s="15">
        <f t="shared" si="1115"/>
        <v>175.4255319</v>
      </c>
      <c r="I381" s="16">
        <f t="shared" ref="I381:J381" si="1116">E381/24</f>
        <v>769.5333333</v>
      </c>
      <c r="J381" s="16">
        <f t="shared" si="1116"/>
        <v>687.0833333</v>
      </c>
      <c r="K381" s="16">
        <f t="shared" ref="K381:L381" si="1117">E381/125</f>
        <v>147.7504</v>
      </c>
      <c r="L381" s="16">
        <f t="shared" si="1117"/>
        <v>131.92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ht="15.75" customHeight="1">
      <c r="A382" s="1"/>
      <c r="B382" s="1" t="s">
        <v>695</v>
      </c>
      <c r="C382" s="19" t="s">
        <v>696</v>
      </c>
      <c r="D382" s="12">
        <v>0.0</v>
      </c>
      <c r="E382" s="18">
        <f t="shared" si="997"/>
        <v>22388.8</v>
      </c>
      <c r="F382" s="14">
        <v>19990.0</v>
      </c>
      <c r="G382" s="15">
        <f t="shared" ref="G382:H382" si="1118">E382/94</f>
        <v>238.1787234</v>
      </c>
      <c r="H382" s="15">
        <f t="shared" si="1118"/>
        <v>212.6595745</v>
      </c>
      <c r="I382" s="16">
        <f t="shared" ref="I382:J382" si="1119">E382/24</f>
        <v>932.8666667</v>
      </c>
      <c r="J382" s="16">
        <f t="shared" si="1119"/>
        <v>832.9166667</v>
      </c>
      <c r="K382" s="16">
        <f t="shared" ref="K382:L382" si="1120">E382/125</f>
        <v>179.1104</v>
      </c>
      <c r="L382" s="16">
        <f t="shared" si="1120"/>
        <v>159.92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ht="15.75" customHeight="1">
      <c r="A383" s="1"/>
      <c r="B383" s="1" t="s">
        <v>697</v>
      </c>
      <c r="C383" s="19" t="s">
        <v>698</v>
      </c>
      <c r="D383" s="12">
        <v>0.0</v>
      </c>
      <c r="E383" s="18">
        <f t="shared" si="997"/>
        <v>27428.8</v>
      </c>
      <c r="F383" s="14">
        <v>24490.0</v>
      </c>
      <c r="G383" s="15">
        <f t="shared" ref="G383:H383" si="1121">E383/94</f>
        <v>291.7957447</v>
      </c>
      <c r="H383" s="15">
        <f t="shared" si="1121"/>
        <v>260.5319149</v>
      </c>
      <c r="I383" s="16">
        <f t="shared" ref="I383:J383" si="1122">E383/24</f>
        <v>1142.866667</v>
      </c>
      <c r="J383" s="16">
        <f t="shared" si="1122"/>
        <v>1020.416667</v>
      </c>
      <c r="K383" s="16">
        <f t="shared" ref="K383:L383" si="1123">E383/125</f>
        <v>219.4304</v>
      </c>
      <c r="L383" s="16">
        <f t="shared" si="1123"/>
        <v>195.92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ht="15.75" customHeight="1">
      <c r="A384" s="1"/>
      <c r="B384" s="1" t="s">
        <v>699</v>
      </c>
      <c r="C384" s="19" t="s">
        <v>700</v>
      </c>
      <c r="D384" s="12">
        <v>0.0</v>
      </c>
      <c r="E384" s="18">
        <f t="shared" si="997"/>
        <v>32468.8</v>
      </c>
      <c r="F384" s="14">
        <v>28990.0</v>
      </c>
      <c r="G384" s="15">
        <f t="shared" ref="G384:H384" si="1124">E384/94</f>
        <v>345.412766</v>
      </c>
      <c r="H384" s="15">
        <f t="shared" si="1124"/>
        <v>308.4042553</v>
      </c>
      <c r="I384" s="16">
        <f t="shared" ref="I384:J384" si="1125">E384/24</f>
        <v>1352.866667</v>
      </c>
      <c r="J384" s="16">
        <f t="shared" si="1125"/>
        <v>1207.916667</v>
      </c>
      <c r="K384" s="16">
        <f t="shared" ref="K384:L384" si="1126">E384/125</f>
        <v>259.7504</v>
      </c>
      <c r="L384" s="16">
        <f t="shared" si="1126"/>
        <v>231.92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ht="15.75" customHeight="1">
      <c r="A385" s="1"/>
      <c r="B385" s="1" t="s">
        <v>701</v>
      </c>
      <c r="C385" s="19" t="s">
        <v>702</v>
      </c>
      <c r="D385" s="12">
        <v>0.0</v>
      </c>
      <c r="E385" s="18">
        <f t="shared" si="997"/>
        <v>38068.8</v>
      </c>
      <c r="F385" s="14">
        <v>33990.0</v>
      </c>
      <c r="G385" s="15">
        <f t="shared" ref="G385:H385" si="1127">E385/94</f>
        <v>404.987234</v>
      </c>
      <c r="H385" s="15">
        <f t="shared" si="1127"/>
        <v>361.5957447</v>
      </c>
      <c r="I385" s="16">
        <f t="shared" ref="I385:J385" si="1128">E385/24</f>
        <v>1586.2</v>
      </c>
      <c r="J385" s="16">
        <f t="shared" si="1128"/>
        <v>1416.25</v>
      </c>
      <c r="K385" s="16">
        <f t="shared" ref="K385:L385" si="1129">E385/125</f>
        <v>304.5504</v>
      </c>
      <c r="L385" s="16">
        <f t="shared" si="1129"/>
        <v>271.92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ht="15.75" customHeight="1">
      <c r="A386" s="1"/>
      <c r="B386" s="1" t="s">
        <v>703</v>
      </c>
      <c r="C386" s="19" t="s">
        <v>704</v>
      </c>
      <c r="D386" s="12">
        <v>0.0</v>
      </c>
      <c r="E386" s="18">
        <f t="shared" si="997"/>
        <v>43668.8</v>
      </c>
      <c r="F386" s="14">
        <v>38990.0</v>
      </c>
      <c r="G386" s="15">
        <f t="shared" ref="G386:H386" si="1130">E386/94</f>
        <v>464.5617021</v>
      </c>
      <c r="H386" s="15">
        <f t="shared" si="1130"/>
        <v>414.787234</v>
      </c>
      <c r="I386" s="16">
        <f t="shared" ref="I386:J386" si="1131">E386/24</f>
        <v>1819.533333</v>
      </c>
      <c r="J386" s="16">
        <f t="shared" si="1131"/>
        <v>1624.583333</v>
      </c>
      <c r="K386" s="16">
        <f t="shared" ref="K386:L386" si="1132">E386/125</f>
        <v>349.3504</v>
      </c>
      <c r="L386" s="16">
        <f t="shared" si="1132"/>
        <v>311.92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ht="15.75" customHeight="1">
      <c r="A387" s="1"/>
      <c r="B387" s="1" t="s">
        <v>705</v>
      </c>
      <c r="C387" s="19" t="s">
        <v>706</v>
      </c>
      <c r="D387" s="12">
        <v>0.0</v>
      </c>
      <c r="E387" s="18">
        <f t="shared" si="997"/>
        <v>49828.8</v>
      </c>
      <c r="F387" s="14">
        <v>44490.0</v>
      </c>
      <c r="G387" s="15">
        <f t="shared" ref="G387:H387" si="1133">E387/94</f>
        <v>530.093617</v>
      </c>
      <c r="H387" s="15">
        <f t="shared" si="1133"/>
        <v>473.2978723</v>
      </c>
      <c r="I387" s="16">
        <f t="shared" ref="I387:J387" si="1134">E387/24</f>
        <v>2076.2</v>
      </c>
      <c r="J387" s="16">
        <f t="shared" si="1134"/>
        <v>1853.75</v>
      </c>
      <c r="K387" s="16">
        <f t="shared" ref="K387:L387" si="1135">E387/125</f>
        <v>398.6304</v>
      </c>
      <c r="L387" s="16">
        <f t="shared" si="1135"/>
        <v>355.92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ht="15.75" customHeight="1">
      <c r="A388" s="1"/>
      <c r="B388" s="1" t="s">
        <v>707</v>
      </c>
      <c r="C388" s="19" t="s">
        <v>708</v>
      </c>
      <c r="D388" s="12">
        <v>0.0</v>
      </c>
      <c r="E388" s="18">
        <f t="shared" si="997"/>
        <v>14548.8</v>
      </c>
      <c r="F388" s="14">
        <v>12990.0</v>
      </c>
      <c r="G388" s="15">
        <f t="shared" ref="G388:H388" si="1136">E388/94</f>
        <v>154.7744681</v>
      </c>
      <c r="H388" s="15">
        <f t="shared" si="1136"/>
        <v>138.1914894</v>
      </c>
      <c r="I388" s="16">
        <f t="shared" ref="I388:J388" si="1137">E388/24</f>
        <v>606.2</v>
      </c>
      <c r="J388" s="16">
        <f t="shared" si="1137"/>
        <v>541.25</v>
      </c>
      <c r="K388" s="16">
        <f t="shared" ref="K388:L388" si="1138">E388/125</f>
        <v>116.3904</v>
      </c>
      <c r="L388" s="16">
        <f t="shared" si="1138"/>
        <v>103.92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ht="15.75" customHeight="1">
      <c r="A389" s="1"/>
      <c r="B389" s="1" t="s">
        <v>709</v>
      </c>
      <c r="C389" s="19" t="s">
        <v>710</v>
      </c>
      <c r="D389" s="12">
        <v>0.0</v>
      </c>
      <c r="E389" s="18">
        <f t="shared" si="997"/>
        <v>18468.8</v>
      </c>
      <c r="F389" s="14">
        <v>16490.0</v>
      </c>
      <c r="G389" s="15">
        <f t="shared" ref="G389:H389" si="1139">E389/94</f>
        <v>196.4765957</v>
      </c>
      <c r="H389" s="15">
        <f t="shared" si="1139"/>
        <v>175.4255319</v>
      </c>
      <c r="I389" s="16">
        <f t="shared" ref="I389:J389" si="1140">E389/24</f>
        <v>769.5333333</v>
      </c>
      <c r="J389" s="16">
        <f t="shared" si="1140"/>
        <v>687.0833333</v>
      </c>
      <c r="K389" s="16">
        <f t="shared" ref="K389:L389" si="1141">E389/125</f>
        <v>147.7504</v>
      </c>
      <c r="L389" s="16">
        <f t="shared" si="1141"/>
        <v>131.92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ht="15.75" customHeight="1">
      <c r="A390" s="1"/>
      <c r="B390" s="1" t="s">
        <v>711</v>
      </c>
      <c r="C390" s="19" t="s">
        <v>712</v>
      </c>
      <c r="D390" s="12">
        <v>0.0</v>
      </c>
      <c r="E390" s="18">
        <f t="shared" si="997"/>
        <v>22388.8</v>
      </c>
      <c r="F390" s="14">
        <v>19990.0</v>
      </c>
      <c r="G390" s="15">
        <f t="shared" ref="G390:H390" si="1142">E390/94</f>
        <v>238.1787234</v>
      </c>
      <c r="H390" s="15">
        <f t="shared" si="1142"/>
        <v>212.6595745</v>
      </c>
      <c r="I390" s="16">
        <f t="shared" ref="I390:J390" si="1143">E390/24</f>
        <v>932.8666667</v>
      </c>
      <c r="J390" s="16">
        <f t="shared" si="1143"/>
        <v>832.9166667</v>
      </c>
      <c r="K390" s="16">
        <f t="shared" ref="K390:L390" si="1144">E390/125</f>
        <v>179.1104</v>
      </c>
      <c r="L390" s="16">
        <f t="shared" si="1144"/>
        <v>159.92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ht="15.75" customHeight="1">
      <c r="A391" s="1"/>
      <c r="B391" s="1" t="s">
        <v>713</v>
      </c>
      <c r="C391" s="19" t="s">
        <v>714</v>
      </c>
      <c r="D391" s="12">
        <v>0.0</v>
      </c>
      <c r="E391" s="18">
        <f t="shared" si="997"/>
        <v>27428.8</v>
      </c>
      <c r="F391" s="14">
        <v>24490.0</v>
      </c>
      <c r="G391" s="15">
        <f t="shared" ref="G391:H391" si="1145">E391/94</f>
        <v>291.7957447</v>
      </c>
      <c r="H391" s="15">
        <f t="shared" si="1145"/>
        <v>260.5319149</v>
      </c>
      <c r="I391" s="16">
        <f t="shared" ref="I391:J391" si="1146">E391/24</f>
        <v>1142.866667</v>
      </c>
      <c r="J391" s="16">
        <f t="shared" si="1146"/>
        <v>1020.416667</v>
      </c>
      <c r="K391" s="16">
        <f t="shared" ref="K391:L391" si="1147">E391/125</f>
        <v>219.4304</v>
      </c>
      <c r="L391" s="16">
        <f t="shared" si="1147"/>
        <v>195.92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ht="15.75" customHeight="1">
      <c r="A392" s="1"/>
      <c r="B392" s="1" t="s">
        <v>715</v>
      </c>
      <c r="C392" s="19" t="s">
        <v>716</v>
      </c>
      <c r="D392" s="12">
        <v>0.0</v>
      </c>
      <c r="E392" s="18">
        <f t="shared" si="997"/>
        <v>32468.8</v>
      </c>
      <c r="F392" s="14">
        <v>28990.0</v>
      </c>
      <c r="G392" s="15">
        <f t="shared" ref="G392:H392" si="1148">E392/94</f>
        <v>345.412766</v>
      </c>
      <c r="H392" s="15">
        <f t="shared" si="1148"/>
        <v>308.4042553</v>
      </c>
      <c r="I392" s="16">
        <f t="shared" ref="I392:J392" si="1149">E392/24</f>
        <v>1352.866667</v>
      </c>
      <c r="J392" s="16">
        <f t="shared" si="1149"/>
        <v>1207.916667</v>
      </c>
      <c r="K392" s="16">
        <f t="shared" ref="K392:L392" si="1150">E392/125</f>
        <v>259.7504</v>
      </c>
      <c r="L392" s="16">
        <f t="shared" si="1150"/>
        <v>231.92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ht="15.75" customHeight="1">
      <c r="A393" s="1"/>
      <c r="B393" s="1" t="s">
        <v>717</v>
      </c>
      <c r="C393" s="19" t="s">
        <v>718</v>
      </c>
      <c r="D393" s="12">
        <v>0.0</v>
      </c>
      <c r="E393" s="18">
        <f t="shared" si="997"/>
        <v>38068.8</v>
      </c>
      <c r="F393" s="14">
        <v>33990.0</v>
      </c>
      <c r="G393" s="15">
        <f t="shared" ref="G393:H393" si="1151">E393/94</f>
        <v>404.987234</v>
      </c>
      <c r="H393" s="15">
        <f t="shared" si="1151"/>
        <v>361.5957447</v>
      </c>
      <c r="I393" s="16">
        <f t="shared" ref="I393:J393" si="1152">E393/24</f>
        <v>1586.2</v>
      </c>
      <c r="J393" s="16">
        <f t="shared" si="1152"/>
        <v>1416.25</v>
      </c>
      <c r="K393" s="16">
        <f t="shared" ref="K393:L393" si="1153">E393/125</f>
        <v>304.5504</v>
      </c>
      <c r="L393" s="16">
        <f t="shared" si="1153"/>
        <v>271.92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ht="15.75" customHeight="1">
      <c r="A394" s="1"/>
      <c r="B394" s="1" t="s">
        <v>719</v>
      </c>
      <c r="C394" s="19" t="s">
        <v>720</v>
      </c>
      <c r="D394" s="12">
        <v>0.0</v>
      </c>
      <c r="E394" s="18">
        <f t="shared" si="997"/>
        <v>43668.8</v>
      </c>
      <c r="F394" s="14">
        <v>38990.0</v>
      </c>
      <c r="G394" s="15">
        <f t="shared" ref="G394:H394" si="1154">E394/94</f>
        <v>464.5617021</v>
      </c>
      <c r="H394" s="15">
        <f t="shared" si="1154"/>
        <v>414.787234</v>
      </c>
      <c r="I394" s="16">
        <f t="shared" ref="I394:J394" si="1155">E394/24</f>
        <v>1819.533333</v>
      </c>
      <c r="J394" s="16">
        <f t="shared" si="1155"/>
        <v>1624.583333</v>
      </c>
      <c r="K394" s="16">
        <f t="shared" ref="K394:L394" si="1156">E394/125</f>
        <v>349.3504</v>
      </c>
      <c r="L394" s="16">
        <f t="shared" si="1156"/>
        <v>311.92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ht="15.75" customHeight="1">
      <c r="A395" s="1"/>
      <c r="B395" s="1" t="s">
        <v>721</v>
      </c>
      <c r="C395" s="19" t="s">
        <v>722</v>
      </c>
      <c r="D395" s="12">
        <v>0.0</v>
      </c>
      <c r="E395" s="18">
        <f t="shared" si="997"/>
        <v>49828.8</v>
      </c>
      <c r="F395" s="14">
        <v>44490.0</v>
      </c>
      <c r="G395" s="15">
        <f t="shared" ref="G395:H395" si="1157">E395/94</f>
        <v>530.093617</v>
      </c>
      <c r="H395" s="15">
        <f t="shared" si="1157"/>
        <v>473.2978723</v>
      </c>
      <c r="I395" s="16">
        <f t="shared" ref="I395:J395" si="1158">E395/24</f>
        <v>2076.2</v>
      </c>
      <c r="J395" s="16">
        <f t="shared" si="1158"/>
        <v>1853.75</v>
      </c>
      <c r="K395" s="16">
        <f t="shared" ref="K395:L395" si="1159">E395/125</f>
        <v>398.6304</v>
      </c>
      <c r="L395" s="16">
        <f t="shared" si="1159"/>
        <v>355.92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ht="15.75" customHeight="1">
      <c r="A396" s="1"/>
      <c r="B396" s="1" t="s">
        <v>723</v>
      </c>
      <c r="C396" s="19" t="s">
        <v>724</v>
      </c>
      <c r="D396" s="12">
        <v>0.0</v>
      </c>
      <c r="E396" s="18">
        <f t="shared" si="997"/>
        <v>14548.8</v>
      </c>
      <c r="F396" s="14">
        <v>12990.0</v>
      </c>
      <c r="G396" s="15">
        <f t="shared" ref="G396:H396" si="1160">E396/94</f>
        <v>154.7744681</v>
      </c>
      <c r="H396" s="15">
        <f t="shared" si="1160"/>
        <v>138.1914894</v>
      </c>
      <c r="I396" s="16">
        <f t="shared" ref="I396:J396" si="1161">E396/24</f>
        <v>606.2</v>
      </c>
      <c r="J396" s="16">
        <f t="shared" si="1161"/>
        <v>541.25</v>
      </c>
      <c r="K396" s="16">
        <f t="shared" ref="K396:L396" si="1162">E396/125</f>
        <v>116.3904</v>
      </c>
      <c r="L396" s="16">
        <f t="shared" si="1162"/>
        <v>103.92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ht="15.75" customHeight="1">
      <c r="A397" s="1"/>
      <c r="B397" s="1" t="s">
        <v>725</v>
      </c>
      <c r="C397" s="19" t="s">
        <v>726</v>
      </c>
      <c r="D397" s="12">
        <v>0.0</v>
      </c>
      <c r="E397" s="18">
        <f t="shared" si="997"/>
        <v>18468.8</v>
      </c>
      <c r="F397" s="14">
        <v>16490.0</v>
      </c>
      <c r="G397" s="15">
        <f t="shared" ref="G397:H397" si="1163">E397/94</f>
        <v>196.4765957</v>
      </c>
      <c r="H397" s="15">
        <f t="shared" si="1163"/>
        <v>175.4255319</v>
      </c>
      <c r="I397" s="16">
        <f t="shared" ref="I397:J397" si="1164">E397/24</f>
        <v>769.5333333</v>
      </c>
      <c r="J397" s="16">
        <f t="shared" si="1164"/>
        <v>687.0833333</v>
      </c>
      <c r="K397" s="16">
        <f t="shared" ref="K397:L397" si="1165">E397/125</f>
        <v>147.7504</v>
      </c>
      <c r="L397" s="16">
        <f t="shared" si="1165"/>
        <v>131.92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ht="15.75" customHeight="1">
      <c r="A398" s="1"/>
      <c r="B398" s="1" t="s">
        <v>727</v>
      </c>
      <c r="C398" s="19" t="s">
        <v>728</v>
      </c>
      <c r="D398" s="12">
        <v>0.0</v>
      </c>
      <c r="E398" s="18">
        <f t="shared" si="997"/>
        <v>22388.8</v>
      </c>
      <c r="F398" s="14">
        <v>19990.0</v>
      </c>
      <c r="G398" s="15">
        <f t="shared" ref="G398:H398" si="1166">E398/94</f>
        <v>238.1787234</v>
      </c>
      <c r="H398" s="15">
        <f t="shared" si="1166"/>
        <v>212.6595745</v>
      </c>
      <c r="I398" s="16">
        <f t="shared" ref="I398:J398" si="1167">E398/24</f>
        <v>932.8666667</v>
      </c>
      <c r="J398" s="16">
        <f t="shared" si="1167"/>
        <v>832.9166667</v>
      </c>
      <c r="K398" s="16">
        <f t="shared" ref="K398:L398" si="1168">E398/125</f>
        <v>179.1104</v>
      </c>
      <c r="L398" s="16">
        <f t="shared" si="1168"/>
        <v>159.92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ht="15.75" customHeight="1">
      <c r="A399" s="1"/>
      <c r="B399" s="1" t="s">
        <v>729</v>
      </c>
      <c r="C399" s="19" t="s">
        <v>730</v>
      </c>
      <c r="D399" s="12">
        <v>0.0</v>
      </c>
      <c r="E399" s="18">
        <f t="shared" si="997"/>
        <v>27428.8</v>
      </c>
      <c r="F399" s="14">
        <v>24490.0</v>
      </c>
      <c r="G399" s="15">
        <f t="shared" ref="G399:H399" si="1169">E399/94</f>
        <v>291.7957447</v>
      </c>
      <c r="H399" s="15">
        <f t="shared" si="1169"/>
        <v>260.5319149</v>
      </c>
      <c r="I399" s="16">
        <f t="shared" ref="I399:J399" si="1170">E399/24</f>
        <v>1142.866667</v>
      </c>
      <c r="J399" s="16">
        <f t="shared" si="1170"/>
        <v>1020.416667</v>
      </c>
      <c r="K399" s="16">
        <f t="shared" ref="K399:L399" si="1171">E399/125</f>
        <v>219.4304</v>
      </c>
      <c r="L399" s="16">
        <f t="shared" si="1171"/>
        <v>195.92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ht="15.75" customHeight="1">
      <c r="A400" s="1"/>
      <c r="B400" s="1" t="s">
        <v>731</v>
      </c>
      <c r="C400" s="19" t="s">
        <v>732</v>
      </c>
      <c r="D400" s="12">
        <v>0.0</v>
      </c>
      <c r="E400" s="18">
        <f t="shared" si="997"/>
        <v>32468.8</v>
      </c>
      <c r="F400" s="14">
        <v>28990.0</v>
      </c>
      <c r="G400" s="15">
        <f t="shared" ref="G400:H400" si="1172">E400/94</f>
        <v>345.412766</v>
      </c>
      <c r="H400" s="15">
        <f t="shared" si="1172"/>
        <v>308.4042553</v>
      </c>
      <c r="I400" s="16">
        <f t="shared" ref="I400:J400" si="1173">E400/24</f>
        <v>1352.866667</v>
      </c>
      <c r="J400" s="16">
        <f t="shared" si="1173"/>
        <v>1207.916667</v>
      </c>
      <c r="K400" s="16">
        <f t="shared" ref="K400:L400" si="1174">E400/125</f>
        <v>259.7504</v>
      </c>
      <c r="L400" s="16">
        <f t="shared" si="1174"/>
        <v>231.92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ht="15.75" customHeight="1">
      <c r="A401" s="1"/>
      <c r="B401" s="1" t="s">
        <v>733</v>
      </c>
      <c r="C401" s="19" t="s">
        <v>734</v>
      </c>
      <c r="D401" s="12">
        <v>0.0</v>
      </c>
      <c r="E401" s="18">
        <f t="shared" si="997"/>
        <v>38068.8</v>
      </c>
      <c r="F401" s="14">
        <v>33990.0</v>
      </c>
      <c r="G401" s="15">
        <f t="shared" ref="G401:H401" si="1175">E401/94</f>
        <v>404.987234</v>
      </c>
      <c r="H401" s="15">
        <f t="shared" si="1175"/>
        <v>361.5957447</v>
      </c>
      <c r="I401" s="16">
        <f t="shared" ref="I401:J401" si="1176">E401/24</f>
        <v>1586.2</v>
      </c>
      <c r="J401" s="16">
        <f t="shared" si="1176"/>
        <v>1416.25</v>
      </c>
      <c r="K401" s="16">
        <f t="shared" ref="K401:L401" si="1177">E401/125</f>
        <v>304.5504</v>
      </c>
      <c r="L401" s="16">
        <f t="shared" si="1177"/>
        <v>271.92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ht="15.75" customHeight="1">
      <c r="A402" s="1"/>
      <c r="B402" s="1" t="s">
        <v>735</v>
      </c>
      <c r="C402" s="19" t="s">
        <v>736</v>
      </c>
      <c r="D402" s="12">
        <v>0.0</v>
      </c>
      <c r="E402" s="18">
        <f t="shared" si="997"/>
        <v>43668.8</v>
      </c>
      <c r="F402" s="14">
        <v>38990.0</v>
      </c>
      <c r="G402" s="15">
        <f t="shared" ref="G402:H402" si="1178">E402/94</f>
        <v>464.5617021</v>
      </c>
      <c r="H402" s="15">
        <f t="shared" si="1178"/>
        <v>414.787234</v>
      </c>
      <c r="I402" s="16">
        <f t="shared" ref="I402:J402" si="1179">E402/24</f>
        <v>1819.533333</v>
      </c>
      <c r="J402" s="16">
        <f t="shared" si="1179"/>
        <v>1624.583333</v>
      </c>
      <c r="K402" s="16">
        <f t="shared" ref="K402:L402" si="1180">E402/125</f>
        <v>349.3504</v>
      </c>
      <c r="L402" s="16">
        <f t="shared" si="1180"/>
        <v>311.92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ht="15.75" customHeight="1">
      <c r="A403" s="1"/>
      <c r="B403" s="1" t="s">
        <v>737</v>
      </c>
      <c r="C403" s="19" t="s">
        <v>738</v>
      </c>
      <c r="D403" s="12">
        <v>0.0</v>
      </c>
      <c r="E403" s="18">
        <f t="shared" si="997"/>
        <v>49828.8</v>
      </c>
      <c r="F403" s="14">
        <v>44490.0</v>
      </c>
      <c r="G403" s="15">
        <f t="shared" ref="G403:H403" si="1181">E403/94</f>
        <v>530.093617</v>
      </c>
      <c r="H403" s="15">
        <f t="shared" si="1181"/>
        <v>473.2978723</v>
      </c>
      <c r="I403" s="16">
        <f t="shared" ref="I403:J403" si="1182">E403/24</f>
        <v>2076.2</v>
      </c>
      <c r="J403" s="16">
        <f t="shared" si="1182"/>
        <v>1853.75</v>
      </c>
      <c r="K403" s="16">
        <f t="shared" ref="K403:L403" si="1183">E403/125</f>
        <v>398.6304</v>
      </c>
      <c r="L403" s="16">
        <f t="shared" si="1183"/>
        <v>355.92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ht="15.75" customHeight="1">
      <c r="A404" s="1"/>
      <c r="B404" s="1" t="s">
        <v>739</v>
      </c>
      <c r="C404" s="32" t="s">
        <v>740</v>
      </c>
      <c r="D404" s="12">
        <v>0.0</v>
      </c>
      <c r="E404" s="18">
        <f t="shared" si="997"/>
        <v>14548.8</v>
      </c>
      <c r="F404" s="14">
        <v>12990.0</v>
      </c>
      <c r="G404" s="15">
        <f t="shared" ref="G404:H404" si="1184">E404/94</f>
        <v>154.7744681</v>
      </c>
      <c r="H404" s="15">
        <f t="shared" si="1184"/>
        <v>138.1914894</v>
      </c>
      <c r="I404" s="16">
        <f t="shared" ref="I404:J404" si="1185">E404/24</f>
        <v>606.2</v>
      </c>
      <c r="J404" s="16">
        <f t="shared" si="1185"/>
        <v>541.25</v>
      </c>
      <c r="K404" s="16">
        <f t="shared" ref="K404:L404" si="1186">E404/125</f>
        <v>116.3904</v>
      </c>
      <c r="L404" s="16">
        <f t="shared" si="1186"/>
        <v>103.92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ht="15.75" customHeight="1">
      <c r="A405" s="1"/>
      <c r="B405" s="1" t="s">
        <v>741</v>
      </c>
      <c r="C405" s="32" t="s">
        <v>742</v>
      </c>
      <c r="D405" s="12">
        <v>0.0</v>
      </c>
      <c r="E405" s="18">
        <f t="shared" si="997"/>
        <v>18468.8</v>
      </c>
      <c r="F405" s="14">
        <v>16490.0</v>
      </c>
      <c r="G405" s="15">
        <f t="shared" ref="G405:H405" si="1187">E405/94</f>
        <v>196.4765957</v>
      </c>
      <c r="H405" s="15">
        <f t="shared" si="1187"/>
        <v>175.4255319</v>
      </c>
      <c r="I405" s="16">
        <f t="shared" ref="I405:J405" si="1188">E405/24</f>
        <v>769.5333333</v>
      </c>
      <c r="J405" s="16">
        <f t="shared" si="1188"/>
        <v>687.0833333</v>
      </c>
      <c r="K405" s="16">
        <f t="shared" ref="K405:L405" si="1189">E405/125</f>
        <v>147.7504</v>
      </c>
      <c r="L405" s="16">
        <f t="shared" si="1189"/>
        <v>131.92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ht="15.75" customHeight="1">
      <c r="A406" s="1"/>
      <c r="B406" s="1" t="s">
        <v>743</v>
      </c>
      <c r="C406" s="32" t="s">
        <v>744</v>
      </c>
      <c r="D406" s="12">
        <v>0.0</v>
      </c>
      <c r="E406" s="18">
        <f t="shared" si="997"/>
        <v>22388.8</v>
      </c>
      <c r="F406" s="14">
        <v>19990.0</v>
      </c>
      <c r="G406" s="15">
        <f t="shared" ref="G406:H406" si="1190">E406/94</f>
        <v>238.1787234</v>
      </c>
      <c r="H406" s="15">
        <f t="shared" si="1190"/>
        <v>212.6595745</v>
      </c>
      <c r="I406" s="16">
        <f t="shared" ref="I406:J406" si="1191">E406/24</f>
        <v>932.8666667</v>
      </c>
      <c r="J406" s="16">
        <f t="shared" si="1191"/>
        <v>832.9166667</v>
      </c>
      <c r="K406" s="16">
        <f t="shared" ref="K406:L406" si="1192">E406/125</f>
        <v>179.1104</v>
      </c>
      <c r="L406" s="16">
        <f t="shared" si="1192"/>
        <v>159.92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ht="15.75" customHeight="1">
      <c r="A407" s="1"/>
      <c r="B407" s="1" t="s">
        <v>745</v>
      </c>
      <c r="C407" s="32" t="s">
        <v>746</v>
      </c>
      <c r="D407" s="12">
        <v>0.0</v>
      </c>
      <c r="E407" s="18">
        <f t="shared" si="997"/>
        <v>27428.8</v>
      </c>
      <c r="F407" s="14">
        <v>24490.0</v>
      </c>
      <c r="G407" s="15">
        <f t="shared" ref="G407:H407" si="1193">E407/94</f>
        <v>291.7957447</v>
      </c>
      <c r="H407" s="15">
        <f t="shared" si="1193"/>
        <v>260.5319149</v>
      </c>
      <c r="I407" s="16">
        <f t="shared" ref="I407:J407" si="1194">E407/24</f>
        <v>1142.866667</v>
      </c>
      <c r="J407" s="16">
        <f t="shared" si="1194"/>
        <v>1020.416667</v>
      </c>
      <c r="K407" s="16">
        <f t="shared" ref="K407:L407" si="1195">E407/125</f>
        <v>219.4304</v>
      </c>
      <c r="L407" s="16">
        <f t="shared" si="1195"/>
        <v>195.92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ht="15.75" customHeight="1">
      <c r="A408" s="1"/>
      <c r="B408" s="1" t="s">
        <v>747</v>
      </c>
      <c r="C408" s="32" t="s">
        <v>748</v>
      </c>
      <c r="D408" s="12">
        <v>0.0</v>
      </c>
      <c r="E408" s="18">
        <f t="shared" si="997"/>
        <v>32468.8</v>
      </c>
      <c r="F408" s="14">
        <v>28990.0</v>
      </c>
      <c r="G408" s="15">
        <f t="shared" ref="G408:H408" si="1196">E408/94</f>
        <v>345.412766</v>
      </c>
      <c r="H408" s="15">
        <f t="shared" si="1196"/>
        <v>308.4042553</v>
      </c>
      <c r="I408" s="16">
        <f t="shared" ref="I408:J408" si="1197">E408/24</f>
        <v>1352.866667</v>
      </c>
      <c r="J408" s="16">
        <f t="shared" si="1197"/>
        <v>1207.916667</v>
      </c>
      <c r="K408" s="16">
        <f t="shared" ref="K408:L408" si="1198">E408/125</f>
        <v>259.7504</v>
      </c>
      <c r="L408" s="16">
        <f t="shared" si="1198"/>
        <v>231.92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ht="15.75" customHeight="1">
      <c r="A409" s="1"/>
      <c r="B409" s="1" t="s">
        <v>749</v>
      </c>
      <c r="C409" s="32" t="s">
        <v>750</v>
      </c>
      <c r="D409" s="12">
        <v>0.0</v>
      </c>
      <c r="E409" s="18">
        <f t="shared" si="997"/>
        <v>38068.8</v>
      </c>
      <c r="F409" s="14">
        <v>33990.0</v>
      </c>
      <c r="G409" s="15">
        <f t="shared" ref="G409:H409" si="1199">E409/94</f>
        <v>404.987234</v>
      </c>
      <c r="H409" s="15">
        <f t="shared" si="1199"/>
        <v>361.5957447</v>
      </c>
      <c r="I409" s="16">
        <f t="shared" ref="I409:J409" si="1200">E409/24</f>
        <v>1586.2</v>
      </c>
      <c r="J409" s="16">
        <f t="shared" si="1200"/>
        <v>1416.25</v>
      </c>
      <c r="K409" s="16">
        <f t="shared" ref="K409:L409" si="1201">E409/125</f>
        <v>304.5504</v>
      </c>
      <c r="L409" s="16">
        <f t="shared" si="1201"/>
        <v>271.92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ht="15.75" customHeight="1">
      <c r="A410" s="1"/>
      <c r="B410" s="1" t="s">
        <v>751</v>
      </c>
      <c r="C410" s="32" t="s">
        <v>752</v>
      </c>
      <c r="D410" s="12">
        <v>0.0</v>
      </c>
      <c r="E410" s="18">
        <f t="shared" si="997"/>
        <v>43668.8</v>
      </c>
      <c r="F410" s="14">
        <v>38990.0</v>
      </c>
      <c r="G410" s="15">
        <f t="shared" ref="G410:H410" si="1202">E410/94</f>
        <v>464.5617021</v>
      </c>
      <c r="H410" s="15">
        <f t="shared" si="1202"/>
        <v>414.787234</v>
      </c>
      <c r="I410" s="16">
        <f t="shared" ref="I410:J410" si="1203">E410/24</f>
        <v>1819.533333</v>
      </c>
      <c r="J410" s="16">
        <f t="shared" si="1203"/>
        <v>1624.583333</v>
      </c>
      <c r="K410" s="16">
        <f t="shared" ref="K410:L410" si="1204">E410/125</f>
        <v>349.3504</v>
      </c>
      <c r="L410" s="16">
        <f t="shared" si="1204"/>
        <v>311.92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ht="15.75" customHeight="1">
      <c r="A411" s="1"/>
      <c r="B411" s="1" t="s">
        <v>753</v>
      </c>
      <c r="C411" s="32" t="s">
        <v>754</v>
      </c>
      <c r="D411" s="12">
        <v>0.0</v>
      </c>
      <c r="E411" s="18">
        <f t="shared" si="997"/>
        <v>49828.8</v>
      </c>
      <c r="F411" s="14">
        <v>44490.0</v>
      </c>
      <c r="G411" s="15">
        <f t="shared" ref="G411:H411" si="1205">E411/94</f>
        <v>530.093617</v>
      </c>
      <c r="H411" s="15">
        <f t="shared" si="1205"/>
        <v>473.2978723</v>
      </c>
      <c r="I411" s="16">
        <f t="shared" ref="I411:J411" si="1206">E411/24</f>
        <v>2076.2</v>
      </c>
      <c r="J411" s="16">
        <f t="shared" si="1206"/>
        <v>1853.75</v>
      </c>
      <c r="K411" s="16">
        <f t="shared" ref="K411:L411" si="1207">E411/125</f>
        <v>398.6304</v>
      </c>
      <c r="L411" s="16">
        <f t="shared" si="1207"/>
        <v>355.92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ht="15.0" customHeight="1">
      <c r="A412" s="1" t="s">
        <v>755</v>
      </c>
      <c r="B412" s="1" t="s">
        <v>315</v>
      </c>
      <c r="C412" s="17" t="s">
        <v>756</v>
      </c>
      <c r="D412" s="12">
        <v>18.0</v>
      </c>
      <c r="E412" s="18">
        <f t="shared" si="997"/>
        <v>2184</v>
      </c>
      <c r="F412" s="1">
        <v>1950.0</v>
      </c>
      <c r="G412" s="15">
        <f t="shared" ref="G412:H412" si="1208">E412/94</f>
        <v>23.23404255</v>
      </c>
      <c r="H412" s="15">
        <f t="shared" si="1208"/>
        <v>20.74468085</v>
      </c>
      <c r="I412" s="16">
        <f t="shared" ref="I412:J412" si="1209">E412/24</f>
        <v>91</v>
      </c>
      <c r="J412" s="16">
        <f t="shared" si="1209"/>
        <v>81.25</v>
      </c>
      <c r="K412" s="16">
        <f t="shared" ref="K412:L412" si="1210">E412/125</f>
        <v>17.472</v>
      </c>
      <c r="L412" s="16">
        <f t="shared" si="1210"/>
        <v>15.6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ht="15.75" customHeight="1">
      <c r="A413" s="1"/>
      <c r="B413" s="1" t="s">
        <v>317</v>
      </c>
      <c r="C413" s="17" t="s">
        <v>757</v>
      </c>
      <c r="D413" s="12">
        <v>19.0</v>
      </c>
      <c r="E413" s="18">
        <f t="shared" si="997"/>
        <v>2632</v>
      </c>
      <c r="F413" s="1">
        <v>2350.0</v>
      </c>
      <c r="G413" s="15">
        <f t="shared" ref="G413:H413" si="1211">E413/94</f>
        <v>28</v>
      </c>
      <c r="H413" s="15">
        <f t="shared" si="1211"/>
        <v>25</v>
      </c>
      <c r="I413" s="16">
        <f t="shared" ref="I413:J413" si="1212">E413/24</f>
        <v>109.6666667</v>
      </c>
      <c r="J413" s="16">
        <f t="shared" si="1212"/>
        <v>97.91666667</v>
      </c>
      <c r="K413" s="16">
        <f t="shared" ref="K413:L413" si="1213">E413/125</f>
        <v>21.056</v>
      </c>
      <c r="L413" s="16">
        <f t="shared" si="1213"/>
        <v>18.8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ht="15.75" customHeight="1">
      <c r="A414" s="1"/>
      <c r="B414" s="1" t="s">
        <v>319</v>
      </c>
      <c r="C414" s="17" t="s">
        <v>758</v>
      </c>
      <c r="D414" s="12">
        <v>27.0</v>
      </c>
      <c r="E414" s="18">
        <f t="shared" si="997"/>
        <v>3080</v>
      </c>
      <c r="F414" s="1">
        <v>2750.0</v>
      </c>
      <c r="G414" s="15">
        <f t="shared" ref="G414:H414" si="1214">E414/94</f>
        <v>32.76595745</v>
      </c>
      <c r="H414" s="15">
        <f t="shared" si="1214"/>
        <v>29.25531915</v>
      </c>
      <c r="I414" s="16">
        <f t="shared" ref="I414:J414" si="1215">E414/24</f>
        <v>128.3333333</v>
      </c>
      <c r="J414" s="16">
        <f t="shared" si="1215"/>
        <v>114.5833333</v>
      </c>
      <c r="K414" s="16">
        <f t="shared" ref="K414:L414" si="1216">E414/125</f>
        <v>24.64</v>
      </c>
      <c r="L414" s="16">
        <f t="shared" si="1216"/>
        <v>22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ht="15.75" customHeight="1">
      <c r="A415" s="1"/>
      <c r="B415" s="1" t="s">
        <v>759</v>
      </c>
      <c r="C415" s="17" t="s">
        <v>760</v>
      </c>
      <c r="D415" s="12">
        <v>10.0</v>
      </c>
      <c r="E415" s="18">
        <f t="shared" si="997"/>
        <v>3864</v>
      </c>
      <c r="F415" s="1">
        <v>3450.0</v>
      </c>
      <c r="G415" s="15">
        <f t="shared" ref="G415:H415" si="1217">E415/94</f>
        <v>41.10638298</v>
      </c>
      <c r="H415" s="15">
        <f t="shared" si="1217"/>
        <v>36.70212766</v>
      </c>
      <c r="I415" s="16">
        <f t="shared" ref="I415:J415" si="1218">E415/24</f>
        <v>161</v>
      </c>
      <c r="J415" s="16">
        <f t="shared" si="1218"/>
        <v>143.75</v>
      </c>
      <c r="K415" s="16">
        <f t="shared" ref="K415:L415" si="1219">E415/125</f>
        <v>30.912</v>
      </c>
      <c r="L415" s="16">
        <f t="shared" si="1219"/>
        <v>27.6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ht="15.0" customHeight="1">
      <c r="A416" s="1" t="s">
        <v>761</v>
      </c>
      <c r="B416" s="1" t="s">
        <v>762</v>
      </c>
      <c r="C416" s="19" t="s">
        <v>763</v>
      </c>
      <c r="D416" s="2"/>
      <c r="E416" s="18">
        <f t="shared" si="997"/>
        <v>6036.8</v>
      </c>
      <c r="F416" s="14">
        <v>5390.0</v>
      </c>
      <c r="G416" s="15">
        <f t="shared" ref="G416:H416" si="1220">E416/94</f>
        <v>64.2212766</v>
      </c>
      <c r="H416" s="15">
        <f t="shared" si="1220"/>
        <v>57.34042553</v>
      </c>
      <c r="I416" s="16">
        <f t="shared" ref="I416:J416" si="1221">E416/24</f>
        <v>251.5333333</v>
      </c>
      <c r="J416" s="16">
        <f t="shared" si="1221"/>
        <v>224.5833333</v>
      </c>
      <c r="K416" s="16">
        <f t="shared" ref="K416:L416" si="1222">E416/125</f>
        <v>48.2944</v>
      </c>
      <c r="L416" s="16">
        <f t="shared" si="1222"/>
        <v>43.12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ht="15.75" customHeight="1">
      <c r="A417" s="1"/>
      <c r="B417" s="1" t="s">
        <v>764</v>
      </c>
      <c r="C417" s="19" t="s">
        <v>765</v>
      </c>
      <c r="D417" s="2"/>
      <c r="E417" s="18">
        <f t="shared" si="997"/>
        <v>6708.8</v>
      </c>
      <c r="F417" s="14">
        <v>5990.0</v>
      </c>
      <c r="G417" s="15">
        <f t="shared" ref="G417:H417" si="1223">E417/94</f>
        <v>71.37021277</v>
      </c>
      <c r="H417" s="15">
        <f t="shared" si="1223"/>
        <v>63.72340426</v>
      </c>
      <c r="I417" s="16">
        <f t="shared" ref="I417:J417" si="1224">E417/24</f>
        <v>279.5333333</v>
      </c>
      <c r="J417" s="16">
        <f t="shared" si="1224"/>
        <v>249.5833333</v>
      </c>
      <c r="K417" s="16">
        <f t="shared" ref="K417:L417" si="1225">E417/125</f>
        <v>53.6704</v>
      </c>
      <c r="L417" s="16">
        <f t="shared" si="1225"/>
        <v>47.92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ht="15.75" customHeight="1">
      <c r="A418" s="1"/>
      <c r="B418" s="1" t="s">
        <v>766</v>
      </c>
      <c r="C418" s="19" t="s">
        <v>767</v>
      </c>
      <c r="D418" s="2"/>
      <c r="E418" s="18">
        <f t="shared" si="997"/>
        <v>7828.8</v>
      </c>
      <c r="F418" s="14">
        <v>6990.0</v>
      </c>
      <c r="G418" s="15">
        <f t="shared" ref="G418:H418" si="1226">E418/94</f>
        <v>83.28510638</v>
      </c>
      <c r="H418" s="15">
        <f t="shared" si="1226"/>
        <v>74.36170213</v>
      </c>
      <c r="I418" s="16">
        <f t="shared" ref="I418:J418" si="1227">E418/24</f>
        <v>326.2</v>
      </c>
      <c r="J418" s="16">
        <f t="shared" si="1227"/>
        <v>291.25</v>
      </c>
      <c r="K418" s="16">
        <f t="shared" ref="K418:L418" si="1228">E418/125</f>
        <v>62.6304</v>
      </c>
      <c r="L418" s="16">
        <f t="shared" si="1228"/>
        <v>55.92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ht="15.75" customHeight="1">
      <c r="A419" s="1"/>
      <c r="B419" s="1" t="s">
        <v>768</v>
      </c>
      <c r="C419" s="19" t="s">
        <v>769</v>
      </c>
      <c r="D419" s="2"/>
      <c r="E419" s="18">
        <f t="shared" si="997"/>
        <v>10068.8</v>
      </c>
      <c r="F419" s="14">
        <v>8990.0</v>
      </c>
      <c r="G419" s="15">
        <f t="shared" ref="G419:H419" si="1229">E419/94</f>
        <v>107.1148936</v>
      </c>
      <c r="H419" s="15">
        <f t="shared" si="1229"/>
        <v>95.63829787</v>
      </c>
      <c r="I419" s="16">
        <f t="shared" ref="I419:J419" si="1230">E419/24</f>
        <v>419.5333333</v>
      </c>
      <c r="J419" s="16">
        <f t="shared" si="1230"/>
        <v>374.5833333</v>
      </c>
      <c r="K419" s="16">
        <f t="shared" ref="K419:L419" si="1231">E419/125</f>
        <v>80.5504</v>
      </c>
      <c r="L419" s="16">
        <f t="shared" si="1231"/>
        <v>71.92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ht="15.75" customHeight="1">
      <c r="A420" s="1"/>
      <c r="B420" s="1" t="s">
        <v>770</v>
      </c>
      <c r="C420" s="19" t="s">
        <v>771</v>
      </c>
      <c r="D420" s="2"/>
      <c r="E420" s="18">
        <f t="shared" si="997"/>
        <v>6036.8</v>
      </c>
      <c r="F420" s="14">
        <v>5390.0</v>
      </c>
      <c r="G420" s="15">
        <f t="shared" ref="G420:H420" si="1232">E420/94</f>
        <v>64.2212766</v>
      </c>
      <c r="H420" s="15">
        <f t="shared" si="1232"/>
        <v>57.34042553</v>
      </c>
      <c r="I420" s="16">
        <f t="shared" ref="I420:J420" si="1233">E420/24</f>
        <v>251.5333333</v>
      </c>
      <c r="J420" s="16">
        <f t="shared" si="1233"/>
        <v>224.5833333</v>
      </c>
      <c r="K420" s="16">
        <f t="shared" ref="K420:L420" si="1234">E420/125</f>
        <v>48.2944</v>
      </c>
      <c r="L420" s="16">
        <f t="shared" si="1234"/>
        <v>43.12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ht="15.75" customHeight="1">
      <c r="A421" s="1"/>
      <c r="B421" s="1" t="s">
        <v>772</v>
      </c>
      <c r="C421" s="19" t="s">
        <v>773</v>
      </c>
      <c r="D421" s="2"/>
      <c r="E421" s="18">
        <f t="shared" si="997"/>
        <v>6708.8</v>
      </c>
      <c r="F421" s="14">
        <v>5990.0</v>
      </c>
      <c r="G421" s="15">
        <f t="shared" ref="G421:H421" si="1235">E421/94</f>
        <v>71.37021277</v>
      </c>
      <c r="H421" s="15">
        <f t="shared" si="1235"/>
        <v>63.72340426</v>
      </c>
      <c r="I421" s="16">
        <f t="shared" ref="I421:J421" si="1236">E421/24</f>
        <v>279.5333333</v>
      </c>
      <c r="J421" s="16">
        <f t="shared" si="1236"/>
        <v>249.5833333</v>
      </c>
      <c r="K421" s="16">
        <f t="shared" ref="K421:L421" si="1237">E421/125</f>
        <v>53.6704</v>
      </c>
      <c r="L421" s="16">
        <f t="shared" si="1237"/>
        <v>47.92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ht="15.75" customHeight="1">
      <c r="A422" s="1"/>
      <c r="B422" s="1" t="s">
        <v>774</v>
      </c>
      <c r="C422" s="19" t="s">
        <v>775</v>
      </c>
      <c r="D422" s="2"/>
      <c r="E422" s="18">
        <f t="shared" si="997"/>
        <v>7828.8</v>
      </c>
      <c r="F422" s="14">
        <v>6990.0</v>
      </c>
      <c r="G422" s="15">
        <f t="shared" ref="G422:H422" si="1238">E422/94</f>
        <v>83.28510638</v>
      </c>
      <c r="H422" s="15">
        <f t="shared" si="1238"/>
        <v>74.36170213</v>
      </c>
      <c r="I422" s="16">
        <f t="shared" ref="I422:J422" si="1239">E422/24</f>
        <v>326.2</v>
      </c>
      <c r="J422" s="16">
        <f t="shared" si="1239"/>
        <v>291.25</v>
      </c>
      <c r="K422" s="16">
        <f t="shared" ref="K422:L422" si="1240">E422/125</f>
        <v>62.6304</v>
      </c>
      <c r="L422" s="16">
        <f t="shared" si="1240"/>
        <v>55.92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ht="15.75" customHeight="1">
      <c r="A423" s="1"/>
      <c r="B423" s="1" t="s">
        <v>776</v>
      </c>
      <c r="C423" s="19" t="s">
        <v>777</v>
      </c>
      <c r="D423" s="2"/>
      <c r="E423" s="18">
        <f t="shared" si="997"/>
        <v>10068.8</v>
      </c>
      <c r="F423" s="14">
        <v>8990.0</v>
      </c>
      <c r="G423" s="15">
        <f t="shared" ref="G423:H423" si="1241">E423/94</f>
        <v>107.1148936</v>
      </c>
      <c r="H423" s="15">
        <f t="shared" si="1241"/>
        <v>95.63829787</v>
      </c>
      <c r="I423" s="16">
        <f t="shared" ref="I423:J423" si="1242">E423/24</f>
        <v>419.5333333</v>
      </c>
      <c r="J423" s="16">
        <f t="shared" si="1242"/>
        <v>374.5833333</v>
      </c>
      <c r="K423" s="16">
        <f t="shared" ref="K423:L423" si="1243">E423/125</f>
        <v>80.5504</v>
      </c>
      <c r="L423" s="16">
        <f t="shared" si="1243"/>
        <v>71.92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ht="15.0" customHeight="1">
      <c r="A424" s="1" t="s">
        <v>778</v>
      </c>
      <c r="B424" s="1" t="s">
        <v>779</v>
      </c>
      <c r="C424" s="17" t="s">
        <v>780</v>
      </c>
      <c r="D424" s="12">
        <v>0.0</v>
      </c>
      <c r="E424" s="18">
        <f t="shared" si="997"/>
        <v>12308.8</v>
      </c>
      <c r="F424" s="14">
        <v>10990.0</v>
      </c>
      <c r="G424" s="15">
        <f t="shared" ref="G424:H424" si="1244">E424/94</f>
        <v>130.9446809</v>
      </c>
      <c r="H424" s="15">
        <f t="shared" si="1244"/>
        <v>116.9148936</v>
      </c>
      <c r="I424" s="16">
        <f t="shared" ref="I424:J424" si="1245">E424/24</f>
        <v>512.8666667</v>
      </c>
      <c r="J424" s="16">
        <f t="shared" si="1245"/>
        <v>457.9166667</v>
      </c>
      <c r="K424" s="16">
        <f t="shared" ref="K424:L424" si="1246">E424/125</f>
        <v>98.4704</v>
      </c>
      <c r="L424" s="16">
        <f t="shared" si="1246"/>
        <v>87.92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ht="15.75" customHeight="1">
      <c r="A425" s="1"/>
      <c r="B425" s="1" t="s">
        <v>781</v>
      </c>
      <c r="C425" s="17" t="s">
        <v>782</v>
      </c>
      <c r="D425" s="12">
        <v>0.0</v>
      </c>
      <c r="E425" s="18">
        <f t="shared" si="997"/>
        <v>14548.8</v>
      </c>
      <c r="F425" s="14">
        <v>12990.0</v>
      </c>
      <c r="G425" s="15">
        <f t="shared" ref="G425:H425" si="1247">E425/94</f>
        <v>154.7744681</v>
      </c>
      <c r="H425" s="15">
        <f t="shared" si="1247"/>
        <v>138.1914894</v>
      </c>
      <c r="I425" s="16">
        <f t="shared" ref="I425:J425" si="1248">E425/24</f>
        <v>606.2</v>
      </c>
      <c r="J425" s="16">
        <f t="shared" si="1248"/>
        <v>541.25</v>
      </c>
      <c r="K425" s="16">
        <f t="shared" ref="K425:L425" si="1249">E425/125</f>
        <v>116.3904</v>
      </c>
      <c r="L425" s="16">
        <f t="shared" si="1249"/>
        <v>103.92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ht="15.75" customHeight="1">
      <c r="A426" s="1"/>
      <c r="B426" s="1" t="s">
        <v>783</v>
      </c>
      <c r="C426" s="17" t="s">
        <v>784</v>
      </c>
      <c r="D426" s="12">
        <v>0.0</v>
      </c>
      <c r="E426" s="18">
        <f t="shared" si="997"/>
        <v>16788.8</v>
      </c>
      <c r="F426" s="14">
        <v>14990.0</v>
      </c>
      <c r="G426" s="15">
        <f t="shared" ref="G426:H426" si="1250">E426/94</f>
        <v>178.6042553</v>
      </c>
      <c r="H426" s="15">
        <f t="shared" si="1250"/>
        <v>159.4680851</v>
      </c>
      <c r="I426" s="16">
        <f t="shared" ref="I426:J426" si="1251">E426/24</f>
        <v>699.5333333</v>
      </c>
      <c r="J426" s="16">
        <f t="shared" si="1251"/>
        <v>624.5833333</v>
      </c>
      <c r="K426" s="16">
        <f t="shared" ref="K426:L426" si="1252">E426/125</f>
        <v>134.3104</v>
      </c>
      <c r="L426" s="16">
        <f t="shared" si="1252"/>
        <v>119.92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ht="15.75" customHeight="1">
      <c r="A427" s="1"/>
      <c r="B427" s="1" t="s">
        <v>785</v>
      </c>
      <c r="C427" s="17" t="s">
        <v>786</v>
      </c>
      <c r="D427" s="12">
        <v>0.0</v>
      </c>
      <c r="E427" s="18">
        <f t="shared" si="997"/>
        <v>19028.8</v>
      </c>
      <c r="F427" s="14">
        <v>16990.0</v>
      </c>
      <c r="G427" s="15">
        <f t="shared" ref="G427:H427" si="1253">E427/94</f>
        <v>202.4340426</v>
      </c>
      <c r="H427" s="15">
        <f t="shared" si="1253"/>
        <v>180.7446809</v>
      </c>
      <c r="I427" s="16">
        <f t="shared" ref="I427:J427" si="1254">E427/24</f>
        <v>792.8666667</v>
      </c>
      <c r="J427" s="16">
        <f t="shared" si="1254"/>
        <v>707.9166667</v>
      </c>
      <c r="K427" s="16">
        <f t="shared" ref="K427:L427" si="1255">E427/125</f>
        <v>152.2304</v>
      </c>
      <c r="L427" s="16">
        <f t="shared" si="1255"/>
        <v>135.92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ht="15.75" customHeight="1">
      <c r="A428" s="1"/>
      <c r="B428" s="1" t="s">
        <v>787</v>
      </c>
      <c r="C428" s="17" t="s">
        <v>788</v>
      </c>
      <c r="D428" s="12">
        <v>0.0</v>
      </c>
      <c r="E428" s="18">
        <f t="shared" si="997"/>
        <v>21268.8</v>
      </c>
      <c r="F428" s="14">
        <v>18990.0</v>
      </c>
      <c r="G428" s="15">
        <f t="shared" ref="G428:H428" si="1256">E428/94</f>
        <v>226.2638298</v>
      </c>
      <c r="H428" s="15">
        <f t="shared" si="1256"/>
        <v>202.0212766</v>
      </c>
      <c r="I428" s="16">
        <f t="shared" ref="I428:J428" si="1257">E428/24</f>
        <v>886.2</v>
      </c>
      <c r="J428" s="16">
        <f t="shared" si="1257"/>
        <v>791.25</v>
      </c>
      <c r="K428" s="16">
        <f t="shared" ref="K428:L428" si="1258">E428/125</f>
        <v>170.1504</v>
      </c>
      <c r="L428" s="16">
        <f t="shared" si="1258"/>
        <v>151.92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ht="15.75" customHeight="1">
      <c r="A429" s="1"/>
      <c r="B429" s="1" t="s">
        <v>789</v>
      </c>
      <c r="C429" s="17" t="s">
        <v>790</v>
      </c>
      <c r="D429" s="12">
        <v>0.0</v>
      </c>
      <c r="E429" s="18">
        <f t="shared" si="997"/>
        <v>24628.8</v>
      </c>
      <c r="F429" s="14">
        <v>21990.0</v>
      </c>
      <c r="G429" s="15">
        <f t="shared" ref="G429:H429" si="1259">E429/94</f>
        <v>262.0085106</v>
      </c>
      <c r="H429" s="15">
        <f t="shared" si="1259"/>
        <v>233.9361702</v>
      </c>
      <c r="I429" s="16">
        <f t="shared" ref="I429:J429" si="1260">E429/24</f>
        <v>1026.2</v>
      </c>
      <c r="J429" s="16">
        <f t="shared" si="1260"/>
        <v>916.25</v>
      </c>
      <c r="K429" s="16">
        <f t="shared" ref="K429:L429" si="1261">E429/125</f>
        <v>197.0304</v>
      </c>
      <c r="L429" s="16">
        <f t="shared" si="1261"/>
        <v>175.92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ht="15.75" customHeight="1">
      <c r="A430" s="1"/>
      <c r="B430" s="1" t="s">
        <v>791</v>
      </c>
      <c r="C430" s="17" t="s">
        <v>792</v>
      </c>
      <c r="D430" s="12">
        <v>0.0</v>
      </c>
      <c r="E430" s="18">
        <f t="shared" si="997"/>
        <v>29108.8</v>
      </c>
      <c r="F430" s="14">
        <v>25990.0</v>
      </c>
      <c r="G430" s="15">
        <f t="shared" ref="G430:H430" si="1262">E430/94</f>
        <v>309.6680851</v>
      </c>
      <c r="H430" s="15">
        <f t="shared" si="1262"/>
        <v>276.4893617</v>
      </c>
      <c r="I430" s="16">
        <f t="shared" ref="I430:J430" si="1263">E430/24</f>
        <v>1212.866667</v>
      </c>
      <c r="J430" s="16">
        <f t="shared" si="1263"/>
        <v>1082.916667</v>
      </c>
      <c r="K430" s="16">
        <f t="shared" ref="K430:L430" si="1264">E430/125</f>
        <v>232.8704</v>
      </c>
      <c r="L430" s="16">
        <f t="shared" si="1264"/>
        <v>207.92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ht="15.75" customHeight="1">
      <c r="A431" s="1"/>
      <c r="B431" s="17" t="s">
        <v>793</v>
      </c>
      <c r="C431" s="17" t="s">
        <v>794</v>
      </c>
      <c r="D431" s="12">
        <v>0.0</v>
      </c>
      <c r="E431" s="13">
        <v>32900.0</v>
      </c>
      <c r="F431" s="20">
        <v>28900.0</v>
      </c>
      <c r="G431" s="15">
        <f t="shared" ref="G431:H431" si="1265">E431/94</f>
        <v>350</v>
      </c>
      <c r="H431" s="15">
        <f t="shared" si="1265"/>
        <v>307.4468085</v>
      </c>
      <c r="I431" s="16">
        <f t="shared" ref="I431:J431" si="1266">E431/24</f>
        <v>1370.833333</v>
      </c>
      <c r="J431" s="16">
        <f t="shared" si="1266"/>
        <v>1204.166667</v>
      </c>
      <c r="K431" s="16">
        <f t="shared" ref="K431:L431" si="1267">E431/125</f>
        <v>263.2</v>
      </c>
      <c r="L431" s="16">
        <f t="shared" si="1267"/>
        <v>231.2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ht="15.75" customHeight="1">
      <c r="A432" s="1"/>
      <c r="B432" s="1" t="s">
        <v>795</v>
      </c>
      <c r="C432" s="17" t="s">
        <v>796</v>
      </c>
      <c r="D432" s="12">
        <v>0.0</v>
      </c>
      <c r="E432" s="18">
        <f t="shared" ref="E432:E438" si="1271">F432+(F432*12%)</f>
        <v>10068.8</v>
      </c>
      <c r="F432" s="14">
        <v>8990.0</v>
      </c>
      <c r="G432" s="15">
        <f t="shared" ref="G432:H432" si="1268">E432/94</f>
        <v>107.1148936</v>
      </c>
      <c r="H432" s="15">
        <f t="shared" si="1268"/>
        <v>95.63829787</v>
      </c>
      <c r="I432" s="16">
        <f t="shared" ref="I432:J432" si="1269">E432/24</f>
        <v>419.5333333</v>
      </c>
      <c r="J432" s="16">
        <f t="shared" si="1269"/>
        <v>374.5833333</v>
      </c>
      <c r="K432" s="16">
        <f t="shared" ref="K432:L432" si="1270">E432/125</f>
        <v>80.5504</v>
      </c>
      <c r="L432" s="16">
        <f t="shared" si="1270"/>
        <v>71.92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ht="15.75" customHeight="1">
      <c r="A433" s="1"/>
      <c r="B433" s="1" t="s">
        <v>797</v>
      </c>
      <c r="C433" s="17" t="s">
        <v>798</v>
      </c>
      <c r="D433" s="12">
        <v>0.0</v>
      </c>
      <c r="E433" s="18">
        <f t="shared" si="1271"/>
        <v>12308.8</v>
      </c>
      <c r="F433" s="14">
        <v>10990.0</v>
      </c>
      <c r="G433" s="15">
        <f t="shared" ref="G433:H433" si="1272">E433/94</f>
        <v>130.9446809</v>
      </c>
      <c r="H433" s="15">
        <f t="shared" si="1272"/>
        <v>116.9148936</v>
      </c>
      <c r="I433" s="16">
        <f t="shared" ref="I433:J433" si="1273">E433/24</f>
        <v>512.8666667</v>
      </c>
      <c r="J433" s="16">
        <f t="shared" si="1273"/>
        <v>457.9166667</v>
      </c>
      <c r="K433" s="16">
        <f t="shared" ref="K433:L433" si="1274">E433/125</f>
        <v>98.4704</v>
      </c>
      <c r="L433" s="16">
        <f t="shared" si="1274"/>
        <v>87.92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ht="15.75" customHeight="1">
      <c r="A434" s="1"/>
      <c r="B434" s="1" t="s">
        <v>799</v>
      </c>
      <c r="C434" s="17" t="s">
        <v>800</v>
      </c>
      <c r="D434" s="12">
        <v>0.0</v>
      </c>
      <c r="E434" s="18">
        <f t="shared" si="1271"/>
        <v>14548.8</v>
      </c>
      <c r="F434" s="14">
        <v>12990.0</v>
      </c>
      <c r="G434" s="15">
        <f t="shared" ref="G434:H434" si="1275">E434/94</f>
        <v>154.7744681</v>
      </c>
      <c r="H434" s="15">
        <f t="shared" si="1275"/>
        <v>138.1914894</v>
      </c>
      <c r="I434" s="16">
        <f t="shared" ref="I434:J434" si="1276">E434/24</f>
        <v>606.2</v>
      </c>
      <c r="J434" s="16">
        <f t="shared" si="1276"/>
        <v>541.25</v>
      </c>
      <c r="K434" s="16">
        <f t="shared" ref="K434:L434" si="1277">E434/125</f>
        <v>116.3904</v>
      </c>
      <c r="L434" s="16">
        <f t="shared" si="1277"/>
        <v>103.92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ht="15.75" customHeight="1">
      <c r="A435" s="1"/>
      <c r="B435" s="1" t="s">
        <v>801</v>
      </c>
      <c r="C435" s="17" t="s">
        <v>802</v>
      </c>
      <c r="D435" s="12">
        <v>0.0</v>
      </c>
      <c r="E435" s="18">
        <f t="shared" si="1271"/>
        <v>16788.8</v>
      </c>
      <c r="F435" s="14">
        <v>14990.0</v>
      </c>
      <c r="G435" s="15">
        <f t="shared" ref="G435:H435" si="1278">E435/94</f>
        <v>178.6042553</v>
      </c>
      <c r="H435" s="15">
        <f t="shared" si="1278"/>
        <v>159.4680851</v>
      </c>
      <c r="I435" s="16">
        <f t="shared" ref="I435:J435" si="1279">E435/24</f>
        <v>699.5333333</v>
      </c>
      <c r="J435" s="16">
        <f t="shared" si="1279"/>
        <v>624.5833333</v>
      </c>
      <c r="K435" s="16">
        <f t="shared" ref="K435:L435" si="1280">E435/125</f>
        <v>134.3104</v>
      </c>
      <c r="L435" s="16">
        <f t="shared" si="1280"/>
        <v>119.92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ht="15.75" customHeight="1">
      <c r="A436" s="1"/>
      <c r="B436" s="1" t="s">
        <v>803</v>
      </c>
      <c r="C436" s="17" t="s">
        <v>804</v>
      </c>
      <c r="D436" s="12">
        <v>0.0</v>
      </c>
      <c r="E436" s="18">
        <f t="shared" si="1271"/>
        <v>19028.8</v>
      </c>
      <c r="F436" s="14">
        <v>16990.0</v>
      </c>
      <c r="G436" s="15">
        <f t="shared" ref="G436:H436" si="1281">E436/94</f>
        <v>202.4340426</v>
      </c>
      <c r="H436" s="15">
        <f t="shared" si="1281"/>
        <v>180.7446809</v>
      </c>
      <c r="I436" s="16">
        <f t="shared" ref="I436:J436" si="1282">E436/24</f>
        <v>792.8666667</v>
      </c>
      <c r="J436" s="16">
        <f t="shared" si="1282"/>
        <v>707.9166667</v>
      </c>
      <c r="K436" s="16">
        <f t="shared" ref="K436:L436" si="1283">E436/125</f>
        <v>152.2304</v>
      </c>
      <c r="L436" s="16">
        <f t="shared" si="1283"/>
        <v>135.92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ht="15.75" customHeight="1">
      <c r="A437" s="1"/>
      <c r="B437" s="1" t="s">
        <v>805</v>
      </c>
      <c r="C437" s="17" t="s">
        <v>806</v>
      </c>
      <c r="D437" s="12">
        <v>0.0</v>
      </c>
      <c r="E437" s="18">
        <f t="shared" si="1271"/>
        <v>22288</v>
      </c>
      <c r="F437" s="14">
        <v>19900.0</v>
      </c>
      <c r="G437" s="15">
        <f t="shared" ref="G437:H437" si="1284">E437/94</f>
        <v>237.106383</v>
      </c>
      <c r="H437" s="15">
        <f t="shared" si="1284"/>
        <v>211.7021277</v>
      </c>
      <c r="I437" s="16">
        <f t="shared" ref="I437:J437" si="1285">E437/24</f>
        <v>928.6666667</v>
      </c>
      <c r="J437" s="16">
        <f t="shared" si="1285"/>
        <v>829.1666667</v>
      </c>
      <c r="K437" s="16">
        <f t="shared" ref="K437:L437" si="1286">E437/125</f>
        <v>178.304</v>
      </c>
      <c r="L437" s="16">
        <f t="shared" si="1286"/>
        <v>159.2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ht="15.75" customHeight="1">
      <c r="A438" s="1"/>
      <c r="B438" s="1" t="s">
        <v>807</v>
      </c>
      <c r="C438" s="17" t="s">
        <v>808</v>
      </c>
      <c r="D438" s="12">
        <v>0.0</v>
      </c>
      <c r="E438" s="18">
        <f t="shared" si="1271"/>
        <v>25748.8</v>
      </c>
      <c r="F438" s="14">
        <v>22990.0</v>
      </c>
      <c r="G438" s="15">
        <f t="shared" ref="G438:H438" si="1287">E438/94</f>
        <v>273.9234043</v>
      </c>
      <c r="H438" s="15">
        <f t="shared" si="1287"/>
        <v>244.5744681</v>
      </c>
      <c r="I438" s="16">
        <f t="shared" ref="I438:J438" si="1288">E438/24</f>
        <v>1072.866667</v>
      </c>
      <c r="J438" s="16">
        <f t="shared" si="1288"/>
        <v>957.9166667</v>
      </c>
      <c r="K438" s="16">
        <f t="shared" ref="K438:L438" si="1289">E438/125</f>
        <v>205.9904</v>
      </c>
      <c r="L438" s="16">
        <f t="shared" si="1289"/>
        <v>183.92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ht="15.75" customHeight="1">
      <c r="A439" s="1"/>
      <c r="B439" s="17" t="s">
        <v>809</v>
      </c>
      <c r="C439" s="17" t="s">
        <v>810</v>
      </c>
      <c r="D439" s="12">
        <v>0.0</v>
      </c>
      <c r="E439" s="13">
        <v>29990.0</v>
      </c>
      <c r="F439" s="20">
        <v>25490.0</v>
      </c>
      <c r="G439" s="15">
        <f t="shared" ref="G439:H439" si="1290">E439/94</f>
        <v>319.0425532</v>
      </c>
      <c r="H439" s="15">
        <f t="shared" si="1290"/>
        <v>271.1702128</v>
      </c>
      <c r="I439" s="16">
        <f t="shared" ref="I439:J439" si="1291">E439/24</f>
        <v>1249.583333</v>
      </c>
      <c r="J439" s="16">
        <f t="shared" si="1291"/>
        <v>1062.083333</v>
      </c>
      <c r="K439" s="16">
        <f t="shared" ref="K439:L439" si="1292">E439/125</f>
        <v>239.92</v>
      </c>
      <c r="L439" s="16">
        <f t="shared" si="1292"/>
        <v>203.92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ht="15.75" customHeight="1">
      <c r="A440" s="1"/>
      <c r="B440" s="1" t="s">
        <v>811</v>
      </c>
      <c r="C440" s="17" t="s">
        <v>812</v>
      </c>
      <c r="D440" s="12">
        <v>0.0</v>
      </c>
      <c r="E440" s="18">
        <f t="shared" ref="E440:E446" si="1296">F440+(F440*12%)</f>
        <v>12308.8</v>
      </c>
      <c r="F440" s="14">
        <v>10990.0</v>
      </c>
      <c r="G440" s="15">
        <f t="shared" ref="G440:H440" si="1293">E440/94</f>
        <v>130.9446809</v>
      </c>
      <c r="H440" s="15">
        <f t="shared" si="1293"/>
        <v>116.9148936</v>
      </c>
      <c r="I440" s="16">
        <f t="shared" ref="I440:J440" si="1294">E440/24</f>
        <v>512.8666667</v>
      </c>
      <c r="J440" s="16">
        <f t="shared" si="1294"/>
        <v>457.9166667</v>
      </c>
      <c r="K440" s="16">
        <f t="shared" ref="K440:L440" si="1295">E440/125</f>
        <v>98.4704</v>
      </c>
      <c r="L440" s="16">
        <f t="shared" si="1295"/>
        <v>87.92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ht="15.75" customHeight="1">
      <c r="A441" s="1"/>
      <c r="B441" s="1" t="s">
        <v>813</v>
      </c>
      <c r="C441" s="17" t="s">
        <v>814</v>
      </c>
      <c r="D441" s="12">
        <v>0.0</v>
      </c>
      <c r="E441" s="18">
        <f t="shared" si="1296"/>
        <v>14548.8</v>
      </c>
      <c r="F441" s="14">
        <v>12990.0</v>
      </c>
      <c r="G441" s="15">
        <f t="shared" ref="G441:H441" si="1297">E441/94</f>
        <v>154.7744681</v>
      </c>
      <c r="H441" s="15">
        <f t="shared" si="1297"/>
        <v>138.1914894</v>
      </c>
      <c r="I441" s="16">
        <f t="shared" ref="I441:J441" si="1298">E441/24</f>
        <v>606.2</v>
      </c>
      <c r="J441" s="16">
        <f t="shared" si="1298"/>
        <v>541.25</v>
      </c>
      <c r="K441" s="16">
        <f t="shared" ref="K441:L441" si="1299">E441/125</f>
        <v>116.3904</v>
      </c>
      <c r="L441" s="16">
        <f t="shared" si="1299"/>
        <v>103.92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ht="15.75" customHeight="1">
      <c r="A442" s="1"/>
      <c r="B442" s="1" t="s">
        <v>815</v>
      </c>
      <c r="C442" s="17" t="s">
        <v>816</v>
      </c>
      <c r="D442" s="12">
        <v>0.0</v>
      </c>
      <c r="E442" s="18">
        <f t="shared" si="1296"/>
        <v>16788.8</v>
      </c>
      <c r="F442" s="14">
        <v>14990.0</v>
      </c>
      <c r="G442" s="15">
        <f t="shared" ref="G442:H442" si="1300">E442/94</f>
        <v>178.6042553</v>
      </c>
      <c r="H442" s="15">
        <f t="shared" si="1300"/>
        <v>159.4680851</v>
      </c>
      <c r="I442" s="16">
        <f t="shared" ref="I442:J442" si="1301">E442/24</f>
        <v>699.5333333</v>
      </c>
      <c r="J442" s="16">
        <f t="shared" si="1301"/>
        <v>624.5833333</v>
      </c>
      <c r="K442" s="16">
        <f t="shared" ref="K442:L442" si="1302">E442/125</f>
        <v>134.3104</v>
      </c>
      <c r="L442" s="16">
        <f t="shared" si="1302"/>
        <v>119.92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ht="15.75" customHeight="1">
      <c r="A443" s="1"/>
      <c r="B443" s="1" t="s">
        <v>817</v>
      </c>
      <c r="C443" s="17" t="s">
        <v>818</v>
      </c>
      <c r="D443" s="12">
        <v>0.0</v>
      </c>
      <c r="E443" s="18">
        <f t="shared" si="1296"/>
        <v>19028.8</v>
      </c>
      <c r="F443" s="14">
        <v>16990.0</v>
      </c>
      <c r="G443" s="15">
        <f t="shared" ref="G443:H443" si="1303">E443/94</f>
        <v>202.4340426</v>
      </c>
      <c r="H443" s="15">
        <f t="shared" si="1303"/>
        <v>180.7446809</v>
      </c>
      <c r="I443" s="16">
        <f t="shared" ref="I443:J443" si="1304">E443/24</f>
        <v>792.8666667</v>
      </c>
      <c r="J443" s="16">
        <f t="shared" si="1304"/>
        <v>707.9166667</v>
      </c>
      <c r="K443" s="16">
        <f t="shared" ref="K443:L443" si="1305">E443/125</f>
        <v>152.2304</v>
      </c>
      <c r="L443" s="16">
        <f t="shared" si="1305"/>
        <v>135.92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ht="15.75" customHeight="1">
      <c r="A444" s="1"/>
      <c r="B444" s="1" t="s">
        <v>819</v>
      </c>
      <c r="C444" s="17" t="s">
        <v>820</v>
      </c>
      <c r="D444" s="12">
        <v>0.0</v>
      </c>
      <c r="E444" s="18">
        <f t="shared" si="1296"/>
        <v>21268.8</v>
      </c>
      <c r="F444" s="14">
        <v>18990.0</v>
      </c>
      <c r="G444" s="15">
        <f t="shared" ref="G444:H444" si="1306">E444/94</f>
        <v>226.2638298</v>
      </c>
      <c r="H444" s="15">
        <f t="shared" si="1306"/>
        <v>202.0212766</v>
      </c>
      <c r="I444" s="16">
        <f t="shared" ref="I444:J444" si="1307">E444/24</f>
        <v>886.2</v>
      </c>
      <c r="J444" s="16">
        <f t="shared" si="1307"/>
        <v>791.25</v>
      </c>
      <c r="K444" s="16">
        <f t="shared" ref="K444:L444" si="1308">E444/125</f>
        <v>170.1504</v>
      </c>
      <c r="L444" s="16">
        <f t="shared" si="1308"/>
        <v>151.92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ht="15.75" customHeight="1">
      <c r="A445" s="1"/>
      <c r="B445" s="1" t="s">
        <v>821</v>
      </c>
      <c r="C445" s="17" t="s">
        <v>822</v>
      </c>
      <c r="D445" s="12">
        <v>0.0</v>
      </c>
      <c r="E445" s="18">
        <f t="shared" si="1296"/>
        <v>24628.8</v>
      </c>
      <c r="F445" s="14">
        <v>21990.0</v>
      </c>
      <c r="G445" s="15">
        <f t="shared" ref="G445:H445" si="1309">E445/94</f>
        <v>262.0085106</v>
      </c>
      <c r="H445" s="15">
        <f t="shared" si="1309"/>
        <v>233.9361702</v>
      </c>
      <c r="I445" s="16">
        <f t="shared" ref="I445:J445" si="1310">E445/24</f>
        <v>1026.2</v>
      </c>
      <c r="J445" s="16">
        <f t="shared" si="1310"/>
        <v>916.25</v>
      </c>
      <c r="K445" s="16">
        <f t="shared" ref="K445:L445" si="1311">E445/125</f>
        <v>197.0304</v>
      </c>
      <c r="L445" s="16">
        <f t="shared" si="1311"/>
        <v>175.92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ht="15.75" customHeight="1">
      <c r="A446" s="1"/>
      <c r="B446" s="1" t="s">
        <v>823</v>
      </c>
      <c r="C446" s="17" t="s">
        <v>824</v>
      </c>
      <c r="D446" s="12">
        <v>0.0</v>
      </c>
      <c r="E446" s="18">
        <f t="shared" si="1296"/>
        <v>27988.8</v>
      </c>
      <c r="F446" s="14">
        <v>24990.0</v>
      </c>
      <c r="G446" s="15">
        <f t="shared" ref="G446:H446" si="1312">E446/94</f>
        <v>297.7531915</v>
      </c>
      <c r="H446" s="15">
        <f t="shared" si="1312"/>
        <v>265.8510638</v>
      </c>
      <c r="I446" s="16">
        <f t="shared" ref="I446:J446" si="1313">E446/24</f>
        <v>1166.2</v>
      </c>
      <c r="J446" s="16">
        <f t="shared" si="1313"/>
        <v>1041.25</v>
      </c>
      <c r="K446" s="16">
        <f t="shared" ref="K446:L446" si="1314">E446/125</f>
        <v>223.9104</v>
      </c>
      <c r="L446" s="16">
        <f t="shared" si="1314"/>
        <v>199.92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ht="15.75" customHeight="1">
      <c r="A447" s="1"/>
      <c r="B447" s="17" t="s">
        <v>825</v>
      </c>
      <c r="C447" s="17" t="s">
        <v>826</v>
      </c>
      <c r="D447" s="12">
        <v>0.0</v>
      </c>
      <c r="E447" s="13">
        <v>31990.0</v>
      </c>
      <c r="F447" s="20">
        <v>27490.0</v>
      </c>
      <c r="G447" s="15">
        <f t="shared" ref="G447:H447" si="1315">E447/94</f>
        <v>340.3191489</v>
      </c>
      <c r="H447" s="15">
        <f t="shared" si="1315"/>
        <v>292.4468085</v>
      </c>
      <c r="I447" s="16">
        <f t="shared" ref="I447:J447" si="1316">E447/24</f>
        <v>1332.916667</v>
      </c>
      <c r="J447" s="16">
        <f t="shared" si="1316"/>
        <v>1145.416667</v>
      </c>
      <c r="K447" s="16">
        <f t="shared" ref="K447:L447" si="1317">E447/125</f>
        <v>255.92</v>
      </c>
      <c r="L447" s="16">
        <f t="shared" si="1317"/>
        <v>219.92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ht="15.75" customHeight="1">
      <c r="A448" s="1"/>
      <c r="B448" s="1" t="s">
        <v>827</v>
      </c>
      <c r="C448" s="17" t="s">
        <v>828</v>
      </c>
      <c r="D448" s="12">
        <v>0.0</v>
      </c>
      <c r="E448" s="18">
        <f t="shared" ref="E448:E454" si="1321">F448+(F448*12%)</f>
        <v>10068.8</v>
      </c>
      <c r="F448" s="14">
        <v>8990.0</v>
      </c>
      <c r="G448" s="15">
        <f t="shared" ref="G448:H448" si="1318">E448/94</f>
        <v>107.1148936</v>
      </c>
      <c r="H448" s="15">
        <f t="shared" si="1318"/>
        <v>95.63829787</v>
      </c>
      <c r="I448" s="16">
        <f t="shared" ref="I448:J448" si="1319">E448/24</f>
        <v>419.5333333</v>
      </c>
      <c r="J448" s="16">
        <f t="shared" si="1319"/>
        <v>374.5833333</v>
      </c>
      <c r="K448" s="16">
        <f t="shared" ref="K448:L448" si="1320">E448/125</f>
        <v>80.5504</v>
      </c>
      <c r="L448" s="16">
        <f t="shared" si="1320"/>
        <v>71.92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ht="15.75" customHeight="1">
      <c r="A449" s="1"/>
      <c r="B449" s="1" t="s">
        <v>829</v>
      </c>
      <c r="C449" s="17" t="s">
        <v>830</v>
      </c>
      <c r="D449" s="12">
        <v>0.0</v>
      </c>
      <c r="E449" s="18">
        <f t="shared" si="1321"/>
        <v>12308.8</v>
      </c>
      <c r="F449" s="14">
        <v>10990.0</v>
      </c>
      <c r="G449" s="15">
        <f t="shared" ref="G449:H449" si="1322">E449/94</f>
        <v>130.9446809</v>
      </c>
      <c r="H449" s="15">
        <f t="shared" si="1322"/>
        <v>116.9148936</v>
      </c>
      <c r="I449" s="16">
        <f t="shared" ref="I449:J449" si="1323">E449/24</f>
        <v>512.8666667</v>
      </c>
      <c r="J449" s="16">
        <f t="shared" si="1323"/>
        <v>457.9166667</v>
      </c>
      <c r="K449" s="16">
        <f t="shared" ref="K449:L449" si="1324">E449/125</f>
        <v>98.4704</v>
      </c>
      <c r="L449" s="16">
        <f t="shared" si="1324"/>
        <v>87.92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ht="15.75" customHeight="1">
      <c r="A450" s="1"/>
      <c r="B450" s="1" t="s">
        <v>831</v>
      </c>
      <c r="C450" s="17" t="s">
        <v>832</v>
      </c>
      <c r="D450" s="12">
        <v>0.0</v>
      </c>
      <c r="E450" s="18">
        <f t="shared" si="1321"/>
        <v>14548.8</v>
      </c>
      <c r="F450" s="14">
        <v>12990.0</v>
      </c>
      <c r="G450" s="15">
        <f t="shared" ref="G450:H450" si="1325">E450/94</f>
        <v>154.7744681</v>
      </c>
      <c r="H450" s="15">
        <f t="shared" si="1325"/>
        <v>138.1914894</v>
      </c>
      <c r="I450" s="16">
        <f t="shared" ref="I450:J450" si="1326">E450/24</f>
        <v>606.2</v>
      </c>
      <c r="J450" s="16">
        <f t="shared" si="1326"/>
        <v>541.25</v>
      </c>
      <c r="K450" s="16">
        <f t="shared" ref="K450:L450" si="1327">E450/125</f>
        <v>116.3904</v>
      </c>
      <c r="L450" s="16">
        <f t="shared" si="1327"/>
        <v>103.92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ht="15.75" customHeight="1">
      <c r="A451" s="1"/>
      <c r="B451" s="1" t="s">
        <v>833</v>
      </c>
      <c r="C451" s="17" t="s">
        <v>834</v>
      </c>
      <c r="D451" s="12">
        <v>0.0</v>
      </c>
      <c r="E451" s="18">
        <f t="shared" si="1321"/>
        <v>16788.8</v>
      </c>
      <c r="F451" s="14">
        <v>14990.0</v>
      </c>
      <c r="G451" s="15">
        <f t="shared" ref="G451:H451" si="1328">E451/94</f>
        <v>178.6042553</v>
      </c>
      <c r="H451" s="15">
        <f t="shared" si="1328"/>
        <v>159.4680851</v>
      </c>
      <c r="I451" s="16">
        <f t="shared" ref="I451:J451" si="1329">E451/24</f>
        <v>699.5333333</v>
      </c>
      <c r="J451" s="16">
        <f t="shared" si="1329"/>
        <v>624.5833333</v>
      </c>
      <c r="K451" s="16">
        <f t="shared" ref="K451:L451" si="1330">E451/125</f>
        <v>134.3104</v>
      </c>
      <c r="L451" s="16">
        <f t="shared" si="1330"/>
        <v>119.92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ht="15.75" customHeight="1">
      <c r="A452" s="1"/>
      <c r="B452" s="1" t="s">
        <v>835</v>
      </c>
      <c r="C452" s="17" t="s">
        <v>836</v>
      </c>
      <c r="D452" s="12">
        <v>0.0</v>
      </c>
      <c r="E452" s="18">
        <f t="shared" si="1321"/>
        <v>19028.8</v>
      </c>
      <c r="F452" s="14">
        <v>16990.0</v>
      </c>
      <c r="G452" s="15">
        <f t="shared" ref="G452:H452" si="1331">E452/94</f>
        <v>202.4340426</v>
      </c>
      <c r="H452" s="15">
        <f t="shared" si="1331"/>
        <v>180.7446809</v>
      </c>
      <c r="I452" s="16">
        <f t="shared" ref="I452:J452" si="1332">E452/24</f>
        <v>792.8666667</v>
      </c>
      <c r="J452" s="16">
        <f t="shared" si="1332"/>
        <v>707.9166667</v>
      </c>
      <c r="K452" s="16">
        <f t="shared" ref="K452:L452" si="1333">E452/125</f>
        <v>152.2304</v>
      </c>
      <c r="L452" s="16">
        <f t="shared" si="1333"/>
        <v>135.92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ht="15.75" customHeight="1">
      <c r="A453" s="1"/>
      <c r="B453" s="1" t="s">
        <v>837</v>
      </c>
      <c r="C453" s="17" t="s">
        <v>838</v>
      </c>
      <c r="D453" s="12">
        <v>0.0</v>
      </c>
      <c r="E453" s="18">
        <f t="shared" si="1321"/>
        <v>22388.8</v>
      </c>
      <c r="F453" s="14">
        <v>19990.0</v>
      </c>
      <c r="G453" s="15">
        <f t="shared" ref="G453:H453" si="1334">E453/94</f>
        <v>238.1787234</v>
      </c>
      <c r="H453" s="15">
        <f t="shared" si="1334"/>
        <v>212.6595745</v>
      </c>
      <c r="I453" s="16">
        <f t="shared" ref="I453:J453" si="1335">E453/24</f>
        <v>932.8666667</v>
      </c>
      <c r="J453" s="16">
        <f t="shared" si="1335"/>
        <v>832.9166667</v>
      </c>
      <c r="K453" s="16">
        <f t="shared" ref="K453:L453" si="1336">E453/125</f>
        <v>179.1104</v>
      </c>
      <c r="L453" s="16">
        <f t="shared" si="1336"/>
        <v>159.92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ht="15.75" customHeight="1">
      <c r="A454" s="1"/>
      <c r="B454" s="34" t="s">
        <v>839</v>
      </c>
      <c r="C454" s="17" t="s">
        <v>840</v>
      </c>
      <c r="D454" s="12">
        <v>0.0</v>
      </c>
      <c r="E454" s="18">
        <f t="shared" si="1321"/>
        <v>25648</v>
      </c>
      <c r="F454" s="14">
        <v>22900.0</v>
      </c>
      <c r="G454" s="15">
        <f t="shared" ref="G454:H454" si="1337">E454/94</f>
        <v>272.8510638</v>
      </c>
      <c r="H454" s="15">
        <f t="shared" si="1337"/>
        <v>243.6170213</v>
      </c>
      <c r="I454" s="16">
        <f t="shared" ref="I454:J454" si="1338">E454/24</f>
        <v>1068.666667</v>
      </c>
      <c r="J454" s="16">
        <f t="shared" si="1338"/>
        <v>954.1666667</v>
      </c>
      <c r="K454" s="16">
        <f t="shared" ref="K454:L454" si="1339">E454/125</f>
        <v>205.184</v>
      </c>
      <c r="L454" s="16">
        <f t="shared" si="1339"/>
        <v>183.2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ht="15.75" customHeight="1">
      <c r="A455" s="1"/>
      <c r="B455" s="17" t="s">
        <v>841</v>
      </c>
      <c r="C455" s="17" t="s">
        <v>842</v>
      </c>
      <c r="D455" s="12">
        <v>0.0</v>
      </c>
      <c r="E455" s="13">
        <v>28990.0</v>
      </c>
      <c r="F455" s="20">
        <v>24990.0</v>
      </c>
      <c r="G455" s="15">
        <f t="shared" ref="G455:H455" si="1340">E455/94</f>
        <v>308.4042553</v>
      </c>
      <c r="H455" s="15">
        <f t="shared" si="1340"/>
        <v>265.8510638</v>
      </c>
      <c r="I455" s="16">
        <f t="shared" ref="I455:J455" si="1341">E455/24</f>
        <v>1207.916667</v>
      </c>
      <c r="J455" s="16">
        <f t="shared" si="1341"/>
        <v>1041.25</v>
      </c>
      <c r="K455" s="16">
        <f t="shared" ref="K455:L455" si="1342">E455/125</f>
        <v>231.92</v>
      </c>
      <c r="L455" s="16">
        <f t="shared" si="1342"/>
        <v>199.92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ht="15.75" customHeight="1">
      <c r="A456" s="1"/>
      <c r="B456" s="1" t="s">
        <v>843</v>
      </c>
      <c r="C456" s="17" t="s">
        <v>844</v>
      </c>
      <c r="D456" s="12">
        <v>0.0</v>
      </c>
      <c r="E456" s="18">
        <f t="shared" ref="E456:E462" si="1346">F456+(F456*12%)</f>
        <v>12308.8</v>
      </c>
      <c r="F456" s="14">
        <v>10990.0</v>
      </c>
      <c r="G456" s="15">
        <f t="shared" ref="G456:H456" si="1343">E456/94</f>
        <v>130.9446809</v>
      </c>
      <c r="H456" s="15">
        <f t="shared" si="1343"/>
        <v>116.9148936</v>
      </c>
      <c r="I456" s="16">
        <f t="shared" ref="I456:J456" si="1344">E456/24</f>
        <v>512.8666667</v>
      </c>
      <c r="J456" s="16">
        <f t="shared" si="1344"/>
        <v>457.9166667</v>
      </c>
      <c r="K456" s="16">
        <f t="shared" ref="K456:L456" si="1345">E456/125</f>
        <v>98.4704</v>
      </c>
      <c r="L456" s="16">
        <f t="shared" si="1345"/>
        <v>87.92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ht="15.75" customHeight="1">
      <c r="A457" s="1"/>
      <c r="B457" s="1" t="s">
        <v>845</v>
      </c>
      <c r="C457" s="17" t="s">
        <v>846</v>
      </c>
      <c r="D457" s="12">
        <v>0.0</v>
      </c>
      <c r="E457" s="18">
        <f t="shared" si="1346"/>
        <v>14548.8</v>
      </c>
      <c r="F457" s="14">
        <v>12990.0</v>
      </c>
      <c r="G457" s="15">
        <f t="shared" ref="G457:H457" si="1347">E457/94</f>
        <v>154.7744681</v>
      </c>
      <c r="H457" s="15">
        <f t="shared" si="1347"/>
        <v>138.1914894</v>
      </c>
      <c r="I457" s="16">
        <f t="shared" ref="I457:J457" si="1348">E457/24</f>
        <v>606.2</v>
      </c>
      <c r="J457" s="16">
        <f t="shared" si="1348"/>
        <v>541.25</v>
      </c>
      <c r="K457" s="16">
        <f t="shared" ref="K457:L457" si="1349">E457/125</f>
        <v>116.3904</v>
      </c>
      <c r="L457" s="16">
        <f t="shared" si="1349"/>
        <v>103.92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ht="15.75" customHeight="1">
      <c r="A458" s="1"/>
      <c r="B458" s="1" t="s">
        <v>847</v>
      </c>
      <c r="C458" s="17" t="s">
        <v>848</v>
      </c>
      <c r="D458" s="12">
        <v>0.0</v>
      </c>
      <c r="E458" s="18">
        <f t="shared" si="1346"/>
        <v>16788.8</v>
      </c>
      <c r="F458" s="14">
        <v>14990.0</v>
      </c>
      <c r="G458" s="15">
        <f t="shared" ref="G458:H458" si="1350">E458/94</f>
        <v>178.6042553</v>
      </c>
      <c r="H458" s="15">
        <f t="shared" si="1350"/>
        <v>159.4680851</v>
      </c>
      <c r="I458" s="16">
        <f t="shared" ref="I458:J458" si="1351">E458/24</f>
        <v>699.5333333</v>
      </c>
      <c r="J458" s="16">
        <f t="shared" si="1351"/>
        <v>624.5833333</v>
      </c>
      <c r="K458" s="16">
        <f t="shared" ref="K458:L458" si="1352">E458/125</f>
        <v>134.3104</v>
      </c>
      <c r="L458" s="16">
        <f t="shared" si="1352"/>
        <v>119.92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ht="15.75" customHeight="1">
      <c r="A459" s="1"/>
      <c r="B459" s="1" t="s">
        <v>849</v>
      </c>
      <c r="C459" s="17" t="s">
        <v>850</v>
      </c>
      <c r="D459" s="12">
        <v>0.0</v>
      </c>
      <c r="E459" s="18">
        <f t="shared" si="1346"/>
        <v>19028.8</v>
      </c>
      <c r="F459" s="14">
        <v>16990.0</v>
      </c>
      <c r="G459" s="15">
        <f t="shared" ref="G459:H459" si="1353">E459/94</f>
        <v>202.4340426</v>
      </c>
      <c r="H459" s="15">
        <f t="shared" si="1353"/>
        <v>180.7446809</v>
      </c>
      <c r="I459" s="16">
        <f t="shared" ref="I459:J459" si="1354">E459/24</f>
        <v>792.8666667</v>
      </c>
      <c r="J459" s="16">
        <f t="shared" si="1354"/>
        <v>707.9166667</v>
      </c>
      <c r="K459" s="16">
        <f t="shared" ref="K459:L459" si="1355">E459/125</f>
        <v>152.2304</v>
      </c>
      <c r="L459" s="16">
        <f t="shared" si="1355"/>
        <v>135.92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ht="15.75" customHeight="1">
      <c r="A460" s="1"/>
      <c r="B460" s="1" t="s">
        <v>851</v>
      </c>
      <c r="C460" s="17" t="s">
        <v>852</v>
      </c>
      <c r="D460" s="12">
        <v>0.0</v>
      </c>
      <c r="E460" s="18">
        <f t="shared" si="1346"/>
        <v>21268.8</v>
      </c>
      <c r="F460" s="14">
        <v>18990.0</v>
      </c>
      <c r="G460" s="15">
        <f t="shared" ref="G460:H460" si="1356">E460/94</f>
        <v>226.2638298</v>
      </c>
      <c r="H460" s="15">
        <f t="shared" si="1356"/>
        <v>202.0212766</v>
      </c>
      <c r="I460" s="16">
        <f t="shared" ref="I460:J460" si="1357">E460/24</f>
        <v>886.2</v>
      </c>
      <c r="J460" s="16">
        <f t="shared" si="1357"/>
        <v>791.25</v>
      </c>
      <c r="K460" s="16">
        <f t="shared" ref="K460:L460" si="1358">E460/125</f>
        <v>170.1504</v>
      </c>
      <c r="L460" s="16">
        <f t="shared" si="1358"/>
        <v>151.92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ht="15.75" customHeight="1">
      <c r="A461" s="1"/>
      <c r="B461" s="1" t="s">
        <v>853</v>
      </c>
      <c r="C461" s="17" t="s">
        <v>854</v>
      </c>
      <c r="D461" s="12">
        <v>0.0</v>
      </c>
      <c r="E461" s="18">
        <f t="shared" si="1346"/>
        <v>24628.8</v>
      </c>
      <c r="F461" s="14">
        <v>21990.0</v>
      </c>
      <c r="G461" s="15">
        <f t="shared" ref="G461:H461" si="1359">E461/94</f>
        <v>262.0085106</v>
      </c>
      <c r="H461" s="15">
        <f t="shared" si="1359"/>
        <v>233.9361702</v>
      </c>
      <c r="I461" s="16">
        <f t="shared" ref="I461:J461" si="1360">E461/24</f>
        <v>1026.2</v>
      </c>
      <c r="J461" s="16">
        <f t="shared" si="1360"/>
        <v>916.25</v>
      </c>
      <c r="K461" s="16">
        <f t="shared" ref="K461:L461" si="1361">E461/125</f>
        <v>197.0304</v>
      </c>
      <c r="L461" s="16">
        <f t="shared" si="1361"/>
        <v>175.92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ht="15.75" customHeight="1">
      <c r="A462" s="1"/>
      <c r="B462" s="1" t="s">
        <v>855</v>
      </c>
      <c r="C462" s="17" t="s">
        <v>856</v>
      </c>
      <c r="D462" s="12">
        <v>0.0</v>
      </c>
      <c r="E462" s="18">
        <f t="shared" si="1346"/>
        <v>27988.8</v>
      </c>
      <c r="F462" s="14">
        <v>24990.0</v>
      </c>
      <c r="G462" s="15">
        <f t="shared" ref="G462:H462" si="1362">E462/94</f>
        <v>297.7531915</v>
      </c>
      <c r="H462" s="15">
        <f t="shared" si="1362"/>
        <v>265.8510638</v>
      </c>
      <c r="I462" s="16">
        <f t="shared" ref="I462:J462" si="1363">E462/24</f>
        <v>1166.2</v>
      </c>
      <c r="J462" s="16">
        <f t="shared" si="1363"/>
        <v>1041.25</v>
      </c>
      <c r="K462" s="16">
        <f t="shared" ref="K462:L462" si="1364">E462/125</f>
        <v>223.9104</v>
      </c>
      <c r="L462" s="16">
        <f t="shared" si="1364"/>
        <v>199.92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ht="15.75" customHeight="1">
      <c r="A463" s="1"/>
      <c r="B463" s="17" t="s">
        <v>857</v>
      </c>
      <c r="C463" s="17" t="s">
        <v>858</v>
      </c>
      <c r="D463" s="12">
        <v>0.0</v>
      </c>
      <c r="E463" s="13">
        <v>31990.0</v>
      </c>
      <c r="F463" s="20">
        <v>27990.0</v>
      </c>
      <c r="G463" s="15">
        <f t="shared" ref="G463:H463" si="1365">E463/94</f>
        <v>340.3191489</v>
      </c>
      <c r="H463" s="15">
        <f t="shared" si="1365"/>
        <v>297.7659574</v>
      </c>
      <c r="I463" s="16">
        <f t="shared" ref="I463:J463" si="1366">E463/24</f>
        <v>1332.916667</v>
      </c>
      <c r="J463" s="16">
        <f t="shared" si="1366"/>
        <v>1166.25</v>
      </c>
      <c r="K463" s="16">
        <f t="shared" ref="K463:L463" si="1367">E463/125</f>
        <v>255.92</v>
      </c>
      <c r="L463" s="16">
        <f t="shared" si="1367"/>
        <v>223.92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ht="15.75" customHeight="1">
      <c r="A464" s="1"/>
      <c r="B464" s="1" t="s">
        <v>859</v>
      </c>
      <c r="C464" s="24" t="s">
        <v>860</v>
      </c>
      <c r="D464" s="12">
        <v>0.0</v>
      </c>
      <c r="E464" s="13">
        <v>10990.0</v>
      </c>
      <c r="F464" s="14">
        <f>E464-(E464*7%)</f>
        <v>10220.7</v>
      </c>
      <c r="G464" s="15">
        <f t="shared" ref="G464:H464" si="1368">E464/94</f>
        <v>116.9148936</v>
      </c>
      <c r="H464" s="15">
        <f t="shared" si="1368"/>
        <v>108.7308511</v>
      </c>
      <c r="I464" s="16">
        <f t="shared" ref="I464:J464" si="1369">E464/24</f>
        <v>457.9166667</v>
      </c>
      <c r="J464" s="16">
        <f t="shared" si="1369"/>
        <v>425.8625</v>
      </c>
      <c r="K464" s="16">
        <f t="shared" ref="K464:L464" si="1370">E464/125</f>
        <v>87.92</v>
      </c>
      <c r="L464" s="16">
        <f t="shared" si="1370"/>
        <v>81.7656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ht="15.75" customHeight="1">
      <c r="A465" s="1"/>
      <c r="B465" s="1" t="s">
        <v>861</v>
      </c>
      <c r="C465" s="17" t="s">
        <v>862</v>
      </c>
      <c r="D465" s="12">
        <v>0.0</v>
      </c>
      <c r="E465" s="18">
        <f t="shared" ref="E465:E470" si="1374">F465+(F465*12%)</f>
        <v>12308.8</v>
      </c>
      <c r="F465" s="14">
        <v>10990.0</v>
      </c>
      <c r="G465" s="15">
        <f t="shared" ref="G465:H465" si="1371">E465/94</f>
        <v>130.9446809</v>
      </c>
      <c r="H465" s="15">
        <f t="shared" si="1371"/>
        <v>116.9148936</v>
      </c>
      <c r="I465" s="16">
        <f t="shared" ref="I465:J465" si="1372">E465/24</f>
        <v>512.8666667</v>
      </c>
      <c r="J465" s="16">
        <f t="shared" si="1372"/>
        <v>457.9166667</v>
      </c>
      <c r="K465" s="16">
        <f t="shared" ref="K465:L465" si="1373">E465/125</f>
        <v>98.4704</v>
      </c>
      <c r="L465" s="16">
        <f t="shared" si="1373"/>
        <v>87.92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ht="15.75" customHeight="1">
      <c r="A466" s="1"/>
      <c r="B466" s="1" t="s">
        <v>863</v>
      </c>
      <c r="C466" s="17" t="s">
        <v>864</v>
      </c>
      <c r="D466" s="12">
        <v>0.0</v>
      </c>
      <c r="E466" s="18">
        <f t="shared" si="1374"/>
        <v>14548.8</v>
      </c>
      <c r="F466" s="14">
        <v>12990.0</v>
      </c>
      <c r="G466" s="15">
        <f t="shared" ref="G466:H466" si="1375">E466/94</f>
        <v>154.7744681</v>
      </c>
      <c r="H466" s="15">
        <f t="shared" si="1375"/>
        <v>138.1914894</v>
      </c>
      <c r="I466" s="16">
        <f t="shared" ref="I466:J466" si="1376">E466/24</f>
        <v>606.2</v>
      </c>
      <c r="J466" s="16">
        <f t="shared" si="1376"/>
        <v>541.25</v>
      </c>
      <c r="K466" s="16">
        <f t="shared" ref="K466:L466" si="1377">E466/125</f>
        <v>116.3904</v>
      </c>
      <c r="L466" s="16">
        <f t="shared" si="1377"/>
        <v>103.92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ht="15.75" customHeight="1">
      <c r="A467" s="1"/>
      <c r="B467" s="1" t="s">
        <v>865</v>
      </c>
      <c r="C467" s="17" t="s">
        <v>866</v>
      </c>
      <c r="D467" s="12">
        <v>0.0</v>
      </c>
      <c r="E467" s="18">
        <f t="shared" si="1374"/>
        <v>17348.8</v>
      </c>
      <c r="F467" s="14">
        <v>15490.0</v>
      </c>
      <c r="G467" s="15">
        <f t="shared" ref="G467:H467" si="1378">E467/94</f>
        <v>184.5617021</v>
      </c>
      <c r="H467" s="15">
        <f t="shared" si="1378"/>
        <v>164.787234</v>
      </c>
      <c r="I467" s="16">
        <f t="shared" ref="I467:J467" si="1379">E467/24</f>
        <v>722.8666667</v>
      </c>
      <c r="J467" s="16">
        <f t="shared" si="1379"/>
        <v>645.4166667</v>
      </c>
      <c r="K467" s="16">
        <f t="shared" ref="K467:L467" si="1380">E467/125</f>
        <v>138.7904</v>
      </c>
      <c r="L467" s="16">
        <f t="shared" si="1380"/>
        <v>123.92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ht="15.75" customHeight="1">
      <c r="A468" s="1"/>
      <c r="B468" s="1" t="s">
        <v>867</v>
      </c>
      <c r="C468" s="17" t="s">
        <v>868</v>
      </c>
      <c r="D468" s="12">
        <v>0.0</v>
      </c>
      <c r="E468" s="18">
        <f t="shared" si="1374"/>
        <v>19028.8</v>
      </c>
      <c r="F468" s="14">
        <v>16990.0</v>
      </c>
      <c r="G468" s="15">
        <f t="shared" ref="G468:H468" si="1381">E468/94</f>
        <v>202.4340426</v>
      </c>
      <c r="H468" s="15">
        <f t="shared" si="1381"/>
        <v>180.7446809</v>
      </c>
      <c r="I468" s="16">
        <f t="shared" ref="I468:J468" si="1382">E468/24</f>
        <v>792.8666667</v>
      </c>
      <c r="J468" s="16">
        <f t="shared" si="1382"/>
        <v>707.9166667</v>
      </c>
      <c r="K468" s="16">
        <f t="shared" ref="K468:L468" si="1383">E468/125</f>
        <v>152.2304</v>
      </c>
      <c r="L468" s="16">
        <f t="shared" si="1383"/>
        <v>135.92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ht="15.75" customHeight="1">
      <c r="A469" s="1"/>
      <c r="B469" s="1" t="s">
        <v>869</v>
      </c>
      <c r="C469" s="17" t="s">
        <v>870</v>
      </c>
      <c r="D469" s="12">
        <v>0.0</v>
      </c>
      <c r="E469" s="18">
        <f t="shared" si="1374"/>
        <v>22388.8</v>
      </c>
      <c r="F469" s="14">
        <v>19990.0</v>
      </c>
      <c r="G469" s="15">
        <f t="shared" ref="G469:H469" si="1384">E469/94</f>
        <v>238.1787234</v>
      </c>
      <c r="H469" s="15">
        <f t="shared" si="1384"/>
        <v>212.6595745</v>
      </c>
      <c r="I469" s="16">
        <f t="shared" ref="I469:J469" si="1385">E469/24</f>
        <v>932.8666667</v>
      </c>
      <c r="J469" s="16">
        <f t="shared" si="1385"/>
        <v>832.9166667</v>
      </c>
      <c r="K469" s="16">
        <f t="shared" ref="K469:L469" si="1386">E469/125</f>
        <v>179.1104</v>
      </c>
      <c r="L469" s="16">
        <f t="shared" si="1386"/>
        <v>159.92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ht="15.75" customHeight="1">
      <c r="A470" s="1"/>
      <c r="B470" s="1" t="s">
        <v>871</v>
      </c>
      <c r="C470" s="17" t="s">
        <v>872</v>
      </c>
      <c r="D470" s="12">
        <v>0.0</v>
      </c>
      <c r="E470" s="18">
        <f t="shared" si="1374"/>
        <v>25748.8</v>
      </c>
      <c r="F470" s="14">
        <v>22990.0</v>
      </c>
      <c r="G470" s="15">
        <f t="shared" ref="G470:H470" si="1387">E470/94</f>
        <v>273.9234043</v>
      </c>
      <c r="H470" s="15">
        <f t="shared" si="1387"/>
        <v>244.5744681</v>
      </c>
      <c r="I470" s="16">
        <f t="shared" ref="I470:J470" si="1388">E470/24</f>
        <v>1072.866667</v>
      </c>
      <c r="J470" s="16">
        <f t="shared" si="1388"/>
        <v>957.9166667</v>
      </c>
      <c r="K470" s="16">
        <f t="shared" ref="K470:L470" si="1389">E470/125</f>
        <v>205.9904</v>
      </c>
      <c r="L470" s="16">
        <f t="shared" si="1389"/>
        <v>183.92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ht="15.75" customHeight="1">
      <c r="A471" s="1"/>
      <c r="B471" s="17" t="s">
        <v>873</v>
      </c>
      <c r="C471" s="17" t="s">
        <v>874</v>
      </c>
      <c r="D471" s="12">
        <v>0.0</v>
      </c>
      <c r="E471" s="13">
        <v>28450.0</v>
      </c>
      <c r="F471" s="20">
        <v>24750.0</v>
      </c>
      <c r="G471" s="15">
        <f t="shared" ref="G471:H471" si="1390">E471/94</f>
        <v>302.6595745</v>
      </c>
      <c r="H471" s="15">
        <f t="shared" si="1390"/>
        <v>263.2978723</v>
      </c>
      <c r="I471" s="16">
        <f t="shared" ref="I471:J471" si="1391">E471/24</f>
        <v>1185.416667</v>
      </c>
      <c r="J471" s="16">
        <f t="shared" si="1391"/>
        <v>1031.25</v>
      </c>
      <c r="K471" s="16">
        <f t="shared" ref="K471:K539" si="1394">E471/125</f>
        <v>227.6</v>
      </c>
      <c r="L471" s="1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ht="15.75" customHeight="1">
      <c r="A472" s="1"/>
      <c r="B472" s="1" t="s">
        <v>875</v>
      </c>
      <c r="C472" s="17" t="s">
        <v>876</v>
      </c>
      <c r="D472" s="12">
        <v>0.0</v>
      </c>
      <c r="E472" s="18">
        <f t="shared" ref="E472:E478" si="1395">F472+(F472*12%)</f>
        <v>10068.8</v>
      </c>
      <c r="F472" s="14">
        <v>8990.0</v>
      </c>
      <c r="G472" s="15">
        <f t="shared" ref="G472:H472" si="1392">E472/94</f>
        <v>107.1148936</v>
      </c>
      <c r="H472" s="15">
        <f t="shared" si="1392"/>
        <v>95.63829787</v>
      </c>
      <c r="I472" s="16">
        <f t="shared" ref="I472:J472" si="1393">E472/24</f>
        <v>419.5333333</v>
      </c>
      <c r="J472" s="16">
        <f t="shared" si="1393"/>
        <v>374.5833333</v>
      </c>
      <c r="K472" s="16">
        <f t="shared" si="1394"/>
        <v>80.5504</v>
      </c>
      <c r="L472" s="16">
        <f t="shared" ref="L472:L478" si="1398">F472/125</f>
        <v>71.92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ht="15.75" customHeight="1">
      <c r="A473" s="1"/>
      <c r="B473" s="1" t="s">
        <v>877</v>
      </c>
      <c r="C473" s="17" t="s">
        <v>878</v>
      </c>
      <c r="D473" s="12">
        <v>0.0</v>
      </c>
      <c r="E473" s="18">
        <f t="shared" si="1395"/>
        <v>12308.8</v>
      </c>
      <c r="F473" s="14">
        <v>10990.0</v>
      </c>
      <c r="G473" s="15">
        <f t="shared" ref="G473:H473" si="1396">E473/94</f>
        <v>130.9446809</v>
      </c>
      <c r="H473" s="15">
        <f t="shared" si="1396"/>
        <v>116.9148936</v>
      </c>
      <c r="I473" s="16">
        <f t="shared" ref="I473:J473" si="1397">E473/24</f>
        <v>512.8666667</v>
      </c>
      <c r="J473" s="16">
        <f t="shared" si="1397"/>
        <v>457.9166667</v>
      </c>
      <c r="K473" s="16">
        <f t="shared" si="1394"/>
        <v>98.4704</v>
      </c>
      <c r="L473" s="16">
        <f t="shared" si="1398"/>
        <v>87.92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ht="15.75" customHeight="1">
      <c r="A474" s="1"/>
      <c r="B474" s="1" t="s">
        <v>879</v>
      </c>
      <c r="C474" s="17" t="s">
        <v>880</v>
      </c>
      <c r="D474" s="12">
        <v>0.0</v>
      </c>
      <c r="E474" s="18">
        <f t="shared" si="1395"/>
        <v>14548.8</v>
      </c>
      <c r="F474" s="14">
        <v>12990.0</v>
      </c>
      <c r="G474" s="15">
        <f t="shared" ref="G474:H474" si="1399">E474/94</f>
        <v>154.7744681</v>
      </c>
      <c r="H474" s="15">
        <f t="shared" si="1399"/>
        <v>138.1914894</v>
      </c>
      <c r="I474" s="16">
        <f t="shared" ref="I474:J474" si="1400">E474/24</f>
        <v>606.2</v>
      </c>
      <c r="J474" s="16">
        <f t="shared" si="1400"/>
        <v>541.25</v>
      </c>
      <c r="K474" s="16">
        <f t="shared" si="1394"/>
        <v>116.3904</v>
      </c>
      <c r="L474" s="16">
        <f t="shared" si="1398"/>
        <v>103.92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ht="15.75" customHeight="1">
      <c r="A475" s="1"/>
      <c r="B475" s="1" t="s">
        <v>881</v>
      </c>
      <c r="C475" s="17" t="s">
        <v>882</v>
      </c>
      <c r="D475" s="12">
        <v>0.0</v>
      </c>
      <c r="E475" s="18">
        <f t="shared" si="1395"/>
        <v>16788.8</v>
      </c>
      <c r="F475" s="14">
        <v>14990.0</v>
      </c>
      <c r="G475" s="15">
        <f t="shared" ref="G475:H475" si="1401">E475/94</f>
        <v>178.6042553</v>
      </c>
      <c r="H475" s="15">
        <f t="shared" si="1401"/>
        <v>159.4680851</v>
      </c>
      <c r="I475" s="16">
        <f t="shared" ref="I475:J475" si="1402">E475/24</f>
        <v>699.5333333</v>
      </c>
      <c r="J475" s="16">
        <f t="shared" si="1402"/>
        <v>624.5833333</v>
      </c>
      <c r="K475" s="16">
        <f t="shared" si="1394"/>
        <v>134.3104</v>
      </c>
      <c r="L475" s="16">
        <f t="shared" si="1398"/>
        <v>119.92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ht="15.75" customHeight="1">
      <c r="A476" s="1"/>
      <c r="B476" s="1" t="s">
        <v>883</v>
      </c>
      <c r="C476" s="17" t="s">
        <v>884</v>
      </c>
      <c r="D476" s="12">
        <v>0.0</v>
      </c>
      <c r="E476" s="18">
        <f t="shared" si="1395"/>
        <v>19028.8</v>
      </c>
      <c r="F476" s="14">
        <v>16990.0</v>
      </c>
      <c r="G476" s="15">
        <f t="shared" ref="G476:H476" si="1403">E476/94</f>
        <v>202.4340426</v>
      </c>
      <c r="H476" s="15">
        <f t="shared" si="1403"/>
        <v>180.7446809</v>
      </c>
      <c r="I476" s="16">
        <f t="shared" ref="I476:J476" si="1404">E476/24</f>
        <v>792.8666667</v>
      </c>
      <c r="J476" s="16">
        <f t="shared" si="1404"/>
        <v>707.9166667</v>
      </c>
      <c r="K476" s="16">
        <f t="shared" si="1394"/>
        <v>152.2304</v>
      </c>
      <c r="L476" s="16">
        <f t="shared" si="1398"/>
        <v>135.92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ht="15.75" customHeight="1">
      <c r="A477" s="1"/>
      <c r="B477" s="1" t="s">
        <v>885</v>
      </c>
      <c r="C477" s="17" t="s">
        <v>886</v>
      </c>
      <c r="D477" s="12">
        <v>0.0</v>
      </c>
      <c r="E477" s="18">
        <f t="shared" si="1395"/>
        <v>22388.8</v>
      </c>
      <c r="F477" s="14">
        <v>19990.0</v>
      </c>
      <c r="G477" s="15">
        <f t="shared" ref="G477:H477" si="1405">E477/94</f>
        <v>238.1787234</v>
      </c>
      <c r="H477" s="15">
        <f t="shared" si="1405"/>
        <v>212.6595745</v>
      </c>
      <c r="I477" s="16">
        <f t="shared" ref="I477:J477" si="1406">E477/24</f>
        <v>932.8666667</v>
      </c>
      <c r="J477" s="16">
        <f t="shared" si="1406"/>
        <v>832.9166667</v>
      </c>
      <c r="K477" s="16">
        <f t="shared" si="1394"/>
        <v>179.1104</v>
      </c>
      <c r="L477" s="16">
        <f t="shared" si="1398"/>
        <v>159.92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ht="15.75" customHeight="1">
      <c r="A478" s="1"/>
      <c r="B478" s="1" t="s">
        <v>887</v>
      </c>
      <c r="C478" s="17" t="s">
        <v>888</v>
      </c>
      <c r="D478" s="12">
        <v>0.0</v>
      </c>
      <c r="E478" s="18">
        <f t="shared" si="1395"/>
        <v>25748.8</v>
      </c>
      <c r="F478" s="14">
        <v>22990.0</v>
      </c>
      <c r="G478" s="15">
        <f t="shared" ref="G478:H478" si="1407">E478/94</f>
        <v>273.9234043</v>
      </c>
      <c r="H478" s="15">
        <f t="shared" si="1407"/>
        <v>244.5744681</v>
      </c>
      <c r="I478" s="16">
        <f t="shared" ref="I478:J478" si="1408">E478/24</f>
        <v>1072.866667</v>
      </c>
      <c r="J478" s="16">
        <f t="shared" si="1408"/>
        <v>957.9166667</v>
      </c>
      <c r="K478" s="16">
        <f t="shared" si="1394"/>
        <v>205.9904</v>
      </c>
      <c r="L478" s="16">
        <f t="shared" si="1398"/>
        <v>183.92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ht="15.75" customHeight="1">
      <c r="A479" s="1"/>
      <c r="B479" s="1" t="s">
        <v>889</v>
      </c>
      <c r="C479" s="17" t="s">
        <v>890</v>
      </c>
      <c r="D479" s="12">
        <v>0.0</v>
      </c>
      <c r="E479" s="13">
        <v>28990.0</v>
      </c>
      <c r="F479" s="20">
        <v>24750.0</v>
      </c>
      <c r="G479" s="15">
        <f t="shared" ref="G479:H479" si="1409">E479/94</f>
        <v>308.4042553</v>
      </c>
      <c r="H479" s="15">
        <f t="shared" si="1409"/>
        <v>263.2978723</v>
      </c>
      <c r="I479" s="16">
        <f t="shared" ref="I479:J479" si="1410">E479/24</f>
        <v>1207.916667</v>
      </c>
      <c r="J479" s="16">
        <f t="shared" si="1410"/>
        <v>1031.25</v>
      </c>
      <c r="K479" s="16">
        <f t="shared" si="1394"/>
        <v>231.92</v>
      </c>
      <c r="L479" s="1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ht="15.75" customHeight="1">
      <c r="A480" s="1"/>
      <c r="B480" s="1" t="s">
        <v>891</v>
      </c>
      <c r="C480" s="17" t="s">
        <v>892</v>
      </c>
      <c r="D480" s="12">
        <v>0.0</v>
      </c>
      <c r="E480" s="18">
        <f t="shared" ref="E480:E486" si="1413">F480+(F480*12%)</f>
        <v>10068.8</v>
      </c>
      <c r="F480" s="14">
        <v>8990.0</v>
      </c>
      <c r="G480" s="15">
        <f t="shared" ref="G480:H480" si="1411">E480/94</f>
        <v>107.1148936</v>
      </c>
      <c r="H480" s="15">
        <f t="shared" si="1411"/>
        <v>95.63829787</v>
      </c>
      <c r="I480" s="16">
        <f t="shared" ref="I480:J480" si="1412">E480/24</f>
        <v>419.5333333</v>
      </c>
      <c r="J480" s="16">
        <f t="shared" si="1412"/>
        <v>374.5833333</v>
      </c>
      <c r="K480" s="16">
        <f t="shared" si="1394"/>
        <v>80.5504</v>
      </c>
      <c r="L480" s="16">
        <f t="shared" ref="L480:L486" si="1416">F480/125</f>
        <v>71.92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ht="15.75" customHeight="1">
      <c r="A481" s="1"/>
      <c r="B481" s="1" t="s">
        <v>893</v>
      </c>
      <c r="C481" s="17" t="s">
        <v>894</v>
      </c>
      <c r="D481" s="12">
        <v>0.0</v>
      </c>
      <c r="E481" s="18">
        <f t="shared" si="1413"/>
        <v>12308.8</v>
      </c>
      <c r="F481" s="14">
        <v>10990.0</v>
      </c>
      <c r="G481" s="15">
        <f t="shared" ref="G481:H481" si="1414">E481/94</f>
        <v>130.9446809</v>
      </c>
      <c r="H481" s="15">
        <f t="shared" si="1414"/>
        <v>116.9148936</v>
      </c>
      <c r="I481" s="16">
        <f t="shared" ref="I481:J481" si="1415">E481/24</f>
        <v>512.8666667</v>
      </c>
      <c r="J481" s="16">
        <f t="shared" si="1415"/>
        <v>457.9166667</v>
      </c>
      <c r="K481" s="16">
        <f t="shared" si="1394"/>
        <v>98.4704</v>
      </c>
      <c r="L481" s="16">
        <f t="shared" si="1416"/>
        <v>87.92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ht="15.75" customHeight="1">
      <c r="A482" s="1"/>
      <c r="B482" s="1" t="s">
        <v>895</v>
      </c>
      <c r="C482" s="17" t="s">
        <v>896</v>
      </c>
      <c r="D482" s="12">
        <v>0.0</v>
      </c>
      <c r="E482" s="18">
        <f t="shared" si="1413"/>
        <v>14448</v>
      </c>
      <c r="F482" s="14">
        <v>12900.0</v>
      </c>
      <c r="G482" s="15">
        <f t="shared" ref="G482:H482" si="1417">E482/94</f>
        <v>153.7021277</v>
      </c>
      <c r="H482" s="15">
        <f t="shared" si="1417"/>
        <v>137.2340426</v>
      </c>
      <c r="I482" s="16">
        <f t="shared" ref="I482:J482" si="1418">E482/24</f>
        <v>602</v>
      </c>
      <c r="J482" s="16">
        <f t="shared" si="1418"/>
        <v>537.5</v>
      </c>
      <c r="K482" s="16">
        <f t="shared" si="1394"/>
        <v>115.584</v>
      </c>
      <c r="L482" s="16">
        <f t="shared" si="1416"/>
        <v>103.2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ht="15.75" customHeight="1">
      <c r="A483" s="1"/>
      <c r="B483" s="1" t="s">
        <v>897</v>
      </c>
      <c r="C483" s="17" t="s">
        <v>898</v>
      </c>
      <c r="D483" s="12">
        <v>0.0</v>
      </c>
      <c r="E483" s="18">
        <f t="shared" si="1413"/>
        <v>16788.8</v>
      </c>
      <c r="F483" s="14">
        <v>14990.0</v>
      </c>
      <c r="G483" s="15">
        <f t="shared" ref="G483:H483" si="1419">E483/94</f>
        <v>178.6042553</v>
      </c>
      <c r="H483" s="15">
        <f t="shared" si="1419"/>
        <v>159.4680851</v>
      </c>
      <c r="I483" s="16">
        <f t="shared" ref="I483:J483" si="1420">E483/24</f>
        <v>699.5333333</v>
      </c>
      <c r="J483" s="16">
        <f t="shared" si="1420"/>
        <v>624.5833333</v>
      </c>
      <c r="K483" s="16">
        <f t="shared" si="1394"/>
        <v>134.3104</v>
      </c>
      <c r="L483" s="16">
        <f t="shared" si="1416"/>
        <v>119.92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ht="15.75" customHeight="1">
      <c r="A484" s="1"/>
      <c r="B484" s="1" t="s">
        <v>899</v>
      </c>
      <c r="C484" s="17" t="s">
        <v>900</v>
      </c>
      <c r="D484" s="12">
        <v>0.0</v>
      </c>
      <c r="E484" s="18">
        <f t="shared" si="1413"/>
        <v>19028.8</v>
      </c>
      <c r="F484" s="14">
        <v>16990.0</v>
      </c>
      <c r="G484" s="15">
        <f t="shared" ref="G484:H484" si="1421">E484/94</f>
        <v>202.4340426</v>
      </c>
      <c r="H484" s="15">
        <f t="shared" si="1421"/>
        <v>180.7446809</v>
      </c>
      <c r="I484" s="16">
        <f t="shared" ref="I484:J484" si="1422">E484/24</f>
        <v>792.8666667</v>
      </c>
      <c r="J484" s="16">
        <f t="shared" si="1422"/>
        <v>707.9166667</v>
      </c>
      <c r="K484" s="16">
        <f t="shared" si="1394"/>
        <v>152.2304</v>
      </c>
      <c r="L484" s="16">
        <f t="shared" si="1416"/>
        <v>135.92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ht="15.75" customHeight="1">
      <c r="A485" s="1"/>
      <c r="B485" s="1" t="s">
        <v>901</v>
      </c>
      <c r="C485" s="17" t="s">
        <v>902</v>
      </c>
      <c r="D485" s="12">
        <v>0.0</v>
      </c>
      <c r="E485" s="18">
        <f t="shared" si="1413"/>
        <v>22388.8</v>
      </c>
      <c r="F485" s="14">
        <v>19990.0</v>
      </c>
      <c r="G485" s="15">
        <f t="shared" ref="G485:H485" si="1423">E485/94</f>
        <v>238.1787234</v>
      </c>
      <c r="H485" s="15">
        <f t="shared" si="1423"/>
        <v>212.6595745</v>
      </c>
      <c r="I485" s="16">
        <f t="shared" ref="I485:J485" si="1424">E485/24</f>
        <v>932.8666667</v>
      </c>
      <c r="J485" s="16">
        <f t="shared" si="1424"/>
        <v>832.9166667</v>
      </c>
      <c r="K485" s="16">
        <f t="shared" si="1394"/>
        <v>179.1104</v>
      </c>
      <c r="L485" s="16">
        <f t="shared" si="1416"/>
        <v>159.92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ht="15.75" customHeight="1">
      <c r="A486" s="1"/>
      <c r="B486" s="1" t="s">
        <v>903</v>
      </c>
      <c r="C486" s="17" t="s">
        <v>904</v>
      </c>
      <c r="D486" s="12">
        <v>0.0</v>
      </c>
      <c r="E486" s="18">
        <f t="shared" si="1413"/>
        <v>26308.8</v>
      </c>
      <c r="F486" s="14">
        <v>23490.0</v>
      </c>
      <c r="G486" s="15">
        <f t="shared" ref="G486:H486" si="1425">E486/94</f>
        <v>279.8808511</v>
      </c>
      <c r="H486" s="15">
        <f t="shared" si="1425"/>
        <v>249.893617</v>
      </c>
      <c r="I486" s="16">
        <f t="shared" ref="I486:J486" si="1426">E486/24</f>
        <v>1096.2</v>
      </c>
      <c r="J486" s="16">
        <f t="shared" si="1426"/>
        <v>978.75</v>
      </c>
      <c r="K486" s="16">
        <f t="shared" si="1394"/>
        <v>210.4704</v>
      </c>
      <c r="L486" s="16">
        <f t="shared" si="1416"/>
        <v>187.92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ht="15.75" customHeight="1">
      <c r="A487" s="1"/>
      <c r="B487" s="17" t="s">
        <v>905</v>
      </c>
      <c r="C487" s="17" t="s">
        <v>906</v>
      </c>
      <c r="D487" s="12">
        <v>0.0</v>
      </c>
      <c r="E487" s="13">
        <v>28900.0</v>
      </c>
      <c r="F487" s="20">
        <v>27500.0</v>
      </c>
      <c r="G487" s="15">
        <f t="shared" ref="G487:H487" si="1427">E487/94</f>
        <v>307.4468085</v>
      </c>
      <c r="H487" s="15">
        <f t="shared" si="1427"/>
        <v>292.5531915</v>
      </c>
      <c r="I487" s="16">
        <f t="shared" ref="I487:J487" si="1428">E487/24</f>
        <v>1204.166667</v>
      </c>
      <c r="J487" s="16">
        <f t="shared" si="1428"/>
        <v>1145.833333</v>
      </c>
      <c r="K487" s="16">
        <f t="shared" si="1394"/>
        <v>231.2</v>
      </c>
      <c r="L487" s="1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ht="15.75" customHeight="1">
      <c r="A488" s="1"/>
      <c r="B488" s="1" t="s">
        <v>907</v>
      </c>
      <c r="C488" s="17" t="s">
        <v>908</v>
      </c>
      <c r="D488" s="12">
        <v>0.0</v>
      </c>
      <c r="E488" s="18">
        <f t="shared" ref="E488:E494" si="1431">F488+(F488*12%)</f>
        <v>12308.8</v>
      </c>
      <c r="F488" s="14">
        <v>10990.0</v>
      </c>
      <c r="G488" s="15">
        <f t="shared" ref="G488:H488" si="1429">E488/94</f>
        <v>130.9446809</v>
      </c>
      <c r="H488" s="15">
        <f t="shared" si="1429"/>
        <v>116.9148936</v>
      </c>
      <c r="I488" s="16">
        <f t="shared" ref="I488:J488" si="1430">E488/24</f>
        <v>512.8666667</v>
      </c>
      <c r="J488" s="16">
        <f t="shared" si="1430"/>
        <v>457.9166667</v>
      </c>
      <c r="K488" s="16">
        <f t="shared" si="1394"/>
        <v>98.4704</v>
      </c>
      <c r="L488" s="16">
        <f t="shared" ref="L488:L494" si="1434">F488/125</f>
        <v>87.92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ht="15.75" customHeight="1">
      <c r="A489" s="1"/>
      <c r="B489" s="1" t="s">
        <v>909</v>
      </c>
      <c r="C489" s="17" t="s">
        <v>910</v>
      </c>
      <c r="D489" s="12">
        <v>0.0</v>
      </c>
      <c r="E489" s="18">
        <f t="shared" si="1431"/>
        <v>14548.8</v>
      </c>
      <c r="F489" s="14">
        <v>12990.0</v>
      </c>
      <c r="G489" s="15">
        <f t="shared" ref="G489:H489" si="1432">E489/94</f>
        <v>154.7744681</v>
      </c>
      <c r="H489" s="15">
        <f t="shared" si="1432"/>
        <v>138.1914894</v>
      </c>
      <c r="I489" s="16">
        <f t="shared" ref="I489:J489" si="1433">E489/24</f>
        <v>606.2</v>
      </c>
      <c r="J489" s="16">
        <f t="shared" si="1433"/>
        <v>541.25</v>
      </c>
      <c r="K489" s="16">
        <f t="shared" si="1394"/>
        <v>116.3904</v>
      </c>
      <c r="L489" s="16">
        <f t="shared" si="1434"/>
        <v>103.92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ht="15.75" customHeight="1">
      <c r="A490" s="1"/>
      <c r="B490" s="1" t="s">
        <v>911</v>
      </c>
      <c r="C490" s="17" t="s">
        <v>912</v>
      </c>
      <c r="D490" s="12">
        <v>0.0</v>
      </c>
      <c r="E490" s="18">
        <f t="shared" si="1431"/>
        <v>16788.8</v>
      </c>
      <c r="F490" s="14">
        <v>14990.0</v>
      </c>
      <c r="G490" s="15">
        <f t="shared" ref="G490:H490" si="1435">E490/94</f>
        <v>178.6042553</v>
      </c>
      <c r="H490" s="15">
        <f t="shared" si="1435"/>
        <v>159.4680851</v>
      </c>
      <c r="I490" s="16">
        <f t="shared" ref="I490:J490" si="1436">E490/24</f>
        <v>699.5333333</v>
      </c>
      <c r="J490" s="16">
        <f t="shared" si="1436"/>
        <v>624.5833333</v>
      </c>
      <c r="K490" s="16">
        <f t="shared" si="1394"/>
        <v>134.3104</v>
      </c>
      <c r="L490" s="16">
        <f t="shared" si="1434"/>
        <v>119.92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ht="15.75" customHeight="1">
      <c r="A491" s="1"/>
      <c r="B491" s="1" t="s">
        <v>913</v>
      </c>
      <c r="C491" s="17" t="s">
        <v>914</v>
      </c>
      <c r="D491" s="12">
        <v>0.0</v>
      </c>
      <c r="E491" s="18">
        <f t="shared" si="1431"/>
        <v>19028.8</v>
      </c>
      <c r="F491" s="14">
        <v>16990.0</v>
      </c>
      <c r="G491" s="15">
        <f t="shared" ref="G491:H491" si="1437">E491/94</f>
        <v>202.4340426</v>
      </c>
      <c r="H491" s="15">
        <f t="shared" si="1437"/>
        <v>180.7446809</v>
      </c>
      <c r="I491" s="16">
        <f t="shared" ref="I491:J491" si="1438">E491/24</f>
        <v>792.8666667</v>
      </c>
      <c r="J491" s="16">
        <f t="shared" si="1438"/>
        <v>707.9166667</v>
      </c>
      <c r="K491" s="16">
        <f t="shared" si="1394"/>
        <v>152.2304</v>
      </c>
      <c r="L491" s="16">
        <f t="shared" si="1434"/>
        <v>135.92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ht="15.75" customHeight="1">
      <c r="A492" s="1"/>
      <c r="B492" s="1" t="s">
        <v>915</v>
      </c>
      <c r="C492" s="17" t="s">
        <v>916</v>
      </c>
      <c r="D492" s="12">
        <v>0.0</v>
      </c>
      <c r="E492" s="18">
        <f t="shared" si="1431"/>
        <v>21268.8</v>
      </c>
      <c r="F492" s="14">
        <v>18990.0</v>
      </c>
      <c r="G492" s="15">
        <f t="shared" ref="G492:H492" si="1439">E492/94</f>
        <v>226.2638298</v>
      </c>
      <c r="H492" s="15">
        <f t="shared" si="1439"/>
        <v>202.0212766</v>
      </c>
      <c r="I492" s="16">
        <f t="shared" ref="I492:J492" si="1440">E492/24</f>
        <v>886.2</v>
      </c>
      <c r="J492" s="16">
        <f t="shared" si="1440"/>
        <v>791.25</v>
      </c>
      <c r="K492" s="16">
        <f t="shared" si="1394"/>
        <v>170.1504</v>
      </c>
      <c r="L492" s="16">
        <f t="shared" si="1434"/>
        <v>151.92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ht="15.75" customHeight="1">
      <c r="A493" s="1"/>
      <c r="B493" s="1" t="s">
        <v>917</v>
      </c>
      <c r="C493" s="17" t="s">
        <v>918</v>
      </c>
      <c r="D493" s="12">
        <v>0.0</v>
      </c>
      <c r="E493" s="18">
        <f t="shared" si="1431"/>
        <v>25648</v>
      </c>
      <c r="F493" s="14">
        <v>22900.0</v>
      </c>
      <c r="G493" s="15">
        <f t="shared" ref="G493:H493" si="1441">E493/94</f>
        <v>272.8510638</v>
      </c>
      <c r="H493" s="15">
        <f t="shared" si="1441"/>
        <v>243.6170213</v>
      </c>
      <c r="I493" s="16">
        <f t="shared" ref="I493:J493" si="1442">E493/24</f>
        <v>1068.666667</v>
      </c>
      <c r="J493" s="16">
        <f t="shared" si="1442"/>
        <v>954.1666667</v>
      </c>
      <c r="K493" s="16">
        <f t="shared" si="1394"/>
        <v>205.184</v>
      </c>
      <c r="L493" s="16">
        <f t="shared" si="1434"/>
        <v>183.2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ht="15.75" customHeight="1">
      <c r="A494" s="1"/>
      <c r="B494" s="1" t="s">
        <v>919</v>
      </c>
      <c r="C494" s="17" t="s">
        <v>920</v>
      </c>
      <c r="D494" s="12">
        <v>0.0</v>
      </c>
      <c r="E494" s="18">
        <f t="shared" si="1431"/>
        <v>29108.8</v>
      </c>
      <c r="F494" s="14">
        <v>25990.0</v>
      </c>
      <c r="G494" s="15">
        <f t="shared" ref="G494:H494" si="1443">E494/94</f>
        <v>309.6680851</v>
      </c>
      <c r="H494" s="15">
        <f t="shared" si="1443"/>
        <v>276.4893617</v>
      </c>
      <c r="I494" s="16">
        <f t="shared" ref="I494:J494" si="1444">E494/24</f>
        <v>1212.866667</v>
      </c>
      <c r="J494" s="16">
        <f t="shared" si="1444"/>
        <v>1082.916667</v>
      </c>
      <c r="K494" s="16">
        <f t="shared" si="1394"/>
        <v>232.8704</v>
      </c>
      <c r="L494" s="16">
        <f t="shared" si="1434"/>
        <v>207.92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ht="15.75" customHeight="1">
      <c r="A495" s="1"/>
      <c r="B495" s="17" t="s">
        <v>921</v>
      </c>
      <c r="C495" s="17" t="s">
        <v>922</v>
      </c>
      <c r="D495" s="12">
        <v>0.0</v>
      </c>
      <c r="E495" s="13">
        <v>32990.0</v>
      </c>
      <c r="F495" s="20">
        <v>27500.0</v>
      </c>
      <c r="G495" s="15">
        <f t="shared" ref="G495:H495" si="1445">E495/94</f>
        <v>350.9574468</v>
      </c>
      <c r="H495" s="15">
        <f t="shared" si="1445"/>
        <v>292.5531915</v>
      </c>
      <c r="I495" s="16">
        <f t="shared" ref="I495:J495" si="1446">E495/24</f>
        <v>1374.583333</v>
      </c>
      <c r="J495" s="16">
        <f t="shared" si="1446"/>
        <v>1145.833333</v>
      </c>
      <c r="K495" s="16">
        <f t="shared" si="1394"/>
        <v>263.92</v>
      </c>
      <c r="L495" s="1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ht="15.75" customHeight="1">
      <c r="A496" s="1"/>
      <c r="B496" s="1" t="s">
        <v>923</v>
      </c>
      <c r="C496" s="24" t="s">
        <v>924</v>
      </c>
      <c r="D496" s="12">
        <v>0.0</v>
      </c>
      <c r="E496" s="18">
        <f t="shared" ref="E496:E502" si="1449">F496+(F496*12%)</f>
        <v>12308.8</v>
      </c>
      <c r="F496" s="14">
        <v>10990.0</v>
      </c>
      <c r="G496" s="15">
        <f t="shared" ref="G496:H496" si="1447">E496/94</f>
        <v>130.9446809</v>
      </c>
      <c r="H496" s="15">
        <f t="shared" si="1447"/>
        <v>116.9148936</v>
      </c>
      <c r="I496" s="16">
        <f t="shared" ref="I496:J496" si="1448">E496/24</f>
        <v>512.8666667</v>
      </c>
      <c r="J496" s="16">
        <f t="shared" si="1448"/>
        <v>457.9166667</v>
      </c>
      <c r="K496" s="16">
        <f t="shared" si="1394"/>
        <v>98.4704</v>
      </c>
      <c r="L496" s="16">
        <f t="shared" ref="L496:L539" si="1452">F496/125</f>
        <v>87.92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ht="15.75" customHeight="1">
      <c r="A497" s="1"/>
      <c r="B497" s="1" t="s">
        <v>925</v>
      </c>
      <c r="C497" s="24" t="s">
        <v>926</v>
      </c>
      <c r="D497" s="12">
        <v>0.0</v>
      </c>
      <c r="E497" s="18">
        <f t="shared" si="1449"/>
        <v>14548.8</v>
      </c>
      <c r="F497" s="14">
        <v>12990.0</v>
      </c>
      <c r="G497" s="15">
        <f t="shared" ref="G497:H497" si="1450">E497/94</f>
        <v>154.7744681</v>
      </c>
      <c r="H497" s="15">
        <f t="shared" si="1450"/>
        <v>138.1914894</v>
      </c>
      <c r="I497" s="16">
        <f t="shared" ref="I497:J497" si="1451">E497/24</f>
        <v>606.2</v>
      </c>
      <c r="J497" s="16">
        <f t="shared" si="1451"/>
        <v>541.25</v>
      </c>
      <c r="K497" s="16">
        <f t="shared" si="1394"/>
        <v>116.3904</v>
      </c>
      <c r="L497" s="16">
        <f t="shared" si="1452"/>
        <v>103.92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ht="15.75" customHeight="1">
      <c r="A498" s="1"/>
      <c r="B498" s="1" t="s">
        <v>927</v>
      </c>
      <c r="C498" s="24" t="s">
        <v>928</v>
      </c>
      <c r="D498" s="12">
        <v>0.0</v>
      </c>
      <c r="E498" s="18">
        <f t="shared" si="1449"/>
        <v>16788.8</v>
      </c>
      <c r="F498" s="14">
        <v>14990.0</v>
      </c>
      <c r="G498" s="15">
        <f t="shared" ref="G498:H498" si="1453">E498/94</f>
        <v>178.6042553</v>
      </c>
      <c r="H498" s="15">
        <f t="shared" si="1453"/>
        <v>159.4680851</v>
      </c>
      <c r="I498" s="16">
        <f t="shared" ref="I498:J498" si="1454">E498/24</f>
        <v>699.5333333</v>
      </c>
      <c r="J498" s="16">
        <f t="shared" si="1454"/>
        <v>624.5833333</v>
      </c>
      <c r="K498" s="16">
        <f t="shared" si="1394"/>
        <v>134.3104</v>
      </c>
      <c r="L498" s="16">
        <f t="shared" si="1452"/>
        <v>119.92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ht="15.75" customHeight="1">
      <c r="A499" s="1"/>
      <c r="B499" s="1" t="s">
        <v>929</v>
      </c>
      <c r="C499" s="24" t="s">
        <v>930</v>
      </c>
      <c r="D499" s="12">
        <v>0.0</v>
      </c>
      <c r="E499" s="18">
        <f t="shared" si="1449"/>
        <v>19028.8</v>
      </c>
      <c r="F499" s="14">
        <v>16990.0</v>
      </c>
      <c r="G499" s="15">
        <f t="shared" ref="G499:H499" si="1455">E499/94</f>
        <v>202.4340426</v>
      </c>
      <c r="H499" s="15">
        <f t="shared" si="1455"/>
        <v>180.7446809</v>
      </c>
      <c r="I499" s="16">
        <f t="shared" ref="I499:J499" si="1456">E499/24</f>
        <v>792.8666667</v>
      </c>
      <c r="J499" s="16">
        <f t="shared" si="1456"/>
        <v>707.9166667</v>
      </c>
      <c r="K499" s="16">
        <f t="shared" si="1394"/>
        <v>152.2304</v>
      </c>
      <c r="L499" s="16">
        <f t="shared" si="1452"/>
        <v>135.92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ht="15.75" customHeight="1">
      <c r="A500" s="1"/>
      <c r="B500" s="1" t="s">
        <v>931</v>
      </c>
      <c r="C500" s="24" t="s">
        <v>932</v>
      </c>
      <c r="D500" s="12">
        <v>0.0</v>
      </c>
      <c r="E500" s="18">
        <f t="shared" si="1449"/>
        <v>21268.8</v>
      </c>
      <c r="F500" s="14">
        <v>18990.0</v>
      </c>
      <c r="G500" s="15">
        <f t="shared" ref="G500:H500" si="1457">E500/94</f>
        <v>226.2638298</v>
      </c>
      <c r="H500" s="15">
        <f t="shared" si="1457"/>
        <v>202.0212766</v>
      </c>
      <c r="I500" s="16">
        <f t="shared" ref="I500:J500" si="1458">E500/24</f>
        <v>886.2</v>
      </c>
      <c r="J500" s="16">
        <f t="shared" si="1458"/>
        <v>791.25</v>
      </c>
      <c r="K500" s="16">
        <f t="shared" si="1394"/>
        <v>170.1504</v>
      </c>
      <c r="L500" s="16">
        <f t="shared" si="1452"/>
        <v>151.92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ht="15.75" customHeight="1">
      <c r="A501" s="1"/>
      <c r="B501" s="1" t="s">
        <v>933</v>
      </c>
      <c r="C501" s="24" t="s">
        <v>934</v>
      </c>
      <c r="D501" s="12">
        <v>0.0</v>
      </c>
      <c r="E501" s="18">
        <f t="shared" si="1449"/>
        <v>25648</v>
      </c>
      <c r="F501" s="14">
        <v>22900.0</v>
      </c>
      <c r="G501" s="15">
        <f t="shared" ref="G501:H501" si="1459">E501/94</f>
        <v>272.8510638</v>
      </c>
      <c r="H501" s="15">
        <f t="shared" si="1459"/>
        <v>243.6170213</v>
      </c>
      <c r="I501" s="16">
        <f t="shared" ref="I501:J501" si="1460">E501/24</f>
        <v>1068.666667</v>
      </c>
      <c r="J501" s="16">
        <f t="shared" si="1460"/>
        <v>954.1666667</v>
      </c>
      <c r="K501" s="16">
        <f t="shared" si="1394"/>
        <v>205.184</v>
      </c>
      <c r="L501" s="16">
        <f t="shared" si="1452"/>
        <v>183.2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ht="15.75" customHeight="1">
      <c r="A502" s="1"/>
      <c r="B502" s="1" t="s">
        <v>935</v>
      </c>
      <c r="C502" s="24" t="s">
        <v>936</v>
      </c>
      <c r="D502" s="12">
        <v>0.0</v>
      </c>
      <c r="E502" s="18">
        <f t="shared" si="1449"/>
        <v>29108.8</v>
      </c>
      <c r="F502" s="14">
        <v>25990.0</v>
      </c>
      <c r="G502" s="15">
        <f t="shared" ref="G502:H502" si="1461">E502/94</f>
        <v>309.6680851</v>
      </c>
      <c r="H502" s="15">
        <f t="shared" si="1461"/>
        <v>276.4893617</v>
      </c>
      <c r="I502" s="16">
        <f t="shared" ref="I502:J502" si="1462">E502/24</f>
        <v>1212.866667</v>
      </c>
      <c r="J502" s="16">
        <f t="shared" si="1462"/>
        <v>1082.916667</v>
      </c>
      <c r="K502" s="16">
        <f t="shared" si="1394"/>
        <v>232.8704</v>
      </c>
      <c r="L502" s="16">
        <f t="shared" si="1452"/>
        <v>207.92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ht="15.75" customHeight="1">
      <c r="A503" s="1"/>
      <c r="B503" s="17" t="s">
        <v>937</v>
      </c>
      <c r="C503" s="24" t="s">
        <v>938</v>
      </c>
      <c r="D503" s="12">
        <v>0.0</v>
      </c>
      <c r="E503" s="13">
        <v>32990.0</v>
      </c>
      <c r="F503" s="20">
        <v>27500.0</v>
      </c>
      <c r="G503" s="15">
        <f t="shared" ref="G503:H503" si="1463">E503/94</f>
        <v>350.9574468</v>
      </c>
      <c r="H503" s="15">
        <f t="shared" si="1463"/>
        <v>292.5531915</v>
      </c>
      <c r="I503" s="16">
        <f t="shared" ref="I503:J503" si="1464">E503/24</f>
        <v>1374.583333</v>
      </c>
      <c r="J503" s="16">
        <f t="shared" si="1464"/>
        <v>1145.833333</v>
      </c>
      <c r="K503" s="16">
        <f t="shared" si="1394"/>
        <v>263.92</v>
      </c>
      <c r="L503" s="16">
        <f t="shared" si="1452"/>
        <v>220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ht="15.75" customHeight="1">
      <c r="A504" s="1"/>
      <c r="B504" s="1" t="s">
        <v>939</v>
      </c>
      <c r="C504" s="24" t="s">
        <v>940</v>
      </c>
      <c r="D504" s="12">
        <v>0.0</v>
      </c>
      <c r="E504" s="18">
        <f t="shared" ref="E504:E510" si="1467">F504+(F504*12%)</f>
        <v>12308.8</v>
      </c>
      <c r="F504" s="14">
        <v>10990.0</v>
      </c>
      <c r="G504" s="15">
        <f t="shared" ref="G504:H504" si="1465">E504/94</f>
        <v>130.9446809</v>
      </c>
      <c r="H504" s="15">
        <f t="shared" si="1465"/>
        <v>116.9148936</v>
      </c>
      <c r="I504" s="16">
        <f t="shared" ref="I504:J504" si="1466">E504/24</f>
        <v>512.8666667</v>
      </c>
      <c r="J504" s="16">
        <f t="shared" si="1466"/>
        <v>457.9166667</v>
      </c>
      <c r="K504" s="16">
        <f t="shared" si="1394"/>
        <v>98.4704</v>
      </c>
      <c r="L504" s="16">
        <f t="shared" si="1452"/>
        <v>87.92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ht="15.75" customHeight="1">
      <c r="A505" s="1"/>
      <c r="B505" s="1" t="s">
        <v>941</v>
      </c>
      <c r="C505" s="24" t="s">
        <v>942</v>
      </c>
      <c r="D505" s="12">
        <v>0.0</v>
      </c>
      <c r="E505" s="18">
        <f t="shared" si="1467"/>
        <v>14548.8</v>
      </c>
      <c r="F505" s="14">
        <v>12990.0</v>
      </c>
      <c r="G505" s="15">
        <f t="shared" ref="G505:H505" si="1468">E505/94</f>
        <v>154.7744681</v>
      </c>
      <c r="H505" s="15">
        <f t="shared" si="1468"/>
        <v>138.1914894</v>
      </c>
      <c r="I505" s="16">
        <f t="shared" ref="I505:J505" si="1469">E505/24</f>
        <v>606.2</v>
      </c>
      <c r="J505" s="16">
        <f t="shared" si="1469"/>
        <v>541.25</v>
      </c>
      <c r="K505" s="16">
        <f t="shared" si="1394"/>
        <v>116.3904</v>
      </c>
      <c r="L505" s="16">
        <f t="shared" si="1452"/>
        <v>103.92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ht="15.75" customHeight="1">
      <c r="A506" s="1"/>
      <c r="B506" s="1" t="s">
        <v>943</v>
      </c>
      <c r="C506" s="24" t="s">
        <v>944</v>
      </c>
      <c r="D506" s="12">
        <v>0.0</v>
      </c>
      <c r="E506" s="18">
        <f t="shared" si="1467"/>
        <v>16788.8</v>
      </c>
      <c r="F506" s="14">
        <v>14990.0</v>
      </c>
      <c r="G506" s="15">
        <f t="shared" ref="G506:H506" si="1470">E506/94</f>
        <v>178.6042553</v>
      </c>
      <c r="H506" s="15">
        <f t="shared" si="1470"/>
        <v>159.4680851</v>
      </c>
      <c r="I506" s="16">
        <f t="shared" ref="I506:J506" si="1471">E506/24</f>
        <v>699.5333333</v>
      </c>
      <c r="J506" s="16">
        <f t="shared" si="1471"/>
        <v>624.5833333</v>
      </c>
      <c r="K506" s="16">
        <f t="shared" si="1394"/>
        <v>134.3104</v>
      </c>
      <c r="L506" s="16">
        <f t="shared" si="1452"/>
        <v>119.92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ht="15.75" customHeight="1">
      <c r="A507" s="1"/>
      <c r="B507" s="1" t="s">
        <v>945</v>
      </c>
      <c r="C507" s="24" t="s">
        <v>946</v>
      </c>
      <c r="D507" s="12">
        <v>0.0</v>
      </c>
      <c r="E507" s="18">
        <f t="shared" si="1467"/>
        <v>19028.8</v>
      </c>
      <c r="F507" s="14">
        <v>16990.0</v>
      </c>
      <c r="G507" s="15">
        <f t="shared" ref="G507:H507" si="1472">E507/94</f>
        <v>202.4340426</v>
      </c>
      <c r="H507" s="15">
        <f t="shared" si="1472"/>
        <v>180.7446809</v>
      </c>
      <c r="I507" s="16">
        <f t="shared" ref="I507:J507" si="1473">E507/24</f>
        <v>792.8666667</v>
      </c>
      <c r="J507" s="16">
        <f t="shared" si="1473"/>
        <v>707.9166667</v>
      </c>
      <c r="K507" s="16">
        <f t="shared" si="1394"/>
        <v>152.2304</v>
      </c>
      <c r="L507" s="16">
        <f t="shared" si="1452"/>
        <v>135.92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ht="15.75" customHeight="1">
      <c r="A508" s="1"/>
      <c r="B508" s="1" t="s">
        <v>947</v>
      </c>
      <c r="C508" s="24" t="s">
        <v>948</v>
      </c>
      <c r="D508" s="12">
        <v>0.0</v>
      </c>
      <c r="E508" s="18">
        <f t="shared" si="1467"/>
        <v>21268.8</v>
      </c>
      <c r="F508" s="14">
        <v>18990.0</v>
      </c>
      <c r="G508" s="15">
        <f t="shared" ref="G508:H508" si="1474">E508/94</f>
        <v>226.2638298</v>
      </c>
      <c r="H508" s="15">
        <f t="shared" si="1474"/>
        <v>202.0212766</v>
      </c>
      <c r="I508" s="16">
        <f t="shared" ref="I508:J508" si="1475">E508/24</f>
        <v>886.2</v>
      </c>
      <c r="J508" s="16">
        <f t="shared" si="1475"/>
        <v>791.25</v>
      </c>
      <c r="K508" s="16">
        <f t="shared" si="1394"/>
        <v>170.1504</v>
      </c>
      <c r="L508" s="16">
        <f t="shared" si="1452"/>
        <v>151.92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ht="15.75" customHeight="1">
      <c r="A509" s="1"/>
      <c r="B509" s="1" t="s">
        <v>949</v>
      </c>
      <c r="C509" s="24" t="s">
        <v>950</v>
      </c>
      <c r="D509" s="12">
        <v>0.0</v>
      </c>
      <c r="E509" s="18">
        <f t="shared" si="1467"/>
        <v>25648</v>
      </c>
      <c r="F509" s="14">
        <v>22900.0</v>
      </c>
      <c r="G509" s="15">
        <f t="shared" ref="G509:H509" si="1476">E509/94</f>
        <v>272.8510638</v>
      </c>
      <c r="H509" s="15">
        <f t="shared" si="1476"/>
        <v>243.6170213</v>
      </c>
      <c r="I509" s="16">
        <f t="shared" ref="I509:J509" si="1477">E509/24</f>
        <v>1068.666667</v>
      </c>
      <c r="J509" s="16">
        <f t="shared" si="1477"/>
        <v>954.1666667</v>
      </c>
      <c r="K509" s="16">
        <f t="shared" si="1394"/>
        <v>205.184</v>
      </c>
      <c r="L509" s="16">
        <f t="shared" si="1452"/>
        <v>183.2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ht="15.75" customHeight="1">
      <c r="A510" s="1"/>
      <c r="B510" s="1" t="s">
        <v>951</v>
      </c>
      <c r="C510" s="24" t="s">
        <v>952</v>
      </c>
      <c r="D510" s="12">
        <v>0.0</v>
      </c>
      <c r="E510" s="18">
        <f t="shared" si="1467"/>
        <v>29108.8</v>
      </c>
      <c r="F510" s="14">
        <v>25990.0</v>
      </c>
      <c r="G510" s="15">
        <f t="shared" ref="G510:H510" si="1478">E510/94</f>
        <v>309.6680851</v>
      </c>
      <c r="H510" s="15">
        <f t="shared" si="1478"/>
        <v>276.4893617</v>
      </c>
      <c r="I510" s="16">
        <f t="shared" ref="I510:J510" si="1479">E510/24</f>
        <v>1212.866667</v>
      </c>
      <c r="J510" s="16">
        <f t="shared" si="1479"/>
        <v>1082.916667</v>
      </c>
      <c r="K510" s="16">
        <f t="shared" si="1394"/>
        <v>232.8704</v>
      </c>
      <c r="L510" s="16">
        <f t="shared" si="1452"/>
        <v>207.92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ht="15.75" customHeight="1">
      <c r="A511" s="1"/>
      <c r="B511" s="17" t="s">
        <v>953</v>
      </c>
      <c r="C511" s="24" t="s">
        <v>954</v>
      </c>
      <c r="D511" s="12">
        <v>0.0</v>
      </c>
      <c r="E511" s="13">
        <v>32990.0</v>
      </c>
      <c r="F511" s="20">
        <v>27500.0</v>
      </c>
      <c r="G511" s="15">
        <f t="shared" ref="G511:H511" si="1480">E511/94</f>
        <v>350.9574468</v>
      </c>
      <c r="H511" s="15">
        <f t="shared" si="1480"/>
        <v>292.5531915</v>
      </c>
      <c r="I511" s="16">
        <f t="shared" ref="I511:J511" si="1481">E511/24</f>
        <v>1374.583333</v>
      </c>
      <c r="J511" s="16">
        <f t="shared" si="1481"/>
        <v>1145.833333</v>
      </c>
      <c r="K511" s="16">
        <f t="shared" si="1394"/>
        <v>263.92</v>
      </c>
      <c r="L511" s="16">
        <f t="shared" si="1452"/>
        <v>220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ht="15.75" customHeight="1">
      <c r="A512" s="1" t="s">
        <v>955</v>
      </c>
      <c r="B512" s="1" t="s">
        <v>956</v>
      </c>
      <c r="C512" s="19" t="s">
        <v>957</v>
      </c>
      <c r="D512" s="12">
        <v>0.0</v>
      </c>
      <c r="E512" s="18" t="str">
        <f t="shared" ref="E512:E539" si="1484">F512+(F512*12%)</f>
        <v>#REF!</v>
      </c>
      <c r="F512" s="14" t="str">
        <f>E512-(E512*7%)</f>
        <v>#REF!</v>
      </c>
      <c r="G512" s="15" t="str">
        <f t="shared" ref="G512:H512" si="1482">E512/94</f>
        <v>#REF!</v>
      </c>
      <c r="H512" s="15" t="str">
        <f t="shared" si="1482"/>
        <v>#REF!</v>
      </c>
      <c r="I512" s="16" t="str">
        <f t="shared" ref="I512:J512" si="1483">E512/24</f>
        <v>#REF!</v>
      </c>
      <c r="J512" s="16" t="str">
        <f t="shared" si="1483"/>
        <v>#REF!</v>
      </c>
      <c r="K512" s="16" t="str">
        <f t="shared" si="1394"/>
        <v>#REF!</v>
      </c>
      <c r="L512" s="16" t="str">
        <f t="shared" si="1452"/>
        <v>#REF!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ht="15.75" customHeight="1">
      <c r="A513" s="1"/>
      <c r="B513" s="1" t="s">
        <v>958</v>
      </c>
      <c r="C513" s="19" t="s">
        <v>959</v>
      </c>
      <c r="D513" s="12">
        <v>0.0</v>
      </c>
      <c r="E513" s="18">
        <f t="shared" si="1484"/>
        <v>89588.8</v>
      </c>
      <c r="F513" s="14">
        <v>79990.0</v>
      </c>
      <c r="G513" s="15">
        <f t="shared" ref="G513:H513" si="1485">E513/94</f>
        <v>953.0723404</v>
      </c>
      <c r="H513" s="15">
        <f t="shared" si="1485"/>
        <v>850.9574468</v>
      </c>
      <c r="I513" s="16">
        <f t="shared" ref="I513:J513" si="1486">E513/24</f>
        <v>3732.866667</v>
      </c>
      <c r="J513" s="16">
        <f t="shared" si="1486"/>
        <v>3332.916667</v>
      </c>
      <c r="K513" s="16">
        <f t="shared" si="1394"/>
        <v>716.7104</v>
      </c>
      <c r="L513" s="16">
        <f t="shared" si="1452"/>
        <v>639.92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ht="15.75" customHeight="1">
      <c r="A514" s="1"/>
      <c r="B514" s="1" t="s">
        <v>960</v>
      </c>
      <c r="C514" s="19" t="s">
        <v>961</v>
      </c>
      <c r="D514" s="12">
        <v>0.0</v>
      </c>
      <c r="E514" s="18">
        <f t="shared" si="1484"/>
        <v>109648</v>
      </c>
      <c r="F514" s="14">
        <v>97900.0</v>
      </c>
      <c r="G514" s="15">
        <f t="shared" ref="G514:H514" si="1487">E514/94</f>
        <v>1166.468085</v>
      </c>
      <c r="H514" s="15">
        <f t="shared" si="1487"/>
        <v>1041.489362</v>
      </c>
      <c r="I514" s="16">
        <f t="shared" ref="I514:J514" si="1488">E514/24</f>
        <v>4568.666667</v>
      </c>
      <c r="J514" s="16">
        <f t="shared" si="1488"/>
        <v>4079.166667</v>
      </c>
      <c r="K514" s="16">
        <f t="shared" si="1394"/>
        <v>877.184</v>
      </c>
      <c r="L514" s="16">
        <f t="shared" si="1452"/>
        <v>783.2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ht="15.75" customHeight="1">
      <c r="A515" s="1"/>
      <c r="B515" s="17" t="s">
        <v>962</v>
      </c>
      <c r="C515" s="19" t="s">
        <v>963</v>
      </c>
      <c r="D515" s="12">
        <v>0.0</v>
      </c>
      <c r="E515" s="18" t="str">
        <f t="shared" si="1484"/>
        <v>#REF!</v>
      </c>
      <c r="F515" s="14" t="str">
        <f t="shared" ref="F515:F517" si="1491">E515-(E515*7%)</f>
        <v>#REF!</v>
      </c>
      <c r="G515" s="15" t="str">
        <f t="shared" ref="G515:H515" si="1489">E515/94</f>
        <v>#REF!</v>
      </c>
      <c r="H515" s="15" t="str">
        <f t="shared" si="1489"/>
        <v>#REF!</v>
      </c>
      <c r="I515" s="16" t="str">
        <f t="shared" ref="I515:J515" si="1490">E515/24</f>
        <v>#REF!</v>
      </c>
      <c r="J515" s="16" t="str">
        <f t="shared" si="1490"/>
        <v>#REF!</v>
      </c>
      <c r="K515" s="16" t="str">
        <f t="shared" si="1394"/>
        <v>#REF!</v>
      </c>
      <c r="L515" s="16" t="str">
        <f t="shared" si="1452"/>
        <v>#REF!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ht="15.75" customHeight="1">
      <c r="A516" s="1"/>
      <c r="B516" s="17" t="s">
        <v>964</v>
      </c>
      <c r="C516" s="19" t="s">
        <v>965</v>
      </c>
      <c r="D516" s="12">
        <v>0.0</v>
      </c>
      <c r="E516" s="18" t="str">
        <f t="shared" si="1484"/>
        <v>#REF!</v>
      </c>
      <c r="F516" s="14" t="str">
        <f t="shared" si="1491"/>
        <v>#REF!</v>
      </c>
      <c r="G516" s="15" t="str">
        <f t="shared" ref="G516:H516" si="1492">E516/94</f>
        <v>#REF!</v>
      </c>
      <c r="H516" s="15" t="str">
        <f t="shared" si="1492"/>
        <v>#REF!</v>
      </c>
      <c r="I516" s="16" t="str">
        <f t="shared" ref="I516:J516" si="1493">E516/24</f>
        <v>#REF!</v>
      </c>
      <c r="J516" s="16" t="str">
        <f t="shared" si="1493"/>
        <v>#REF!</v>
      </c>
      <c r="K516" s="16" t="str">
        <f t="shared" si="1394"/>
        <v>#REF!</v>
      </c>
      <c r="L516" s="16" t="str">
        <f t="shared" si="1452"/>
        <v>#REF!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ht="15.75" customHeight="1">
      <c r="A517" s="1"/>
      <c r="B517" s="1" t="s">
        <v>966</v>
      </c>
      <c r="C517" s="19" t="s">
        <v>967</v>
      </c>
      <c r="D517" s="12">
        <v>0.0</v>
      </c>
      <c r="E517" s="18" t="str">
        <f t="shared" si="1484"/>
        <v>#REF!</v>
      </c>
      <c r="F517" s="14" t="str">
        <f t="shared" si="1491"/>
        <v>#REF!</v>
      </c>
      <c r="G517" s="15" t="str">
        <f t="shared" ref="G517:H517" si="1494">E517/94</f>
        <v>#REF!</v>
      </c>
      <c r="H517" s="15" t="str">
        <f t="shared" si="1494"/>
        <v>#REF!</v>
      </c>
      <c r="I517" s="16" t="str">
        <f t="shared" ref="I517:J517" si="1495">E517/24</f>
        <v>#REF!</v>
      </c>
      <c r="J517" s="16" t="str">
        <f t="shared" si="1495"/>
        <v>#REF!</v>
      </c>
      <c r="K517" s="16" t="str">
        <f t="shared" si="1394"/>
        <v>#REF!</v>
      </c>
      <c r="L517" s="16" t="str">
        <f t="shared" si="1452"/>
        <v>#REF!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ht="15.75" customHeight="1">
      <c r="A518" s="1"/>
      <c r="B518" s="1" t="s">
        <v>968</v>
      </c>
      <c r="C518" s="19" t="s">
        <v>969</v>
      </c>
      <c r="D518" s="12">
        <v>0.0</v>
      </c>
      <c r="E518" s="18">
        <f t="shared" si="1484"/>
        <v>78388.8</v>
      </c>
      <c r="F518" s="14">
        <v>69990.0</v>
      </c>
      <c r="G518" s="15">
        <f t="shared" ref="G518:H518" si="1496">E518/94</f>
        <v>833.9234043</v>
      </c>
      <c r="H518" s="15">
        <f t="shared" si="1496"/>
        <v>744.5744681</v>
      </c>
      <c r="I518" s="16">
        <f t="shared" ref="I518:J518" si="1497">E518/24</f>
        <v>3266.2</v>
      </c>
      <c r="J518" s="16">
        <f t="shared" si="1497"/>
        <v>2916.25</v>
      </c>
      <c r="K518" s="16">
        <f t="shared" si="1394"/>
        <v>627.1104</v>
      </c>
      <c r="L518" s="16">
        <f t="shared" si="1452"/>
        <v>559.92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ht="15.75" customHeight="1">
      <c r="A519" s="1"/>
      <c r="B519" s="1" t="s">
        <v>970</v>
      </c>
      <c r="C519" s="19" t="s">
        <v>971</v>
      </c>
      <c r="D519" s="12">
        <v>0.0</v>
      </c>
      <c r="E519" s="18">
        <f t="shared" si="1484"/>
        <v>80628.8</v>
      </c>
      <c r="F519" s="14">
        <v>71990.0</v>
      </c>
      <c r="G519" s="15">
        <f t="shared" ref="G519:H519" si="1498">E519/94</f>
        <v>857.7531915</v>
      </c>
      <c r="H519" s="15">
        <f t="shared" si="1498"/>
        <v>765.8510638</v>
      </c>
      <c r="I519" s="16">
        <f t="shared" ref="I519:J519" si="1499">E519/24</f>
        <v>3359.533333</v>
      </c>
      <c r="J519" s="16">
        <f t="shared" si="1499"/>
        <v>2999.583333</v>
      </c>
      <c r="K519" s="16">
        <f t="shared" si="1394"/>
        <v>645.0304</v>
      </c>
      <c r="L519" s="16">
        <f t="shared" si="1452"/>
        <v>575.92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ht="15.75" customHeight="1">
      <c r="A520" s="1"/>
      <c r="B520" s="1" t="s">
        <v>972</v>
      </c>
      <c r="C520" s="19" t="s">
        <v>973</v>
      </c>
      <c r="D520" s="12">
        <v>0.0</v>
      </c>
      <c r="E520" s="18" t="str">
        <f t="shared" si="1484"/>
        <v>#REF!</v>
      </c>
      <c r="F520" s="14" t="str">
        <f t="shared" ref="F520:F521" si="1502">E520-(E520*7%)</f>
        <v>#REF!</v>
      </c>
      <c r="G520" s="15" t="str">
        <f t="shared" ref="G520:H520" si="1500">E520/94</f>
        <v>#REF!</v>
      </c>
      <c r="H520" s="15" t="str">
        <f t="shared" si="1500"/>
        <v>#REF!</v>
      </c>
      <c r="I520" s="16" t="str">
        <f t="shared" ref="I520:J520" si="1501">E520/24</f>
        <v>#REF!</v>
      </c>
      <c r="J520" s="16" t="str">
        <f t="shared" si="1501"/>
        <v>#REF!</v>
      </c>
      <c r="K520" s="16" t="str">
        <f t="shared" si="1394"/>
        <v>#REF!</v>
      </c>
      <c r="L520" s="16" t="str">
        <f t="shared" si="1452"/>
        <v>#REF!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ht="15.75" customHeight="1">
      <c r="A521" s="1"/>
      <c r="B521" s="1" t="s">
        <v>974</v>
      </c>
      <c r="C521" s="19" t="s">
        <v>975</v>
      </c>
      <c r="D521" s="12">
        <v>0.0</v>
      </c>
      <c r="E521" s="18" t="str">
        <f t="shared" si="1484"/>
        <v>#REF!</v>
      </c>
      <c r="F521" s="14" t="str">
        <f t="shared" si="1502"/>
        <v>#REF!</v>
      </c>
      <c r="G521" s="15" t="str">
        <f t="shared" ref="G521:H521" si="1503">E521/94</f>
        <v>#REF!</v>
      </c>
      <c r="H521" s="15" t="str">
        <f t="shared" si="1503"/>
        <v>#REF!</v>
      </c>
      <c r="I521" s="16" t="str">
        <f t="shared" ref="I521:J521" si="1504">E521/24</f>
        <v>#REF!</v>
      </c>
      <c r="J521" s="16" t="str">
        <f t="shared" si="1504"/>
        <v>#REF!</v>
      </c>
      <c r="K521" s="16" t="str">
        <f t="shared" si="1394"/>
        <v>#REF!</v>
      </c>
      <c r="L521" s="16" t="str">
        <f t="shared" si="1452"/>
        <v>#REF!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ht="15.0" customHeight="1">
      <c r="A522" s="1" t="s">
        <v>976</v>
      </c>
      <c r="B522" s="1" t="s">
        <v>977</v>
      </c>
      <c r="C522" s="17" t="s">
        <v>978</v>
      </c>
      <c r="D522" s="12">
        <v>8.0</v>
      </c>
      <c r="E522" s="18">
        <f t="shared" si="1484"/>
        <v>1556.8</v>
      </c>
      <c r="F522" s="14">
        <v>1390.0</v>
      </c>
      <c r="G522" s="15">
        <f t="shared" ref="G522:H522" si="1505">E522/94</f>
        <v>16.56170213</v>
      </c>
      <c r="H522" s="15">
        <f t="shared" si="1505"/>
        <v>14.78723404</v>
      </c>
      <c r="I522" s="16">
        <f t="shared" ref="I522:J522" si="1506">E522/24</f>
        <v>64.86666667</v>
      </c>
      <c r="J522" s="16">
        <f t="shared" si="1506"/>
        <v>57.91666667</v>
      </c>
      <c r="K522" s="16">
        <f t="shared" si="1394"/>
        <v>12.4544</v>
      </c>
      <c r="L522" s="16">
        <f t="shared" si="1452"/>
        <v>11.12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ht="15.75" customHeight="1">
      <c r="A523" s="1"/>
      <c r="B523" s="1" t="s">
        <v>979</v>
      </c>
      <c r="C523" s="17" t="s">
        <v>980</v>
      </c>
      <c r="D523" s="12">
        <v>6.0</v>
      </c>
      <c r="E523" s="18">
        <f t="shared" si="1484"/>
        <v>1892.8</v>
      </c>
      <c r="F523" s="14">
        <v>1690.0</v>
      </c>
      <c r="G523" s="15">
        <f t="shared" ref="G523:H523" si="1507">E523/94</f>
        <v>20.13617021</v>
      </c>
      <c r="H523" s="15">
        <f t="shared" si="1507"/>
        <v>17.9787234</v>
      </c>
      <c r="I523" s="16">
        <f t="shared" ref="I523:J523" si="1508">E523/24</f>
        <v>78.86666667</v>
      </c>
      <c r="J523" s="16">
        <f t="shared" si="1508"/>
        <v>70.41666667</v>
      </c>
      <c r="K523" s="16">
        <f t="shared" si="1394"/>
        <v>15.1424</v>
      </c>
      <c r="L523" s="16">
        <f t="shared" si="1452"/>
        <v>13.52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ht="15.75" customHeight="1">
      <c r="A524" s="1"/>
      <c r="B524" s="1" t="s">
        <v>981</v>
      </c>
      <c r="C524" s="17" t="s">
        <v>982</v>
      </c>
      <c r="D524" s="12">
        <v>1.0</v>
      </c>
      <c r="E524" s="18">
        <f t="shared" si="1484"/>
        <v>2340.8</v>
      </c>
      <c r="F524" s="14">
        <v>2090.0</v>
      </c>
      <c r="G524" s="15">
        <f t="shared" ref="G524:H524" si="1509">E524/94</f>
        <v>24.90212766</v>
      </c>
      <c r="H524" s="15">
        <f t="shared" si="1509"/>
        <v>22.23404255</v>
      </c>
      <c r="I524" s="16">
        <f t="shared" ref="I524:J524" si="1510">E524/24</f>
        <v>97.53333333</v>
      </c>
      <c r="J524" s="16">
        <f t="shared" si="1510"/>
        <v>87.08333333</v>
      </c>
      <c r="K524" s="16">
        <f t="shared" si="1394"/>
        <v>18.7264</v>
      </c>
      <c r="L524" s="16">
        <f t="shared" si="1452"/>
        <v>16.72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ht="15.75" customHeight="1">
      <c r="A525" s="1"/>
      <c r="B525" s="1" t="s">
        <v>983</v>
      </c>
      <c r="C525" s="17" t="s">
        <v>984</v>
      </c>
      <c r="D525" s="12">
        <v>9.0</v>
      </c>
      <c r="E525" s="18">
        <f t="shared" si="1484"/>
        <v>1556.8</v>
      </c>
      <c r="F525" s="14">
        <v>1390.0</v>
      </c>
      <c r="G525" s="15">
        <f t="shared" ref="G525:H525" si="1511">E525/94</f>
        <v>16.56170213</v>
      </c>
      <c r="H525" s="15">
        <f t="shared" si="1511"/>
        <v>14.78723404</v>
      </c>
      <c r="I525" s="16">
        <f t="shared" ref="I525:J525" si="1512">E525/24</f>
        <v>64.86666667</v>
      </c>
      <c r="J525" s="16">
        <f t="shared" si="1512"/>
        <v>57.91666667</v>
      </c>
      <c r="K525" s="16">
        <f t="shared" si="1394"/>
        <v>12.4544</v>
      </c>
      <c r="L525" s="16">
        <f t="shared" si="1452"/>
        <v>11.12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ht="15.75" customHeight="1">
      <c r="A526" s="1"/>
      <c r="B526" s="1" t="s">
        <v>985</v>
      </c>
      <c r="C526" s="17" t="s">
        <v>986</v>
      </c>
      <c r="D526" s="12">
        <v>4.0</v>
      </c>
      <c r="E526" s="18">
        <f t="shared" si="1484"/>
        <v>1892.8</v>
      </c>
      <c r="F526" s="14">
        <v>1690.0</v>
      </c>
      <c r="G526" s="15">
        <f t="shared" ref="G526:H526" si="1513">E526/94</f>
        <v>20.13617021</v>
      </c>
      <c r="H526" s="15">
        <f t="shared" si="1513"/>
        <v>17.9787234</v>
      </c>
      <c r="I526" s="16">
        <f t="shared" ref="I526:J526" si="1514">E526/24</f>
        <v>78.86666667</v>
      </c>
      <c r="J526" s="16">
        <f t="shared" si="1514"/>
        <v>70.41666667</v>
      </c>
      <c r="K526" s="16">
        <f t="shared" si="1394"/>
        <v>15.1424</v>
      </c>
      <c r="L526" s="16">
        <f t="shared" si="1452"/>
        <v>13.52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ht="15.75" customHeight="1">
      <c r="A527" s="1"/>
      <c r="B527" s="1" t="s">
        <v>987</v>
      </c>
      <c r="C527" s="17" t="s">
        <v>988</v>
      </c>
      <c r="D527" s="12">
        <v>5.0</v>
      </c>
      <c r="E527" s="18">
        <f t="shared" si="1484"/>
        <v>2340.8</v>
      </c>
      <c r="F527" s="14">
        <v>2090.0</v>
      </c>
      <c r="G527" s="15">
        <f t="shared" ref="G527:H527" si="1515">E527/94</f>
        <v>24.90212766</v>
      </c>
      <c r="H527" s="15">
        <f t="shared" si="1515"/>
        <v>22.23404255</v>
      </c>
      <c r="I527" s="16">
        <f t="shared" ref="I527:J527" si="1516">E527/24</f>
        <v>97.53333333</v>
      </c>
      <c r="J527" s="16">
        <f t="shared" si="1516"/>
        <v>87.08333333</v>
      </c>
      <c r="K527" s="16">
        <f t="shared" si="1394"/>
        <v>18.7264</v>
      </c>
      <c r="L527" s="16">
        <f t="shared" si="1452"/>
        <v>16.72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ht="15.75" customHeight="1">
      <c r="A528" s="1"/>
      <c r="B528" s="1" t="s">
        <v>989</v>
      </c>
      <c r="C528" s="17" t="s">
        <v>990</v>
      </c>
      <c r="D528" s="12">
        <v>7.0</v>
      </c>
      <c r="E528" s="18">
        <f t="shared" si="1484"/>
        <v>1556.8</v>
      </c>
      <c r="F528" s="14">
        <v>1390.0</v>
      </c>
      <c r="G528" s="15">
        <f t="shared" ref="G528:H528" si="1517">E528/94</f>
        <v>16.56170213</v>
      </c>
      <c r="H528" s="15">
        <f t="shared" si="1517"/>
        <v>14.78723404</v>
      </c>
      <c r="I528" s="16">
        <f t="shared" ref="I528:J528" si="1518">E528/24</f>
        <v>64.86666667</v>
      </c>
      <c r="J528" s="16">
        <f t="shared" si="1518"/>
        <v>57.91666667</v>
      </c>
      <c r="K528" s="16">
        <f t="shared" si="1394"/>
        <v>12.4544</v>
      </c>
      <c r="L528" s="16">
        <f t="shared" si="1452"/>
        <v>11.12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ht="15.75" customHeight="1">
      <c r="A529" s="1"/>
      <c r="B529" s="1" t="s">
        <v>991</v>
      </c>
      <c r="C529" s="17" t="s">
        <v>992</v>
      </c>
      <c r="D529" s="12">
        <v>6.0</v>
      </c>
      <c r="E529" s="18">
        <f t="shared" si="1484"/>
        <v>1892.8</v>
      </c>
      <c r="F529" s="14">
        <v>1690.0</v>
      </c>
      <c r="G529" s="15">
        <f t="shared" ref="G529:H529" si="1519">E529/94</f>
        <v>20.13617021</v>
      </c>
      <c r="H529" s="15">
        <f t="shared" si="1519"/>
        <v>17.9787234</v>
      </c>
      <c r="I529" s="16">
        <f t="shared" ref="I529:J529" si="1520">E529/24</f>
        <v>78.86666667</v>
      </c>
      <c r="J529" s="16">
        <f t="shared" si="1520"/>
        <v>70.41666667</v>
      </c>
      <c r="K529" s="16">
        <f t="shared" si="1394"/>
        <v>15.1424</v>
      </c>
      <c r="L529" s="16">
        <f t="shared" si="1452"/>
        <v>13.52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ht="15.75" customHeight="1">
      <c r="A530" s="1"/>
      <c r="B530" s="1" t="s">
        <v>993</v>
      </c>
      <c r="C530" s="17" t="s">
        <v>994</v>
      </c>
      <c r="D530" s="12">
        <v>4.0</v>
      </c>
      <c r="E530" s="18">
        <f t="shared" si="1484"/>
        <v>2340.8</v>
      </c>
      <c r="F530" s="14">
        <v>2090.0</v>
      </c>
      <c r="G530" s="15">
        <f t="shared" ref="G530:H530" si="1521">E530/94</f>
        <v>24.90212766</v>
      </c>
      <c r="H530" s="15">
        <f t="shared" si="1521"/>
        <v>22.23404255</v>
      </c>
      <c r="I530" s="16">
        <f t="shared" ref="I530:J530" si="1522">E530/24</f>
        <v>97.53333333</v>
      </c>
      <c r="J530" s="16">
        <f t="shared" si="1522"/>
        <v>87.08333333</v>
      </c>
      <c r="K530" s="16">
        <f t="shared" si="1394"/>
        <v>18.7264</v>
      </c>
      <c r="L530" s="16">
        <f t="shared" si="1452"/>
        <v>16.72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ht="15.75" customHeight="1">
      <c r="A531" s="1"/>
      <c r="B531" s="1" t="s">
        <v>995</v>
      </c>
      <c r="C531" s="17" t="s">
        <v>996</v>
      </c>
      <c r="D531" s="12">
        <v>3.0</v>
      </c>
      <c r="E531" s="18">
        <f t="shared" si="1484"/>
        <v>1556.8</v>
      </c>
      <c r="F531" s="14">
        <v>1390.0</v>
      </c>
      <c r="G531" s="15">
        <f t="shared" ref="G531:H531" si="1523">E531/94</f>
        <v>16.56170213</v>
      </c>
      <c r="H531" s="15">
        <f t="shared" si="1523"/>
        <v>14.78723404</v>
      </c>
      <c r="I531" s="16">
        <f t="shared" ref="I531:J531" si="1524">E531/24</f>
        <v>64.86666667</v>
      </c>
      <c r="J531" s="16">
        <f t="shared" si="1524"/>
        <v>57.91666667</v>
      </c>
      <c r="K531" s="16">
        <f t="shared" si="1394"/>
        <v>12.4544</v>
      </c>
      <c r="L531" s="16">
        <f t="shared" si="1452"/>
        <v>11.12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ht="15.75" customHeight="1">
      <c r="A532" s="1"/>
      <c r="B532" s="1" t="s">
        <v>997</v>
      </c>
      <c r="C532" s="17" t="s">
        <v>998</v>
      </c>
      <c r="D532" s="12">
        <v>12.0</v>
      </c>
      <c r="E532" s="18">
        <f t="shared" si="1484"/>
        <v>1892.8</v>
      </c>
      <c r="F532" s="14">
        <v>1690.0</v>
      </c>
      <c r="G532" s="15">
        <f t="shared" ref="G532:H532" si="1525">E532/94</f>
        <v>20.13617021</v>
      </c>
      <c r="H532" s="15">
        <f t="shared" si="1525"/>
        <v>17.9787234</v>
      </c>
      <c r="I532" s="16">
        <f t="shared" ref="I532:J532" si="1526">E532/24</f>
        <v>78.86666667</v>
      </c>
      <c r="J532" s="16">
        <f t="shared" si="1526"/>
        <v>70.41666667</v>
      </c>
      <c r="K532" s="16">
        <f t="shared" si="1394"/>
        <v>15.1424</v>
      </c>
      <c r="L532" s="16">
        <f t="shared" si="1452"/>
        <v>13.52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ht="15.75" customHeight="1">
      <c r="A533" s="1"/>
      <c r="B533" s="1" t="s">
        <v>999</v>
      </c>
      <c r="C533" s="17" t="s">
        <v>1000</v>
      </c>
      <c r="D533" s="12">
        <v>1.0</v>
      </c>
      <c r="E533" s="18">
        <f t="shared" si="1484"/>
        <v>2340.8</v>
      </c>
      <c r="F533" s="14">
        <v>2090.0</v>
      </c>
      <c r="G533" s="15">
        <f t="shared" ref="G533:H533" si="1527">E533/94</f>
        <v>24.90212766</v>
      </c>
      <c r="H533" s="15">
        <f t="shared" si="1527"/>
        <v>22.23404255</v>
      </c>
      <c r="I533" s="16">
        <f t="shared" ref="I533:J533" si="1528">E533/24</f>
        <v>97.53333333</v>
      </c>
      <c r="J533" s="16">
        <f t="shared" si="1528"/>
        <v>87.08333333</v>
      </c>
      <c r="K533" s="16">
        <f t="shared" si="1394"/>
        <v>18.7264</v>
      </c>
      <c r="L533" s="16">
        <f t="shared" si="1452"/>
        <v>16.72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ht="15.75" customHeight="1">
      <c r="A534" s="1"/>
      <c r="B534" s="1" t="s">
        <v>1001</v>
      </c>
      <c r="C534" s="17" t="s">
        <v>1002</v>
      </c>
      <c r="D534" s="12">
        <v>1.0</v>
      </c>
      <c r="E534" s="18">
        <f t="shared" si="1484"/>
        <v>1556.8</v>
      </c>
      <c r="F534" s="14">
        <v>1390.0</v>
      </c>
      <c r="G534" s="15">
        <f t="shared" ref="G534:H534" si="1529">E534/94</f>
        <v>16.56170213</v>
      </c>
      <c r="H534" s="15">
        <f t="shared" si="1529"/>
        <v>14.78723404</v>
      </c>
      <c r="I534" s="16">
        <f t="shared" ref="I534:J534" si="1530">E534/24</f>
        <v>64.86666667</v>
      </c>
      <c r="J534" s="16">
        <f t="shared" si="1530"/>
        <v>57.91666667</v>
      </c>
      <c r="K534" s="16">
        <f t="shared" si="1394"/>
        <v>12.4544</v>
      </c>
      <c r="L534" s="16">
        <f t="shared" si="1452"/>
        <v>11.12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ht="15.75" customHeight="1">
      <c r="A535" s="1"/>
      <c r="B535" s="1" t="s">
        <v>1003</v>
      </c>
      <c r="C535" s="17" t="s">
        <v>1004</v>
      </c>
      <c r="D535" s="12">
        <v>1.0</v>
      </c>
      <c r="E535" s="18">
        <f t="shared" si="1484"/>
        <v>1892.8</v>
      </c>
      <c r="F535" s="14">
        <v>1690.0</v>
      </c>
      <c r="G535" s="15">
        <f t="shared" ref="G535:H535" si="1531">E535/94</f>
        <v>20.13617021</v>
      </c>
      <c r="H535" s="15">
        <f t="shared" si="1531"/>
        <v>17.9787234</v>
      </c>
      <c r="I535" s="16">
        <f t="shared" ref="I535:J535" si="1532">E535/24</f>
        <v>78.86666667</v>
      </c>
      <c r="J535" s="16">
        <f t="shared" si="1532"/>
        <v>70.41666667</v>
      </c>
      <c r="K535" s="16">
        <f t="shared" si="1394"/>
        <v>15.1424</v>
      </c>
      <c r="L535" s="16">
        <f t="shared" si="1452"/>
        <v>13.52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ht="15.75" customHeight="1">
      <c r="A536" s="1"/>
      <c r="B536" s="1" t="s">
        <v>1005</v>
      </c>
      <c r="C536" s="17" t="s">
        <v>1006</v>
      </c>
      <c r="D536" s="12">
        <v>1.0</v>
      </c>
      <c r="E536" s="18">
        <f t="shared" si="1484"/>
        <v>2340.8</v>
      </c>
      <c r="F536" s="14">
        <v>2090.0</v>
      </c>
      <c r="G536" s="15">
        <f t="shared" ref="G536:H536" si="1533">E536/94</f>
        <v>24.90212766</v>
      </c>
      <c r="H536" s="15">
        <f t="shared" si="1533"/>
        <v>22.23404255</v>
      </c>
      <c r="I536" s="16">
        <f t="shared" ref="I536:J536" si="1534">E536/24</f>
        <v>97.53333333</v>
      </c>
      <c r="J536" s="16">
        <f t="shared" si="1534"/>
        <v>87.08333333</v>
      </c>
      <c r="K536" s="16">
        <f t="shared" si="1394"/>
        <v>18.7264</v>
      </c>
      <c r="L536" s="16">
        <f t="shared" si="1452"/>
        <v>16.72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ht="15.75" customHeight="1">
      <c r="A537" s="1"/>
      <c r="B537" s="1" t="s">
        <v>1007</v>
      </c>
      <c r="C537" s="17" t="s">
        <v>1008</v>
      </c>
      <c r="D537" s="12">
        <v>0.0</v>
      </c>
      <c r="E537" s="18">
        <f t="shared" si="1484"/>
        <v>1058.4</v>
      </c>
      <c r="F537" s="1">
        <v>945.0</v>
      </c>
      <c r="G537" s="15">
        <f t="shared" ref="G537:H537" si="1535">E537/94</f>
        <v>11.25957447</v>
      </c>
      <c r="H537" s="15">
        <f t="shared" si="1535"/>
        <v>10.05319149</v>
      </c>
      <c r="I537" s="16">
        <f t="shared" ref="I537:J537" si="1536">E537/24</f>
        <v>44.1</v>
      </c>
      <c r="J537" s="16">
        <f t="shared" si="1536"/>
        <v>39.375</v>
      </c>
      <c r="K537" s="16">
        <f t="shared" si="1394"/>
        <v>8.4672</v>
      </c>
      <c r="L537" s="16">
        <f t="shared" si="1452"/>
        <v>7.56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ht="15.75" customHeight="1">
      <c r="A538" s="1"/>
      <c r="B538" s="1" t="s">
        <v>1009</v>
      </c>
      <c r="C538" s="17" t="s">
        <v>1010</v>
      </c>
      <c r="D538" s="12">
        <v>12.0</v>
      </c>
      <c r="E538" s="18">
        <f t="shared" si="1484"/>
        <v>1540</v>
      </c>
      <c r="F538" s="1">
        <v>1375.0</v>
      </c>
      <c r="G538" s="15">
        <f t="shared" ref="G538:H538" si="1537">E538/94</f>
        <v>16.38297872</v>
      </c>
      <c r="H538" s="15">
        <f t="shared" si="1537"/>
        <v>14.62765957</v>
      </c>
      <c r="I538" s="16">
        <f t="shared" ref="I538:J538" si="1538">E538/24</f>
        <v>64.16666667</v>
      </c>
      <c r="J538" s="16">
        <f t="shared" si="1538"/>
        <v>57.29166667</v>
      </c>
      <c r="K538" s="16">
        <f t="shared" si="1394"/>
        <v>12.32</v>
      </c>
      <c r="L538" s="16">
        <f t="shared" si="1452"/>
        <v>11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ht="15.75" customHeight="1">
      <c r="A539" s="1"/>
      <c r="B539" s="1" t="s">
        <v>1011</v>
      </c>
      <c r="C539" s="17" t="s">
        <v>1012</v>
      </c>
      <c r="D539" s="12">
        <v>12.0</v>
      </c>
      <c r="E539" s="18">
        <f t="shared" si="1484"/>
        <v>2626.4</v>
      </c>
      <c r="F539" s="1">
        <v>2345.0</v>
      </c>
      <c r="G539" s="15">
        <f t="shared" ref="G539:H539" si="1539">E539/94</f>
        <v>27.94042553</v>
      </c>
      <c r="H539" s="15">
        <f t="shared" si="1539"/>
        <v>24.94680851</v>
      </c>
      <c r="I539" s="16">
        <f t="shared" ref="I539:J539" si="1540">E539/24</f>
        <v>109.4333333</v>
      </c>
      <c r="J539" s="16">
        <f t="shared" si="1540"/>
        <v>97.70833333</v>
      </c>
      <c r="K539" s="16">
        <f t="shared" si="1394"/>
        <v>21.0112</v>
      </c>
      <c r="L539" s="16">
        <f t="shared" si="1452"/>
        <v>18.76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ht="15.75" customHeight="1">
      <c r="A540" s="1"/>
      <c r="B540" s="17" t="s">
        <v>1013</v>
      </c>
      <c r="C540" s="17" t="s">
        <v>1014</v>
      </c>
      <c r="D540" s="12">
        <v>1.0</v>
      </c>
      <c r="E540" s="18"/>
      <c r="F540" s="1"/>
      <c r="G540" s="15"/>
      <c r="H540" s="15"/>
      <c r="I540" s="16"/>
      <c r="J540" s="16"/>
      <c r="K540" s="16"/>
      <c r="L540" s="1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ht="15.75" customHeight="1">
      <c r="A541" s="35" t="s">
        <v>1015</v>
      </c>
      <c r="B541" s="35" t="s">
        <v>1016</v>
      </c>
      <c r="C541" s="27" t="s">
        <v>1017</v>
      </c>
      <c r="D541" s="36">
        <v>0.0</v>
      </c>
      <c r="E541" s="37">
        <f t="shared" ref="E541:E546" si="1544">F541+(F541*12%)</f>
        <v>1058.4</v>
      </c>
      <c r="F541" s="35">
        <v>945.0</v>
      </c>
      <c r="G541" s="38">
        <f t="shared" ref="G541:H541" si="1541">E541/94</f>
        <v>11.25957447</v>
      </c>
      <c r="H541" s="38">
        <f t="shared" si="1541"/>
        <v>10.05319149</v>
      </c>
      <c r="I541" s="39">
        <f t="shared" ref="I541:J541" si="1542">E541/24</f>
        <v>44.1</v>
      </c>
      <c r="J541" s="39">
        <f t="shared" si="1542"/>
        <v>39.375</v>
      </c>
      <c r="K541" s="39">
        <f t="shared" ref="K541:L541" si="1543">E541/125</f>
        <v>8.4672</v>
      </c>
      <c r="L541" s="39">
        <f t="shared" si="1543"/>
        <v>7.56</v>
      </c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</row>
    <row r="542" ht="15.75" customHeight="1">
      <c r="A542" s="35"/>
      <c r="B542" s="35" t="s">
        <v>1018</v>
      </c>
      <c r="C542" s="27" t="s">
        <v>1019</v>
      </c>
      <c r="D542" s="36">
        <v>0.0</v>
      </c>
      <c r="E542" s="37">
        <f t="shared" si="1544"/>
        <v>1540</v>
      </c>
      <c r="F542" s="35">
        <v>1375.0</v>
      </c>
      <c r="G542" s="38">
        <f t="shared" ref="G542:H542" si="1545">E542/94</f>
        <v>16.38297872</v>
      </c>
      <c r="H542" s="38">
        <f t="shared" si="1545"/>
        <v>14.62765957</v>
      </c>
      <c r="I542" s="39">
        <f t="shared" ref="I542:J542" si="1546">E542/24</f>
        <v>64.16666667</v>
      </c>
      <c r="J542" s="39">
        <f t="shared" si="1546"/>
        <v>57.29166667</v>
      </c>
      <c r="K542" s="39">
        <f t="shared" ref="K542:L542" si="1547">E542/125</f>
        <v>12.32</v>
      </c>
      <c r="L542" s="39">
        <f t="shared" si="1547"/>
        <v>11</v>
      </c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</row>
    <row r="543" ht="15.0" customHeight="1">
      <c r="A543" s="40"/>
      <c r="B543" s="35" t="s">
        <v>1020</v>
      </c>
      <c r="C543" s="27" t="s">
        <v>1021</v>
      </c>
      <c r="D543" s="36">
        <v>0.0</v>
      </c>
      <c r="E543" s="37">
        <f t="shared" si="1544"/>
        <v>2626.4</v>
      </c>
      <c r="F543" s="35">
        <v>2345.0</v>
      </c>
      <c r="G543" s="38">
        <f t="shared" ref="G543:H543" si="1548">E543/94</f>
        <v>27.94042553</v>
      </c>
      <c r="H543" s="38">
        <f t="shared" si="1548"/>
        <v>24.94680851</v>
      </c>
      <c r="I543" s="39">
        <f t="shared" ref="I543:J543" si="1549">E543/24</f>
        <v>109.4333333</v>
      </c>
      <c r="J543" s="39">
        <f t="shared" si="1549"/>
        <v>97.70833333</v>
      </c>
      <c r="K543" s="39">
        <f t="shared" ref="K543:L543" si="1550">E543/125</f>
        <v>21.0112</v>
      </c>
      <c r="L543" s="39">
        <f t="shared" si="1550"/>
        <v>18.76</v>
      </c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</row>
    <row r="544" ht="15.75" customHeight="1">
      <c r="A544" s="35"/>
      <c r="B544" s="35" t="s">
        <v>1022</v>
      </c>
      <c r="C544" s="27" t="s">
        <v>1023</v>
      </c>
      <c r="D544" s="36">
        <v>0.0</v>
      </c>
      <c r="E544" s="37">
        <f t="shared" si="1544"/>
        <v>1058.4</v>
      </c>
      <c r="F544" s="35">
        <v>945.0</v>
      </c>
      <c r="G544" s="38">
        <f t="shared" ref="G544:H544" si="1551">E544/94</f>
        <v>11.25957447</v>
      </c>
      <c r="H544" s="38">
        <f t="shared" si="1551"/>
        <v>10.05319149</v>
      </c>
      <c r="I544" s="39">
        <f t="shared" ref="I544:J544" si="1552">E544/24</f>
        <v>44.1</v>
      </c>
      <c r="J544" s="39">
        <f t="shared" si="1552"/>
        <v>39.375</v>
      </c>
      <c r="K544" s="39">
        <f t="shared" ref="K544:L544" si="1553">E544/125</f>
        <v>8.4672</v>
      </c>
      <c r="L544" s="39">
        <f t="shared" si="1553"/>
        <v>7.56</v>
      </c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</row>
    <row r="545" ht="15.75" customHeight="1">
      <c r="A545" s="35"/>
      <c r="B545" s="35" t="s">
        <v>1024</v>
      </c>
      <c r="C545" s="27" t="s">
        <v>1025</v>
      </c>
      <c r="D545" s="36">
        <v>0.0</v>
      </c>
      <c r="E545" s="37">
        <f t="shared" si="1544"/>
        <v>1540</v>
      </c>
      <c r="F545" s="35">
        <v>1375.0</v>
      </c>
      <c r="G545" s="38">
        <f t="shared" ref="G545:H545" si="1554">E545/94</f>
        <v>16.38297872</v>
      </c>
      <c r="H545" s="38">
        <f t="shared" si="1554"/>
        <v>14.62765957</v>
      </c>
      <c r="I545" s="39">
        <f t="shared" ref="I545:J545" si="1555">E545/24</f>
        <v>64.16666667</v>
      </c>
      <c r="J545" s="39">
        <f t="shared" si="1555"/>
        <v>57.29166667</v>
      </c>
      <c r="K545" s="39">
        <f t="shared" ref="K545:L545" si="1556">E545/125</f>
        <v>12.32</v>
      </c>
      <c r="L545" s="39">
        <f t="shared" si="1556"/>
        <v>11</v>
      </c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</row>
    <row r="546" ht="15.75" customHeight="1">
      <c r="A546" s="35"/>
      <c r="B546" s="35" t="s">
        <v>1026</v>
      </c>
      <c r="C546" s="27" t="s">
        <v>1027</v>
      </c>
      <c r="D546" s="36">
        <v>0.0</v>
      </c>
      <c r="E546" s="37">
        <f t="shared" si="1544"/>
        <v>2626.4</v>
      </c>
      <c r="F546" s="35">
        <v>2345.0</v>
      </c>
      <c r="G546" s="38">
        <f t="shared" ref="G546:H546" si="1557">E546/94</f>
        <v>27.94042553</v>
      </c>
      <c r="H546" s="38">
        <f t="shared" si="1557"/>
        <v>24.94680851</v>
      </c>
      <c r="I546" s="39">
        <f t="shared" ref="I546:J546" si="1558">E546/24</f>
        <v>109.4333333</v>
      </c>
      <c r="J546" s="39">
        <f t="shared" si="1558"/>
        <v>97.70833333</v>
      </c>
      <c r="K546" s="39">
        <f t="shared" ref="K546:L546" si="1559">E546/125</f>
        <v>21.0112</v>
      </c>
      <c r="L546" s="39">
        <f t="shared" si="1559"/>
        <v>18.76</v>
      </c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</row>
    <row r="547" ht="15.75" customHeight="1">
      <c r="A547" s="35"/>
      <c r="B547" s="27" t="s">
        <v>1028</v>
      </c>
      <c r="C547" s="27" t="s">
        <v>1029</v>
      </c>
      <c r="D547" s="36">
        <v>0.0</v>
      </c>
      <c r="E547" s="37"/>
      <c r="F547" s="35"/>
      <c r="G547" s="38"/>
      <c r="H547" s="38"/>
      <c r="I547" s="39"/>
      <c r="J547" s="39"/>
      <c r="K547" s="39"/>
      <c r="L547" s="39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</row>
    <row r="548" ht="15.75" customHeight="1">
      <c r="A548" s="35"/>
      <c r="B548" s="35" t="s">
        <v>1030</v>
      </c>
      <c r="C548" s="27" t="s">
        <v>1031</v>
      </c>
      <c r="D548" s="36">
        <v>0.0</v>
      </c>
      <c r="E548" s="37">
        <f t="shared" ref="E548:E571" si="1563">F548+(F548*12%)</f>
        <v>1058.4</v>
      </c>
      <c r="F548" s="35">
        <v>945.0</v>
      </c>
      <c r="G548" s="38">
        <f t="shared" ref="G548:H548" si="1560">E548/94</f>
        <v>11.25957447</v>
      </c>
      <c r="H548" s="38">
        <f t="shared" si="1560"/>
        <v>10.05319149</v>
      </c>
      <c r="I548" s="39">
        <f t="shared" ref="I548:J548" si="1561">E548/24</f>
        <v>44.1</v>
      </c>
      <c r="J548" s="39">
        <f t="shared" si="1561"/>
        <v>39.375</v>
      </c>
      <c r="K548" s="39">
        <f t="shared" ref="K548:L548" si="1562">E548/125</f>
        <v>8.4672</v>
      </c>
      <c r="L548" s="39">
        <f t="shared" si="1562"/>
        <v>7.56</v>
      </c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</row>
    <row r="549" ht="15.75" customHeight="1">
      <c r="A549" s="35"/>
      <c r="B549" s="35" t="s">
        <v>1032</v>
      </c>
      <c r="C549" s="27" t="s">
        <v>1033</v>
      </c>
      <c r="D549" s="36">
        <v>0.0</v>
      </c>
      <c r="E549" s="37">
        <f t="shared" si="1563"/>
        <v>1540</v>
      </c>
      <c r="F549" s="35">
        <v>1375.0</v>
      </c>
      <c r="G549" s="38">
        <f t="shared" ref="G549:H549" si="1564">E549/94</f>
        <v>16.38297872</v>
      </c>
      <c r="H549" s="38">
        <f t="shared" si="1564"/>
        <v>14.62765957</v>
      </c>
      <c r="I549" s="39">
        <f t="shared" ref="I549:J549" si="1565">E549/24</f>
        <v>64.16666667</v>
      </c>
      <c r="J549" s="39">
        <f t="shared" si="1565"/>
        <v>57.29166667</v>
      </c>
      <c r="K549" s="39">
        <f t="shared" ref="K549:L549" si="1566">E549/125</f>
        <v>12.32</v>
      </c>
      <c r="L549" s="39">
        <f t="shared" si="1566"/>
        <v>11</v>
      </c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</row>
    <row r="550" ht="15.75" customHeight="1">
      <c r="A550" s="35"/>
      <c r="B550" s="35" t="s">
        <v>1034</v>
      </c>
      <c r="C550" s="27" t="s">
        <v>1035</v>
      </c>
      <c r="D550" s="36">
        <v>0.0</v>
      </c>
      <c r="E550" s="37">
        <f t="shared" si="1563"/>
        <v>2626.4</v>
      </c>
      <c r="F550" s="35">
        <v>2345.0</v>
      </c>
      <c r="G550" s="38">
        <f t="shared" ref="G550:H550" si="1567">E550/94</f>
        <v>27.94042553</v>
      </c>
      <c r="H550" s="38">
        <f t="shared" si="1567"/>
        <v>24.94680851</v>
      </c>
      <c r="I550" s="39">
        <f t="shared" ref="I550:J550" si="1568">E550/24</f>
        <v>109.4333333</v>
      </c>
      <c r="J550" s="39">
        <f t="shared" si="1568"/>
        <v>97.70833333</v>
      </c>
      <c r="K550" s="39">
        <f t="shared" ref="K550:L550" si="1569">E550/125</f>
        <v>21.0112</v>
      </c>
      <c r="L550" s="39">
        <f t="shared" si="1569"/>
        <v>18.76</v>
      </c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</row>
    <row r="551" ht="15.75" customHeight="1">
      <c r="A551" s="35"/>
      <c r="B551" s="35" t="s">
        <v>1036</v>
      </c>
      <c r="C551" s="27" t="s">
        <v>1037</v>
      </c>
      <c r="D551" s="36">
        <v>0.0</v>
      </c>
      <c r="E551" s="37">
        <f t="shared" si="1563"/>
        <v>1058.4</v>
      </c>
      <c r="F551" s="35">
        <v>945.0</v>
      </c>
      <c r="G551" s="38">
        <f t="shared" ref="G551:H551" si="1570">E551/94</f>
        <v>11.25957447</v>
      </c>
      <c r="H551" s="38">
        <f t="shared" si="1570"/>
        <v>10.05319149</v>
      </c>
      <c r="I551" s="39">
        <f t="shared" ref="I551:J551" si="1571">E551/24</f>
        <v>44.1</v>
      </c>
      <c r="J551" s="39">
        <f t="shared" si="1571"/>
        <v>39.375</v>
      </c>
      <c r="K551" s="39">
        <f t="shared" ref="K551:L551" si="1572">E551/125</f>
        <v>8.4672</v>
      </c>
      <c r="L551" s="39">
        <f t="shared" si="1572"/>
        <v>7.56</v>
      </c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</row>
    <row r="552" ht="15.75" customHeight="1">
      <c r="A552" s="35"/>
      <c r="B552" s="35" t="s">
        <v>1038</v>
      </c>
      <c r="C552" s="27" t="s">
        <v>1039</v>
      </c>
      <c r="D552" s="36">
        <v>0.0</v>
      </c>
      <c r="E552" s="37">
        <f t="shared" si="1563"/>
        <v>1540</v>
      </c>
      <c r="F552" s="35">
        <v>1375.0</v>
      </c>
      <c r="G552" s="38">
        <f t="shared" ref="G552:H552" si="1573">E552/94</f>
        <v>16.38297872</v>
      </c>
      <c r="H552" s="38">
        <f t="shared" si="1573"/>
        <v>14.62765957</v>
      </c>
      <c r="I552" s="39">
        <f t="shared" ref="I552:J552" si="1574">E552/24</f>
        <v>64.16666667</v>
      </c>
      <c r="J552" s="39">
        <f t="shared" si="1574"/>
        <v>57.29166667</v>
      </c>
      <c r="K552" s="39">
        <f t="shared" ref="K552:L552" si="1575">E552/125</f>
        <v>12.32</v>
      </c>
      <c r="L552" s="39">
        <f t="shared" si="1575"/>
        <v>11</v>
      </c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</row>
    <row r="553" ht="15.75" customHeight="1">
      <c r="A553" s="35"/>
      <c r="B553" s="35" t="s">
        <v>1040</v>
      </c>
      <c r="C553" s="27" t="s">
        <v>1041</v>
      </c>
      <c r="D553" s="36">
        <v>0.0</v>
      </c>
      <c r="E553" s="37">
        <f t="shared" si="1563"/>
        <v>2626.4</v>
      </c>
      <c r="F553" s="35">
        <v>2345.0</v>
      </c>
      <c r="G553" s="38">
        <f t="shared" ref="G553:H553" si="1576">E553/94</f>
        <v>27.94042553</v>
      </c>
      <c r="H553" s="38">
        <f t="shared" si="1576"/>
        <v>24.94680851</v>
      </c>
      <c r="I553" s="39">
        <f t="shared" ref="I553:J553" si="1577">E553/24</f>
        <v>109.4333333</v>
      </c>
      <c r="J553" s="39">
        <f t="shared" si="1577"/>
        <v>97.70833333</v>
      </c>
      <c r="K553" s="39">
        <f t="shared" ref="K553:L553" si="1578">E553/125</f>
        <v>21.0112</v>
      </c>
      <c r="L553" s="39">
        <f t="shared" si="1578"/>
        <v>18.76</v>
      </c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</row>
    <row r="554" ht="15.75" customHeight="1">
      <c r="A554" s="35"/>
      <c r="B554" s="35" t="s">
        <v>1007</v>
      </c>
      <c r="C554" s="27" t="s">
        <v>1042</v>
      </c>
      <c r="D554" s="36">
        <v>0.0</v>
      </c>
      <c r="E554" s="37">
        <f t="shared" si="1563"/>
        <v>1058.4</v>
      </c>
      <c r="F554" s="35">
        <v>945.0</v>
      </c>
      <c r="G554" s="38">
        <f t="shared" ref="G554:H554" si="1579">E554/94</f>
        <v>11.25957447</v>
      </c>
      <c r="H554" s="38">
        <f t="shared" si="1579"/>
        <v>10.05319149</v>
      </c>
      <c r="I554" s="39">
        <f t="shared" ref="I554:J554" si="1580">E554/24</f>
        <v>44.1</v>
      </c>
      <c r="J554" s="39">
        <f t="shared" si="1580"/>
        <v>39.375</v>
      </c>
      <c r="K554" s="39">
        <f t="shared" ref="K554:L554" si="1581">E554/125</f>
        <v>8.4672</v>
      </c>
      <c r="L554" s="39">
        <f t="shared" si="1581"/>
        <v>7.56</v>
      </c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</row>
    <row r="555" ht="15.75" customHeight="1">
      <c r="A555" s="35"/>
      <c r="B555" s="35" t="s">
        <v>1009</v>
      </c>
      <c r="C555" s="27" t="s">
        <v>1043</v>
      </c>
      <c r="D555" s="36">
        <v>0.0</v>
      </c>
      <c r="E555" s="37">
        <f t="shared" si="1563"/>
        <v>1540</v>
      </c>
      <c r="F555" s="35">
        <v>1375.0</v>
      </c>
      <c r="G555" s="38">
        <f t="shared" ref="G555:H555" si="1582">E555/94</f>
        <v>16.38297872</v>
      </c>
      <c r="H555" s="38">
        <f t="shared" si="1582"/>
        <v>14.62765957</v>
      </c>
      <c r="I555" s="39">
        <f t="shared" ref="I555:J555" si="1583">E555/24</f>
        <v>64.16666667</v>
      </c>
      <c r="J555" s="39">
        <f t="shared" si="1583"/>
        <v>57.29166667</v>
      </c>
      <c r="K555" s="39">
        <f t="shared" ref="K555:L555" si="1584">E555/125</f>
        <v>12.32</v>
      </c>
      <c r="L555" s="39">
        <f t="shared" si="1584"/>
        <v>11</v>
      </c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</row>
    <row r="556" ht="15.75" customHeight="1">
      <c r="A556" s="35"/>
      <c r="B556" s="35" t="s">
        <v>1011</v>
      </c>
      <c r="C556" s="27" t="s">
        <v>1044</v>
      </c>
      <c r="D556" s="36">
        <v>0.0</v>
      </c>
      <c r="E556" s="37">
        <f t="shared" si="1563"/>
        <v>2626.4</v>
      </c>
      <c r="F556" s="35">
        <v>2345.0</v>
      </c>
      <c r="G556" s="38">
        <f t="shared" ref="G556:H556" si="1585">E556/94</f>
        <v>27.94042553</v>
      </c>
      <c r="H556" s="38">
        <f t="shared" si="1585"/>
        <v>24.94680851</v>
      </c>
      <c r="I556" s="39">
        <f t="shared" ref="I556:J556" si="1586">E556/24</f>
        <v>109.4333333</v>
      </c>
      <c r="J556" s="39">
        <f t="shared" si="1586"/>
        <v>97.70833333</v>
      </c>
      <c r="K556" s="39">
        <f t="shared" ref="K556:L556" si="1587">E556/125</f>
        <v>21.0112</v>
      </c>
      <c r="L556" s="39">
        <f t="shared" si="1587"/>
        <v>18.76</v>
      </c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</row>
    <row r="557" ht="15.75" customHeight="1">
      <c r="A557" s="35"/>
      <c r="B557" s="35" t="s">
        <v>1013</v>
      </c>
      <c r="C557" s="27" t="s">
        <v>1045</v>
      </c>
      <c r="D557" s="36">
        <v>0.0</v>
      </c>
      <c r="E557" s="37">
        <f t="shared" si="1563"/>
        <v>0</v>
      </c>
      <c r="F557" s="35"/>
      <c r="G557" s="38"/>
      <c r="H557" s="38"/>
      <c r="I557" s="39"/>
      <c r="J557" s="39"/>
      <c r="K557" s="39"/>
      <c r="L557" s="39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</row>
    <row r="558" ht="15.0" customHeight="1">
      <c r="A558" s="1" t="s">
        <v>1046</v>
      </c>
      <c r="B558" s="1" t="s">
        <v>1047</v>
      </c>
      <c r="C558" s="17" t="s">
        <v>1048</v>
      </c>
      <c r="D558" s="12">
        <v>5.0</v>
      </c>
      <c r="E558" s="18">
        <f t="shared" si="1563"/>
        <v>1780.8</v>
      </c>
      <c r="F558" s="14">
        <v>1590.0</v>
      </c>
      <c r="G558" s="15">
        <f t="shared" ref="G558:H558" si="1588">E558/94</f>
        <v>18.94468085</v>
      </c>
      <c r="H558" s="15">
        <f t="shared" si="1588"/>
        <v>16.91489362</v>
      </c>
      <c r="I558" s="16">
        <f t="shared" ref="I558:J558" si="1589">E558/24</f>
        <v>74.2</v>
      </c>
      <c r="J558" s="16">
        <f t="shared" si="1589"/>
        <v>66.25</v>
      </c>
      <c r="K558" s="16">
        <f t="shared" ref="K558:L558" si="1590">E558/125</f>
        <v>14.2464</v>
      </c>
      <c r="L558" s="16">
        <f t="shared" si="1590"/>
        <v>12.72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ht="15.75" customHeight="1">
      <c r="A559" s="1"/>
      <c r="B559" s="1" t="s">
        <v>1049</v>
      </c>
      <c r="C559" s="17" t="s">
        <v>1050</v>
      </c>
      <c r="D559" s="12">
        <v>1.0</v>
      </c>
      <c r="E559" s="18">
        <f t="shared" si="1563"/>
        <v>2116.8</v>
      </c>
      <c r="F559" s="14">
        <v>1890.0</v>
      </c>
      <c r="G559" s="15">
        <f t="shared" ref="G559:H559" si="1591">E559/94</f>
        <v>22.51914894</v>
      </c>
      <c r="H559" s="15">
        <f t="shared" si="1591"/>
        <v>20.10638298</v>
      </c>
      <c r="I559" s="16">
        <f t="shared" ref="I559:J559" si="1592">E559/24</f>
        <v>88.2</v>
      </c>
      <c r="J559" s="16">
        <f t="shared" si="1592"/>
        <v>78.75</v>
      </c>
      <c r="K559" s="16">
        <f t="shared" ref="K559:L559" si="1593">E559/125</f>
        <v>16.9344</v>
      </c>
      <c r="L559" s="16">
        <f t="shared" si="1593"/>
        <v>15.12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ht="15.75" customHeight="1">
      <c r="A560" s="1"/>
      <c r="B560" s="1" t="s">
        <v>1051</v>
      </c>
      <c r="C560" s="17" t="s">
        <v>1052</v>
      </c>
      <c r="D560" s="12">
        <v>3.0</v>
      </c>
      <c r="E560" s="18">
        <f t="shared" si="1563"/>
        <v>2564.8</v>
      </c>
      <c r="F560" s="14">
        <v>2290.0</v>
      </c>
      <c r="G560" s="15">
        <f t="shared" ref="G560:H560" si="1594">E560/94</f>
        <v>27.28510638</v>
      </c>
      <c r="H560" s="15">
        <f t="shared" si="1594"/>
        <v>24.36170213</v>
      </c>
      <c r="I560" s="16">
        <f t="shared" ref="I560:J560" si="1595">E560/24</f>
        <v>106.8666667</v>
      </c>
      <c r="J560" s="16">
        <f t="shared" si="1595"/>
        <v>95.41666667</v>
      </c>
      <c r="K560" s="16">
        <f t="shared" ref="K560:L560" si="1596">E560/125</f>
        <v>20.5184</v>
      </c>
      <c r="L560" s="16">
        <f t="shared" si="1596"/>
        <v>18.32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ht="15.75" customHeight="1">
      <c r="A561" s="1"/>
      <c r="B561" s="1" t="s">
        <v>1053</v>
      </c>
      <c r="C561" s="17" t="s">
        <v>1054</v>
      </c>
      <c r="D561" s="2">
        <v>2.0</v>
      </c>
      <c r="E561" s="18">
        <f t="shared" si="1563"/>
        <v>1780.8</v>
      </c>
      <c r="F561" s="14">
        <v>1590.0</v>
      </c>
      <c r="G561" s="15">
        <f t="shared" ref="G561:H561" si="1597">E561/94</f>
        <v>18.94468085</v>
      </c>
      <c r="H561" s="15">
        <f t="shared" si="1597"/>
        <v>16.91489362</v>
      </c>
      <c r="I561" s="16">
        <f t="shared" ref="I561:J561" si="1598">E561/24</f>
        <v>74.2</v>
      </c>
      <c r="J561" s="16">
        <f t="shared" si="1598"/>
        <v>66.25</v>
      </c>
      <c r="K561" s="16">
        <f t="shared" ref="K561:L561" si="1599">E561/125</f>
        <v>14.2464</v>
      </c>
      <c r="L561" s="16">
        <f t="shared" si="1599"/>
        <v>12.72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ht="15.75" customHeight="1">
      <c r="A562" s="1"/>
      <c r="B562" s="1" t="s">
        <v>1055</v>
      </c>
      <c r="C562" s="17" t="s">
        <v>1056</v>
      </c>
      <c r="D562" s="2">
        <v>3.0</v>
      </c>
      <c r="E562" s="18">
        <f t="shared" si="1563"/>
        <v>2116.8</v>
      </c>
      <c r="F562" s="14">
        <v>1890.0</v>
      </c>
      <c r="G562" s="15">
        <f t="shared" ref="G562:H562" si="1600">E562/94</f>
        <v>22.51914894</v>
      </c>
      <c r="H562" s="15">
        <f t="shared" si="1600"/>
        <v>20.10638298</v>
      </c>
      <c r="I562" s="16">
        <f t="shared" ref="I562:J562" si="1601">E562/24</f>
        <v>88.2</v>
      </c>
      <c r="J562" s="16">
        <f t="shared" si="1601"/>
        <v>78.75</v>
      </c>
      <c r="K562" s="16">
        <f t="shared" ref="K562:L562" si="1602">E562/125</f>
        <v>16.9344</v>
      </c>
      <c r="L562" s="16">
        <f t="shared" si="1602"/>
        <v>15.12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ht="15.75" customHeight="1">
      <c r="A563" s="1"/>
      <c r="B563" s="1" t="s">
        <v>1057</v>
      </c>
      <c r="C563" s="17" t="s">
        <v>1058</v>
      </c>
      <c r="D563" s="12">
        <v>0.0</v>
      </c>
      <c r="E563" s="18">
        <f t="shared" si="1563"/>
        <v>2564.8</v>
      </c>
      <c r="F563" s="14">
        <v>2290.0</v>
      </c>
      <c r="G563" s="15">
        <f t="shared" ref="G563:H563" si="1603">E563/94</f>
        <v>27.28510638</v>
      </c>
      <c r="H563" s="15">
        <f t="shared" si="1603"/>
        <v>24.36170213</v>
      </c>
      <c r="I563" s="16">
        <f t="shared" ref="I563:J563" si="1604">E563/24</f>
        <v>106.8666667</v>
      </c>
      <c r="J563" s="16">
        <f t="shared" si="1604"/>
        <v>95.41666667</v>
      </c>
      <c r="K563" s="16">
        <f t="shared" ref="K563:L563" si="1605">E563/125</f>
        <v>20.5184</v>
      </c>
      <c r="L563" s="16">
        <f t="shared" si="1605"/>
        <v>18.32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ht="15.75" customHeight="1">
      <c r="A564" s="1"/>
      <c r="B564" s="1" t="s">
        <v>1059</v>
      </c>
      <c r="C564" s="17" t="s">
        <v>1060</v>
      </c>
      <c r="D564" s="12">
        <v>4.0</v>
      </c>
      <c r="E564" s="18">
        <f t="shared" si="1563"/>
        <v>2070.88</v>
      </c>
      <c r="F564" s="14">
        <v>1849.0</v>
      </c>
      <c r="G564" s="15">
        <f t="shared" ref="G564:H564" si="1606">E564/94</f>
        <v>22.0306383</v>
      </c>
      <c r="H564" s="15">
        <f t="shared" si="1606"/>
        <v>19.67021277</v>
      </c>
      <c r="I564" s="16">
        <f t="shared" ref="I564:J564" si="1607">E564/24</f>
        <v>86.28666667</v>
      </c>
      <c r="J564" s="16">
        <f t="shared" si="1607"/>
        <v>77.04166667</v>
      </c>
      <c r="K564" s="16">
        <f t="shared" ref="K564:L564" si="1608">E564/125</f>
        <v>16.56704</v>
      </c>
      <c r="L564" s="16">
        <f t="shared" si="1608"/>
        <v>14.792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ht="15.75" customHeight="1">
      <c r="A565" s="1"/>
      <c r="B565" s="1" t="s">
        <v>1061</v>
      </c>
      <c r="C565" s="17" t="s">
        <v>1062</v>
      </c>
      <c r="D565" s="12">
        <v>5.0</v>
      </c>
      <c r="E565" s="18">
        <f t="shared" si="1563"/>
        <v>2228.8</v>
      </c>
      <c r="F565" s="14">
        <v>1990.0</v>
      </c>
      <c r="G565" s="15">
        <f t="shared" ref="G565:H565" si="1609">E565/94</f>
        <v>23.7106383</v>
      </c>
      <c r="H565" s="15">
        <f t="shared" si="1609"/>
        <v>21.17021277</v>
      </c>
      <c r="I565" s="16">
        <f t="shared" ref="I565:J565" si="1610">E565/24</f>
        <v>92.86666667</v>
      </c>
      <c r="J565" s="16">
        <f t="shared" si="1610"/>
        <v>82.91666667</v>
      </c>
      <c r="K565" s="16">
        <f t="shared" ref="K565:L565" si="1611">E565/125</f>
        <v>17.8304</v>
      </c>
      <c r="L565" s="16">
        <f t="shared" si="1611"/>
        <v>15.92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ht="15.75" customHeight="1">
      <c r="A566" s="1"/>
      <c r="B566" s="1" t="s">
        <v>1063</v>
      </c>
      <c r="C566" s="17" t="s">
        <v>1064</v>
      </c>
      <c r="D566" s="12">
        <v>5.0</v>
      </c>
      <c r="E566" s="18">
        <f t="shared" si="1563"/>
        <v>2788.8</v>
      </c>
      <c r="F566" s="14">
        <v>2490.0</v>
      </c>
      <c r="G566" s="15">
        <f t="shared" ref="G566:H566" si="1612">E566/94</f>
        <v>29.66808511</v>
      </c>
      <c r="H566" s="15">
        <f t="shared" si="1612"/>
        <v>26.4893617</v>
      </c>
      <c r="I566" s="16">
        <f t="shared" ref="I566:J566" si="1613">E566/24</f>
        <v>116.2</v>
      </c>
      <c r="J566" s="16">
        <f t="shared" si="1613"/>
        <v>103.75</v>
      </c>
      <c r="K566" s="16">
        <f t="shared" ref="K566:L566" si="1614">E566/125</f>
        <v>22.3104</v>
      </c>
      <c r="L566" s="16">
        <f t="shared" si="1614"/>
        <v>19.92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ht="15.75" customHeight="1">
      <c r="A567" s="1"/>
      <c r="B567" s="1" t="s">
        <v>1065</v>
      </c>
      <c r="C567" s="17" t="s">
        <v>1066</v>
      </c>
      <c r="D567" s="12">
        <v>0.0</v>
      </c>
      <c r="E567" s="18">
        <f t="shared" si="1563"/>
        <v>2004.8</v>
      </c>
      <c r="F567" s="14">
        <v>1790.0</v>
      </c>
      <c r="G567" s="15">
        <f t="shared" ref="G567:H567" si="1615">E567/94</f>
        <v>21.32765957</v>
      </c>
      <c r="H567" s="15">
        <f t="shared" si="1615"/>
        <v>19.04255319</v>
      </c>
      <c r="I567" s="16">
        <f t="shared" ref="I567:J567" si="1616">E567/24</f>
        <v>83.53333333</v>
      </c>
      <c r="J567" s="16">
        <f t="shared" si="1616"/>
        <v>74.58333333</v>
      </c>
      <c r="K567" s="16">
        <f t="shared" ref="K567:L567" si="1617">E567/125</f>
        <v>16.0384</v>
      </c>
      <c r="L567" s="16">
        <f t="shared" si="1617"/>
        <v>14.32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ht="15.75" customHeight="1">
      <c r="A568" s="1"/>
      <c r="B568" s="1" t="s">
        <v>1067</v>
      </c>
      <c r="C568" s="17" t="s">
        <v>1068</v>
      </c>
      <c r="D568" s="12">
        <v>0.0</v>
      </c>
      <c r="E568" s="18">
        <f t="shared" si="1563"/>
        <v>2116.8</v>
      </c>
      <c r="F568" s="14">
        <v>1890.0</v>
      </c>
      <c r="G568" s="15">
        <f t="shared" ref="G568:H568" si="1618">E568/94</f>
        <v>22.51914894</v>
      </c>
      <c r="H568" s="15">
        <f t="shared" si="1618"/>
        <v>20.10638298</v>
      </c>
      <c r="I568" s="16">
        <f t="shared" ref="I568:J568" si="1619">E568/24</f>
        <v>88.2</v>
      </c>
      <c r="J568" s="16">
        <f t="shared" si="1619"/>
        <v>78.75</v>
      </c>
      <c r="K568" s="16">
        <f t="shared" ref="K568:L568" si="1620">E568/125</f>
        <v>16.9344</v>
      </c>
      <c r="L568" s="16">
        <f t="shared" si="1620"/>
        <v>15.12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ht="15.75" customHeight="1">
      <c r="A569" s="1"/>
      <c r="B569" s="1" t="s">
        <v>1069</v>
      </c>
      <c r="C569" s="17" t="s">
        <v>1070</v>
      </c>
      <c r="D569" s="12">
        <v>0.0</v>
      </c>
      <c r="E569" s="18" t="str">
        <f t="shared" si="1563"/>
        <v>#REF!</v>
      </c>
      <c r="F569" s="14" t="str">
        <f>E569-(E569*7%)</f>
        <v>#REF!</v>
      </c>
      <c r="G569" s="15" t="str">
        <f t="shared" ref="G569:H569" si="1621">E569/94</f>
        <v>#REF!</v>
      </c>
      <c r="H569" s="15" t="str">
        <f t="shared" si="1621"/>
        <v>#REF!</v>
      </c>
      <c r="I569" s="16" t="str">
        <f t="shared" ref="I569:J569" si="1622">E569/24</f>
        <v>#REF!</v>
      </c>
      <c r="J569" s="16" t="str">
        <f t="shared" si="1622"/>
        <v>#REF!</v>
      </c>
      <c r="K569" s="16" t="str">
        <f t="shared" ref="K569:L569" si="1623">E569/125</f>
        <v>#REF!</v>
      </c>
      <c r="L569" s="16" t="str">
        <f t="shared" si="1623"/>
        <v>#REF!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ht="15.0" customHeight="1">
      <c r="A570" s="1" t="s">
        <v>1071</v>
      </c>
      <c r="B570" s="1" t="s">
        <v>1072</v>
      </c>
      <c r="C570" s="17" t="s">
        <v>1073</v>
      </c>
      <c r="D570" s="12">
        <v>14.0</v>
      </c>
      <c r="E570" s="18">
        <f t="shared" si="1563"/>
        <v>1562.4</v>
      </c>
      <c r="F570" s="14">
        <v>1395.0</v>
      </c>
      <c r="G570" s="15">
        <f t="shared" ref="G570:H570" si="1624">E570/94</f>
        <v>16.6212766</v>
      </c>
      <c r="H570" s="15">
        <f t="shared" si="1624"/>
        <v>14.84042553</v>
      </c>
      <c r="I570" s="16">
        <f t="shared" ref="I570:J570" si="1625">E570/24</f>
        <v>65.1</v>
      </c>
      <c r="J570" s="16">
        <f t="shared" si="1625"/>
        <v>58.125</v>
      </c>
      <c r="K570" s="16">
        <f t="shared" ref="K570:L570" si="1626">E570/125</f>
        <v>12.4992</v>
      </c>
      <c r="L570" s="16">
        <f t="shared" si="1626"/>
        <v>11.16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ht="15.75" customHeight="1">
      <c r="A571" s="1"/>
      <c r="B571" s="1" t="s">
        <v>1074</v>
      </c>
      <c r="C571" s="17" t="s">
        <v>1075</v>
      </c>
      <c r="D571" s="12">
        <v>0.0</v>
      </c>
      <c r="E571" s="18">
        <f t="shared" si="1563"/>
        <v>2682.4</v>
      </c>
      <c r="F571" s="14">
        <v>2395.0</v>
      </c>
      <c r="G571" s="15">
        <f t="shared" ref="G571:H571" si="1627">E571/94</f>
        <v>28.53617021</v>
      </c>
      <c r="H571" s="15">
        <f t="shared" si="1627"/>
        <v>25.4787234</v>
      </c>
      <c r="I571" s="16">
        <f t="shared" ref="I571:J571" si="1628">E571/24</f>
        <v>111.7666667</v>
      </c>
      <c r="J571" s="16">
        <f t="shared" si="1628"/>
        <v>99.79166667</v>
      </c>
      <c r="K571" s="16">
        <f t="shared" ref="K571:L571" si="1629">E571/125</f>
        <v>21.4592</v>
      </c>
      <c r="L571" s="16">
        <f t="shared" si="1629"/>
        <v>19.16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ht="15.75" customHeight="1">
      <c r="A572" s="1"/>
      <c r="B572" s="17" t="s">
        <v>1076</v>
      </c>
      <c r="C572" s="17" t="s">
        <v>1077</v>
      </c>
      <c r="D572" s="12">
        <v>1.0</v>
      </c>
      <c r="E572" s="18"/>
      <c r="F572" s="14"/>
      <c r="G572" s="15"/>
      <c r="H572" s="15"/>
      <c r="I572" s="16"/>
      <c r="J572" s="16"/>
      <c r="K572" s="16"/>
      <c r="L572" s="1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ht="15.75" customHeight="1">
      <c r="A573" s="1" t="s">
        <v>1078</v>
      </c>
      <c r="B573" s="1" t="s">
        <v>1079</v>
      </c>
      <c r="C573" s="17" t="s">
        <v>1080</v>
      </c>
      <c r="D573" s="12">
        <v>10.0</v>
      </c>
      <c r="E573" s="18">
        <f t="shared" ref="E573:E705" si="1633">F573+(F573*12%)</f>
        <v>2900.8</v>
      </c>
      <c r="F573" s="14">
        <v>2590.0</v>
      </c>
      <c r="G573" s="15">
        <f t="shared" ref="G573:H573" si="1630">E573/94</f>
        <v>30.85957447</v>
      </c>
      <c r="H573" s="15">
        <f t="shared" si="1630"/>
        <v>27.55319149</v>
      </c>
      <c r="I573" s="16">
        <f t="shared" ref="I573:J573" si="1631">E573/24</f>
        <v>120.8666667</v>
      </c>
      <c r="J573" s="16">
        <f t="shared" si="1631"/>
        <v>107.9166667</v>
      </c>
      <c r="K573" s="16">
        <f t="shared" ref="K573:L573" si="1632">E573/125</f>
        <v>23.2064</v>
      </c>
      <c r="L573" s="16">
        <f t="shared" si="1632"/>
        <v>20.72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ht="15.0" customHeight="1">
      <c r="A574" s="1" t="s">
        <v>1081</v>
      </c>
      <c r="B574" s="1" t="s">
        <v>1082</v>
      </c>
      <c r="C574" s="1" t="s">
        <v>1083</v>
      </c>
      <c r="D574" s="12">
        <v>2.0</v>
      </c>
      <c r="E574" s="18">
        <f t="shared" si="1633"/>
        <v>1450.4</v>
      </c>
      <c r="F574" s="14">
        <v>1295.0</v>
      </c>
      <c r="G574" s="15">
        <f t="shared" ref="G574:H574" si="1634">E574/94</f>
        <v>15.42978723</v>
      </c>
      <c r="H574" s="15">
        <f t="shared" si="1634"/>
        <v>13.77659574</v>
      </c>
      <c r="I574" s="16">
        <f t="shared" ref="I574:J574" si="1635">E574/24</f>
        <v>60.43333333</v>
      </c>
      <c r="J574" s="16">
        <f t="shared" si="1635"/>
        <v>53.95833333</v>
      </c>
      <c r="K574" s="16">
        <f t="shared" ref="K574:L574" si="1636">E574/125</f>
        <v>11.6032</v>
      </c>
      <c r="L574" s="16">
        <f t="shared" si="1636"/>
        <v>10.36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ht="15.75" customHeight="1">
      <c r="A575" s="1"/>
      <c r="B575" s="1" t="s">
        <v>1084</v>
      </c>
      <c r="C575" s="1" t="s">
        <v>1085</v>
      </c>
      <c r="D575" s="12">
        <v>1.0</v>
      </c>
      <c r="E575" s="18">
        <f t="shared" si="1633"/>
        <v>1674.4</v>
      </c>
      <c r="F575" s="14">
        <v>1495.0</v>
      </c>
      <c r="G575" s="15">
        <f t="shared" ref="G575:H575" si="1637">E575/94</f>
        <v>17.81276596</v>
      </c>
      <c r="H575" s="15">
        <f t="shared" si="1637"/>
        <v>15.90425532</v>
      </c>
      <c r="I575" s="16">
        <f t="shared" ref="I575:J575" si="1638">E575/24</f>
        <v>69.76666667</v>
      </c>
      <c r="J575" s="16">
        <f t="shared" si="1638"/>
        <v>62.29166667</v>
      </c>
      <c r="K575" s="16">
        <f t="shared" ref="K575:L575" si="1639">E575/125</f>
        <v>13.3952</v>
      </c>
      <c r="L575" s="16">
        <f t="shared" si="1639"/>
        <v>11.96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ht="15.0" customHeight="1">
      <c r="A576" s="1" t="s">
        <v>1086</v>
      </c>
      <c r="B576" s="1" t="s">
        <v>1087</v>
      </c>
      <c r="C576" s="17" t="s">
        <v>1088</v>
      </c>
      <c r="D576" s="12">
        <v>0.0</v>
      </c>
      <c r="E576" s="18">
        <f t="shared" si="1633"/>
        <v>7268.8</v>
      </c>
      <c r="F576" s="14">
        <v>6490.0</v>
      </c>
      <c r="G576" s="15">
        <f t="shared" ref="G576:H576" si="1640">E576/94</f>
        <v>77.32765957</v>
      </c>
      <c r="H576" s="15">
        <f t="shared" si="1640"/>
        <v>69.04255319</v>
      </c>
      <c r="I576" s="16">
        <f t="shared" ref="I576:J576" si="1641">E576/24</f>
        <v>302.8666667</v>
      </c>
      <c r="J576" s="16">
        <f t="shared" si="1641"/>
        <v>270.4166667</v>
      </c>
      <c r="K576" s="16">
        <f t="shared" ref="K576:L576" si="1642">E576/125</f>
        <v>58.1504</v>
      </c>
      <c r="L576" s="16">
        <f t="shared" si="1642"/>
        <v>51.92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ht="15.75" customHeight="1">
      <c r="A577" s="1"/>
      <c r="B577" s="1" t="s">
        <v>1089</v>
      </c>
      <c r="C577" s="24" t="s">
        <v>1090</v>
      </c>
      <c r="D577" s="12">
        <v>0.0</v>
      </c>
      <c r="E577" s="18">
        <f t="shared" si="1633"/>
        <v>8948.8</v>
      </c>
      <c r="F577" s="14">
        <v>7990.0</v>
      </c>
      <c r="G577" s="15">
        <f t="shared" ref="G577:H577" si="1643">E577/94</f>
        <v>95.2</v>
      </c>
      <c r="H577" s="15">
        <f t="shared" si="1643"/>
        <v>85</v>
      </c>
      <c r="I577" s="16">
        <f t="shared" ref="I577:J577" si="1644">E577/24</f>
        <v>372.8666667</v>
      </c>
      <c r="J577" s="16">
        <f t="shared" si="1644"/>
        <v>332.9166667</v>
      </c>
      <c r="K577" s="16">
        <f t="shared" ref="K577:L577" si="1645">E577/125</f>
        <v>71.5904</v>
      </c>
      <c r="L577" s="16">
        <f t="shared" si="1645"/>
        <v>63.92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ht="15.75" customHeight="1">
      <c r="A578" s="1"/>
      <c r="B578" s="1" t="s">
        <v>1091</v>
      </c>
      <c r="C578" s="24" t="s">
        <v>1092</v>
      </c>
      <c r="D578" s="12">
        <v>0.0</v>
      </c>
      <c r="E578" s="18">
        <f t="shared" si="1633"/>
        <v>10068.8</v>
      </c>
      <c r="F578" s="14">
        <v>8990.0</v>
      </c>
      <c r="G578" s="15">
        <f t="shared" ref="G578:H578" si="1646">E578/94</f>
        <v>107.1148936</v>
      </c>
      <c r="H578" s="15">
        <f t="shared" si="1646"/>
        <v>95.63829787</v>
      </c>
      <c r="I578" s="16">
        <f t="shared" ref="I578:J578" si="1647">E578/24</f>
        <v>419.5333333</v>
      </c>
      <c r="J578" s="16">
        <f t="shared" si="1647"/>
        <v>374.5833333</v>
      </c>
      <c r="K578" s="16">
        <f t="shared" ref="K578:L578" si="1648">E578/125</f>
        <v>80.5504</v>
      </c>
      <c r="L578" s="16">
        <f t="shared" si="1648"/>
        <v>71.92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ht="15.75" customHeight="1">
      <c r="A579" s="1"/>
      <c r="B579" s="1" t="s">
        <v>1093</v>
      </c>
      <c r="C579" s="17" t="s">
        <v>1094</v>
      </c>
      <c r="D579" s="12">
        <v>0.0</v>
      </c>
      <c r="E579" s="18">
        <f t="shared" si="1633"/>
        <v>10068.8</v>
      </c>
      <c r="F579" s="14">
        <v>8990.0</v>
      </c>
      <c r="G579" s="15">
        <f t="shared" ref="G579:H579" si="1649">E579/94</f>
        <v>107.1148936</v>
      </c>
      <c r="H579" s="15">
        <f t="shared" si="1649"/>
        <v>95.63829787</v>
      </c>
      <c r="I579" s="16">
        <f t="shared" ref="I579:J579" si="1650">E579/24</f>
        <v>419.5333333</v>
      </c>
      <c r="J579" s="16">
        <f t="shared" si="1650"/>
        <v>374.5833333</v>
      </c>
      <c r="K579" s="16">
        <f t="shared" ref="K579:L579" si="1651">E579/125</f>
        <v>80.5504</v>
      </c>
      <c r="L579" s="16">
        <f t="shared" si="1651"/>
        <v>71.92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ht="15.75" customHeight="1">
      <c r="A580" s="1"/>
      <c r="B580" s="1" t="s">
        <v>1095</v>
      </c>
      <c r="C580" s="17" t="s">
        <v>1096</v>
      </c>
      <c r="D580" s="12">
        <v>0.0</v>
      </c>
      <c r="E580" s="18">
        <f t="shared" si="1633"/>
        <v>11188.8</v>
      </c>
      <c r="F580" s="14">
        <v>9990.0</v>
      </c>
      <c r="G580" s="15">
        <f t="shared" ref="G580:H580" si="1652">E580/94</f>
        <v>119.0297872</v>
      </c>
      <c r="H580" s="15">
        <f t="shared" si="1652"/>
        <v>106.2765957</v>
      </c>
      <c r="I580" s="16">
        <f t="shared" ref="I580:J580" si="1653">E580/24</f>
        <v>466.2</v>
      </c>
      <c r="J580" s="16">
        <f t="shared" si="1653"/>
        <v>416.25</v>
      </c>
      <c r="K580" s="16">
        <f t="shared" ref="K580:L580" si="1654">E580/125</f>
        <v>89.5104</v>
      </c>
      <c r="L580" s="16">
        <f t="shared" si="1654"/>
        <v>79.92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ht="15.75" customHeight="1">
      <c r="A581" s="1"/>
      <c r="B581" s="1" t="s">
        <v>1097</v>
      </c>
      <c r="C581" s="17" t="s">
        <v>1098</v>
      </c>
      <c r="D581" s="12">
        <v>0.0</v>
      </c>
      <c r="E581" s="18">
        <f t="shared" si="1633"/>
        <v>13428.8</v>
      </c>
      <c r="F581" s="14">
        <v>11990.0</v>
      </c>
      <c r="G581" s="15">
        <f t="shared" ref="G581:H581" si="1655">E581/94</f>
        <v>142.8595745</v>
      </c>
      <c r="H581" s="15">
        <f t="shared" si="1655"/>
        <v>127.5531915</v>
      </c>
      <c r="I581" s="16">
        <f t="shared" ref="I581:J581" si="1656">E581/24</f>
        <v>559.5333333</v>
      </c>
      <c r="J581" s="16">
        <f t="shared" si="1656"/>
        <v>499.5833333</v>
      </c>
      <c r="K581" s="16">
        <f t="shared" ref="K581:L581" si="1657">E581/125</f>
        <v>107.4304</v>
      </c>
      <c r="L581" s="16">
        <f t="shared" si="1657"/>
        <v>95.92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ht="15.75" customHeight="1">
      <c r="A582" s="1"/>
      <c r="B582" s="1" t="s">
        <v>1099</v>
      </c>
      <c r="C582" s="17" t="s">
        <v>1100</v>
      </c>
      <c r="D582" s="12">
        <v>0.0</v>
      </c>
      <c r="E582" s="18">
        <f t="shared" si="1633"/>
        <v>14548.8</v>
      </c>
      <c r="F582" s="14">
        <v>12990.0</v>
      </c>
      <c r="G582" s="15">
        <f t="shared" ref="G582:H582" si="1658">E582/94</f>
        <v>154.7744681</v>
      </c>
      <c r="H582" s="15">
        <f t="shared" si="1658"/>
        <v>138.1914894</v>
      </c>
      <c r="I582" s="16">
        <f t="shared" ref="I582:J582" si="1659">E582/24</f>
        <v>606.2</v>
      </c>
      <c r="J582" s="16">
        <f t="shared" si="1659"/>
        <v>541.25</v>
      </c>
      <c r="K582" s="16">
        <f t="shared" ref="K582:L582" si="1660">E582/125</f>
        <v>116.3904</v>
      </c>
      <c r="L582" s="16">
        <f t="shared" si="1660"/>
        <v>103.92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ht="15.75" customHeight="1">
      <c r="A583" s="1"/>
      <c r="B583" s="1" t="s">
        <v>1101</v>
      </c>
      <c r="C583" s="24" t="s">
        <v>1102</v>
      </c>
      <c r="D583" s="12">
        <v>0.0</v>
      </c>
      <c r="E583" s="18">
        <f t="shared" si="1633"/>
        <v>22388.8</v>
      </c>
      <c r="F583" s="14">
        <v>19990.0</v>
      </c>
      <c r="G583" s="15">
        <f t="shared" ref="G583:H583" si="1661">E583/94</f>
        <v>238.1787234</v>
      </c>
      <c r="H583" s="15">
        <f t="shared" si="1661"/>
        <v>212.6595745</v>
      </c>
      <c r="I583" s="16">
        <f t="shared" ref="I583:J583" si="1662">E583/24</f>
        <v>932.8666667</v>
      </c>
      <c r="J583" s="16">
        <f t="shared" si="1662"/>
        <v>832.9166667</v>
      </c>
      <c r="K583" s="16">
        <f t="shared" ref="K583:L583" si="1663">E583/125</f>
        <v>179.1104</v>
      </c>
      <c r="L583" s="16">
        <f t="shared" si="1663"/>
        <v>159.92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ht="15.75" customHeight="1">
      <c r="A584" s="1"/>
      <c r="B584" s="1" t="s">
        <v>1103</v>
      </c>
      <c r="C584" s="24" t="s">
        <v>1104</v>
      </c>
      <c r="D584" s="12">
        <v>0.0</v>
      </c>
      <c r="E584" s="18">
        <f t="shared" si="1633"/>
        <v>27988.8</v>
      </c>
      <c r="F584" s="14">
        <v>24990.0</v>
      </c>
      <c r="G584" s="15">
        <f t="shared" ref="G584:H584" si="1664">E584/94</f>
        <v>297.7531915</v>
      </c>
      <c r="H584" s="15">
        <f t="shared" si="1664"/>
        <v>265.8510638</v>
      </c>
      <c r="I584" s="16">
        <f t="shared" ref="I584:J584" si="1665">E584/24</f>
        <v>1166.2</v>
      </c>
      <c r="J584" s="16">
        <f t="shared" si="1665"/>
        <v>1041.25</v>
      </c>
      <c r="K584" s="16">
        <f t="shared" ref="K584:L584" si="1666">E584/125</f>
        <v>223.9104</v>
      </c>
      <c r="L584" s="16">
        <f t="shared" si="1666"/>
        <v>199.92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ht="15.0" customHeight="1">
      <c r="A585" s="1" t="s">
        <v>1105</v>
      </c>
      <c r="B585" s="1" t="s">
        <v>1106</v>
      </c>
      <c r="C585" s="17" t="s">
        <v>1107</v>
      </c>
      <c r="D585" s="12">
        <v>0.0</v>
      </c>
      <c r="E585" s="18">
        <f t="shared" si="1633"/>
        <v>8388.8</v>
      </c>
      <c r="F585" s="14">
        <v>7490.0</v>
      </c>
      <c r="G585" s="15">
        <f t="shared" ref="G585:H585" si="1667">E585/94</f>
        <v>89.24255319</v>
      </c>
      <c r="H585" s="15">
        <f t="shared" si="1667"/>
        <v>79.68085106</v>
      </c>
      <c r="I585" s="16">
        <f t="shared" ref="I585:J585" si="1668">E585/24</f>
        <v>349.5333333</v>
      </c>
      <c r="J585" s="16">
        <f t="shared" si="1668"/>
        <v>312.0833333</v>
      </c>
      <c r="K585" s="16">
        <f t="shared" ref="K585:L585" si="1669">E585/125</f>
        <v>67.1104</v>
      </c>
      <c r="L585" s="16">
        <f t="shared" si="1669"/>
        <v>59.92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ht="15.75" customHeight="1">
      <c r="A586" s="1"/>
      <c r="B586" s="1" t="s">
        <v>1082</v>
      </c>
      <c r="C586" s="17" t="s">
        <v>1108</v>
      </c>
      <c r="D586" s="12">
        <v>0.0</v>
      </c>
      <c r="E586" s="18">
        <f t="shared" si="1633"/>
        <v>10068.8</v>
      </c>
      <c r="F586" s="14">
        <v>8990.0</v>
      </c>
      <c r="G586" s="15">
        <f t="shared" ref="G586:H586" si="1670">E586/94</f>
        <v>107.1148936</v>
      </c>
      <c r="H586" s="15">
        <f t="shared" si="1670"/>
        <v>95.63829787</v>
      </c>
      <c r="I586" s="16">
        <f t="shared" ref="I586:J586" si="1671">E586/24</f>
        <v>419.5333333</v>
      </c>
      <c r="J586" s="16">
        <f t="shared" si="1671"/>
        <v>374.5833333</v>
      </c>
      <c r="K586" s="16">
        <f t="shared" ref="K586:L586" si="1672">E586/125</f>
        <v>80.5504</v>
      </c>
      <c r="L586" s="16">
        <f t="shared" si="1672"/>
        <v>71.92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ht="15.75" customHeight="1">
      <c r="A587" s="1"/>
      <c r="B587" s="1" t="s">
        <v>1084</v>
      </c>
      <c r="C587" s="17" t="s">
        <v>1109</v>
      </c>
      <c r="D587" s="12">
        <v>0.0</v>
      </c>
      <c r="E587" s="18">
        <f t="shared" si="1633"/>
        <v>11188.8</v>
      </c>
      <c r="F587" s="14">
        <v>9990.0</v>
      </c>
      <c r="G587" s="15">
        <f t="shared" ref="G587:H587" si="1673">E587/94</f>
        <v>119.0297872</v>
      </c>
      <c r="H587" s="15">
        <f t="shared" si="1673"/>
        <v>106.2765957</v>
      </c>
      <c r="I587" s="16">
        <f t="shared" ref="I587:J587" si="1674">E587/24</f>
        <v>466.2</v>
      </c>
      <c r="J587" s="16">
        <f t="shared" si="1674"/>
        <v>416.25</v>
      </c>
      <c r="K587" s="16">
        <f t="shared" ref="K587:L587" si="1675">E587/125</f>
        <v>89.5104</v>
      </c>
      <c r="L587" s="16">
        <f t="shared" si="1675"/>
        <v>79.92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ht="15.75" customHeight="1">
      <c r="A588" s="1"/>
      <c r="B588" s="1" t="s">
        <v>1110</v>
      </c>
      <c r="C588" s="17" t="s">
        <v>1111</v>
      </c>
      <c r="D588" s="12">
        <v>0.0</v>
      </c>
      <c r="E588" s="18">
        <f t="shared" si="1633"/>
        <v>13428.8</v>
      </c>
      <c r="F588" s="14">
        <v>11990.0</v>
      </c>
      <c r="G588" s="15">
        <f t="shared" ref="G588:H588" si="1676">E588/94</f>
        <v>142.8595745</v>
      </c>
      <c r="H588" s="15">
        <f t="shared" si="1676"/>
        <v>127.5531915</v>
      </c>
      <c r="I588" s="16">
        <f t="shared" ref="I588:J588" si="1677">E588/24</f>
        <v>559.5333333</v>
      </c>
      <c r="J588" s="16">
        <f t="shared" si="1677"/>
        <v>499.5833333</v>
      </c>
      <c r="K588" s="16">
        <f t="shared" ref="K588:L588" si="1678">E588/125</f>
        <v>107.4304</v>
      </c>
      <c r="L588" s="16">
        <f t="shared" si="1678"/>
        <v>95.92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ht="15.75" customHeight="1">
      <c r="A589" s="1"/>
      <c r="B589" s="1" t="s">
        <v>1112</v>
      </c>
      <c r="C589" s="17" t="s">
        <v>1113</v>
      </c>
      <c r="D589" s="12">
        <v>0.0</v>
      </c>
      <c r="E589" s="18">
        <f t="shared" si="1633"/>
        <v>13428.8</v>
      </c>
      <c r="F589" s="14">
        <v>11990.0</v>
      </c>
      <c r="G589" s="15">
        <f t="shared" ref="G589:H589" si="1679">E589/94</f>
        <v>142.8595745</v>
      </c>
      <c r="H589" s="15">
        <f t="shared" si="1679"/>
        <v>127.5531915</v>
      </c>
      <c r="I589" s="16">
        <f t="shared" ref="I589:J589" si="1680">E589/24</f>
        <v>559.5333333</v>
      </c>
      <c r="J589" s="16">
        <f t="shared" si="1680"/>
        <v>499.5833333</v>
      </c>
      <c r="K589" s="16">
        <f t="shared" ref="K589:L589" si="1681">E589/125</f>
        <v>107.4304</v>
      </c>
      <c r="L589" s="16">
        <f t="shared" si="1681"/>
        <v>95.92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ht="15.75" customHeight="1">
      <c r="A590" s="1"/>
      <c r="B590" s="1" t="s">
        <v>1114</v>
      </c>
      <c r="C590" s="17" t="s">
        <v>1115</v>
      </c>
      <c r="D590" s="12">
        <v>0.0</v>
      </c>
      <c r="E590" s="18">
        <f t="shared" si="1633"/>
        <v>16788.8</v>
      </c>
      <c r="F590" s="14">
        <v>14990.0</v>
      </c>
      <c r="G590" s="15">
        <f t="shared" ref="G590:H590" si="1682">E590/94</f>
        <v>178.6042553</v>
      </c>
      <c r="H590" s="15">
        <f t="shared" si="1682"/>
        <v>159.4680851</v>
      </c>
      <c r="I590" s="16">
        <f t="shared" ref="I590:J590" si="1683">E590/24</f>
        <v>699.5333333</v>
      </c>
      <c r="J590" s="16">
        <f t="shared" si="1683"/>
        <v>624.5833333</v>
      </c>
      <c r="K590" s="16">
        <f t="shared" ref="K590:L590" si="1684">E590/125</f>
        <v>134.3104</v>
      </c>
      <c r="L590" s="16">
        <f t="shared" si="1684"/>
        <v>119.92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ht="15.75" customHeight="1">
      <c r="A591" s="1"/>
      <c r="B591" s="1" t="s">
        <v>1116</v>
      </c>
      <c r="C591" s="17" t="s">
        <v>1117</v>
      </c>
      <c r="D591" s="12">
        <v>0.0</v>
      </c>
      <c r="E591" s="18">
        <f t="shared" si="1633"/>
        <v>19028.8</v>
      </c>
      <c r="F591" s="14">
        <v>16990.0</v>
      </c>
      <c r="G591" s="15">
        <f t="shared" ref="G591:H591" si="1685">E591/94</f>
        <v>202.4340426</v>
      </c>
      <c r="H591" s="15">
        <f t="shared" si="1685"/>
        <v>180.7446809</v>
      </c>
      <c r="I591" s="16">
        <f t="shared" ref="I591:J591" si="1686">E591/24</f>
        <v>792.8666667</v>
      </c>
      <c r="J591" s="16">
        <f t="shared" si="1686"/>
        <v>707.9166667</v>
      </c>
      <c r="K591" s="16">
        <f t="shared" ref="K591:L591" si="1687">E591/125</f>
        <v>152.2304</v>
      </c>
      <c r="L591" s="16">
        <f t="shared" si="1687"/>
        <v>135.92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ht="15.75" customHeight="1">
      <c r="A592" s="1"/>
      <c r="B592" s="1" t="s">
        <v>1118</v>
      </c>
      <c r="C592" s="17" t="s">
        <v>1119</v>
      </c>
      <c r="D592" s="12">
        <v>0.0</v>
      </c>
      <c r="E592" s="18">
        <f t="shared" si="1633"/>
        <v>21268.8</v>
      </c>
      <c r="F592" s="14">
        <v>18990.0</v>
      </c>
      <c r="G592" s="15">
        <f t="shared" ref="G592:H592" si="1688">E592/94</f>
        <v>226.2638298</v>
      </c>
      <c r="H592" s="15">
        <f t="shared" si="1688"/>
        <v>202.0212766</v>
      </c>
      <c r="I592" s="16">
        <f t="shared" ref="I592:J592" si="1689">E592/24</f>
        <v>886.2</v>
      </c>
      <c r="J592" s="16">
        <f t="shared" si="1689"/>
        <v>791.25</v>
      </c>
      <c r="K592" s="16">
        <f t="shared" ref="K592:L592" si="1690">E592/125</f>
        <v>170.1504</v>
      </c>
      <c r="L592" s="16">
        <f t="shared" si="1690"/>
        <v>151.92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ht="15.75" customHeight="1">
      <c r="A593" s="1"/>
      <c r="B593" s="1" t="s">
        <v>1120</v>
      </c>
      <c r="C593" s="17" t="s">
        <v>1121</v>
      </c>
      <c r="D593" s="12">
        <v>0.0</v>
      </c>
      <c r="E593" s="18">
        <f t="shared" si="1633"/>
        <v>22388.8</v>
      </c>
      <c r="F593" s="14">
        <v>19990.0</v>
      </c>
      <c r="G593" s="15">
        <f t="shared" ref="G593:H593" si="1691">E593/94</f>
        <v>238.1787234</v>
      </c>
      <c r="H593" s="15">
        <f t="shared" si="1691"/>
        <v>212.6595745</v>
      </c>
      <c r="I593" s="16">
        <f t="shared" ref="I593:J593" si="1692">E593/24</f>
        <v>932.8666667</v>
      </c>
      <c r="J593" s="16">
        <f t="shared" si="1692"/>
        <v>832.9166667</v>
      </c>
      <c r="K593" s="16">
        <f t="shared" ref="K593:L593" si="1693">E593/125</f>
        <v>179.1104</v>
      </c>
      <c r="L593" s="16">
        <f t="shared" si="1693"/>
        <v>159.92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ht="15.75" customHeight="1">
      <c r="A594" s="1" t="s">
        <v>1122</v>
      </c>
      <c r="B594" s="1"/>
      <c r="C594" s="24" t="s">
        <v>1123</v>
      </c>
      <c r="D594" s="22">
        <v>2.0</v>
      </c>
      <c r="E594" s="18">
        <f t="shared" si="1633"/>
        <v>17348.8</v>
      </c>
      <c r="F594" s="14">
        <v>15490.0</v>
      </c>
      <c r="G594" s="15">
        <f t="shared" ref="G594:H594" si="1694">E594/94</f>
        <v>184.5617021</v>
      </c>
      <c r="H594" s="15">
        <f t="shared" si="1694"/>
        <v>164.787234</v>
      </c>
      <c r="I594" s="16">
        <f t="shared" ref="I594:J594" si="1695">E594/24</f>
        <v>722.8666667</v>
      </c>
      <c r="J594" s="16">
        <f t="shared" si="1695"/>
        <v>645.4166667</v>
      </c>
      <c r="K594" s="16">
        <f t="shared" ref="K594:L594" si="1696">E594/125</f>
        <v>138.7904</v>
      </c>
      <c r="L594" s="16">
        <f t="shared" si="1696"/>
        <v>123.92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ht="15.75" customHeight="1">
      <c r="A595" s="1" t="s">
        <v>1124</v>
      </c>
      <c r="B595" s="1"/>
      <c r="C595" s="24" t="s">
        <v>1125</v>
      </c>
      <c r="D595" s="22">
        <v>2.0</v>
      </c>
      <c r="E595" s="18">
        <f t="shared" si="1633"/>
        <v>12308.8</v>
      </c>
      <c r="F595" s="14">
        <v>10990.0</v>
      </c>
      <c r="G595" s="15">
        <f t="shared" ref="G595:H595" si="1697">E595/94</f>
        <v>130.9446809</v>
      </c>
      <c r="H595" s="15">
        <f t="shared" si="1697"/>
        <v>116.9148936</v>
      </c>
      <c r="I595" s="16">
        <f t="shared" ref="I595:J595" si="1698">E595/24</f>
        <v>512.8666667</v>
      </c>
      <c r="J595" s="16">
        <f t="shared" si="1698"/>
        <v>457.9166667</v>
      </c>
      <c r="K595" s="16">
        <f t="shared" ref="K595:L595" si="1699">E595/125</f>
        <v>98.4704</v>
      </c>
      <c r="L595" s="16">
        <f t="shared" si="1699"/>
        <v>87.92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ht="15.75" customHeight="1">
      <c r="A596" s="1" t="s">
        <v>1126</v>
      </c>
      <c r="B596" s="1"/>
      <c r="C596" s="24" t="s">
        <v>1127</v>
      </c>
      <c r="D596" s="22">
        <v>5.0</v>
      </c>
      <c r="E596" s="18">
        <f t="shared" si="1633"/>
        <v>8948.8</v>
      </c>
      <c r="F596" s="14">
        <v>7990.0</v>
      </c>
      <c r="G596" s="15">
        <f t="shared" ref="G596:H596" si="1700">E596/94</f>
        <v>95.2</v>
      </c>
      <c r="H596" s="15">
        <f t="shared" si="1700"/>
        <v>85</v>
      </c>
      <c r="I596" s="16">
        <f t="shared" ref="I596:J596" si="1701">E596/24</f>
        <v>372.8666667</v>
      </c>
      <c r="J596" s="16">
        <f t="shared" si="1701"/>
        <v>332.9166667</v>
      </c>
      <c r="K596" s="16">
        <f t="shared" ref="K596:L596" si="1702">E596/125</f>
        <v>71.5904</v>
      </c>
      <c r="L596" s="16">
        <f t="shared" si="1702"/>
        <v>63.92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ht="15.75" customHeight="1">
      <c r="A597" s="1" t="s">
        <v>1128</v>
      </c>
      <c r="B597" s="1"/>
      <c r="C597" s="32" t="s">
        <v>1129</v>
      </c>
      <c r="D597" s="22">
        <v>2.0</v>
      </c>
      <c r="E597" s="18">
        <f t="shared" si="1633"/>
        <v>39188.8</v>
      </c>
      <c r="F597" s="14">
        <v>34990.0</v>
      </c>
      <c r="G597" s="15">
        <f t="shared" ref="G597:H597" si="1703">E597/94</f>
        <v>416.9021277</v>
      </c>
      <c r="H597" s="15">
        <f t="shared" si="1703"/>
        <v>372.2340426</v>
      </c>
      <c r="I597" s="16">
        <f t="shared" ref="I597:J597" si="1704">E597/24</f>
        <v>1632.866667</v>
      </c>
      <c r="J597" s="16">
        <f t="shared" si="1704"/>
        <v>1457.916667</v>
      </c>
      <c r="K597" s="16">
        <f t="shared" ref="K597:L597" si="1705">E597/125</f>
        <v>313.5104</v>
      </c>
      <c r="L597" s="16">
        <f t="shared" si="1705"/>
        <v>279.92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ht="15.75" customHeight="1">
      <c r="A598" s="1" t="s">
        <v>1130</v>
      </c>
      <c r="B598" s="1"/>
      <c r="C598" s="32" t="s">
        <v>1131</v>
      </c>
      <c r="D598" s="22">
        <v>2.0</v>
      </c>
      <c r="E598" s="18">
        <f t="shared" si="1633"/>
        <v>44788.8</v>
      </c>
      <c r="F598" s="14">
        <v>39990.0</v>
      </c>
      <c r="G598" s="15">
        <f t="shared" ref="G598:H598" si="1706">E598/94</f>
        <v>476.4765957</v>
      </c>
      <c r="H598" s="15">
        <f t="shared" si="1706"/>
        <v>425.4255319</v>
      </c>
      <c r="I598" s="16">
        <f t="shared" ref="I598:J598" si="1707">E598/24</f>
        <v>1866.2</v>
      </c>
      <c r="J598" s="16">
        <f t="shared" si="1707"/>
        <v>1666.25</v>
      </c>
      <c r="K598" s="16">
        <f t="shared" ref="K598:L598" si="1708">E598/125</f>
        <v>358.3104</v>
      </c>
      <c r="L598" s="16">
        <f t="shared" si="1708"/>
        <v>319.92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ht="15.0" customHeight="1">
      <c r="A599" s="1" t="s">
        <v>1132</v>
      </c>
      <c r="B599" s="1"/>
      <c r="C599" s="19" t="s">
        <v>1133</v>
      </c>
      <c r="D599" s="12">
        <v>0.0</v>
      </c>
      <c r="E599" s="18">
        <f t="shared" si="1633"/>
        <v>0</v>
      </c>
      <c r="F599" s="3"/>
      <c r="G599" s="29"/>
      <c r="H599" s="29"/>
      <c r="I599" s="30"/>
      <c r="J599" s="30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ht="15.75" customHeight="1">
      <c r="A600" s="1" t="s">
        <v>1134</v>
      </c>
      <c r="B600" s="1" t="s">
        <v>1135</v>
      </c>
      <c r="C600" s="19" t="s">
        <v>1136</v>
      </c>
      <c r="D600" s="12">
        <v>4.0</v>
      </c>
      <c r="E600" s="18">
        <f t="shared" si="1633"/>
        <v>67188.8</v>
      </c>
      <c r="F600" s="14">
        <v>59990.0</v>
      </c>
      <c r="G600" s="15">
        <f t="shared" ref="G600:H600" si="1709">E600/94</f>
        <v>714.7744681</v>
      </c>
      <c r="H600" s="15">
        <f t="shared" si="1709"/>
        <v>638.1914894</v>
      </c>
      <c r="I600" s="16">
        <f t="shared" ref="I600:J600" si="1710">E600/24</f>
        <v>2799.533333</v>
      </c>
      <c r="J600" s="16">
        <f t="shared" si="1710"/>
        <v>2499.583333</v>
      </c>
      <c r="K600" s="16">
        <f t="shared" ref="K600:L600" si="1711">E600/125</f>
        <v>537.5104</v>
      </c>
      <c r="L600" s="16">
        <f t="shared" si="1711"/>
        <v>479.92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ht="15.75" customHeight="1">
      <c r="A601" s="1"/>
      <c r="B601" s="1" t="s">
        <v>1137</v>
      </c>
      <c r="C601" s="19" t="s">
        <v>1138</v>
      </c>
      <c r="D601" s="12">
        <v>0.0</v>
      </c>
      <c r="E601" s="18">
        <f t="shared" si="1633"/>
        <v>81748.8</v>
      </c>
      <c r="F601" s="14">
        <v>72990.0</v>
      </c>
      <c r="G601" s="15">
        <f t="shared" ref="G601:H601" si="1712">E601/94</f>
        <v>869.6680851</v>
      </c>
      <c r="H601" s="15">
        <f t="shared" si="1712"/>
        <v>776.4893617</v>
      </c>
      <c r="I601" s="16">
        <f t="shared" ref="I601:J601" si="1713">E601/24</f>
        <v>3406.2</v>
      </c>
      <c r="J601" s="16">
        <f t="shared" si="1713"/>
        <v>3041.25</v>
      </c>
      <c r="K601" s="16">
        <f t="shared" ref="K601:L601" si="1714">E601/125</f>
        <v>653.9904</v>
      </c>
      <c r="L601" s="16">
        <f t="shared" si="1714"/>
        <v>583.92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ht="15.75" customHeight="1">
      <c r="A602" s="1"/>
      <c r="B602" s="1" t="s">
        <v>1139</v>
      </c>
      <c r="C602" s="19" t="s">
        <v>1140</v>
      </c>
      <c r="D602" s="12">
        <v>0.0</v>
      </c>
      <c r="E602" s="18">
        <f t="shared" si="1633"/>
        <v>76148.8</v>
      </c>
      <c r="F602" s="14">
        <v>67990.0</v>
      </c>
      <c r="G602" s="15">
        <f t="shared" ref="G602:H602" si="1715">E602/94</f>
        <v>810.093617</v>
      </c>
      <c r="H602" s="15">
        <f t="shared" si="1715"/>
        <v>723.2978723</v>
      </c>
      <c r="I602" s="16">
        <f t="shared" ref="I602:J602" si="1716">E602/24</f>
        <v>3172.866667</v>
      </c>
      <c r="J602" s="16">
        <f t="shared" si="1716"/>
        <v>2832.916667</v>
      </c>
      <c r="K602" s="16">
        <f t="shared" ref="K602:L602" si="1717">E602/125</f>
        <v>609.1904</v>
      </c>
      <c r="L602" s="16">
        <f t="shared" si="1717"/>
        <v>543.92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ht="15.75" customHeight="1">
      <c r="A603" s="1"/>
      <c r="B603" s="1" t="s">
        <v>1141</v>
      </c>
      <c r="C603" s="19" t="s">
        <v>1142</v>
      </c>
      <c r="D603" s="12">
        <v>0.0</v>
      </c>
      <c r="E603" s="18">
        <f t="shared" si="1633"/>
        <v>100788.8</v>
      </c>
      <c r="F603" s="14">
        <v>89990.0</v>
      </c>
      <c r="G603" s="15">
        <f t="shared" ref="G603:H603" si="1718">E603/94</f>
        <v>1072.221277</v>
      </c>
      <c r="H603" s="15">
        <f t="shared" si="1718"/>
        <v>957.3404255</v>
      </c>
      <c r="I603" s="16">
        <f t="shared" ref="I603:J603" si="1719">E603/24</f>
        <v>4199.533333</v>
      </c>
      <c r="J603" s="16">
        <f t="shared" si="1719"/>
        <v>3749.583333</v>
      </c>
      <c r="K603" s="16">
        <f t="shared" ref="K603:L603" si="1720">E603/125</f>
        <v>806.3104</v>
      </c>
      <c r="L603" s="16">
        <f t="shared" si="1720"/>
        <v>719.92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ht="15.0" customHeight="1">
      <c r="A604" s="3"/>
      <c r="B604" s="17" t="s">
        <v>1143</v>
      </c>
      <c r="C604" s="19" t="s">
        <v>1144</v>
      </c>
      <c r="D604" s="12">
        <v>0.0</v>
      </c>
      <c r="E604" s="18">
        <f t="shared" si="1633"/>
        <v>109748.8</v>
      </c>
      <c r="F604" s="14">
        <v>97990.0</v>
      </c>
      <c r="G604" s="15">
        <f t="shared" ref="G604:H604" si="1721">E604/94</f>
        <v>1167.540426</v>
      </c>
      <c r="H604" s="15">
        <f t="shared" si="1721"/>
        <v>1042.446809</v>
      </c>
      <c r="I604" s="16">
        <f t="shared" ref="I604:J604" si="1722">E604/24</f>
        <v>4572.866667</v>
      </c>
      <c r="J604" s="16">
        <f t="shared" si="1722"/>
        <v>4082.916667</v>
      </c>
      <c r="K604" s="16">
        <f t="shared" ref="K604:L604" si="1723">E604/125</f>
        <v>877.9904</v>
      </c>
      <c r="L604" s="16">
        <f t="shared" si="1723"/>
        <v>783.92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ht="15.75" customHeight="1">
      <c r="A605" s="1"/>
      <c r="B605" s="17" t="s">
        <v>1145</v>
      </c>
      <c r="C605" s="19" t="s">
        <v>1146</v>
      </c>
      <c r="D605" s="12">
        <v>1.0</v>
      </c>
      <c r="E605" s="18">
        <f t="shared" si="1633"/>
        <v>111988.8</v>
      </c>
      <c r="F605" s="14">
        <v>99990.0</v>
      </c>
      <c r="G605" s="15">
        <f t="shared" ref="G605:H605" si="1724">E605/94</f>
        <v>1191.370213</v>
      </c>
      <c r="H605" s="15">
        <f t="shared" si="1724"/>
        <v>1063.723404</v>
      </c>
      <c r="I605" s="16">
        <f t="shared" ref="I605:J605" si="1725">E605/24</f>
        <v>4666.2</v>
      </c>
      <c r="J605" s="16">
        <f t="shared" si="1725"/>
        <v>4166.25</v>
      </c>
      <c r="K605" s="16">
        <f t="shared" ref="K605:L605" si="1726">E605/125</f>
        <v>895.9104</v>
      </c>
      <c r="L605" s="16">
        <f t="shared" si="1726"/>
        <v>799.92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ht="15.75" customHeight="1">
      <c r="A606" s="1" t="s">
        <v>1147</v>
      </c>
      <c r="B606" s="1" t="s">
        <v>120</v>
      </c>
      <c r="C606" s="17" t="s">
        <v>1148</v>
      </c>
      <c r="D606" s="12">
        <v>7.0</v>
      </c>
      <c r="E606" s="18">
        <f t="shared" si="1633"/>
        <v>10068.8</v>
      </c>
      <c r="F606" s="14">
        <v>8990.0</v>
      </c>
      <c r="G606" s="15">
        <f t="shared" ref="G606:H606" si="1727">E606/94</f>
        <v>107.1148936</v>
      </c>
      <c r="H606" s="15">
        <f t="shared" si="1727"/>
        <v>95.63829787</v>
      </c>
      <c r="I606" s="16">
        <f t="shared" ref="I606:J606" si="1728">E606/24</f>
        <v>419.5333333</v>
      </c>
      <c r="J606" s="16">
        <f t="shared" si="1728"/>
        <v>374.5833333</v>
      </c>
      <c r="K606" s="16">
        <f t="shared" ref="K606:L606" si="1729">E606/125</f>
        <v>80.5504</v>
      </c>
      <c r="L606" s="16">
        <f t="shared" si="1729"/>
        <v>71.92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ht="15.75" customHeight="1">
      <c r="A607" s="1" t="s">
        <v>1149</v>
      </c>
      <c r="B607" s="1" t="s">
        <v>120</v>
      </c>
      <c r="C607" s="17" t="s">
        <v>1150</v>
      </c>
      <c r="D607" s="2">
        <v>4.0</v>
      </c>
      <c r="E607" s="18">
        <f t="shared" si="1633"/>
        <v>12824</v>
      </c>
      <c r="F607" s="14">
        <v>11450.0</v>
      </c>
      <c r="G607" s="15">
        <f t="shared" ref="G607:H607" si="1730">E607/94</f>
        <v>136.4255319</v>
      </c>
      <c r="H607" s="15">
        <f t="shared" si="1730"/>
        <v>121.8085106</v>
      </c>
      <c r="I607" s="16">
        <f t="shared" ref="I607:J607" si="1731">E607/24</f>
        <v>534.3333333</v>
      </c>
      <c r="J607" s="16">
        <f t="shared" si="1731"/>
        <v>477.0833333</v>
      </c>
      <c r="K607" s="16">
        <f t="shared" ref="K607:L607" si="1732">E607/125</f>
        <v>102.592</v>
      </c>
      <c r="L607" s="16">
        <f t="shared" si="1732"/>
        <v>91.6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ht="15.75" customHeight="1">
      <c r="A608" s="1" t="s">
        <v>1151</v>
      </c>
      <c r="B608" s="1" t="s">
        <v>120</v>
      </c>
      <c r="C608" s="24" t="s">
        <v>1152</v>
      </c>
      <c r="D608" s="23">
        <v>5.0</v>
      </c>
      <c r="E608" s="18">
        <f t="shared" si="1633"/>
        <v>13428.8</v>
      </c>
      <c r="F608" s="14">
        <v>11990.0</v>
      </c>
      <c r="G608" s="15">
        <f t="shared" ref="G608:H608" si="1733">E608/94</f>
        <v>142.8595745</v>
      </c>
      <c r="H608" s="15">
        <f t="shared" si="1733"/>
        <v>127.5531915</v>
      </c>
      <c r="I608" s="16">
        <f t="shared" ref="I608:J608" si="1734">E608/24</f>
        <v>559.5333333</v>
      </c>
      <c r="J608" s="16">
        <f t="shared" si="1734"/>
        <v>499.5833333</v>
      </c>
      <c r="K608" s="16">
        <f t="shared" ref="K608:L608" si="1735">E608/125</f>
        <v>107.4304</v>
      </c>
      <c r="L608" s="16">
        <f t="shared" si="1735"/>
        <v>95.92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ht="15.0" customHeight="1">
      <c r="A609" s="41" t="s">
        <v>1153</v>
      </c>
      <c r="B609" s="19" t="s">
        <v>403</v>
      </c>
      <c r="C609" s="19" t="s">
        <v>1154</v>
      </c>
      <c r="D609" s="12">
        <v>2.0</v>
      </c>
      <c r="E609" s="18">
        <f t="shared" si="1633"/>
        <v>10584</v>
      </c>
      <c r="F609" s="14">
        <v>9450.0</v>
      </c>
      <c r="G609" s="15">
        <f t="shared" ref="G609:H609" si="1736">E609/94</f>
        <v>112.5957447</v>
      </c>
      <c r="H609" s="15">
        <f t="shared" si="1736"/>
        <v>100.5319149</v>
      </c>
      <c r="I609" s="16">
        <f t="shared" ref="I609:J609" si="1737">E609/24</f>
        <v>441</v>
      </c>
      <c r="J609" s="16">
        <f t="shared" si="1737"/>
        <v>393.75</v>
      </c>
      <c r="K609" s="16">
        <f t="shared" ref="K609:L609" si="1738">E609/125</f>
        <v>84.672</v>
      </c>
      <c r="L609" s="16">
        <f t="shared" si="1738"/>
        <v>75.6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ht="15.75" customHeight="1">
      <c r="A610" s="1" t="s">
        <v>1155</v>
      </c>
      <c r="B610" s="1" t="s">
        <v>505</v>
      </c>
      <c r="C610" s="17" t="s">
        <v>1156</v>
      </c>
      <c r="D610" s="12">
        <v>5.0</v>
      </c>
      <c r="E610" s="18">
        <f t="shared" si="1633"/>
        <v>11144</v>
      </c>
      <c r="F610" s="14">
        <v>9950.0</v>
      </c>
      <c r="G610" s="15">
        <f t="shared" ref="G610:H610" si="1739">E610/94</f>
        <v>118.5531915</v>
      </c>
      <c r="H610" s="15">
        <f t="shared" si="1739"/>
        <v>105.8510638</v>
      </c>
      <c r="I610" s="16">
        <f t="shared" ref="I610:J610" si="1740">E610/24</f>
        <v>464.3333333</v>
      </c>
      <c r="J610" s="16">
        <f t="shared" si="1740"/>
        <v>414.5833333</v>
      </c>
      <c r="K610" s="16">
        <f t="shared" ref="K610:L610" si="1741">E610/125</f>
        <v>89.152</v>
      </c>
      <c r="L610" s="16">
        <f t="shared" si="1741"/>
        <v>79.6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ht="15.75" customHeight="1">
      <c r="A611" s="1"/>
      <c r="B611" s="1" t="s">
        <v>1157</v>
      </c>
      <c r="C611" s="17" t="s">
        <v>1158</v>
      </c>
      <c r="D611" s="2">
        <v>6.0</v>
      </c>
      <c r="E611" s="18">
        <f t="shared" si="1633"/>
        <v>0</v>
      </c>
      <c r="F611" s="14"/>
      <c r="G611" s="15"/>
      <c r="H611" s="15"/>
      <c r="I611" s="16"/>
      <c r="J611" s="16"/>
      <c r="K611" s="16"/>
      <c r="L611" s="1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ht="15.75" customHeight="1">
      <c r="A612" s="1" t="s">
        <v>1159</v>
      </c>
      <c r="B612" s="1" t="s">
        <v>120</v>
      </c>
      <c r="C612" s="24" t="s">
        <v>1160</v>
      </c>
      <c r="D612" s="23">
        <v>3.0</v>
      </c>
      <c r="E612" s="18">
        <f t="shared" si="1633"/>
        <v>11188.8</v>
      </c>
      <c r="F612" s="14">
        <v>9990.0</v>
      </c>
      <c r="G612" s="15">
        <f t="shared" ref="G612:H612" si="1742">E612/94</f>
        <v>119.0297872</v>
      </c>
      <c r="H612" s="15">
        <f t="shared" si="1742"/>
        <v>106.2765957</v>
      </c>
      <c r="I612" s="16">
        <f t="shared" ref="I612:J612" si="1743">E612/24</f>
        <v>466.2</v>
      </c>
      <c r="J612" s="16">
        <f t="shared" si="1743"/>
        <v>416.25</v>
      </c>
      <c r="K612" s="16">
        <f t="shared" ref="K612:L612" si="1744">E612/125</f>
        <v>89.5104</v>
      </c>
      <c r="L612" s="16">
        <f t="shared" si="1744"/>
        <v>79.92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ht="15.75" customHeight="1">
      <c r="A613" s="1" t="s">
        <v>1161</v>
      </c>
      <c r="B613" s="1" t="s">
        <v>403</v>
      </c>
      <c r="C613" s="24" t="s">
        <v>1162</v>
      </c>
      <c r="D613" s="22">
        <v>0.0</v>
      </c>
      <c r="E613" s="18">
        <f t="shared" si="1633"/>
        <v>14548.8</v>
      </c>
      <c r="F613" s="14">
        <v>12990.0</v>
      </c>
      <c r="G613" s="15">
        <f t="shared" ref="G613:H613" si="1745">E613/94</f>
        <v>154.7744681</v>
      </c>
      <c r="H613" s="15">
        <f t="shared" si="1745"/>
        <v>138.1914894</v>
      </c>
      <c r="I613" s="16">
        <f t="shared" ref="I613:J613" si="1746">E613/24</f>
        <v>606.2</v>
      </c>
      <c r="J613" s="16">
        <f t="shared" si="1746"/>
        <v>541.25</v>
      </c>
      <c r="K613" s="16">
        <f t="shared" ref="K613:L613" si="1747">E613/125</f>
        <v>116.3904</v>
      </c>
      <c r="L613" s="16">
        <f t="shared" si="1747"/>
        <v>103.92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ht="15.0" customHeight="1">
      <c r="A614" s="1" t="s">
        <v>1163</v>
      </c>
      <c r="B614" s="1" t="s">
        <v>315</v>
      </c>
      <c r="C614" s="32" t="s">
        <v>1164</v>
      </c>
      <c r="D614" s="22">
        <v>15.0</v>
      </c>
      <c r="E614" s="18">
        <f t="shared" si="1633"/>
        <v>2004.8</v>
      </c>
      <c r="F614" s="14">
        <v>1790.0</v>
      </c>
      <c r="G614" s="15">
        <f t="shared" ref="G614:H614" si="1748">E614/94</f>
        <v>21.32765957</v>
      </c>
      <c r="H614" s="15">
        <f t="shared" si="1748"/>
        <v>19.04255319</v>
      </c>
      <c r="I614" s="16">
        <f t="shared" ref="I614:J614" si="1749">E614/24</f>
        <v>83.53333333</v>
      </c>
      <c r="J614" s="16">
        <f t="shared" si="1749"/>
        <v>74.58333333</v>
      </c>
      <c r="K614" s="16">
        <f t="shared" ref="K614:L614" si="1750">E614/125</f>
        <v>16.0384</v>
      </c>
      <c r="L614" s="16">
        <f t="shared" si="1750"/>
        <v>14.32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ht="15.75" customHeight="1">
      <c r="A615" s="1"/>
      <c r="B615" s="17" t="s">
        <v>317</v>
      </c>
      <c r="C615" s="19" t="s">
        <v>1165</v>
      </c>
      <c r="D615" s="12">
        <v>25.0</v>
      </c>
      <c r="E615" s="18">
        <f t="shared" si="1633"/>
        <v>2004.8</v>
      </c>
      <c r="F615" s="14">
        <v>1790.0</v>
      </c>
      <c r="G615" s="15">
        <f t="shared" ref="G615:H615" si="1751">E615/94</f>
        <v>21.32765957</v>
      </c>
      <c r="H615" s="15">
        <f t="shared" si="1751"/>
        <v>19.04255319</v>
      </c>
      <c r="I615" s="16">
        <f t="shared" ref="I615:J615" si="1752">E615/24</f>
        <v>83.53333333</v>
      </c>
      <c r="J615" s="16">
        <f t="shared" si="1752"/>
        <v>74.58333333</v>
      </c>
      <c r="K615" s="16">
        <f t="shared" ref="K615:L615" si="1753">E615/125</f>
        <v>16.0384</v>
      </c>
      <c r="L615" s="16">
        <f t="shared" si="1753"/>
        <v>14.32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ht="15.75" customHeight="1">
      <c r="A616" s="1"/>
      <c r="B616" s="1" t="s">
        <v>319</v>
      </c>
      <c r="C616" s="19" t="s">
        <v>1166</v>
      </c>
      <c r="D616" s="12">
        <v>25.0</v>
      </c>
      <c r="E616" s="18">
        <f t="shared" si="1633"/>
        <v>2564.8</v>
      </c>
      <c r="F616" s="14">
        <v>2290.0</v>
      </c>
      <c r="G616" s="15">
        <f t="shared" ref="G616:H616" si="1754">E616/94</f>
        <v>27.28510638</v>
      </c>
      <c r="H616" s="15">
        <f t="shared" si="1754"/>
        <v>24.36170213</v>
      </c>
      <c r="I616" s="16">
        <f t="shared" ref="I616:J616" si="1755">E616/24</f>
        <v>106.8666667</v>
      </c>
      <c r="J616" s="16">
        <f t="shared" si="1755"/>
        <v>95.41666667</v>
      </c>
      <c r="K616" s="16">
        <f t="shared" ref="K616:L616" si="1756">E616/125</f>
        <v>20.5184</v>
      </c>
      <c r="L616" s="16">
        <f t="shared" si="1756"/>
        <v>18.32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ht="15.0" customHeight="1">
      <c r="A617" s="1" t="s">
        <v>1167</v>
      </c>
      <c r="B617" s="1" t="s">
        <v>1168</v>
      </c>
      <c r="C617" s="17" t="s">
        <v>1169</v>
      </c>
      <c r="D617" s="2">
        <v>50.0</v>
      </c>
      <c r="E617" s="18">
        <f t="shared" si="1633"/>
        <v>218.4</v>
      </c>
      <c r="F617" s="1">
        <v>195.0</v>
      </c>
      <c r="G617" s="15">
        <f t="shared" ref="G617:H617" si="1757">E617/94</f>
        <v>2.323404255</v>
      </c>
      <c r="H617" s="15">
        <f t="shared" si="1757"/>
        <v>2.074468085</v>
      </c>
      <c r="I617" s="16">
        <f t="shared" ref="I617:J617" si="1758">E617/24</f>
        <v>9.1</v>
      </c>
      <c r="J617" s="16">
        <f t="shared" si="1758"/>
        <v>8.125</v>
      </c>
      <c r="K617" s="16">
        <f t="shared" ref="K617:L617" si="1759">E617/125</f>
        <v>1.7472</v>
      </c>
      <c r="L617" s="16">
        <f t="shared" si="1759"/>
        <v>1.56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ht="15.75" customHeight="1">
      <c r="A618" s="1"/>
      <c r="B618" s="1" t="s">
        <v>1170</v>
      </c>
      <c r="C618" s="17" t="s">
        <v>1171</v>
      </c>
      <c r="D618" s="2">
        <v>50.0</v>
      </c>
      <c r="E618" s="18">
        <f t="shared" si="1633"/>
        <v>218.4</v>
      </c>
      <c r="F618" s="1">
        <v>195.0</v>
      </c>
      <c r="G618" s="15">
        <f t="shared" ref="G618:H618" si="1760">E618/94</f>
        <v>2.323404255</v>
      </c>
      <c r="H618" s="15">
        <f t="shared" si="1760"/>
        <v>2.074468085</v>
      </c>
      <c r="I618" s="16">
        <f t="shared" ref="I618:J618" si="1761">E618/24</f>
        <v>9.1</v>
      </c>
      <c r="J618" s="16">
        <f t="shared" si="1761"/>
        <v>8.125</v>
      </c>
      <c r="K618" s="16">
        <f t="shared" ref="K618:L618" si="1762">E618/125</f>
        <v>1.7472</v>
      </c>
      <c r="L618" s="16">
        <f t="shared" si="1762"/>
        <v>1.56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ht="15.75" customHeight="1">
      <c r="A619" s="1"/>
      <c r="B619" s="1" t="s">
        <v>1172</v>
      </c>
      <c r="C619" s="17" t="s">
        <v>1173</v>
      </c>
      <c r="D619" s="2">
        <v>50.0</v>
      </c>
      <c r="E619" s="18">
        <f t="shared" si="1633"/>
        <v>218.4</v>
      </c>
      <c r="F619" s="1">
        <v>195.0</v>
      </c>
      <c r="G619" s="15">
        <f t="shared" ref="G619:H619" si="1763">E619/94</f>
        <v>2.323404255</v>
      </c>
      <c r="H619" s="15">
        <f t="shared" si="1763"/>
        <v>2.074468085</v>
      </c>
      <c r="I619" s="16">
        <f t="shared" ref="I619:J619" si="1764">E619/24</f>
        <v>9.1</v>
      </c>
      <c r="J619" s="16">
        <f t="shared" si="1764"/>
        <v>8.125</v>
      </c>
      <c r="K619" s="16">
        <f t="shared" ref="K619:L619" si="1765">E619/125</f>
        <v>1.7472</v>
      </c>
      <c r="L619" s="16">
        <f t="shared" si="1765"/>
        <v>1.56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ht="15.75" customHeight="1">
      <c r="A620" s="1"/>
      <c r="B620" s="1" t="s">
        <v>1174</v>
      </c>
      <c r="C620" s="17" t="s">
        <v>1175</v>
      </c>
      <c r="D620" s="2">
        <v>50.0</v>
      </c>
      <c r="E620" s="18">
        <f t="shared" si="1633"/>
        <v>218.4</v>
      </c>
      <c r="F620" s="1">
        <v>195.0</v>
      </c>
      <c r="G620" s="15">
        <f t="shared" ref="G620:H620" si="1766">E620/94</f>
        <v>2.323404255</v>
      </c>
      <c r="H620" s="15">
        <f t="shared" si="1766"/>
        <v>2.074468085</v>
      </c>
      <c r="I620" s="16">
        <f t="shared" ref="I620:J620" si="1767">E620/24</f>
        <v>9.1</v>
      </c>
      <c r="J620" s="16">
        <f t="shared" si="1767"/>
        <v>8.125</v>
      </c>
      <c r="K620" s="16">
        <f t="shared" ref="K620:L620" si="1768">E620/125</f>
        <v>1.7472</v>
      </c>
      <c r="L620" s="16">
        <f t="shared" si="1768"/>
        <v>1.56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ht="15.75" customHeight="1">
      <c r="A621" s="1"/>
      <c r="B621" s="1" t="s">
        <v>1176</v>
      </c>
      <c r="C621" s="17" t="s">
        <v>1177</v>
      </c>
      <c r="D621" s="2">
        <v>50.0</v>
      </c>
      <c r="E621" s="18">
        <f t="shared" si="1633"/>
        <v>218.4</v>
      </c>
      <c r="F621" s="1">
        <v>195.0</v>
      </c>
      <c r="G621" s="15">
        <f t="shared" ref="G621:H621" si="1769">E621/94</f>
        <v>2.323404255</v>
      </c>
      <c r="H621" s="15">
        <f t="shared" si="1769"/>
        <v>2.074468085</v>
      </c>
      <c r="I621" s="16">
        <f t="shared" ref="I621:J621" si="1770">E621/24</f>
        <v>9.1</v>
      </c>
      <c r="J621" s="16">
        <f t="shared" si="1770"/>
        <v>8.125</v>
      </c>
      <c r="K621" s="16">
        <f t="shared" ref="K621:L621" si="1771">E621/125</f>
        <v>1.7472</v>
      </c>
      <c r="L621" s="16">
        <f t="shared" si="1771"/>
        <v>1.56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ht="15.75" customHeight="1">
      <c r="A622" s="1"/>
      <c r="B622" s="1" t="s">
        <v>1178</v>
      </c>
      <c r="C622" s="17" t="s">
        <v>1179</v>
      </c>
      <c r="D622" s="2">
        <v>50.0</v>
      </c>
      <c r="E622" s="18">
        <f t="shared" si="1633"/>
        <v>218.4</v>
      </c>
      <c r="F622" s="1">
        <v>195.0</v>
      </c>
      <c r="G622" s="15">
        <f t="shared" ref="G622:H622" si="1772">E622/94</f>
        <v>2.323404255</v>
      </c>
      <c r="H622" s="15">
        <f t="shared" si="1772"/>
        <v>2.074468085</v>
      </c>
      <c r="I622" s="16">
        <f t="shared" ref="I622:J622" si="1773">E622/24</f>
        <v>9.1</v>
      </c>
      <c r="J622" s="16">
        <f t="shared" si="1773"/>
        <v>8.125</v>
      </c>
      <c r="K622" s="16">
        <f t="shared" ref="K622:L622" si="1774">E622/125</f>
        <v>1.7472</v>
      </c>
      <c r="L622" s="16">
        <f t="shared" si="1774"/>
        <v>1.56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ht="15.75" customHeight="1">
      <c r="A623" s="1"/>
      <c r="B623" s="1" t="s">
        <v>1180</v>
      </c>
      <c r="C623" s="17" t="s">
        <v>1181</v>
      </c>
      <c r="D623" s="2">
        <v>50.0</v>
      </c>
      <c r="E623" s="18">
        <f t="shared" si="1633"/>
        <v>218.4</v>
      </c>
      <c r="F623" s="1">
        <v>195.0</v>
      </c>
      <c r="G623" s="15">
        <f t="shared" ref="G623:H623" si="1775">E623/94</f>
        <v>2.323404255</v>
      </c>
      <c r="H623" s="15">
        <f t="shared" si="1775"/>
        <v>2.074468085</v>
      </c>
      <c r="I623" s="16">
        <f t="shared" ref="I623:J623" si="1776">E623/24</f>
        <v>9.1</v>
      </c>
      <c r="J623" s="16">
        <f t="shared" si="1776"/>
        <v>8.125</v>
      </c>
      <c r="K623" s="16">
        <f t="shared" ref="K623:L623" si="1777">E623/125</f>
        <v>1.7472</v>
      </c>
      <c r="L623" s="16">
        <f t="shared" si="1777"/>
        <v>1.56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ht="15.75" customHeight="1">
      <c r="A624" s="1"/>
      <c r="B624" s="1" t="s">
        <v>1182</v>
      </c>
      <c r="C624" s="17" t="s">
        <v>1183</v>
      </c>
      <c r="D624" s="2">
        <v>50.0</v>
      </c>
      <c r="E624" s="18">
        <f t="shared" si="1633"/>
        <v>218.4</v>
      </c>
      <c r="F624" s="1">
        <v>195.0</v>
      </c>
      <c r="G624" s="15">
        <f t="shared" ref="G624:H624" si="1778">E624/94</f>
        <v>2.323404255</v>
      </c>
      <c r="H624" s="15">
        <f t="shared" si="1778"/>
        <v>2.074468085</v>
      </c>
      <c r="I624" s="16">
        <f t="shared" ref="I624:J624" si="1779">E624/24</f>
        <v>9.1</v>
      </c>
      <c r="J624" s="16">
        <f t="shared" si="1779"/>
        <v>8.125</v>
      </c>
      <c r="K624" s="16">
        <f t="shared" ref="K624:L624" si="1780">E624/125</f>
        <v>1.7472</v>
      </c>
      <c r="L624" s="16">
        <f t="shared" si="1780"/>
        <v>1.56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ht="15.75" customHeight="1">
      <c r="A625" s="1"/>
      <c r="B625" s="1" t="s">
        <v>1184</v>
      </c>
      <c r="C625" s="17" t="s">
        <v>1185</v>
      </c>
      <c r="D625" s="2">
        <v>50.0</v>
      </c>
      <c r="E625" s="18">
        <f t="shared" si="1633"/>
        <v>218.4</v>
      </c>
      <c r="F625" s="1">
        <v>195.0</v>
      </c>
      <c r="G625" s="15">
        <f t="shared" ref="G625:H625" si="1781">E625/94</f>
        <v>2.323404255</v>
      </c>
      <c r="H625" s="15">
        <f t="shared" si="1781"/>
        <v>2.074468085</v>
      </c>
      <c r="I625" s="16">
        <f t="shared" ref="I625:J625" si="1782">E625/24</f>
        <v>9.1</v>
      </c>
      <c r="J625" s="16">
        <f t="shared" si="1782"/>
        <v>8.125</v>
      </c>
      <c r="K625" s="16">
        <f t="shared" ref="K625:L625" si="1783">E625/125</f>
        <v>1.7472</v>
      </c>
      <c r="L625" s="16">
        <f t="shared" si="1783"/>
        <v>1.56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ht="15.75" customHeight="1">
      <c r="A626" s="1"/>
      <c r="B626" s="1" t="s">
        <v>1186</v>
      </c>
      <c r="C626" s="17" t="s">
        <v>1187</v>
      </c>
      <c r="D626" s="2">
        <v>50.0</v>
      </c>
      <c r="E626" s="18">
        <f t="shared" si="1633"/>
        <v>218.4</v>
      </c>
      <c r="F626" s="1">
        <v>195.0</v>
      </c>
      <c r="G626" s="15">
        <f t="shared" ref="G626:H626" si="1784">E626/94</f>
        <v>2.323404255</v>
      </c>
      <c r="H626" s="15">
        <f t="shared" si="1784"/>
        <v>2.074468085</v>
      </c>
      <c r="I626" s="16">
        <f t="shared" ref="I626:J626" si="1785">E626/24</f>
        <v>9.1</v>
      </c>
      <c r="J626" s="16">
        <f t="shared" si="1785"/>
        <v>8.125</v>
      </c>
      <c r="K626" s="16">
        <f t="shared" ref="K626:L626" si="1786">E626/125</f>
        <v>1.7472</v>
      </c>
      <c r="L626" s="16">
        <f t="shared" si="1786"/>
        <v>1.56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ht="15.75" customHeight="1">
      <c r="A627" s="1"/>
      <c r="B627" s="1" t="s">
        <v>1188</v>
      </c>
      <c r="C627" s="17" t="s">
        <v>1189</v>
      </c>
      <c r="D627" s="2">
        <v>50.0</v>
      </c>
      <c r="E627" s="18">
        <f t="shared" si="1633"/>
        <v>252</v>
      </c>
      <c r="F627" s="1">
        <v>225.0</v>
      </c>
      <c r="G627" s="15">
        <f t="shared" ref="G627:H627" si="1787">E627/94</f>
        <v>2.680851064</v>
      </c>
      <c r="H627" s="15">
        <f t="shared" si="1787"/>
        <v>2.393617021</v>
      </c>
      <c r="I627" s="16">
        <f t="shared" ref="I627:J627" si="1788">E627/24</f>
        <v>10.5</v>
      </c>
      <c r="J627" s="16">
        <f t="shared" si="1788"/>
        <v>9.375</v>
      </c>
      <c r="K627" s="16">
        <f t="shared" ref="K627:L627" si="1789">E627/125</f>
        <v>2.016</v>
      </c>
      <c r="L627" s="16">
        <f t="shared" si="1789"/>
        <v>1.8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ht="15.75" customHeight="1">
      <c r="A628" s="1"/>
      <c r="B628" s="1" t="s">
        <v>1190</v>
      </c>
      <c r="C628" s="17" t="s">
        <v>1191</v>
      </c>
      <c r="D628" s="2">
        <v>50.0</v>
      </c>
      <c r="E628" s="18">
        <f t="shared" si="1633"/>
        <v>246.4</v>
      </c>
      <c r="F628" s="1">
        <v>220.0</v>
      </c>
      <c r="G628" s="15">
        <f t="shared" ref="G628:H628" si="1790">E628/94</f>
        <v>2.621276596</v>
      </c>
      <c r="H628" s="15">
        <f t="shared" si="1790"/>
        <v>2.340425532</v>
      </c>
      <c r="I628" s="16">
        <f t="shared" ref="I628:J628" si="1791">E628/24</f>
        <v>10.26666667</v>
      </c>
      <c r="J628" s="16">
        <f t="shared" si="1791"/>
        <v>9.166666667</v>
      </c>
      <c r="K628" s="16">
        <f t="shared" ref="K628:L628" si="1792">E628/125</f>
        <v>1.9712</v>
      </c>
      <c r="L628" s="16">
        <f t="shared" si="1792"/>
        <v>1.76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ht="15.75" customHeight="1">
      <c r="A629" s="1"/>
      <c r="B629" s="1" t="s">
        <v>1192</v>
      </c>
      <c r="C629" s="17" t="s">
        <v>1193</v>
      </c>
      <c r="D629" s="2">
        <v>50.0</v>
      </c>
      <c r="E629" s="18">
        <f t="shared" si="1633"/>
        <v>308</v>
      </c>
      <c r="F629" s="1">
        <v>275.0</v>
      </c>
      <c r="G629" s="15">
        <f t="shared" ref="G629:H629" si="1793">E629/94</f>
        <v>3.276595745</v>
      </c>
      <c r="H629" s="15">
        <f t="shared" si="1793"/>
        <v>2.925531915</v>
      </c>
      <c r="I629" s="16">
        <f t="shared" ref="I629:J629" si="1794">E629/24</f>
        <v>12.83333333</v>
      </c>
      <c r="J629" s="16">
        <f t="shared" si="1794"/>
        <v>11.45833333</v>
      </c>
      <c r="K629" s="16">
        <f t="shared" ref="K629:L629" si="1795">E629/125</f>
        <v>2.464</v>
      </c>
      <c r="L629" s="16">
        <f t="shared" si="1795"/>
        <v>2.2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ht="15.75" customHeight="1">
      <c r="A630" s="1"/>
      <c r="B630" s="1" t="s">
        <v>1194</v>
      </c>
      <c r="C630" s="17" t="s">
        <v>1195</v>
      </c>
      <c r="D630" s="2">
        <v>50.0</v>
      </c>
      <c r="E630" s="18">
        <f t="shared" si="1633"/>
        <v>308</v>
      </c>
      <c r="F630" s="1">
        <v>275.0</v>
      </c>
      <c r="G630" s="15">
        <f t="shared" ref="G630:H630" si="1796">E630/94</f>
        <v>3.276595745</v>
      </c>
      <c r="H630" s="15">
        <f t="shared" si="1796"/>
        <v>2.925531915</v>
      </c>
      <c r="I630" s="16">
        <f t="shared" ref="I630:J630" si="1797">E630/24</f>
        <v>12.83333333</v>
      </c>
      <c r="J630" s="16">
        <f t="shared" si="1797"/>
        <v>11.45833333</v>
      </c>
      <c r="K630" s="16">
        <f t="shared" ref="K630:L630" si="1798">E630/125</f>
        <v>2.464</v>
      </c>
      <c r="L630" s="16">
        <f t="shared" si="1798"/>
        <v>2.2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ht="15.75" customHeight="1">
      <c r="A631" s="1"/>
      <c r="B631" s="1" t="s">
        <v>1196</v>
      </c>
      <c r="C631" s="17" t="s">
        <v>1197</v>
      </c>
      <c r="D631" s="2">
        <v>50.0</v>
      </c>
      <c r="E631" s="18">
        <f t="shared" si="1633"/>
        <v>308</v>
      </c>
      <c r="F631" s="1">
        <v>275.0</v>
      </c>
      <c r="G631" s="15">
        <f t="shared" ref="G631:H631" si="1799">E631/94</f>
        <v>3.276595745</v>
      </c>
      <c r="H631" s="15">
        <f t="shared" si="1799"/>
        <v>2.925531915</v>
      </c>
      <c r="I631" s="16">
        <f t="shared" ref="I631:J631" si="1800">E631/24</f>
        <v>12.83333333</v>
      </c>
      <c r="J631" s="16">
        <f t="shared" si="1800"/>
        <v>11.45833333</v>
      </c>
      <c r="K631" s="16">
        <f t="shared" ref="K631:L631" si="1801">E631/125</f>
        <v>2.464</v>
      </c>
      <c r="L631" s="16">
        <f t="shared" si="1801"/>
        <v>2.2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ht="15.75" customHeight="1">
      <c r="A632" s="1"/>
      <c r="B632" s="1" t="s">
        <v>1198</v>
      </c>
      <c r="C632" s="17" t="s">
        <v>1199</v>
      </c>
      <c r="D632" s="2">
        <v>50.0</v>
      </c>
      <c r="E632" s="18">
        <f t="shared" si="1633"/>
        <v>308</v>
      </c>
      <c r="F632" s="1">
        <v>275.0</v>
      </c>
      <c r="G632" s="15">
        <f t="shared" ref="G632:H632" si="1802">E632/94</f>
        <v>3.276595745</v>
      </c>
      <c r="H632" s="15">
        <f t="shared" si="1802"/>
        <v>2.925531915</v>
      </c>
      <c r="I632" s="16">
        <f t="shared" ref="I632:J632" si="1803">E632/24</f>
        <v>12.83333333</v>
      </c>
      <c r="J632" s="16">
        <f t="shared" si="1803"/>
        <v>11.45833333</v>
      </c>
      <c r="K632" s="16">
        <f t="shared" ref="K632:L632" si="1804">E632/125</f>
        <v>2.464</v>
      </c>
      <c r="L632" s="16">
        <f t="shared" si="1804"/>
        <v>2.2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ht="15.75" customHeight="1">
      <c r="A633" s="1"/>
      <c r="B633" s="1" t="s">
        <v>1200</v>
      </c>
      <c r="C633" s="17" t="s">
        <v>1201</v>
      </c>
      <c r="D633" s="2">
        <v>50.0</v>
      </c>
      <c r="E633" s="18">
        <f t="shared" si="1633"/>
        <v>246.4</v>
      </c>
      <c r="F633" s="1">
        <v>220.0</v>
      </c>
      <c r="G633" s="15">
        <f t="shared" ref="G633:H633" si="1805">E633/94</f>
        <v>2.621276596</v>
      </c>
      <c r="H633" s="15">
        <f t="shared" si="1805"/>
        <v>2.340425532</v>
      </c>
      <c r="I633" s="16">
        <f t="shared" ref="I633:J633" si="1806">E633/24</f>
        <v>10.26666667</v>
      </c>
      <c r="J633" s="16">
        <f t="shared" si="1806"/>
        <v>9.166666667</v>
      </c>
      <c r="K633" s="16">
        <f t="shared" ref="K633:L633" si="1807">E633/125</f>
        <v>1.9712</v>
      </c>
      <c r="L633" s="16">
        <f t="shared" si="1807"/>
        <v>1.76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ht="15.75" customHeight="1">
      <c r="A634" s="1"/>
      <c r="B634" s="1" t="s">
        <v>1202</v>
      </c>
      <c r="C634" s="17" t="s">
        <v>1203</v>
      </c>
      <c r="D634" s="2">
        <v>50.0</v>
      </c>
      <c r="E634" s="18">
        <f t="shared" si="1633"/>
        <v>308</v>
      </c>
      <c r="F634" s="1">
        <v>275.0</v>
      </c>
      <c r="G634" s="15">
        <f t="shared" ref="G634:H634" si="1808">E634/94</f>
        <v>3.276595745</v>
      </c>
      <c r="H634" s="15">
        <f t="shared" si="1808"/>
        <v>2.925531915</v>
      </c>
      <c r="I634" s="16">
        <f t="shared" ref="I634:J634" si="1809">E634/24</f>
        <v>12.83333333</v>
      </c>
      <c r="J634" s="16">
        <f t="shared" si="1809"/>
        <v>11.45833333</v>
      </c>
      <c r="K634" s="16">
        <f t="shared" ref="K634:L634" si="1810">E634/125</f>
        <v>2.464</v>
      </c>
      <c r="L634" s="16">
        <f t="shared" si="1810"/>
        <v>2.2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ht="15.75" customHeight="1">
      <c r="A635" s="1"/>
      <c r="B635" s="1" t="s">
        <v>1204</v>
      </c>
      <c r="C635" s="17" t="s">
        <v>1205</v>
      </c>
      <c r="D635" s="2">
        <v>50.0</v>
      </c>
      <c r="E635" s="18">
        <f t="shared" si="1633"/>
        <v>330.4</v>
      </c>
      <c r="F635" s="1">
        <v>295.0</v>
      </c>
      <c r="G635" s="15">
        <f t="shared" ref="G635:H635" si="1811">E635/94</f>
        <v>3.514893617</v>
      </c>
      <c r="H635" s="15">
        <f t="shared" si="1811"/>
        <v>3.138297872</v>
      </c>
      <c r="I635" s="16">
        <f t="shared" ref="I635:J635" si="1812">E635/24</f>
        <v>13.76666667</v>
      </c>
      <c r="J635" s="16">
        <f t="shared" si="1812"/>
        <v>12.29166667</v>
      </c>
      <c r="K635" s="16">
        <f t="shared" ref="K635:L635" si="1813">E635/125</f>
        <v>2.6432</v>
      </c>
      <c r="L635" s="16">
        <f t="shared" si="1813"/>
        <v>2.36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ht="15.75" customHeight="1">
      <c r="A636" s="1"/>
      <c r="B636" s="1" t="s">
        <v>1206</v>
      </c>
      <c r="C636" s="17" t="s">
        <v>1207</v>
      </c>
      <c r="D636" s="2">
        <v>50.0</v>
      </c>
      <c r="E636" s="18">
        <f t="shared" si="1633"/>
        <v>330.4</v>
      </c>
      <c r="F636" s="1">
        <v>295.0</v>
      </c>
      <c r="G636" s="15">
        <f t="shared" ref="G636:H636" si="1814">E636/94</f>
        <v>3.514893617</v>
      </c>
      <c r="H636" s="15">
        <f t="shared" si="1814"/>
        <v>3.138297872</v>
      </c>
      <c r="I636" s="16">
        <f t="shared" ref="I636:J636" si="1815">E636/24</f>
        <v>13.76666667</v>
      </c>
      <c r="J636" s="16">
        <f t="shared" si="1815"/>
        <v>12.29166667</v>
      </c>
      <c r="K636" s="16">
        <f t="shared" ref="K636:L636" si="1816">E636/125</f>
        <v>2.6432</v>
      </c>
      <c r="L636" s="16">
        <f t="shared" si="1816"/>
        <v>2.36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ht="15.75" customHeight="1">
      <c r="A637" s="1"/>
      <c r="B637" s="1" t="s">
        <v>1208</v>
      </c>
      <c r="C637" s="17" t="s">
        <v>1209</v>
      </c>
      <c r="D637" s="2">
        <v>50.0</v>
      </c>
      <c r="E637" s="18">
        <f t="shared" si="1633"/>
        <v>330.4</v>
      </c>
      <c r="F637" s="1">
        <v>295.0</v>
      </c>
      <c r="G637" s="15">
        <f t="shared" ref="G637:H637" si="1817">E637/94</f>
        <v>3.514893617</v>
      </c>
      <c r="H637" s="15">
        <f t="shared" si="1817"/>
        <v>3.138297872</v>
      </c>
      <c r="I637" s="16">
        <f t="shared" ref="I637:J637" si="1818">E637/24</f>
        <v>13.76666667</v>
      </c>
      <c r="J637" s="16">
        <f t="shared" si="1818"/>
        <v>12.29166667</v>
      </c>
      <c r="K637" s="16">
        <f t="shared" ref="K637:L637" si="1819">E637/125</f>
        <v>2.6432</v>
      </c>
      <c r="L637" s="16">
        <f t="shared" si="1819"/>
        <v>2.36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ht="15.75" customHeight="1">
      <c r="A638" s="1"/>
      <c r="B638" s="1" t="s">
        <v>1210</v>
      </c>
      <c r="C638" s="17" t="s">
        <v>1211</v>
      </c>
      <c r="D638" s="2">
        <v>50.0</v>
      </c>
      <c r="E638" s="18">
        <f t="shared" si="1633"/>
        <v>330.4</v>
      </c>
      <c r="F638" s="1">
        <v>295.0</v>
      </c>
      <c r="G638" s="15">
        <f t="shared" ref="G638:H638" si="1820">E638/94</f>
        <v>3.514893617</v>
      </c>
      <c r="H638" s="15">
        <f t="shared" si="1820"/>
        <v>3.138297872</v>
      </c>
      <c r="I638" s="16">
        <f t="shared" ref="I638:J638" si="1821">E638/24</f>
        <v>13.76666667</v>
      </c>
      <c r="J638" s="16">
        <f t="shared" si="1821"/>
        <v>12.29166667</v>
      </c>
      <c r="K638" s="16">
        <f t="shared" ref="K638:L638" si="1822">E638/125</f>
        <v>2.6432</v>
      </c>
      <c r="L638" s="16">
        <f t="shared" si="1822"/>
        <v>2.36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ht="15.75" customHeight="1">
      <c r="A639" s="1"/>
      <c r="B639" s="1" t="s">
        <v>1212</v>
      </c>
      <c r="C639" s="17" t="s">
        <v>1213</v>
      </c>
      <c r="D639" s="2">
        <v>50.0</v>
      </c>
      <c r="E639" s="18">
        <f t="shared" si="1633"/>
        <v>330.4</v>
      </c>
      <c r="F639" s="1">
        <v>295.0</v>
      </c>
      <c r="G639" s="15">
        <f t="shared" ref="G639:H639" si="1823">E639/94</f>
        <v>3.514893617</v>
      </c>
      <c r="H639" s="15">
        <f t="shared" si="1823"/>
        <v>3.138297872</v>
      </c>
      <c r="I639" s="16">
        <f t="shared" ref="I639:J639" si="1824">E639/24</f>
        <v>13.76666667</v>
      </c>
      <c r="J639" s="16">
        <f t="shared" si="1824"/>
        <v>12.29166667</v>
      </c>
      <c r="K639" s="16">
        <f t="shared" ref="K639:L639" si="1825">E639/125</f>
        <v>2.6432</v>
      </c>
      <c r="L639" s="16">
        <f t="shared" si="1825"/>
        <v>2.36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ht="15.75" customHeight="1">
      <c r="A640" s="1"/>
      <c r="B640" s="1" t="s">
        <v>1214</v>
      </c>
      <c r="C640" s="17" t="s">
        <v>1215</v>
      </c>
      <c r="D640" s="2">
        <v>50.0</v>
      </c>
      <c r="E640" s="18">
        <f t="shared" si="1633"/>
        <v>330.4</v>
      </c>
      <c r="F640" s="1">
        <v>295.0</v>
      </c>
      <c r="G640" s="15">
        <f t="shared" ref="G640:H640" si="1826">E640/94</f>
        <v>3.514893617</v>
      </c>
      <c r="H640" s="15">
        <f t="shared" si="1826"/>
        <v>3.138297872</v>
      </c>
      <c r="I640" s="16">
        <f t="shared" ref="I640:J640" si="1827">E640/24</f>
        <v>13.76666667</v>
      </c>
      <c r="J640" s="16">
        <f t="shared" si="1827"/>
        <v>12.29166667</v>
      </c>
      <c r="K640" s="16">
        <f t="shared" ref="K640:L640" si="1828">E640/125</f>
        <v>2.6432</v>
      </c>
      <c r="L640" s="16">
        <f t="shared" si="1828"/>
        <v>2.36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ht="15.75" customHeight="1">
      <c r="A641" s="1"/>
      <c r="B641" s="1" t="s">
        <v>1216</v>
      </c>
      <c r="C641" s="17" t="s">
        <v>1217</v>
      </c>
      <c r="D641" s="2">
        <v>50.0</v>
      </c>
      <c r="E641" s="18">
        <f t="shared" si="1633"/>
        <v>330.4</v>
      </c>
      <c r="F641" s="1">
        <v>295.0</v>
      </c>
      <c r="G641" s="15">
        <f t="shared" ref="G641:H641" si="1829">E641/94</f>
        <v>3.514893617</v>
      </c>
      <c r="H641" s="15">
        <f t="shared" si="1829"/>
        <v>3.138297872</v>
      </c>
      <c r="I641" s="16">
        <f t="shared" ref="I641:J641" si="1830">E641/24</f>
        <v>13.76666667</v>
      </c>
      <c r="J641" s="16">
        <f t="shared" si="1830"/>
        <v>12.29166667</v>
      </c>
      <c r="K641" s="16">
        <f t="shared" ref="K641:L641" si="1831">E641/125</f>
        <v>2.6432</v>
      </c>
      <c r="L641" s="16">
        <f t="shared" si="1831"/>
        <v>2.36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ht="15.75" customHeight="1">
      <c r="A642" s="1"/>
      <c r="B642" s="1" t="s">
        <v>1218</v>
      </c>
      <c r="C642" s="17" t="s">
        <v>1219</v>
      </c>
      <c r="D642" s="2">
        <v>50.0</v>
      </c>
      <c r="E642" s="18">
        <f t="shared" si="1633"/>
        <v>330.4</v>
      </c>
      <c r="F642" s="1">
        <v>295.0</v>
      </c>
      <c r="G642" s="15">
        <f t="shared" ref="G642:H642" si="1832">E642/94</f>
        <v>3.514893617</v>
      </c>
      <c r="H642" s="15">
        <f t="shared" si="1832"/>
        <v>3.138297872</v>
      </c>
      <c r="I642" s="16">
        <f t="shared" ref="I642:J642" si="1833">E642/24</f>
        <v>13.76666667</v>
      </c>
      <c r="J642" s="16">
        <f t="shared" si="1833"/>
        <v>12.29166667</v>
      </c>
      <c r="K642" s="16">
        <f t="shared" ref="K642:L642" si="1834">E642/125</f>
        <v>2.6432</v>
      </c>
      <c r="L642" s="16">
        <f t="shared" si="1834"/>
        <v>2.36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ht="15.75" customHeight="1">
      <c r="A643" s="1"/>
      <c r="B643" s="1" t="s">
        <v>1220</v>
      </c>
      <c r="C643" s="17" t="s">
        <v>1221</v>
      </c>
      <c r="D643" s="2">
        <v>50.0</v>
      </c>
      <c r="E643" s="18">
        <f t="shared" si="1633"/>
        <v>330.4</v>
      </c>
      <c r="F643" s="1">
        <v>295.0</v>
      </c>
      <c r="G643" s="15">
        <f t="shared" ref="G643:H643" si="1835">E643/94</f>
        <v>3.514893617</v>
      </c>
      <c r="H643" s="15">
        <f t="shared" si="1835"/>
        <v>3.138297872</v>
      </c>
      <c r="I643" s="16">
        <f t="shared" ref="I643:J643" si="1836">E643/24</f>
        <v>13.76666667</v>
      </c>
      <c r="J643" s="16">
        <f t="shared" si="1836"/>
        <v>12.29166667</v>
      </c>
      <c r="K643" s="16">
        <f t="shared" ref="K643:L643" si="1837">E643/125</f>
        <v>2.6432</v>
      </c>
      <c r="L643" s="16">
        <f t="shared" si="1837"/>
        <v>2.36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ht="15.75" customHeight="1">
      <c r="A644" s="1"/>
      <c r="B644" s="1" t="s">
        <v>1222</v>
      </c>
      <c r="C644" s="17" t="s">
        <v>1223</v>
      </c>
      <c r="D644" s="2">
        <v>50.0</v>
      </c>
      <c r="E644" s="18">
        <f t="shared" si="1633"/>
        <v>364</v>
      </c>
      <c r="F644" s="1">
        <v>325.0</v>
      </c>
      <c r="G644" s="15">
        <f t="shared" ref="G644:H644" si="1838">E644/94</f>
        <v>3.872340426</v>
      </c>
      <c r="H644" s="15">
        <f t="shared" si="1838"/>
        <v>3.457446809</v>
      </c>
      <c r="I644" s="16">
        <f t="shared" ref="I644:J644" si="1839">E644/24</f>
        <v>15.16666667</v>
      </c>
      <c r="J644" s="16">
        <f t="shared" si="1839"/>
        <v>13.54166667</v>
      </c>
      <c r="K644" s="16">
        <f t="shared" ref="K644:L644" si="1840">E644/125</f>
        <v>2.912</v>
      </c>
      <c r="L644" s="16">
        <f t="shared" si="1840"/>
        <v>2.6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ht="15.75" customHeight="1">
      <c r="A645" s="1"/>
      <c r="B645" s="1" t="s">
        <v>1224</v>
      </c>
      <c r="C645" s="17" t="s">
        <v>1225</v>
      </c>
      <c r="D645" s="2">
        <v>50.0</v>
      </c>
      <c r="E645" s="18">
        <f t="shared" si="1633"/>
        <v>364</v>
      </c>
      <c r="F645" s="1">
        <v>325.0</v>
      </c>
      <c r="G645" s="15">
        <f t="shared" ref="G645:H645" si="1841">E645/94</f>
        <v>3.872340426</v>
      </c>
      <c r="H645" s="15">
        <f t="shared" si="1841"/>
        <v>3.457446809</v>
      </c>
      <c r="I645" s="16">
        <f t="shared" ref="I645:J645" si="1842">E645/24</f>
        <v>15.16666667</v>
      </c>
      <c r="J645" s="16">
        <f t="shared" si="1842"/>
        <v>13.54166667</v>
      </c>
      <c r="K645" s="16">
        <f t="shared" ref="K645:L645" si="1843">E645/125</f>
        <v>2.912</v>
      </c>
      <c r="L645" s="16">
        <f t="shared" si="1843"/>
        <v>2.6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ht="15.75" customHeight="1">
      <c r="A646" s="1"/>
      <c r="B646" s="1" t="s">
        <v>1226</v>
      </c>
      <c r="C646" s="17" t="s">
        <v>1227</v>
      </c>
      <c r="D646" s="2">
        <v>50.0</v>
      </c>
      <c r="E646" s="18">
        <f t="shared" si="1633"/>
        <v>364</v>
      </c>
      <c r="F646" s="1">
        <v>325.0</v>
      </c>
      <c r="G646" s="15">
        <f t="shared" ref="G646:H646" si="1844">E646/94</f>
        <v>3.872340426</v>
      </c>
      <c r="H646" s="15">
        <f t="shared" si="1844"/>
        <v>3.457446809</v>
      </c>
      <c r="I646" s="16">
        <f t="shared" ref="I646:J646" si="1845">E646/24</f>
        <v>15.16666667</v>
      </c>
      <c r="J646" s="16">
        <f t="shared" si="1845"/>
        <v>13.54166667</v>
      </c>
      <c r="K646" s="16">
        <f t="shared" ref="K646:L646" si="1846">E646/125</f>
        <v>2.912</v>
      </c>
      <c r="L646" s="16">
        <f t="shared" si="1846"/>
        <v>2.6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ht="15.75" customHeight="1">
      <c r="A647" s="1"/>
      <c r="B647" s="1" t="s">
        <v>1228</v>
      </c>
      <c r="C647" s="17" t="s">
        <v>1229</v>
      </c>
      <c r="D647" s="2">
        <v>50.0</v>
      </c>
      <c r="E647" s="18">
        <f t="shared" si="1633"/>
        <v>364</v>
      </c>
      <c r="F647" s="1">
        <v>325.0</v>
      </c>
      <c r="G647" s="15">
        <f t="shared" ref="G647:H647" si="1847">E647/94</f>
        <v>3.872340426</v>
      </c>
      <c r="H647" s="15">
        <f t="shared" si="1847"/>
        <v>3.457446809</v>
      </c>
      <c r="I647" s="16">
        <f t="shared" ref="I647:J647" si="1848">E647/24</f>
        <v>15.16666667</v>
      </c>
      <c r="J647" s="16">
        <f t="shared" si="1848"/>
        <v>13.54166667</v>
      </c>
      <c r="K647" s="16">
        <f t="shared" ref="K647:L647" si="1849">E647/125</f>
        <v>2.912</v>
      </c>
      <c r="L647" s="16">
        <f t="shared" si="1849"/>
        <v>2.6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ht="15.75" customHeight="1">
      <c r="A648" s="1"/>
      <c r="B648" s="1" t="s">
        <v>1230</v>
      </c>
      <c r="C648" s="17" t="s">
        <v>1231</v>
      </c>
      <c r="D648" s="2">
        <v>50.0</v>
      </c>
      <c r="E648" s="18">
        <f t="shared" si="1633"/>
        <v>364</v>
      </c>
      <c r="F648" s="1">
        <v>325.0</v>
      </c>
      <c r="G648" s="15">
        <f t="shared" ref="G648:H648" si="1850">E648/94</f>
        <v>3.872340426</v>
      </c>
      <c r="H648" s="15">
        <f t="shared" si="1850"/>
        <v>3.457446809</v>
      </c>
      <c r="I648" s="16">
        <f t="shared" ref="I648:J648" si="1851">E648/24</f>
        <v>15.16666667</v>
      </c>
      <c r="J648" s="16">
        <f t="shared" si="1851"/>
        <v>13.54166667</v>
      </c>
      <c r="K648" s="16">
        <f t="shared" ref="K648:L648" si="1852">E648/125</f>
        <v>2.912</v>
      </c>
      <c r="L648" s="16">
        <f t="shared" si="1852"/>
        <v>2.6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ht="15.75" customHeight="1">
      <c r="A649" s="1"/>
      <c r="B649" s="1" t="s">
        <v>1232</v>
      </c>
      <c r="C649" s="17" t="s">
        <v>1233</v>
      </c>
      <c r="D649" s="2">
        <v>50.0</v>
      </c>
      <c r="E649" s="18">
        <f t="shared" si="1633"/>
        <v>364</v>
      </c>
      <c r="F649" s="1">
        <v>325.0</v>
      </c>
      <c r="G649" s="15">
        <f t="shared" ref="G649:H649" si="1853">E649/94</f>
        <v>3.872340426</v>
      </c>
      <c r="H649" s="15">
        <f t="shared" si="1853"/>
        <v>3.457446809</v>
      </c>
      <c r="I649" s="16">
        <f t="shared" ref="I649:J649" si="1854">E649/24</f>
        <v>15.16666667</v>
      </c>
      <c r="J649" s="16">
        <f t="shared" si="1854"/>
        <v>13.54166667</v>
      </c>
      <c r="K649" s="16">
        <f t="shared" ref="K649:L649" si="1855">E649/125</f>
        <v>2.912</v>
      </c>
      <c r="L649" s="16">
        <f t="shared" si="1855"/>
        <v>2.6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ht="15.75" customHeight="1">
      <c r="A650" s="1"/>
      <c r="B650" s="1" t="s">
        <v>1234</v>
      </c>
      <c r="C650" s="17" t="s">
        <v>1235</v>
      </c>
      <c r="D650" s="2">
        <v>50.0</v>
      </c>
      <c r="E650" s="18">
        <f t="shared" si="1633"/>
        <v>364</v>
      </c>
      <c r="F650" s="1">
        <v>325.0</v>
      </c>
      <c r="G650" s="15">
        <f t="shared" ref="G650:H650" si="1856">E650/94</f>
        <v>3.872340426</v>
      </c>
      <c r="H650" s="15">
        <f t="shared" si="1856"/>
        <v>3.457446809</v>
      </c>
      <c r="I650" s="16">
        <f t="shared" ref="I650:J650" si="1857">E650/24</f>
        <v>15.16666667</v>
      </c>
      <c r="J650" s="16">
        <f t="shared" si="1857"/>
        <v>13.54166667</v>
      </c>
      <c r="K650" s="16">
        <f t="shared" ref="K650:L650" si="1858">E650/125</f>
        <v>2.912</v>
      </c>
      <c r="L650" s="16">
        <f t="shared" si="1858"/>
        <v>2.6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ht="15.75" customHeight="1">
      <c r="A651" s="1"/>
      <c r="B651" s="1" t="s">
        <v>1236</v>
      </c>
      <c r="C651" s="17" t="s">
        <v>1237</v>
      </c>
      <c r="D651" s="2">
        <v>50.0</v>
      </c>
      <c r="E651" s="18">
        <f t="shared" si="1633"/>
        <v>364</v>
      </c>
      <c r="F651" s="1">
        <v>325.0</v>
      </c>
      <c r="G651" s="15">
        <f t="shared" ref="G651:H651" si="1859">E651/94</f>
        <v>3.872340426</v>
      </c>
      <c r="H651" s="15">
        <f t="shared" si="1859"/>
        <v>3.457446809</v>
      </c>
      <c r="I651" s="16">
        <f t="shared" ref="I651:J651" si="1860">E651/24</f>
        <v>15.16666667</v>
      </c>
      <c r="J651" s="16">
        <f t="shared" si="1860"/>
        <v>13.54166667</v>
      </c>
      <c r="K651" s="16">
        <f t="shared" ref="K651:L651" si="1861">E651/125</f>
        <v>2.912</v>
      </c>
      <c r="L651" s="16">
        <f t="shared" si="1861"/>
        <v>2.6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ht="15.75" customHeight="1">
      <c r="A652" s="1"/>
      <c r="B652" s="1" t="s">
        <v>1238</v>
      </c>
      <c r="C652" s="17" t="s">
        <v>1239</v>
      </c>
      <c r="D652" s="2">
        <v>50.0</v>
      </c>
      <c r="E652" s="18">
        <f t="shared" si="1633"/>
        <v>364</v>
      </c>
      <c r="F652" s="1">
        <v>325.0</v>
      </c>
      <c r="G652" s="15">
        <f t="shared" ref="G652:H652" si="1862">E652/94</f>
        <v>3.872340426</v>
      </c>
      <c r="H652" s="15">
        <f t="shared" si="1862"/>
        <v>3.457446809</v>
      </c>
      <c r="I652" s="16">
        <f t="shared" ref="I652:J652" si="1863">E652/24</f>
        <v>15.16666667</v>
      </c>
      <c r="J652" s="16">
        <f t="shared" si="1863"/>
        <v>13.54166667</v>
      </c>
      <c r="K652" s="16">
        <f t="shared" ref="K652:L652" si="1864">E652/125</f>
        <v>2.912</v>
      </c>
      <c r="L652" s="16">
        <f t="shared" si="1864"/>
        <v>2.6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ht="15.75" customHeight="1">
      <c r="A653" s="1"/>
      <c r="B653" s="1" t="s">
        <v>1240</v>
      </c>
      <c r="C653" s="17" t="s">
        <v>1241</v>
      </c>
      <c r="D653" s="2">
        <v>50.0</v>
      </c>
      <c r="E653" s="18">
        <f t="shared" si="1633"/>
        <v>386.4</v>
      </c>
      <c r="F653" s="1">
        <v>345.0</v>
      </c>
      <c r="G653" s="15">
        <f t="shared" ref="G653:H653" si="1865">E653/94</f>
        <v>4.110638298</v>
      </c>
      <c r="H653" s="15">
        <f t="shared" si="1865"/>
        <v>3.670212766</v>
      </c>
      <c r="I653" s="16">
        <f t="shared" ref="I653:J653" si="1866">E653/24</f>
        <v>16.1</v>
      </c>
      <c r="J653" s="16">
        <f t="shared" si="1866"/>
        <v>14.375</v>
      </c>
      <c r="K653" s="16">
        <f t="shared" ref="K653:L653" si="1867">E653/125</f>
        <v>3.0912</v>
      </c>
      <c r="L653" s="16">
        <f t="shared" si="1867"/>
        <v>2.76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ht="15.75" customHeight="1">
      <c r="A654" s="1"/>
      <c r="B654" s="1" t="s">
        <v>1242</v>
      </c>
      <c r="C654" s="17" t="s">
        <v>1243</v>
      </c>
      <c r="D654" s="2">
        <v>50.0</v>
      </c>
      <c r="E654" s="18">
        <f t="shared" si="1633"/>
        <v>431.2</v>
      </c>
      <c r="F654" s="1">
        <v>385.0</v>
      </c>
      <c r="G654" s="15">
        <f t="shared" ref="G654:H654" si="1868">E654/94</f>
        <v>4.587234043</v>
      </c>
      <c r="H654" s="15">
        <f t="shared" si="1868"/>
        <v>4.095744681</v>
      </c>
      <c r="I654" s="16">
        <f t="shared" ref="I654:J654" si="1869">E654/24</f>
        <v>17.96666667</v>
      </c>
      <c r="J654" s="16">
        <f t="shared" si="1869"/>
        <v>16.04166667</v>
      </c>
      <c r="K654" s="16">
        <f t="shared" ref="K654:L654" si="1870">E654/125</f>
        <v>3.4496</v>
      </c>
      <c r="L654" s="16">
        <f t="shared" si="1870"/>
        <v>3.08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ht="15.75" customHeight="1">
      <c r="A655" s="1"/>
      <c r="B655" s="1" t="s">
        <v>1244</v>
      </c>
      <c r="C655" s="17" t="s">
        <v>1245</v>
      </c>
      <c r="D655" s="2">
        <v>50.0</v>
      </c>
      <c r="E655" s="18">
        <f t="shared" si="1633"/>
        <v>386.4</v>
      </c>
      <c r="F655" s="1">
        <v>345.0</v>
      </c>
      <c r="G655" s="15">
        <f t="shared" ref="G655:H655" si="1871">E655/94</f>
        <v>4.110638298</v>
      </c>
      <c r="H655" s="15">
        <f t="shared" si="1871"/>
        <v>3.670212766</v>
      </c>
      <c r="I655" s="16">
        <f t="shared" ref="I655:J655" si="1872">E655/24</f>
        <v>16.1</v>
      </c>
      <c r="J655" s="16">
        <f t="shared" si="1872"/>
        <v>14.375</v>
      </c>
      <c r="K655" s="16">
        <f t="shared" ref="K655:L655" si="1873">E655/125</f>
        <v>3.0912</v>
      </c>
      <c r="L655" s="16">
        <f t="shared" si="1873"/>
        <v>2.76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ht="15.75" customHeight="1">
      <c r="A656" s="1"/>
      <c r="B656" s="1" t="s">
        <v>1246</v>
      </c>
      <c r="C656" s="17" t="s">
        <v>1247</v>
      </c>
      <c r="D656" s="2">
        <v>50.0</v>
      </c>
      <c r="E656" s="18">
        <f t="shared" si="1633"/>
        <v>386.4</v>
      </c>
      <c r="F656" s="1">
        <v>345.0</v>
      </c>
      <c r="G656" s="15">
        <f t="shared" ref="G656:H656" si="1874">E656/94</f>
        <v>4.110638298</v>
      </c>
      <c r="H656" s="15">
        <f t="shared" si="1874"/>
        <v>3.670212766</v>
      </c>
      <c r="I656" s="16">
        <f t="shared" ref="I656:J656" si="1875">E656/24</f>
        <v>16.1</v>
      </c>
      <c r="J656" s="16">
        <f t="shared" si="1875"/>
        <v>14.375</v>
      </c>
      <c r="K656" s="16">
        <f t="shared" ref="K656:L656" si="1876">E656/125</f>
        <v>3.0912</v>
      </c>
      <c r="L656" s="16">
        <f t="shared" si="1876"/>
        <v>2.76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ht="15.75" customHeight="1">
      <c r="A657" s="1"/>
      <c r="B657" s="1" t="s">
        <v>1248</v>
      </c>
      <c r="C657" s="17" t="s">
        <v>1249</v>
      </c>
      <c r="D657" s="2">
        <v>50.0</v>
      </c>
      <c r="E657" s="18">
        <f t="shared" si="1633"/>
        <v>386.4</v>
      </c>
      <c r="F657" s="1">
        <v>345.0</v>
      </c>
      <c r="G657" s="15">
        <f t="shared" ref="G657:H657" si="1877">E657/94</f>
        <v>4.110638298</v>
      </c>
      <c r="H657" s="15">
        <f t="shared" si="1877"/>
        <v>3.670212766</v>
      </c>
      <c r="I657" s="16">
        <f t="shared" ref="I657:J657" si="1878">E657/24</f>
        <v>16.1</v>
      </c>
      <c r="J657" s="16">
        <f t="shared" si="1878"/>
        <v>14.375</v>
      </c>
      <c r="K657" s="16">
        <f t="shared" ref="K657:L657" si="1879">E657/125</f>
        <v>3.0912</v>
      </c>
      <c r="L657" s="16">
        <f t="shared" si="1879"/>
        <v>2.76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ht="15.75" customHeight="1">
      <c r="A658" s="1"/>
      <c r="B658" s="1" t="s">
        <v>1250</v>
      </c>
      <c r="C658" s="17" t="s">
        <v>1251</v>
      </c>
      <c r="D658" s="2">
        <v>50.0</v>
      </c>
      <c r="E658" s="18">
        <f t="shared" si="1633"/>
        <v>431.2</v>
      </c>
      <c r="F658" s="1">
        <v>385.0</v>
      </c>
      <c r="G658" s="15">
        <f t="shared" ref="G658:H658" si="1880">E658/94</f>
        <v>4.587234043</v>
      </c>
      <c r="H658" s="15">
        <f t="shared" si="1880"/>
        <v>4.095744681</v>
      </c>
      <c r="I658" s="16">
        <f t="shared" ref="I658:J658" si="1881">E658/24</f>
        <v>17.96666667</v>
      </c>
      <c r="J658" s="16">
        <f t="shared" si="1881"/>
        <v>16.04166667</v>
      </c>
      <c r="K658" s="16">
        <f t="shared" ref="K658:L658" si="1882">E658/125</f>
        <v>3.4496</v>
      </c>
      <c r="L658" s="16">
        <f t="shared" si="1882"/>
        <v>3.08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ht="15.75" customHeight="1">
      <c r="A659" s="1"/>
      <c r="B659" s="1" t="s">
        <v>1252</v>
      </c>
      <c r="C659" s="17" t="s">
        <v>1253</v>
      </c>
      <c r="D659" s="2">
        <v>50.0</v>
      </c>
      <c r="E659" s="18">
        <f t="shared" si="1633"/>
        <v>386.4</v>
      </c>
      <c r="F659" s="1">
        <v>345.0</v>
      </c>
      <c r="G659" s="15">
        <f t="shared" ref="G659:H659" si="1883">E659/94</f>
        <v>4.110638298</v>
      </c>
      <c r="H659" s="15">
        <f t="shared" si="1883"/>
        <v>3.670212766</v>
      </c>
      <c r="I659" s="16">
        <f t="shared" ref="I659:J659" si="1884">E659/24</f>
        <v>16.1</v>
      </c>
      <c r="J659" s="16">
        <f t="shared" si="1884"/>
        <v>14.375</v>
      </c>
      <c r="K659" s="16">
        <f t="shared" ref="K659:L659" si="1885">E659/125</f>
        <v>3.0912</v>
      </c>
      <c r="L659" s="16">
        <f t="shared" si="1885"/>
        <v>2.76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ht="15.75" customHeight="1">
      <c r="A660" s="1"/>
      <c r="B660" s="1" t="s">
        <v>1254</v>
      </c>
      <c r="C660" s="17" t="s">
        <v>1255</v>
      </c>
      <c r="D660" s="2">
        <v>50.0</v>
      </c>
      <c r="E660" s="18">
        <f t="shared" si="1633"/>
        <v>386.4</v>
      </c>
      <c r="F660" s="1">
        <v>345.0</v>
      </c>
      <c r="G660" s="15">
        <f t="shared" ref="G660:H660" si="1886">E660/94</f>
        <v>4.110638298</v>
      </c>
      <c r="H660" s="15">
        <f t="shared" si="1886"/>
        <v>3.670212766</v>
      </c>
      <c r="I660" s="16">
        <f t="shared" ref="I660:J660" si="1887">E660/24</f>
        <v>16.1</v>
      </c>
      <c r="J660" s="16">
        <f t="shared" si="1887"/>
        <v>14.375</v>
      </c>
      <c r="K660" s="16">
        <f t="shared" ref="K660:L660" si="1888">E660/125</f>
        <v>3.0912</v>
      </c>
      <c r="L660" s="16">
        <f t="shared" si="1888"/>
        <v>2.76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ht="15.75" customHeight="1">
      <c r="A661" s="1"/>
      <c r="B661" s="1" t="s">
        <v>1256</v>
      </c>
      <c r="C661" s="17" t="s">
        <v>1257</v>
      </c>
      <c r="D661" s="2">
        <v>50.0</v>
      </c>
      <c r="E661" s="18">
        <f t="shared" si="1633"/>
        <v>386.4</v>
      </c>
      <c r="F661" s="1">
        <v>345.0</v>
      </c>
      <c r="G661" s="15">
        <f t="shared" ref="G661:H661" si="1889">E661/94</f>
        <v>4.110638298</v>
      </c>
      <c r="H661" s="15">
        <f t="shared" si="1889"/>
        <v>3.670212766</v>
      </c>
      <c r="I661" s="16">
        <f t="shared" ref="I661:J661" si="1890">E661/24</f>
        <v>16.1</v>
      </c>
      <c r="J661" s="16">
        <f t="shared" si="1890"/>
        <v>14.375</v>
      </c>
      <c r="K661" s="16">
        <f t="shared" ref="K661:L661" si="1891">E661/125</f>
        <v>3.0912</v>
      </c>
      <c r="L661" s="16">
        <f t="shared" si="1891"/>
        <v>2.76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ht="15.75" customHeight="1">
      <c r="A662" s="1"/>
      <c r="B662" s="17" t="s">
        <v>1258</v>
      </c>
      <c r="C662" s="17" t="s">
        <v>1259</v>
      </c>
      <c r="D662" s="2">
        <v>50.0</v>
      </c>
      <c r="E662" s="18">
        <f t="shared" si="1633"/>
        <v>554.4</v>
      </c>
      <c r="F662" s="1">
        <v>495.0</v>
      </c>
      <c r="G662" s="15">
        <f t="shared" ref="G662:H662" si="1892">E662/94</f>
        <v>5.89787234</v>
      </c>
      <c r="H662" s="15">
        <f t="shared" si="1892"/>
        <v>5.265957447</v>
      </c>
      <c r="I662" s="16">
        <f t="shared" ref="I662:J662" si="1893">E662/24</f>
        <v>23.1</v>
      </c>
      <c r="J662" s="16">
        <f t="shared" si="1893"/>
        <v>20.625</v>
      </c>
      <c r="K662" s="16">
        <f t="shared" ref="K662:L662" si="1894">E662/125</f>
        <v>4.4352</v>
      </c>
      <c r="L662" s="16">
        <f t="shared" si="1894"/>
        <v>3.96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ht="15.75" customHeight="1">
      <c r="A663" s="1"/>
      <c r="B663" s="1" t="s">
        <v>1260</v>
      </c>
      <c r="C663" s="17" t="s">
        <v>1261</v>
      </c>
      <c r="D663" s="2">
        <v>50.0</v>
      </c>
      <c r="E663" s="18">
        <f t="shared" si="1633"/>
        <v>554.4</v>
      </c>
      <c r="F663" s="1">
        <v>495.0</v>
      </c>
      <c r="G663" s="15">
        <f t="shared" ref="G663:H663" si="1895">E663/94</f>
        <v>5.89787234</v>
      </c>
      <c r="H663" s="15">
        <f t="shared" si="1895"/>
        <v>5.265957447</v>
      </c>
      <c r="I663" s="16">
        <f t="shared" ref="I663:J663" si="1896">E663/24</f>
        <v>23.1</v>
      </c>
      <c r="J663" s="16">
        <f t="shared" si="1896"/>
        <v>20.625</v>
      </c>
      <c r="K663" s="16">
        <f t="shared" ref="K663:L663" si="1897">E663/125</f>
        <v>4.4352</v>
      </c>
      <c r="L663" s="16">
        <f t="shared" si="1897"/>
        <v>3.96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ht="15.75" customHeight="1">
      <c r="A664" s="1"/>
      <c r="B664" s="1" t="s">
        <v>1262</v>
      </c>
      <c r="C664" s="17" t="s">
        <v>1263</v>
      </c>
      <c r="D664" s="2">
        <v>50.0</v>
      </c>
      <c r="E664" s="18">
        <f t="shared" si="1633"/>
        <v>554.4</v>
      </c>
      <c r="F664" s="1">
        <v>495.0</v>
      </c>
      <c r="G664" s="15">
        <f t="shared" ref="G664:H664" si="1898">E664/94</f>
        <v>5.89787234</v>
      </c>
      <c r="H664" s="15">
        <f t="shared" si="1898"/>
        <v>5.265957447</v>
      </c>
      <c r="I664" s="16">
        <f t="shared" ref="I664:J664" si="1899">E664/24</f>
        <v>23.1</v>
      </c>
      <c r="J664" s="16">
        <f t="shared" si="1899"/>
        <v>20.625</v>
      </c>
      <c r="K664" s="16">
        <f t="shared" ref="K664:L664" si="1900">E664/125</f>
        <v>4.4352</v>
      </c>
      <c r="L664" s="16">
        <f t="shared" si="1900"/>
        <v>3.96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ht="15.75" customHeight="1">
      <c r="A665" s="1"/>
      <c r="B665" s="1" t="s">
        <v>1264</v>
      </c>
      <c r="C665" s="17" t="s">
        <v>1265</v>
      </c>
      <c r="D665" s="2">
        <v>50.0</v>
      </c>
      <c r="E665" s="18">
        <f t="shared" si="1633"/>
        <v>554.4</v>
      </c>
      <c r="F665" s="1">
        <v>495.0</v>
      </c>
      <c r="G665" s="15">
        <f t="shared" ref="G665:H665" si="1901">E665/94</f>
        <v>5.89787234</v>
      </c>
      <c r="H665" s="15">
        <f t="shared" si="1901"/>
        <v>5.265957447</v>
      </c>
      <c r="I665" s="16">
        <f t="shared" ref="I665:J665" si="1902">E665/24</f>
        <v>23.1</v>
      </c>
      <c r="J665" s="16">
        <f t="shared" si="1902"/>
        <v>20.625</v>
      </c>
      <c r="K665" s="16">
        <f t="shared" ref="K665:L665" si="1903">E665/125</f>
        <v>4.4352</v>
      </c>
      <c r="L665" s="16">
        <f t="shared" si="1903"/>
        <v>3.96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ht="15.75" customHeight="1">
      <c r="A666" s="1"/>
      <c r="B666" s="1" t="s">
        <v>1266</v>
      </c>
      <c r="C666" s="17" t="s">
        <v>1267</v>
      </c>
      <c r="D666" s="2">
        <v>50.0</v>
      </c>
      <c r="E666" s="18">
        <f t="shared" si="1633"/>
        <v>554.4</v>
      </c>
      <c r="F666" s="1">
        <v>495.0</v>
      </c>
      <c r="G666" s="15">
        <f t="shared" ref="G666:H666" si="1904">E666/94</f>
        <v>5.89787234</v>
      </c>
      <c r="H666" s="15">
        <f t="shared" si="1904"/>
        <v>5.265957447</v>
      </c>
      <c r="I666" s="16">
        <f t="shared" ref="I666:J666" si="1905">E666/24</f>
        <v>23.1</v>
      </c>
      <c r="J666" s="16">
        <f t="shared" si="1905"/>
        <v>20.625</v>
      </c>
      <c r="K666" s="16">
        <f t="shared" ref="K666:L666" si="1906">E666/125</f>
        <v>4.4352</v>
      </c>
      <c r="L666" s="16">
        <f t="shared" si="1906"/>
        <v>3.96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ht="15.75" customHeight="1">
      <c r="A667" s="1"/>
      <c r="B667" s="1" t="s">
        <v>1268</v>
      </c>
      <c r="C667" s="17" t="s">
        <v>1269</v>
      </c>
      <c r="D667" s="2">
        <v>50.0</v>
      </c>
      <c r="E667" s="18">
        <f t="shared" si="1633"/>
        <v>554.4</v>
      </c>
      <c r="F667" s="1">
        <v>495.0</v>
      </c>
      <c r="G667" s="15">
        <f t="shared" ref="G667:H667" si="1907">E667/94</f>
        <v>5.89787234</v>
      </c>
      <c r="H667" s="15">
        <f t="shared" si="1907"/>
        <v>5.265957447</v>
      </c>
      <c r="I667" s="16">
        <f t="shared" ref="I667:J667" si="1908">E667/24</f>
        <v>23.1</v>
      </c>
      <c r="J667" s="16">
        <f t="shared" si="1908"/>
        <v>20.625</v>
      </c>
      <c r="K667" s="16">
        <f t="shared" ref="K667:L667" si="1909">E667/125</f>
        <v>4.4352</v>
      </c>
      <c r="L667" s="16">
        <f t="shared" si="1909"/>
        <v>3.96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ht="15.75" customHeight="1">
      <c r="A668" s="1"/>
      <c r="B668" s="1" t="s">
        <v>1270</v>
      </c>
      <c r="C668" s="17" t="s">
        <v>1271</v>
      </c>
      <c r="D668" s="2">
        <v>50.0</v>
      </c>
      <c r="E668" s="18">
        <f t="shared" si="1633"/>
        <v>554.4</v>
      </c>
      <c r="F668" s="1">
        <v>495.0</v>
      </c>
      <c r="G668" s="15">
        <f t="shared" ref="G668:H668" si="1910">E668/94</f>
        <v>5.89787234</v>
      </c>
      <c r="H668" s="15">
        <f t="shared" si="1910"/>
        <v>5.265957447</v>
      </c>
      <c r="I668" s="16">
        <f t="shared" ref="I668:J668" si="1911">E668/24</f>
        <v>23.1</v>
      </c>
      <c r="J668" s="16">
        <f t="shared" si="1911"/>
        <v>20.625</v>
      </c>
      <c r="K668" s="16">
        <f t="shared" ref="K668:L668" si="1912">E668/125</f>
        <v>4.4352</v>
      </c>
      <c r="L668" s="16">
        <f t="shared" si="1912"/>
        <v>3.96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ht="15.75" customHeight="1">
      <c r="A669" s="1"/>
      <c r="B669" s="1" t="s">
        <v>1272</v>
      </c>
      <c r="C669" s="17" t="s">
        <v>1273</v>
      </c>
      <c r="D669" s="2">
        <v>50.0</v>
      </c>
      <c r="E669" s="18">
        <f t="shared" si="1633"/>
        <v>554.4</v>
      </c>
      <c r="F669" s="1">
        <v>495.0</v>
      </c>
      <c r="G669" s="15">
        <f t="shared" ref="G669:H669" si="1913">E669/94</f>
        <v>5.89787234</v>
      </c>
      <c r="H669" s="15">
        <f t="shared" si="1913"/>
        <v>5.265957447</v>
      </c>
      <c r="I669" s="16">
        <f t="shared" ref="I669:J669" si="1914">E669/24</f>
        <v>23.1</v>
      </c>
      <c r="J669" s="16">
        <f t="shared" si="1914"/>
        <v>20.625</v>
      </c>
      <c r="K669" s="16">
        <f t="shared" ref="K669:L669" si="1915">E669/125</f>
        <v>4.4352</v>
      </c>
      <c r="L669" s="16">
        <f t="shared" si="1915"/>
        <v>3.96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ht="15.75" customHeight="1">
      <c r="A670" s="1"/>
      <c r="B670" s="1" t="s">
        <v>1274</v>
      </c>
      <c r="C670" s="17" t="s">
        <v>1275</v>
      </c>
      <c r="D670" s="2">
        <v>50.0</v>
      </c>
      <c r="E670" s="18">
        <f t="shared" si="1633"/>
        <v>554.4</v>
      </c>
      <c r="F670" s="1">
        <v>495.0</v>
      </c>
      <c r="G670" s="15">
        <f t="shared" ref="G670:H670" si="1916">E670/94</f>
        <v>5.89787234</v>
      </c>
      <c r="H670" s="15">
        <f t="shared" si="1916"/>
        <v>5.265957447</v>
      </c>
      <c r="I670" s="16">
        <f t="shared" ref="I670:J670" si="1917">E670/24</f>
        <v>23.1</v>
      </c>
      <c r="J670" s="16">
        <f t="shared" si="1917"/>
        <v>20.625</v>
      </c>
      <c r="K670" s="16">
        <f t="shared" ref="K670:L670" si="1918">E670/125</f>
        <v>4.4352</v>
      </c>
      <c r="L670" s="16">
        <f t="shared" si="1918"/>
        <v>3.96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ht="15.75" customHeight="1">
      <c r="A671" s="1"/>
      <c r="B671" s="1" t="s">
        <v>1276</v>
      </c>
      <c r="C671" s="17" t="s">
        <v>1277</v>
      </c>
      <c r="D671" s="2">
        <v>50.0</v>
      </c>
      <c r="E671" s="18">
        <f t="shared" si="1633"/>
        <v>666.4</v>
      </c>
      <c r="F671" s="1">
        <v>595.0</v>
      </c>
      <c r="G671" s="15">
        <f t="shared" ref="G671:H671" si="1919">E671/94</f>
        <v>7.089361702</v>
      </c>
      <c r="H671" s="15">
        <f t="shared" si="1919"/>
        <v>6.329787234</v>
      </c>
      <c r="I671" s="16">
        <f t="shared" ref="I671:J671" si="1920">E671/24</f>
        <v>27.76666667</v>
      </c>
      <c r="J671" s="16">
        <f t="shared" si="1920"/>
        <v>24.79166667</v>
      </c>
      <c r="K671" s="16">
        <f t="shared" ref="K671:L671" si="1921">E671/125</f>
        <v>5.3312</v>
      </c>
      <c r="L671" s="16">
        <f t="shared" si="1921"/>
        <v>4.76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ht="15.75" customHeight="1">
      <c r="A672" s="1"/>
      <c r="B672" s="1" t="s">
        <v>1278</v>
      </c>
      <c r="C672" s="17" t="s">
        <v>1279</v>
      </c>
      <c r="D672" s="2">
        <v>50.0</v>
      </c>
      <c r="E672" s="18">
        <f t="shared" si="1633"/>
        <v>666.4</v>
      </c>
      <c r="F672" s="1">
        <v>595.0</v>
      </c>
      <c r="G672" s="15">
        <f t="shared" ref="G672:H672" si="1922">E672/94</f>
        <v>7.089361702</v>
      </c>
      <c r="H672" s="15">
        <f t="shared" si="1922"/>
        <v>6.329787234</v>
      </c>
      <c r="I672" s="16">
        <f t="shared" ref="I672:J672" si="1923">E672/24</f>
        <v>27.76666667</v>
      </c>
      <c r="J672" s="16">
        <f t="shared" si="1923"/>
        <v>24.79166667</v>
      </c>
      <c r="K672" s="16">
        <f t="shared" ref="K672:L672" si="1924">E672/125</f>
        <v>5.3312</v>
      </c>
      <c r="L672" s="16">
        <f t="shared" si="1924"/>
        <v>4.76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ht="15.75" customHeight="1">
      <c r="A673" s="1"/>
      <c r="B673" s="1" t="s">
        <v>1280</v>
      </c>
      <c r="C673" s="17" t="s">
        <v>1281</v>
      </c>
      <c r="D673" s="2">
        <v>50.0</v>
      </c>
      <c r="E673" s="18">
        <f t="shared" si="1633"/>
        <v>666.4</v>
      </c>
      <c r="F673" s="1">
        <v>595.0</v>
      </c>
      <c r="G673" s="15">
        <f t="shared" ref="G673:H673" si="1925">E673/94</f>
        <v>7.089361702</v>
      </c>
      <c r="H673" s="15">
        <f t="shared" si="1925"/>
        <v>6.329787234</v>
      </c>
      <c r="I673" s="16">
        <f t="shared" ref="I673:J673" si="1926">E673/24</f>
        <v>27.76666667</v>
      </c>
      <c r="J673" s="16">
        <f t="shared" si="1926"/>
        <v>24.79166667</v>
      </c>
      <c r="K673" s="16">
        <f t="shared" ref="K673:L673" si="1927">E673/125</f>
        <v>5.3312</v>
      </c>
      <c r="L673" s="16">
        <f t="shared" si="1927"/>
        <v>4.76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ht="15.75" customHeight="1">
      <c r="A674" s="1"/>
      <c r="B674" s="1" t="s">
        <v>1282</v>
      </c>
      <c r="C674" s="17" t="s">
        <v>1283</v>
      </c>
      <c r="D674" s="2">
        <v>50.0</v>
      </c>
      <c r="E674" s="18">
        <f t="shared" si="1633"/>
        <v>666.4</v>
      </c>
      <c r="F674" s="1">
        <v>595.0</v>
      </c>
      <c r="G674" s="15">
        <f t="shared" ref="G674:H674" si="1928">E674/94</f>
        <v>7.089361702</v>
      </c>
      <c r="H674" s="15">
        <f t="shared" si="1928"/>
        <v>6.329787234</v>
      </c>
      <c r="I674" s="16">
        <f t="shared" ref="I674:J674" si="1929">E674/24</f>
        <v>27.76666667</v>
      </c>
      <c r="J674" s="16">
        <f t="shared" si="1929"/>
        <v>24.79166667</v>
      </c>
      <c r="K674" s="16">
        <f t="shared" ref="K674:L674" si="1930">E674/125</f>
        <v>5.3312</v>
      </c>
      <c r="L674" s="16">
        <f t="shared" si="1930"/>
        <v>4.76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ht="15.75" customHeight="1">
      <c r="A675" s="1"/>
      <c r="B675" s="1" t="s">
        <v>1284</v>
      </c>
      <c r="C675" s="17" t="s">
        <v>1285</v>
      </c>
      <c r="D675" s="2">
        <v>50.0</v>
      </c>
      <c r="E675" s="18">
        <f t="shared" si="1633"/>
        <v>666.4</v>
      </c>
      <c r="F675" s="1">
        <v>595.0</v>
      </c>
      <c r="G675" s="15">
        <f t="shared" ref="G675:H675" si="1931">E675/94</f>
        <v>7.089361702</v>
      </c>
      <c r="H675" s="15">
        <f t="shared" si="1931"/>
        <v>6.329787234</v>
      </c>
      <c r="I675" s="16">
        <f t="shared" ref="I675:J675" si="1932">E675/24</f>
        <v>27.76666667</v>
      </c>
      <c r="J675" s="16">
        <f t="shared" si="1932"/>
        <v>24.79166667</v>
      </c>
      <c r="K675" s="16">
        <f t="shared" ref="K675:L675" si="1933">E675/125</f>
        <v>5.3312</v>
      </c>
      <c r="L675" s="16">
        <f t="shared" si="1933"/>
        <v>4.76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ht="15.75" customHeight="1">
      <c r="A676" s="1"/>
      <c r="B676" s="1" t="s">
        <v>1286</v>
      </c>
      <c r="C676" s="17" t="s">
        <v>1287</v>
      </c>
      <c r="D676" s="2">
        <v>50.0</v>
      </c>
      <c r="E676" s="18">
        <f t="shared" si="1633"/>
        <v>666.4</v>
      </c>
      <c r="F676" s="1">
        <v>595.0</v>
      </c>
      <c r="G676" s="15">
        <f t="shared" ref="G676:H676" si="1934">E676/94</f>
        <v>7.089361702</v>
      </c>
      <c r="H676" s="15">
        <f t="shared" si="1934"/>
        <v>6.329787234</v>
      </c>
      <c r="I676" s="16">
        <f t="shared" ref="I676:J676" si="1935">E676/24</f>
        <v>27.76666667</v>
      </c>
      <c r="J676" s="16">
        <f t="shared" si="1935"/>
        <v>24.79166667</v>
      </c>
      <c r="K676" s="16">
        <f t="shared" ref="K676:L676" si="1936">E676/125</f>
        <v>5.3312</v>
      </c>
      <c r="L676" s="16">
        <f t="shared" si="1936"/>
        <v>4.76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ht="15.75" customHeight="1">
      <c r="A677" s="1"/>
      <c r="B677" s="1" t="s">
        <v>1288</v>
      </c>
      <c r="C677" s="17" t="s">
        <v>1289</v>
      </c>
      <c r="D677" s="2">
        <v>50.0</v>
      </c>
      <c r="E677" s="18">
        <f t="shared" si="1633"/>
        <v>666.4</v>
      </c>
      <c r="F677" s="1">
        <v>595.0</v>
      </c>
      <c r="G677" s="15">
        <f t="shared" ref="G677:H677" si="1937">E677/94</f>
        <v>7.089361702</v>
      </c>
      <c r="H677" s="15">
        <f t="shared" si="1937"/>
        <v>6.329787234</v>
      </c>
      <c r="I677" s="16">
        <f t="shared" ref="I677:J677" si="1938">E677/24</f>
        <v>27.76666667</v>
      </c>
      <c r="J677" s="16">
        <f t="shared" si="1938"/>
        <v>24.79166667</v>
      </c>
      <c r="K677" s="16">
        <f t="shared" ref="K677:L677" si="1939">E677/125</f>
        <v>5.3312</v>
      </c>
      <c r="L677" s="16">
        <f t="shared" si="1939"/>
        <v>4.76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ht="15.75" customHeight="1">
      <c r="A678" s="1"/>
      <c r="B678" s="1" t="s">
        <v>1290</v>
      </c>
      <c r="C678" s="17" t="s">
        <v>1291</v>
      </c>
      <c r="D678" s="2">
        <v>50.0</v>
      </c>
      <c r="E678" s="18">
        <f t="shared" si="1633"/>
        <v>666.4</v>
      </c>
      <c r="F678" s="1">
        <v>595.0</v>
      </c>
      <c r="G678" s="15">
        <f t="shared" ref="G678:H678" si="1940">E678/94</f>
        <v>7.089361702</v>
      </c>
      <c r="H678" s="15">
        <f t="shared" si="1940"/>
        <v>6.329787234</v>
      </c>
      <c r="I678" s="16">
        <f t="shared" ref="I678:J678" si="1941">E678/24</f>
        <v>27.76666667</v>
      </c>
      <c r="J678" s="16">
        <f t="shared" si="1941"/>
        <v>24.79166667</v>
      </c>
      <c r="K678" s="16">
        <f t="shared" ref="K678:L678" si="1942">E678/125</f>
        <v>5.3312</v>
      </c>
      <c r="L678" s="16">
        <f t="shared" si="1942"/>
        <v>4.76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ht="15.75" customHeight="1">
      <c r="A679" s="1"/>
      <c r="B679" s="1" t="s">
        <v>1292</v>
      </c>
      <c r="C679" s="17" t="s">
        <v>1293</v>
      </c>
      <c r="D679" s="2">
        <v>50.0</v>
      </c>
      <c r="E679" s="18">
        <f t="shared" si="1633"/>
        <v>666.4</v>
      </c>
      <c r="F679" s="1">
        <v>595.0</v>
      </c>
      <c r="G679" s="15">
        <f t="shared" ref="G679:H679" si="1943">E679/94</f>
        <v>7.089361702</v>
      </c>
      <c r="H679" s="15">
        <f t="shared" si="1943"/>
        <v>6.329787234</v>
      </c>
      <c r="I679" s="16">
        <f t="shared" ref="I679:J679" si="1944">E679/24</f>
        <v>27.76666667</v>
      </c>
      <c r="J679" s="16">
        <f t="shared" si="1944"/>
        <v>24.79166667</v>
      </c>
      <c r="K679" s="16">
        <f t="shared" ref="K679:L679" si="1945">E679/125</f>
        <v>5.3312</v>
      </c>
      <c r="L679" s="16">
        <f t="shared" si="1945"/>
        <v>4.76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ht="15.75" customHeight="1">
      <c r="A680" s="1"/>
      <c r="B680" s="1" t="s">
        <v>1294</v>
      </c>
      <c r="C680" s="17" t="s">
        <v>1295</v>
      </c>
      <c r="D680" s="2">
        <v>50.0</v>
      </c>
      <c r="E680" s="18">
        <f t="shared" si="1633"/>
        <v>890.4</v>
      </c>
      <c r="F680" s="1">
        <v>795.0</v>
      </c>
      <c r="G680" s="15">
        <f t="shared" ref="G680:H680" si="1946">E680/94</f>
        <v>9.472340426</v>
      </c>
      <c r="H680" s="15">
        <f t="shared" si="1946"/>
        <v>8.457446809</v>
      </c>
      <c r="I680" s="16">
        <f t="shared" ref="I680:J680" si="1947">E680/24</f>
        <v>37.1</v>
      </c>
      <c r="J680" s="16">
        <f t="shared" si="1947"/>
        <v>33.125</v>
      </c>
      <c r="K680" s="16">
        <f t="shared" ref="K680:L680" si="1948">E680/125</f>
        <v>7.1232</v>
      </c>
      <c r="L680" s="16">
        <f t="shared" si="1948"/>
        <v>6.36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ht="15.75" customHeight="1">
      <c r="A681" s="1"/>
      <c r="B681" s="1" t="s">
        <v>1296</v>
      </c>
      <c r="C681" s="17" t="s">
        <v>1297</v>
      </c>
      <c r="D681" s="2">
        <v>0.0</v>
      </c>
      <c r="E681" s="18">
        <f t="shared" si="1633"/>
        <v>1842.4</v>
      </c>
      <c r="F681" s="1">
        <v>1645.0</v>
      </c>
      <c r="G681" s="15">
        <f t="shared" ref="G681:H681" si="1949">E681/94</f>
        <v>19.6</v>
      </c>
      <c r="H681" s="15">
        <f t="shared" si="1949"/>
        <v>17.5</v>
      </c>
      <c r="I681" s="16">
        <f t="shared" ref="I681:J681" si="1950">E681/24</f>
        <v>76.76666667</v>
      </c>
      <c r="J681" s="16">
        <f t="shared" si="1950"/>
        <v>68.54166667</v>
      </c>
      <c r="K681" s="16">
        <f t="shared" ref="K681:L681" si="1951">E681/125</f>
        <v>14.7392</v>
      </c>
      <c r="L681" s="16">
        <f t="shared" si="1951"/>
        <v>13.16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ht="15.75" customHeight="1">
      <c r="A682" s="1"/>
      <c r="B682" s="1" t="s">
        <v>1298</v>
      </c>
      <c r="C682" s="17" t="s">
        <v>1299</v>
      </c>
      <c r="D682" s="2">
        <v>0.0</v>
      </c>
      <c r="E682" s="18">
        <f t="shared" si="1633"/>
        <v>2514.4</v>
      </c>
      <c r="F682" s="1">
        <v>2245.0</v>
      </c>
      <c r="G682" s="15">
        <f t="shared" ref="G682:H682" si="1952">E682/94</f>
        <v>26.74893617</v>
      </c>
      <c r="H682" s="15">
        <f t="shared" si="1952"/>
        <v>23.88297872</v>
      </c>
      <c r="I682" s="16">
        <f t="shared" ref="I682:J682" si="1953">E682/24</f>
        <v>104.7666667</v>
      </c>
      <c r="J682" s="16">
        <f t="shared" si="1953"/>
        <v>93.54166667</v>
      </c>
      <c r="K682" s="16">
        <f t="shared" ref="K682:L682" si="1954">E682/125</f>
        <v>20.1152</v>
      </c>
      <c r="L682" s="16">
        <f t="shared" si="1954"/>
        <v>17.96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ht="15.0" customHeight="1">
      <c r="A683" s="1" t="s">
        <v>1300</v>
      </c>
      <c r="B683" s="17" t="s">
        <v>1301</v>
      </c>
      <c r="C683" s="17" t="s">
        <v>1302</v>
      </c>
      <c r="D683" s="2">
        <v>15.0</v>
      </c>
      <c r="E683" s="18">
        <f t="shared" si="1633"/>
        <v>722.4</v>
      </c>
      <c r="F683" s="1">
        <v>645.0</v>
      </c>
      <c r="G683" s="15">
        <f t="shared" ref="G683:H683" si="1955">E683/94</f>
        <v>7.685106383</v>
      </c>
      <c r="H683" s="15">
        <f t="shared" si="1955"/>
        <v>6.861702128</v>
      </c>
      <c r="I683" s="16">
        <f t="shared" ref="I683:J683" si="1956">E683/24</f>
        <v>30.1</v>
      </c>
      <c r="J683" s="16">
        <f t="shared" si="1956"/>
        <v>26.875</v>
      </c>
      <c r="K683" s="16">
        <f t="shared" ref="K683:L683" si="1957">E683/125</f>
        <v>5.7792</v>
      </c>
      <c r="L683" s="16">
        <f t="shared" si="1957"/>
        <v>5.16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ht="15.75" customHeight="1">
      <c r="A684" s="1"/>
      <c r="B684" s="17" t="s">
        <v>1303</v>
      </c>
      <c r="C684" s="17" t="s">
        <v>1304</v>
      </c>
      <c r="D684" s="2">
        <v>15.0</v>
      </c>
      <c r="E684" s="18">
        <f t="shared" si="1633"/>
        <v>610.4</v>
      </c>
      <c r="F684" s="1">
        <v>545.0</v>
      </c>
      <c r="G684" s="15">
        <f t="shared" ref="G684:H684" si="1958">E684/94</f>
        <v>6.493617021</v>
      </c>
      <c r="H684" s="15">
        <f t="shared" si="1958"/>
        <v>5.79787234</v>
      </c>
      <c r="I684" s="16">
        <f t="shared" ref="I684:J684" si="1959">E684/24</f>
        <v>25.43333333</v>
      </c>
      <c r="J684" s="16">
        <f t="shared" si="1959"/>
        <v>22.70833333</v>
      </c>
      <c r="K684" s="16">
        <f t="shared" ref="K684:L684" si="1960">E684/125</f>
        <v>4.8832</v>
      </c>
      <c r="L684" s="16">
        <f t="shared" si="1960"/>
        <v>4.36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ht="15.75" customHeight="1">
      <c r="A685" s="1"/>
      <c r="B685" s="17" t="s">
        <v>1305</v>
      </c>
      <c r="C685" s="17" t="s">
        <v>1306</v>
      </c>
      <c r="D685" s="2">
        <v>15.0</v>
      </c>
      <c r="E685" s="18">
        <f t="shared" si="1633"/>
        <v>722.4</v>
      </c>
      <c r="F685" s="1">
        <v>645.0</v>
      </c>
      <c r="G685" s="15">
        <f t="shared" ref="G685:H685" si="1961">E685/94</f>
        <v>7.685106383</v>
      </c>
      <c r="H685" s="15">
        <f t="shared" si="1961"/>
        <v>6.861702128</v>
      </c>
      <c r="I685" s="16">
        <f t="shared" ref="I685:J685" si="1962">E685/24</f>
        <v>30.1</v>
      </c>
      <c r="J685" s="16">
        <f t="shared" si="1962"/>
        <v>26.875</v>
      </c>
      <c r="K685" s="16">
        <f t="shared" ref="K685:L685" si="1963">E685/125</f>
        <v>5.7792</v>
      </c>
      <c r="L685" s="16">
        <f t="shared" si="1963"/>
        <v>5.16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ht="15.75" customHeight="1">
      <c r="A686" s="1"/>
      <c r="B686" s="17" t="s">
        <v>1307</v>
      </c>
      <c r="C686" s="17" t="s">
        <v>1308</v>
      </c>
      <c r="D686" s="2">
        <v>15.0</v>
      </c>
      <c r="E686" s="18">
        <f t="shared" si="1633"/>
        <v>610.4</v>
      </c>
      <c r="F686" s="1">
        <v>545.0</v>
      </c>
      <c r="G686" s="15">
        <f t="shared" ref="G686:H686" si="1964">E686/94</f>
        <v>6.493617021</v>
      </c>
      <c r="H686" s="15">
        <f t="shared" si="1964"/>
        <v>5.79787234</v>
      </c>
      <c r="I686" s="16">
        <f t="shared" ref="I686:J686" si="1965">E686/24</f>
        <v>25.43333333</v>
      </c>
      <c r="J686" s="16">
        <f t="shared" si="1965"/>
        <v>22.70833333</v>
      </c>
      <c r="K686" s="16">
        <f t="shared" ref="K686:L686" si="1966">E686/125</f>
        <v>4.8832</v>
      </c>
      <c r="L686" s="16">
        <f t="shared" si="1966"/>
        <v>4.36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ht="15.75" customHeight="1">
      <c r="A687" s="1"/>
      <c r="B687" s="17" t="s">
        <v>1309</v>
      </c>
      <c r="C687" s="17" t="s">
        <v>1310</v>
      </c>
      <c r="D687" s="2">
        <v>15.0</v>
      </c>
      <c r="E687" s="18">
        <f t="shared" si="1633"/>
        <v>834.4</v>
      </c>
      <c r="F687" s="1">
        <v>745.0</v>
      </c>
      <c r="G687" s="15">
        <f t="shared" ref="G687:H687" si="1967">E687/94</f>
        <v>8.876595745</v>
      </c>
      <c r="H687" s="15">
        <f t="shared" si="1967"/>
        <v>7.925531915</v>
      </c>
      <c r="I687" s="16">
        <f t="shared" ref="I687:J687" si="1968">E687/24</f>
        <v>34.76666667</v>
      </c>
      <c r="J687" s="16">
        <f t="shared" si="1968"/>
        <v>31.04166667</v>
      </c>
      <c r="K687" s="16">
        <f t="shared" ref="K687:L687" si="1969">E687/125</f>
        <v>6.6752</v>
      </c>
      <c r="L687" s="16">
        <f t="shared" si="1969"/>
        <v>5.96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ht="15.75" customHeight="1">
      <c r="A688" s="1"/>
      <c r="B688" s="17" t="s">
        <v>1311</v>
      </c>
      <c r="C688" s="17" t="s">
        <v>1312</v>
      </c>
      <c r="D688" s="2">
        <v>15.0</v>
      </c>
      <c r="E688" s="18">
        <f t="shared" si="1633"/>
        <v>778.4</v>
      </c>
      <c r="F688" s="1">
        <v>695.0</v>
      </c>
      <c r="G688" s="15">
        <f t="shared" ref="G688:H688" si="1970">E688/94</f>
        <v>8.280851064</v>
      </c>
      <c r="H688" s="15">
        <f t="shared" si="1970"/>
        <v>7.393617021</v>
      </c>
      <c r="I688" s="16">
        <f t="shared" ref="I688:J688" si="1971">E688/24</f>
        <v>32.43333333</v>
      </c>
      <c r="J688" s="16">
        <f t="shared" si="1971"/>
        <v>28.95833333</v>
      </c>
      <c r="K688" s="16">
        <f t="shared" ref="K688:L688" si="1972">E688/125</f>
        <v>6.2272</v>
      </c>
      <c r="L688" s="16">
        <f t="shared" si="1972"/>
        <v>5.56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ht="15.75" customHeight="1">
      <c r="A689" s="1"/>
      <c r="B689" s="17" t="s">
        <v>1313</v>
      </c>
      <c r="C689" s="17" t="s">
        <v>1314</v>
      </c>
      <c r="D689" s="2">
        <v>15.0</v>
      </c>
      <c r="E689" s="18">
        <f t="shared" si="1633"/>
        <v>722.4</v>
      </c>
      <c r="F689" s="1">
        <v>645.0</v>
      </c>
      <c r="G689" s="15">
        <f t="shared" ref="G689:H689" si="1973">E689/94</f>
        <v>7.685106383</v>
      </c>
      <c r="H689" s="15">
        <f t="shared" si="1973"/>
        <v>6.861702128</v>
      </c>
      <c r="I689" s="16">
        <f t="shared" ref="I689:J689" si="1974">E689/24</f>
        <v>30.1</v>
      </c>
      <c r="J689" s="16">
        <f t="shared" si="1974"/>
        <v>26.875</v>
      </c>
      <c r="K689" s="16">
        <f t="shared" ref="K689:L689" si="1975">E689/125</f>
        <v>5.7792</v>
      </c>
      <c r="L689" s="16">
        <f t="shared" si="1975"/>
        <v>5.16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ht="15.75" customHeight="1">
      <c r="A690" s="1"/>
      <c r="B690" s="17" t="s">
        <v>1315</v>
      </c>
      <c r="C690" s="17" t="s">
        <v>1316</v>
      </c>
      <c r="D690" s="2">
        <v>15.0</v>
      </c>
      <c r="E690" s="18">
        <f t="shared" si="1633"/>
        <v>834.4</v>
      </c>
      <c r="F690" s="1">
        <v>745.0</v>
      </c>
      <c r="G690" s="15">
        <f t="shared" ref="G690:H690" si="1976">E690/94</f>
        <v>8.876595745</v>
      </c>
      <c r="H690" s="15">
        <f t="shared" si="1976"/>
        <v>7.925531915</v>
      </c>
      <c r="I690" s="16">
        <f t="shared" ref="I690:J690" si="1977">E690/24</f>
        <v>34.76666667</v>
      </c>
      <c r="J690" s="16">
        <f t="shared" si="1977"/>
        <v>31.04166667</v>
      </c>
      <c r="K690" s="16">
        <f t="shared" ref="K690:L690" si="1978">E690/125</f>
        <v>6.6752</v>
      </c>
      <c r="L690" s="16">
        <f t="shared" si="1978"/>
        <v>5.96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ht="15.75" customHeight="1">
      <c r="A691" s="1"/>
      <c r="B691" s="17" t="s">
        <v>1317</v>
      </c>
      <c r="C691" s="17" t="s">
        <v>1318</v>
      </c>
      <c r="D691" s="2">
        <v>15.0</v>
      </c>
      <c r="E691" s="18">
        <f t="shared" si="1633"/>
        <v>778.4</v>
      </c>
      <c r="F691" s="1">
        <v>695.0</v>
      </c>
      <c r="G691" s="15">
        <f t="shared" ref="G691:H691" si="1979">E691/94</f>
        <v>8.280851064</v>
      </c>
      <c r="H691" s="15">
        <f t="shared" si="1979"/>
        <v>7.393617021</v>
      </c>
      <c r="I691" s="16">
        <f t="shared" ref="I691:J691" si="1980">E691/24</f>
        <v>32.43333333</v>
      </c>
      <c r="J691" s="16">
        <f t="shared" si="1980"/>
        <v>28.95833333</v>
      </c>
      <c r="K691" s="16">
        <f t="shared" ref="K691:L691" si="1981">E691/125</f>
        <v>6.2272</v>
      </c>
      <c r="L691" s="16">
        <f t="shared" si="1981"/>
        <v>5.56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ht="15.75" customHeight="1">
      <c r="A692" s="1"/>
      <c r="B692" s="17" t="s">
        <v>1319</v>
      </c>
      <c r="C692" s="17" t="s">
        <v>1320</v>
      </c>
      <c r="D692" s="2">
        <v>15.0</v>
      </c>
      <c r="E692" s="18">
        <f t="shared" si="1633"/>
        <v>722.4</v>
      </c>
      <c r="F692" s="1">
        <v>645.0</v>
      </c>
      <c r="G692" s="15">
        <f t="shared" ref="G692:H692" si="1982">E692/94</f>
        <v>7.685106383</v>
      </c>
      <c r="H692" s="15">
        <f t="shared" si="1982"/>
        <v>6.861702128</v>
      </c>
      <c r="I692" s="16">
        <f t="shared" ref="I692:J692" si="1983">E692/24</f>
        <v>30.1</v>
      </c>
      <c r="J692" s="16">
        <f t="shared" si="1983"/>
        <v>26.875</v>
      </c>
      <c r="K692" s="16">
        <f t="shared" ref="K692:L692" si="1984">E692/125</f>
        <v>5.7792</v>
      </c>
      <c r="L692" s="16">
        <f t="shared" si="1984"/>
        <v>5.16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ht="15.75" customHeight="1">
      <c r="A693" s="1"/>
      <c r="B693" s="17" t="s">
        <v>1321</v>
      </c>
      <c r="C693" s="17" t="s">
        <v>1322</v>
      </c>
      <c r="D693" s="2">
        <v>15.0</v>
      </c>
      <c r="E693" s="18">
        <f t="shared" si="1633"/>
        <v>252</v>
      </c>
      <c r="F693" s="1">
        <v>225.0</v>
      </c>
      <c r="G693" s="15">
        <f t="shared" ref="G693:H693" si="1985">E693/94</f>
        <v>2.680851064</v>
      </c>
      <c r="H693" s="15">
        <f t="shared" si="1985"/>
        <v>2.393617021</v>
      </c>
      <c r="I693" s="16">
        <f t="shared" ref="I693:J693" si="1986">E693/24</f>
        <v>10.5</v>
      </c>
      <c r="J693" s="16">
        <f t="shared" si="1986"/>
        <v>9.375</v>
      </c>
      <c r="K693" s="16">
        <f t="shared" ref="K693:L693" si="1987">E693/125</f>
        <v>2.016</v>
      </c>
      <c r="L693" s="16">
        <f t="shared" si="1987"/>
        <v>1.8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ht="15.75" customHeight="1">
      <c r="A694" s="1"/>
      <c r="B694" s="17" t="s">
        <v>1323</v>
      </c>
      <c r="C694" s="17" t="s">
        <v>1324</v>
      </c>
      <c r="D694" s="2">
        <v>15.0</v>
      </c>
      <c r="E694" s="18">
        <f t="shared" si="1633"/>
        <v>431.2</v>
      </c>
      <c r="F694" s="1">
        <v>385.0</v>
      </c>
      <c r="G694" s="15">
        <f t="shared" ref="G694:H694" si="1988">E694/94</f>
        <v>4.587234043</v>
      </c>
      <c r="H694" s="15">
        <f t="shared" si="1988"/>
        <v>4.095744681</v>
      </c>
      <c r="I694" s="16">
        <f t="shared" ref="I694:J694" si="1989">E694/24</f>
        <v>17.96666667</v>
      </c>
      <c r="J694" s="16">
        <f t="shared" si="1989"/>
        <v>16.04166667</v>
      </c>
      <c r="K694" s="16">
        <f t="shared" ref="K694:L694" si="1990">E694/125</f>
        <v>3.4496</v>
      </c>
      <c r="L694" s="16">
        <f t="shared" si="1990"/>
        <v>3.08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ht="15.75" customHeight="1">
      <c r="A695" s="1"/>
      <c r="B695" s="17" t="s">
        <v>1325</v>
      </c>
      <c r="C695" s="17" t="s">
        <v>1326</v>
      </c>
      <c r="D695" s="2">
        <v>15.0</v>
      </c>
      <c r="E695" s="18">
        <f t="shared" si="1633"/>
        <v>431.2</v>
      </c>
      <c r="F695" s="1">
        <v>385.0</v>
      </c>
      <c r="G695" s="15">
        <f t="shared" ref="G695:H695" si="1991">E695/94</f>
        <v>4.587234043</v>
      </c>
      <c r="H695" s="15">
        <f t="shared" si="1991"/>
        <v>4.095744681</v>
      </c>
      <c r="I695" s="16">
        <f t="shared" ref="I695:J695" si="1992">E695/24</f>
        <v>17.96666667</v>
      </c>
      <c r="J695" s="16">
        <f t="shared" si="1992"/>
        <v>16.04166667</v>
      </c>
      <c r="K695" s="16">
        <f t="shared" ref="K695:L695" si="1993">E695/125</f>
        <v>3.4496</v>
      </c>
      <c r="L695" s="16">
        <f t="shared" si="1993"/>
        <v>3.08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ht="15.75" customHeight="1">
      <c r="A696" s="1"/>
      <c r="B696" s="17" t="s">
        <v>1327</v>
      </c>
      <c r="C696" s="17" t="s">
        <v>1328</v>
      </c>
      <c r="D696" s="2">
        <v>15.0</v>
      </c>
      <c r="E696" s="18">
        <f t="shared" si="1633"/>
        <v>364</v>
      </c>
      <c r="F696" s="1">
        <v>325.0</v>
      </c>
      <c r="G696" s="15">
        <f t="shared" ref="G696:H696" si="1994">E696/94</f>
        <v>3.872340426</v>
      </c>
      <c r="H696" s="15">
        <f t="shared" si="1994"/>
        <v>3.457446809</v>
      </c>
      <c r="I696" s="16">
        <f t="shared" ref="I696:J696" si="1995">E696/24</f>
        <v>15.16666667</v>
      </c>
      <c r="J696" s="16">
        <f t="shared" si="1995"/>
        <v>13.54166667</v>
      </c>
      <c r="K696" s="16">
        <f t="shared" ref="K696:L696" si="1996">E696/125</f>
        <v>2.912</v>
      </c>
      <c r="L696" s="16">
        <f t="shared" si="1996"/>
        <v>2.6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ht="15.75" customHeight="1">
      <c r="A697" s="1"/>
      <c r="B697" s="17" t="s">
        <v>1329</v>
      </c>
      <c r="C697" s="17" t="s">
        <v>1330</v>
      </c>
      <c r="D697" s="2">
        <v>15.0</v>
      </c>
      <c r="E697" s="18">
        <f t="shared" si="1633"/>
        <v>364</v>
      </c>
      <c r="F697" s="1">
        <v>325.0</v>
      </c>
      <c r="G697" s="15">
        <f t="shared" ref="G697:H697" si="1997">E697/94</f>
        <v>3.872340426</v>
      </c>
      <c r="H697" s="15">
        <f t="shared" si="1997"/>
        <v>3.457446809</v>
      </c>
      <c r="I697" s="16">
        <f t="shared" ref="I697:J697" si="1998">E697/24</f>
        <v>15.16666667</v>
      </c>
      <c r="J697" s="16">
        <f t="shared" si="1998"/>
        <v>13.54166667</v>
      </c>
      <c r="K697" s="16">
        <f t="shared" ref="K697:L697" si="1999">E697/125</f>
        <v>2.912</v>
      </c>
      <c r="L697" s="16">
        <f t="shared" si="1999"/>
        <v>2.6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ht="15.75" customHeight="1">
      <c r="A698" s="1"/>
      <c r="B698" s="17" t="s">
        <v>1331</v>
      </c>
      <c r="C698" s="17" t="s">
        <v>1332</v>
      </c>
      <c r="D698" s="2">
        <v>15.0</v>
      </c>
      <c r="E698" s="18">
        <f t="shared" si="1633"/>
        <v>252</v>
      </c>
      <c r="F698" s="1">
        <v>225.0</v>
      </c>
      <c r="G698" s="15">
        <f t="shared" ref="G698:H698" si="2000">E698/94</f>
        <v>2.680851064</v>
      </c>
      <c r="H698" s="15">
        <f t="shared" si="2000"/>
        <v>2.393617021</v>
      </c>
      <c r="I698" s="16">
        <f t="shared" ref="I698:J698" si="2001">E698/24</f>
        <v>10.5</v>
      </c>
      <c r="J698" s="16">
        <f t="shared" si="2001"/>
        <v>9.375</v>
      </c>
      <c r="K698" s="16">
        <f t="shared" ref="K698:L698" si="2002">E698/125</f>
        <v>2.016</v>
      </c>
      <c r="L698" s="16">
        <f t="shared" si="2002"/>
        <v>1.8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ht="15.75" customHeight="1">
      <c r="A699" s="1"/>
      <c r="B699" s="17" t="s">
        <v>1333</v>
      </c>
      <c r="C699" s="17" t="s">
        <v>1334</v>
      </c>
      <c r="D699" s="2">
        <v>15.0</v>
      </c>
      <c r="E699" s="18">
        <f t="shared" si="1633"/>
        <v>252</v>
      </c>
      <c r="F699" s="1">
        <v>225.0</v>
      </c>
      <c r="G699" s="15">
        <f t="shared" ref="G699:H699" si="2003">E699/94</f>
        <v>2.680851064</v>
      </c>
      <c r="H699" s="15">
        <f t="shared" si="2003"/>
        <v>2.393617021</v>
      </c>
      <c r="I699" s="16">
        <f t="shared" ref="I699:J699" si="2004">E699/24</f>
        <v>10.5</v>
      </c>
      <c r="J699" s="16">
        <f t="shared" si="2004"/>
        <v>9.375</v>
      </c>
      <c r="K699" s="16">
        <f t="shared" ref="K699:L699" si="2005">E699/125</f>
        <v>2.016</v>
      </c>
      <c r="L699" s="16">
        <f t="shared" si="2005"/>
        <v>1.8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ht="15.0" customHeight="1">
      <c r="A700" s="1" t="s">
        <v>1335</v>
      </c>
      <c r="B700" s="1" t="s">
        <v>315</v>
      </c>
      <c r="C700" s="19" t="s">
        <v>1336</v>
      </c>
      <c r="D700" s="12">
        <v>1.0</v>
      </c>
      <c r="E700" s="18">
        <f t="shared" si="1633"/>
        <v>1668.8</v>
      </c>
      <c r="F700" s="14">
        <v>1490.0</v>
      </c>
      <c r="G700" s="15">
        <f t="shared" ref="G700:H700" si="2006">E700/94</f>
        <v>17.75319149</v>
      </c>
      <c r="H700" s="15">
        <f t="shared" si="2006"/>
        <v>15.85106383</v>
      </c>
      <c r="I700" s="16">
        <f t="shared" ref="I700:J700" si="2007">E700/24</f>
        <v>69.53333333</v>
      </c>
      <c r="J700" s="16">
        <f t="shared" si="2007"/>
        <v>62.08333333</v>
      </c>
      <c r="K700" s="16">
        <f t="shared" ref="K700:L700" si="2008">E700/125</f>
        <v>13.3504</v>
      </c>
      <c r="L700" s="16">
        <f t="shared" si="2008"/>
        <v>11.92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ht="15.75" customHeight="1">
      <c r="A701" s="1"/>
      <c r="B701" s="17" t="s">
        <v>317</v>
      </c>
      <c r="C701" s="19" t="s">
        <v>1337</v>
      </c>
      <c r="D701" s="12">
        <v>14.0</v>
      </c>
      <c r="E701" s="18">
        <f t="shared" si="1633"/>
        <v>1892.8</v>
      </c>
      <c r="F701" s="14">
        <v>1690.0</v>
      </c>
      <c r="G701" s="15">
        <f t="shared" ref="G701:H701" si="2009">E701/94</f>
        <v>20.13617021</v>
      </c>
      <c r="H701" s="15">
        <f t="shared" si="2009"/>
        <v>17.9787234</v>
      </c>
      <c r="I701" s="16">
        <f t="shared" ref="I701:J701" si="2010">E701/24</f>
        <v>78.86666667</v>
      </c>
      <c r="J701" s="16">
        <f t="shared" si="2010"/>
        <v>70.41666667</v>
      </c>
      <c r="K701" s="16">
        <f t="shared" ref="K701:L701" si="2011">E701/125</f>
        <v>15.1424</v>
      </c>
      <c r="L701" s="16">
        <f t="shared" si="2011"/>
        <v>13.52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ht="15.75" customHeight="1">
      <c r="A702" s="1"/>
      <c r="B702" s="1" t="s">
        <v>319</v>
      </c>
      <c r="C702" s="19" t="s">
        <v>1338</v>
      </c>
      <c r="D702" s="12">
        <v>9.0</v>
      </c>
      <c r="E702" s="18">
        <f t="shared" si="1633"/>
        <v>2116.8</v>
      </c>
      <c r="F702" s="14">
        <v>1890.0</v>
      </c>
      <c r="G702" s="15">
        <f t="shared" ref="G702:H702" si="2012">E702/94</f>
        <v>22.51914894</v>
      </c>
      <c r="H702" s="15">
        <f t="shared" si="2012"/>
        <v>20.10638298</v>
      </c>
      <c r="I702" s="16">
        <f t="shared" ref="I702:J702" si="2013">E702/24</f>
        <v>88.2</v>
      </c>
      <c r="J702" s="16">
        <f t="shared" si="2013"/>
        <v>78.75</v>
      </c>
      <c r="K702" s="16">
        <f t="shared" ref="K702:L702" si="2014">E702/125</f>
        <v>16.9344</v>
      </c>
      <c r="L702" s="16">
        <f t="shared" si="2014"/>
        <v>15.12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ht="15.75" customHeight="1">
      <c r="A703" s="1"/>
      <c r="B703" s="1" t="s">
        <v>759</v>
      </c>
      <c r="C703" s="32" t="s">
        <v>1339</v>
      </c>
      <c r="D703" s="22">
        <v>0.0</v>
      </c>
      <c r="E703" s="18">
        <f t="shared" si="1633"/>
        <v>2340.8</v>
      </c>
      <c r="F703" s="14">
        <v>2090.0</v>
      </c>
      <c r="G703" s="15">
        <f t="shared" ref="G703:H703" si="2015">E703/94</f>
        <v>24.90212766</v>
      </c>
      <c r="H703" s="15">
        <f t="shared" si="2015"/>
        <v>22.23404255</v>
      </c>
      <c r="I703" s="16">
        <f t="shared" ref="I703:J703" si="2016">E703/24</f>
        <v>97.53333333</v>
      </c>
      <c r="J703" s="16">
        <f t="shared" si="2016"/>
        <v>87.08333333</v>
      </c>
      <c r="K703" s="16">
        <f t="shared" ref="K703:L703" si="2017">E703/125</f>
        <v>18.7264</v>
      </c>
      <c r="L703" s="16">
        <f t="shared" si="2017"/>
        <v>16.72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ht="15.0" customHeight="1">
      <c r="A704" s="1" t="s">
        <v>1340</v>
      </c>
      <c r="B704" s="1" t="s">
        <v>1341</v>
      </c>
      <c r="C704" s="24" t="s">
        <v>1342</v>
      </c>
      <c r="D704" s="22">
        <v>5.0</v>
      </c>
      <c r="E704" s="18">
        <f t="shared" si="1633"/>
        <v>1444.8</v>
      </c>
      <c r="F704" s="14">
        <v>1290.0</v>
      </c>
      <c r="G704" s="15">
        <f t="shared" ref="G704:H704" si="2018">E704/94</f>
        <v>15.37021277</v>
      </c>
      <c r="H704" s="15">
        <f t="shared" si="2018"/>
        <v>13.72340426</v>
      </c>
      <c r="I704" s="16">
        <f t="shared" ref="I704:J704" si="2019">E704/24</f>
        <v>60.2</v>
      </c>
      <c r="J704" s="16">
        <f t="shared" si="2019"/>
        <v>53.75</v>
      </c>
      <c r="K704" s="16">
        <f t="shared" ref="K704:L704" si="2020">E704/125</f>
        <v>11.5584</v>
      </c>
      <c r="L704" s="16">
        <f t="shared" si="2020"/>
        <v>10.32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ht="15.75" customHeight="1">
      <c r="A705" s="1"/>
      <c r="B705" s="17" t="s">
        <v>1343</v>
      </c>
      <c r="C705" s="24" t="s">
        <v>1344</v>
      </c>
      <c r="D705" s="22">
        <v>8.0</v>
      </c>
      <c r="E705" s="18">
        <f t="shared" si="1633"/>
        <v>1556.8</v>
      </c>
      <c r="F705" s="14">
        <v>1390.0</v>
      </c>
      <c r="G705" s="15">
        <f t="shared" ref="G705:H705" si="2021">E705/94</f>
        <v>16.56170213</v>
      </c>
      <c r="H705" s="15">
        <f t="shared" si="2021"/>
        <v>14.78723404</v>
      </c>
      <c r="I705" s="16">
        <f t="shared" ref="I705:J705" si="2022">E705/24</f>
        <v>64.86666667</v>
      </c>
      <c r="J705" s="16">
        <f t="shared" si="2022"/>
        <v>57.91666667</v>
      </c>
      <c r="K705" s="16">
        <f t="shared" ref="K705:L705" si="2023">E705/125</f>
        <v>12.4544</v>
      </c>
      <c r="L705" s="16">
        <f t="shared" si="2023"/>
        <v>11.12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ht="15.75" customHeight="1">
      <c r="A706" s="1"/>
      <c r="B706" s="17" t="s">
        <v>1345</v>
      </c>
      <c r="C706" s="24" t="s">
        <v>1346</v>
      </c>
      <c r="D706" s="22">
        <v>0.0</v>
      </c>
      <c r="E706" s="18"/>
      <c r="F706" s="14"/>
      <c r="G706" s="15"/>
      <c r="H706" s="15"/>
      <c r="I706" s="16"/>
      <c r="J706" s="16"/>
      <c r="K706" s="16"/>
      <c r="L706" s="1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ht="15.75" customHeight="1">
      <c r="A707" s="1"/>
      <c r="B707" s="1" t="s">
        <v>770</v>
      </c>
      <c r="C707" s="24" t="s">
        <v>1347</v>
      </c>
      <c r="D707" s="22">
        <v>1.0</v>
      </c>
      <c r="E707" s="18">
        <f t="shared" ref="E707:E708" si="2027">F707+(F707*12%)</f>
        <v>1444.8</v>
      </c>
      <c r="F707" s="14">
        <v>1290.0</v>
      </c>
      <c r="G707" s="15">
        <f t="shared" ref="G707:H707" si="2024">E707/94</f>
        <v>15.37021277</v>
      </c>
      <c r="H707" s="15">
        <f t="shared" si="2024"/>
        <v>13.72340426</v>
      </c>
      <c r="I707" s="16">
        <f t="shared" ref="I707:J707" si="2025">E707/24</f>
        <v>60.2</v>
      </c>
      <c r="J707" s="16">
        <f t="shared" si="2025"/>
        <v>53.75</v>
      </c>
      <c r="K707" s="16">
        <f t="shared" ref="K707:L707" si="2026">E707/125</f>
        <v>11.5584</v>
      </c>
      <c r="L707" s="16">
        <f t="shared" si="2026"/>
        <v>10.32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ht="15.75" customHeight="1">
      <c r="A708" s="1"/>
      <c r="B708" s="17" t="s">
        <v>772</v>
      </c>
      <c r="C708" s="24" t="s">
        <v>1348</v>
      </c>
      <c r="D708" s="22">
        <v>3.0</v>
      </c>
      <c r="E708" s="18">
        <f t="shared" si="2027"/>
        <v>1556.8</v>
      </c>
      <c r="F708" s="14">
        <v>1390.0</v>
      </c>
      <c r="G708" s="15">
        <f t="shared" ref="G708:H708" si="2028">E708/94</f>
        <v>16.56170213</v>
      </c>
      <c r="H708" s="15">
        <f t="shared" si="2028"/>
        <v>14.78723404</v>
      </c>
      <c r="I708" s="16">
        <f t="shared" ref="I708:J708" si="2029">E708/24</f>
        <v>64.86666667</v>
      </c>
      <c r="J708" s="16">
        <f t="shared" si="2029"/>
        <v>57.91666667</v>
      </c>
      <c r="K708" s="16">
        <f t="shared" ref="K708:L708" si="2030">E708/125</f>
        <v>12.4544</v>
      </c>
      <c r="L708" s="16">
        <f t="shared" si="2030"/>
        <v>11.12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ht="15.75" customHeight="1">
      <c r="A709" s="1"/>
      <c r="B709" s="17" t="s">
        <v>774</v>
      </c>
      <c r="C709" s="24" t="s">
        <v>1349</v>
      </c>
      <c r="D709" s="22">
        <v>0.0</v>
      </c>
      <c r="E709" s="18"/>
      <c r="F709" s="14"/>
      <c r="G709" s="15"/>
      <c r="H709" s="15"/>
      <c r="I709" s="16"/>
      <c r="J709" s="16"/>
      <c r="K709" s="16"/>
      <c r="L709" s="1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ht="15.75" customHeight="1">
      <c r="A710" s="1"/>
      <c r="B710" s="1" t="s">
        <v>1350</v>
      </c>
      <c r="C710" s="24" t="s">
        <v>1351</v>
      </c>
      <c r="D710" s="22">
        <v>0.0</v>
      </c>
      <c r="E710" s="18">
        <f t="shared" ref="E710:E711" si="2034">F710+(F710*12%)</f>
        <v>1500.8</v>
      </c>
      <c r="F710" s="14">
        <v>1340.0</v>
      </c>
      <c r="G710" s="15">
        <f t="shared" ref="G710:H710" si="2031">E710/94</f>
        <v>15.96595745</v>
      </c>
      <c r="H710" s="15">
        <f t="shared" si="2031"/>
        <v>14.25531915</v>
      </c>
      <c r="I710" s="16">
        <f t="shared" ref="I710:J710" si="2032">E710/24</f>
        <v>62.53333333</v>
      </c>
      <c r="J710" s="16">
        <f t="shared" si="2032"/>
        <v>55.83333333</v>
      </c>
      <c r="K710" s="16">
        <f t="shared" ref="K710:L710" si="2033">E710/125</f>
        <v>12.0064</v>
      </c>
      <c r="L710" s="16">
        <f t="shared" si="2033"/>
        <v>10.72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ht="15.75" customHeight="1">
      <c r="A711" s="1"/>
      <c r="B711" s="17" t="s">
        <v>1352</v>
      </c>
      <c r="C711" s="24" t="s">
        <v>1353</v>
      </c>
      <c r="D711" s="22">
        <v>12.0</v>
      </c>
      <c r="E711" s="18">
        <f t="shared" si="2034"/>
        <v>1612.8</v>
      </c>
      <c r="F711" s="14">
        <v>1440.0</v>
      </c>
      <c r="G711" s="15">
        <f t="shared" ref="G711:H711" si="2035">E711/94</f>
        <v>17.15744681</v>
      </c>
      <c r="H711" s="15">
        <f t="shared" si="2035"/>
        <v>15.31914894</v>
      </c>
      <c r="I711" s="16">
        <f t="shared" ref="I711:J711" si="2036">E711/24</f>
        <v>67.2</v>
      </c>
      <c r="J711" s="16">
        <f t="shared" si="2036"/>
        <v>60</v>
      </c>
      <c r="K711" s="16">
        <f t="shared" ref="K711:L711" si="2037">E711/125</f>
        <v>12.9024</v>
      </c>
      <c r="L711" s="16">
        <f t="shared" si="2037"/>
        <v>11.52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ht="15.75" customHeight="1">
      <c r="A712" s="1"/>
      <c r="B712" s="17" t="s">
        <v>1354</v>
      </c>
      <c r="C712" s="24" t="s">
        <v>1355</v>
      </c>
      <c r="D712" s="22">
        <v>0.0</v>
      </c>
      <c r="E712" s="18"/>
      <c r="F712" s="14"/>
      <c r="G712" s="15"/>
      <c r="H712" s="15"/>
      <c r="I712" s="16"/>
      <c r="J712" s="16"/>
      <c r="K712" s="16"/>
      <c r="L712" s="1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ht="15.0" customHeight="1">
      <c r="A713" s="1" t="s">
        <v>1356</v>
      </c>
      <c r="B713" s="1" t="s">
        <v>1357</v>
      </c>
      <c r="C713" s="32" t="s">
        <v>1358</v>
      </c>
      <c r="D713" s="23"/>
      <c r="E713" s="18">
        <f t="shared" ref="E713:E737" si="2041">F713+(F713*12%)</f>
        <v>3460.8</v>
      </c>
      <c r="F713" s="14">
        <v>3090.0</v>
      </c>
      <c r="G713" s="15">
        <f t="shared" ref="G713:H713" si="2038">E713/94</f>
        <v>36.81702128</v>
      </c>
      <c r="H713" s="15">
        <f t="shared" si="2038"/>
        <v>32.87234043</v>
      </c>
      <c r="I713" s="16">
        <f t="shared" ref="I713:J713" si="2039">E713/24</f>
        <v>144.2</v>
      </c>
      <c r="J713" s="16">
        <f t="shared" si="2039"/>
        <v>128.75</v>
      </c>
      <c r="K713" s="16">
        <f t="shared" ref="K713:L713" si="2040">E713/125</f>
        <v>27.6864</v>
      </c>
      <c r="L713" s="16">
        <f t="shared" si="2040"/>
        <v>24.72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ht="15.75" customHeight="1">
      <c r="A714" s="1"/>
      <c r="B714" s="1" t="s">
        <v>1359</v>
      </c>
      <c r="C714" s="32" t="s">
        <v>1360</v>
      </c>
      <c r="D714" s="23"/>
      <c r="E714" s="18">
        <f t="shared" si="2041"/>
        <v>3460.8</v>
      </c>
      <c r="F714" s="14">
        <v>3090.0</v>
      </c>
      <c r="G714" s="15">
        <f t="shared" ref="G714:H714" si="2042">E714/94</f>
        <v>36.81702128</v>
      </c>
      <c r="H714" s="15">
        <f t="shared" si="2042"/>
        <v>32.87234043</v>
      </c>
      <c r="I714" s="16">
        <f t="shared" ref="I714:J714" si="2043">E714/24</f>
        <v>144.2</v>
      </c>
      <c r="J714" s="16">
        <f t="shared" si="2043"/>
        <v>128.75</v>
      </c>
      <c r="K714" s="16">
        <f t="shared" ref="K714:L714" si="2044">E714/125</f>
        <v>27.6864</v>
      </c>
      <c r="L714" s="16">
        <f t="shared" si="2044"/>
        <v>24.72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ht="15.75" customHeight="1">
      <c r="A715" s="1"/>
      <c r="B715" s="1" t="s">
        <v>1361</v>
      </c>
      <c r="C715" s="32" t="s">
        <v>1362</v>
      </c>
      <c r="D715" s="23"/>
      <c r="E715" s="18">
        <f t="shared" si="2041"/>
        <v>3460.8</v>
      </c>
      <c r="F715" s="14">
        <v>3090.0</v>
      </c>
      <c r="G715" s="15">
        <f t="shared" ref="G715:H715" si="2045">E715/94</f>
        <v>36.81702128</v>
      </c>
      <c r="H715" s="15">
        <f t="shared" si="2045"/>
        <v>32.87234043</v>
      </c>
      <c r="I715" s="16">
        <f t="shared" ref="I715:J715" si="2046">E715/24</f>
        <v>144.2</v>
      </c>
      <c r="J715" s="16">
        <f t="shared" si="2046"/>
        <v>128.75</v>
      </c>
      <c r="K715" s="16">
        <f t="shared" ref="K715:L715" si="2047">E715/125</f>
        <v>27.6864</v>
      </c>
      <c r="L715" s="16">
        <f t="shared" si="2047"/>
        <v>24.72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ht="15.75" customHeight="1">
      <c r="A716" s="1"/>
      <c r="B716" s="1" t="s">
        <v>569</v>
      </c>
      <c r="C716" s="32" t="s">
        <v>1363</v>
      </c>
      <c r="D716" s="23"/>
      <c r="E716" s="18">
        <f t="shared" si="2041"/>
        <v>10628.8</v>
      </c>
      <c r="F716" s="14">
        <v>9490.0</v>
      </c>
      <c r="G716" s="15">
        <f t="shared" ref="G716:H716" si="2048">E716/94</f>
        <v>113.0723404</v>
      </c>
      <c r="H716" s="15">
        <f t="shared" si="2048"/>
        <v>100.9574468</v>
      </c>
      <c r="I716" s="16">
        <f t="shared" ref="I716:J716" si="2049">E716/24</f>
        <v>442.8666667</v>
      </c>
      <c r="J716" s="16">
        <f t="shared" si="2049"/>
        <v>395.4166667</v>
      </c>
      <c r="K716" s="16">
        <f t="shared" ref="K716:L716" si="2050">E716/125</f>
        <v>85.0304</v>
      </c>
      <c r="L716" s="16">
        <f t="shared" si="2050"/>
        <v>75.92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ht="15.0" customHeight="1">
      <c r="A717" s="1" t="s">
        <v>1364</v>
      </c>
      <c r="B717" s="1" t="s">
        <v>1357</v>
      </c>
      <c r="C717" s="19" t="s">
        <v>1365</v>
      </c>
      <c r="D717" s="2"/>
      <c r="E717" s="18">
        <f t="shared" si="2041"/>
        <v>2676.8</v>
      </c>
      <c r="F717" s="14">
        <v>2390.0</v>
      </c>
      <c r="G717" s="15">
        <f t="shared" ref="G717:H717" si="2051">E717/94</f>
        <v>28.47659574</v>
      </c>
      <c r="H717" s="15">
        <f t="shared" si="2051"/>
        <v>25.42553191</v>
      </c>
      <c r="I717" s="16">
        <f t="shared" ref="I717:J717" si="2052">E717/24</f>
        <v>111.5333333</v>
      </c>
      <c r="J717" s="16">
        <f t="shared" si="2052"/>
        <v>99.58333333</v>
      </c>
      <c r="K717" s="16">
        <f t="shared" ref="K717:L717" si="2053">E717/125</f>
        <v>21.4144</v>
      </c>
      <c r="L717" s="16">
        <f t="shared" si="2053"/>
        <v>19.12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ht="15.75" customHeight="1">
      <c r="A718" s="1"/>
      <c r="B718" s="1" t="s">
        <v>1359</v>
      </c>
      <c r="C718" s="19" t="s">
        <v>1366</v>
      </c>
      <c r="D718" s="2"/>
      <c r="E718" s="18">
        <f t="shared" si="2041"/>
        <v>2676.8</v>
      </c>
      <c r="F718" s="14">
        <v>2390.0</v>
      </c>
      <c r="G718" s="15">
        <f t="shared" ref="G718:H718" si="2054">E718/94</f>
        <v>28.47659574</v>
      </c>
      <c r="H718" s="15">
        <f t="shared" si="2054"/>
        <v>25.42553191</v>
      </c>
      <c r="I718" s="16">
        <f t="shared" ref="I718:J718" si="2055">E718/24</f>
        <v>111.5333333</v>
      </c>
      <c r="J718" s="16">
        <f t="shared" si="2055"/>
        <v>99.58333333</v>
      </c>
      <c r="K718" s="16">
        <f t="shared" ref="K718:L718" si="2056">E718/125</f>
        <v>21.4144</v>
      </c>
      <c r="L718" s="16">
        <f t="shared" si="2056"/>
        <v>19.12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ht="15.75" customHeight="1">
      <c r="A719" s="1"/>
      <c r="B719" s="1" t="s">
        <v>1361</v>
      </c>
      <c r="C719" s="19" t="s">
        <v>1367</v>
      </c>
      <c r="D719" s="2"/>
      <c r="E719" s="18">
        <f t="shared" si="2041"/>
        <v>2676.8</v>
      </c>
      <c r="F719" s="14">
        <v>2390.0</v>
      </c>
      <c r="G719" s="15">
        <f t="shared" ref="G719:H719" si="2057">E719/94</f>
        <v>28.47659574</v>
      </c>
      <c r="H719" s="15">
        <f t="shared" si="2057"/>
        <v>25.42553191</v>
      </c>
      <c r="I719" s="16">
        <f t="shared" ref="I719:J719" si="2058">E719/24</f>
        <v>111.5333333</v>
      </c>
      <c r="J719" s="16">
        <f t="shared" si="2058"/>
        <v>99.58333333</v>
      </c>
      <c r="K719" s="16">
        <f t="shared" ref="K719:L719" si="2059">E719/125</f>
        <v>21.4144</v>
      </c>
      <c r="L719" s="16">
        <f t="shared" si="2059"/>
        <v>19.12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ht="15.75" customHeight="1">
      <c r="A720" s="1"/>
      <c r="B720" s="1" t="s">
        <v>569</v>
      </c>
      <c r="C720" s="19" t="s">
        <v>1368</v>
      </c>
      <c r="D720" s="2"/>
      <c r="E720" s="18">
        <f t="shared" si="2041"/>
        <v>7828.8</v>
      </c>
      <c r="F720" s="14">
        <v>6990.0</v>
      </c>
      <c r="G720" s="15">
        <f t="shared" ref="G720:H720" si="2060">E720/94</f>
        <v>83.28510638</v>
      </c>
      <c r="H720" s="15">
        <f t="shared" si="2060"/>
        <v>74.36170213</v>
      </c>
      <c r="I720" s="16">
        <f t="shared" ref="I720:J720" si="2061">E720/24</f>
        <v>326.2</v>
      </c>
      <c r="J720" s="16">
        <f t="shared" si="2061"/>
        <v>291.25</v>
      </c>
      <c r="K720" s="16">
        <f t="shared" ref="K720:L720" si="2062">E720/125</f>
        <v>62.6304</v>
      </c>
      <c r="L720" s="16">
        <f t="shared" si="2062"/>
        <v>55.92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ht="15.0" customHeight="1">
      <c r="A721" s="1" t="s">
        <v>1369</v>
      </c>
      <c r="B721" s="1" t="s">
        <v>1370</v>
      </c>
      <c r="C721" s="19" t="s">
        <v>1371</v>
      </c>
      <c r="D721" s="2"/>
      <c r="E721" s="18">
        <f t="shared" si="2041"/>
        <v>2968</v>
      </c>
      <c r="F721" s="1">
        <v>2650.0</v>
      </c>
      <c r="G721" s="15">
        <f t="shared" ref="G721:H721" si="2063">E721/94</f>
        <v>31.57446809</v>
      </c>
      <c r="H721" s="15">
        <f t="shared" si="2063"/>
        <v>28.19148936</v>
      </c>
      <c r="I721" s="16">
        <f t="shared" ref="I721:J721" si="2064">E721/24</f>
        <v>123.6666667</v>
      </c>
      <c r="J721" s="16">
        <f t="shared" si="2064"/>
        <v>110.4166667</v>
      </c>
      <c r="K721" s="16">
        <f t="shared" ref="K721:L721" si="2065">E721/125</f>
        <v>23.744</v>
      </c>
      <c r="L721" s="16">
        <f t="shared" si="2065"/>
        <v>21.2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>
      <c r="A722" s="1"/>
      <c r="B722" s="1" t="s">
        <v>1372</v>
      </c>
      <c r="C722" s="19" t="s">
        <v>1373</v>
      </c>
      <c r="D722" s="2"/>
      <c r="E722" s="18">
        <f t="shared" si="2041"/>
        <v>2968</v>
      </c>
      <c r="F722" s="1">
        <v>2650.0</v>
      </c>
      <c r="G722" s="15">
        <f t="shared" ref="G722:H722" si="2066">E722/94</f>
        <v>31.57446809</v>
      </c>
      <c r="H722" s="15">
        <f t="shared" si="2066"/>
        <v>28.19148936</v>
      </c>
      <c r="I722" s="16">
        <f t="shared" ref="I722:J722" si="2067">E722/24</f>
        <v>123.6666667</v>
      </c>
      <c r="J722" s="16">
        <f t="shared" si="2067"/>
        <v>110.4166667</v>
      </c>
      <c r="K722" s="16">
        <f t="shared" ref="K722:L722" si="2068">E722/125</f>
        <v>23.744</v>
      </c>
      <c r="L722" s="16">
        <f t="shared" si="2068"/>
        <v>21.2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>
      <c r="A723" s="1"/>
      <c r="B723" s="1" t="s">
        <v>1374</v>
      </c>
      <c r="C723" s="19" t="s">
        <v>1375</v>
      </c>
      <c r="D723" s="2"/>
      <c r="E723" s="18">
        <f t="shared" si="2041"/>
        <v>2968</v>
      </c>
      <c r="F723" s="1">
        <v>2650.0</v>
      </c>
      <c r="G723" s="15">
        <f t="shared" ref="G723:H723" si="2069">E723/94</f>
        <v>31.57446809</v>
      </c>
      <c r="H723" s="15">
        <f t="shared" si="2069"/>
        <v>28.19148936</v>
      </c>
      <c r="I723" s="16">
        <f t="shared" ref="I723:J723" si="2070">E723/24</f>
        <v>123.6666667</v>
      </c>
      <c r="J723" s="16">
        <f t="shared" si="2070"/>
        <v>110.4166667</v>
      </c>
      <c r="K723" s="16">
        <f t="shared" ref="K723:L723" si="2071">E723/125</f>
        <v>23.744</v>
      </c>
      <c r="L723" s="16">
        <f t="shared" si="2071"/>
        <v>21.2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>
      <c r="A724" s="1"/>
      <c r="B724" s="1" t="s">
        <v>1376</v>
      </c>
      <c r="C724" s="19" t="s">
        <v>1377</v>
      </c>
      <c r="D724" s="2"/>
      <c r="E724" s="18">
        <f t="shared" si="2041"/>
        <v>2968</v>
      </c>
      <c r="F724" s="1">
        <v>2650.0</v>
      </c>
      <c r="G724" s="15">
        <f t="shared" ref="G724:H724" si="2072">E724/94</f>
        <v>31.57446809</v>
      </c>
      <c r="H724" s="15">
        <f t="shared" si="2072"/>
        <v>28.19148936</v>
      </c>
      <c r="I724" s="16">
        <f t="shared" ref="I724:J724" si="2073">E724/24</f>
        <v>123.6666667</v>
      </c>
      <c r="J724" s="16">
        <f t="shared" si="2073"/>
        <v>110.4166667</v>
      </c>
      <c r="K724" s="16">
        <f t="shared" ref="K724:L724" si="2074">E724/125</f>
        <v>23.744</v>
      </c>
      <c r="L724" s="16">
        <f t="shared" si="2074"/>
        <v>21.2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>
      <c r="A725" s="1"/>
      <c r="B725" s="1" t="s">
        <v>1378</v>
      </c>
      <c r="C725" s="19" t="s">
        <v>1379</v>
      </c>
      <c r="D725" s="2"/>
      <c r="E725" s="18">
        <f t="shared" si="2041"/>
        <v>2968</v>
      </c>
      <c r="F725" s="1">
        <v>2650.0</v>
      </c>
      <c r="G725" s="15">
        <f t="shared" ref="G725:H725" si="2075">E725/94</f>
        <v>31.57446809</v>
      </c>
      <c r="H725" s="15">
        <f t="shared" si="2075"/>
        <v>28.19148936</v>
      </c>
      <c r="I725" s="16">
        <f t="shared" ref="I725:J725" si="2076">E725/24</f>
        <v>123.6666667</v>
      </c>
      <c r="J725" s="16">
        <f t="shared" si="2076"/>
        <v>110.4166667</v>
      </c>
      <c r="K725" s="16">
        <f t="shared" ref="K725:L725" si="2077">E725/125</f>
        <v>23.744</v>
      </c>
      <c r="L725" s="16">
        <f t="shared" si="2077"/>
        <v>21.2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>
      <c r="A726" s="1"/>
      <c r="B726" s="1" t="s">
        <v>1380</v>
      </c>
      <c r="C726" s="19" t="s">
        <v>1381</v>
      </c>
      <c r="D726" s="2"/>
      <c r="E726" s="18">
        <f t="shared" si="2041"/>
        <v>2968</v>
      </c>
      <c r="F726" s="1">
        <v>2650.0</v>
      </c>
      <c r="G726" s="15">
        <f t="shared" ref="G726:H726" si="2078">E726/94</f>
        <v>31.57446809</v>
      </c>
      <c r="H726" s="15">
        <f t="shared" si="2078"/>
        <v>28.19148936</v>
      </c>
      <c r="I726" s="16">
        <f t="shared" ref="I726:J726" si="2079">E726/24</f>
        <v>123.6666667</v>
      </c>
      <c r="J726" s="16">
        <f t="shared" si="2079"/>
        <v>110.4166667</v>
      </c>
      <c r="K726" s="16">
        <f t="shared" ref="K726:L726" si="2080">E726/125</f>
        <v>23.744</v>
      </c>
      <c r="L726" s="16">
        <f t="shared" si="2080"/>
        <v>21.2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>
      <c r="A727" s="1"/>
      <c r="B727" s="1" t="s">
        <v>1382</v>
      </c>
      <c r="C727" s="19" t="s">
        <v>1383</v>
      </c>
      <c r="D727" s="2"/>
      <c r="E727" s="18">
        <f t="shared" si="2041"/>
        <v>2968</v>
      </c>
      <c r="F727" s="1">
        <v>2650.0</v>
      </c>
      <c r="G727" s="15">
        <f t="shared" ref="G727:H727" si="2081">E727/94</f>
        <v>31.57446809</v>
      </c>
      <c r="H727" s="15">
        <f t="shared" si="2081"/>
        <v>28.19148936</v>
      </c>
      <c r="I727" s="16">
        <f t="shared" ref="I727:J727" si="2082">E727/24</f>
        <v>123.6666667</v>
      </c>
      <c r="J727" s="16">
        <f t="shared" si="2082"/>
        <v>110.4166667</v>
      </c>
      <c r="K727" s="16">
        <f t="shared" ref="K727:L727" si="2083">E727/125</f>
        <v>23.744</v>
      </c>
      <c r="L727" s="16">
        <f t="shared" si="2083"/>
        <v>21.2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>
      <c r="A728" s="1"/>
      <c r="B728" s="1" t="s">
        <v>569</v>
      </c>
      <c r="C728" s="19" t="s">
        <v>1384</v>
      </c>
      <c r="D728" s="2"/>
      <c r="E728" s="18">
        <f t="shared" si="2041"/>
        <v>18480</v>
      </c>
      <c r="F728" s="1">
        <v>16500.0</v>
      </c>
      <c r="G728" s="15">
        <f t="shared" ref="G728:H728" si="2084">E728/94</f>
        <v>196.5957447</v>
      </c>
      <c r="H728" s="15">
        <f t="shared" si="2084"/>
        <v>175.5319149</v>
      </c>
      <c r="I728" s="16">
        <f t="shared" ref="I728:J728" si="2085">E728/24</f>
        <v>770</v>
      </c>
      <c r="J728" s="16">
        <f t="shared" si="2085"/>
        <v>687.5</v>
      </c>
      <c r="K728" s="16">
        <f t="shared" ref="K728:L728" si="2086">E728/125</f>
        <v>147.84</v>
      </c>
      <c r="L728" s="16">
        <f t="shared" si="2086"/>
        <v>132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ht="15.0" customHeight="1">
      <c r="A729" s="1" t="s">
        <v>1385</v>
      </c>
      <c r="B729" s="1"/>
      <c r="C729" s="17" t="s">
        <v>1386</v>
      </c>
      <c r="D729" s="2"/>
      <c r="E729" s="18">
        <f t="shared" si="2041"/>
        <v>15120</v>
      </c>
      <c r="F729" s="14">
        <v>13500.0</v>
      </c>
      <c r="G729" s="15">
        <f t="shared" ref="G729:H729" si="2087">E729/94</f>
        <v>160.8510638</v>
      </c>
      <c r="H729" s="15">
        <f t="shared" si="2087"/>
        <v>143.6170213</v>
      </c>
      <c r="I729" s="16">
        <f t="shared" ref="I729:J729" si="2088">E729/24</f>
        <v>630</v>
      </c>
      <c r="J729" s="16">
        <f t="shared" si="2088"/>
        <v>562.5</v>
      </c>
      <c r="K729" s="16">
        <f t="shared" ref="K729:L729" si="2089">E729/125</f>
        <v>120.96</v>
      </c>
      <c r="L729" s="16">
        <f t="shared" si="2089"/>
        <v>108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ht="15.0" customHeight="1">
      <c r="A730" s="1" t="s">
        <v>1387</v>
      </c>
      <c r="B730" s="1" t="s">
        <v>183</v>
      </c>
      <c r="C730" s="17" t="s">
        <v>1388</v>
      </c>
      <c r="D730" s="2">
        <v>6.0</v>
      </c>
      <c r="E730" s="18">
        <f t="shared" si="2041"/>
        <v>9284.8</v>
      </c>
      <c r="F730" s="14">
        <v>8290.0</v>
      </c>
      <c r="G730" s="15">
        <f t="shared" ref="G730:H730" si="2090">E730/94</f>
        <v>98.77446809</v>
      </c>
      <c r="H730" s="15">
        <f t="shared" si="2090"/>
        <v>88.19148936</v>
      </c>
      <c r="I730" s="16">
        <f t="shared" ref="I730:J730" si="2091">E730/24</f>
        <v>386.8666667</v>
      </c>
      <c r="J730" s="16">
        <f t="shared" si="2091"/>
        <v>345.4166667</v>
      </c>
      <c r="K730" s="16">
        <f t="shared" ref="K730:L730" si="2092">E730/125</f>
        <v>74.2784</v>
      </c>
      <c r="L730" s="16">
        <f t="shared" si="2092"/>
        <v>66.32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ht="15.75" customHeight="1">
      <c r="A731" s="1"/>
      <c r="B731" s="1" t="s">
        <v>17</v>
      </c>
      <c r="C731" s="17" t="s">
        <v>1389</v>
      </c>
      <c r="D731" s="2"/>
      <c r="E731" s="18">
        <f t="shared" si="2041"/>
        <v>9284.8</v>
      </c>
      <c r="F731" s="14">
        <v>8290.0</v>
      </c>
      <c r="G731" s="15">
        <f t="shared" ref="G731:H731" si="2093">E731/94</f>
        <v>98.77446809</v>
      </c>
      <c r="H731" s="15">
        <f t="shared" si="2093"/>
        <v>88.19148936</v>
      </c>
      <c r="I731" s="16">
        <f t="shared" ref="I731:J731" si="2094">E731/24</f>
        <v>386.8666667</v>
      </c>
      <c r="J731" s="16">
        <f t="shared" si="2094"/>
        <v>345.4166667</v>
      </c>
      <c r="K731" s="16">
        <f t="shared" ref="K731:L731" si="2095">E731/125</f>
        <v>74.2784</v>
      </c>
      <c r="L731" s="16">
        <f t="shared" si="2095"/>
        <v>66.32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ht="15.75" customHeight="1">
      <c r="A732" s="1"/>
      <c r="B732" s="1" t="s">
        <v>15</v>
      </c>
      <c r="C732" s="17" t="s">
        <v>1390</v>
      </c>
      <c r="D732" s="2"/>
      <c r="E732" s="18">
        <f t="shared" si="2041"/>
        <v>9284.8</v>
      </c>
      <c r="F732" s="14">
        <v>8290.0</v>
      </c>
      <c r="G732" s="15">
        <f t="shared" ref="G732:H732" si="2096">E732/94</f>
        <v>98.77446809</v>
      </c>
      <c r="H732" s="15">
        <f t="shared" si="2096"/>
        <v>88.19148936</v>
      </c>
      <c r="I732" s="16">
        <f t="shared" ref="I732:J732" si="2097">E732/24</f>
        <v>386.8666667</v>
      </c>
      <c r="J732" s="16">
        <f t="shared" si="2097"/>
        <v>345.4166667</v>
      </c>
      <c r="K732" s="16">
        <f t="shared" ref="K732:L732" si="2098">E732/125</f>
        <v>74.2784</v>
      </c>
      <c r="L732" s="16">
        <f t="shared" si="2098"/>
        <v>66.32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ht="15.0" customHeight="1">
      <c r="A733" s="1" t="s">
        <v>1391</v>
      </c>
      <c r="B733" s="1" t="s">
        <v>183</v>
      </c>
      <c r="C733" s="1" t="s">
        <v>1392</v>
      </c>
      <c r="D733" s="2"/>
      <c r="E733" s="18">
        <f t="shared" si="2041"/>
        <v>7448</v>
      </c>
      <c r="F733" s="14">
        <v>6650.0</v>
      </c>
      <c r="G733" s="15">
        <f t="shared" ref="G733:H733" si="2099">E733/94</f>
        <v>79.23404255</v>
      </c>
      <c r="H733" s="15">
        <f t="shared" si="2099"/>
        <v>70.74468085</v>
      </c>
      <c r="I733" s="16">
        <f t="shared" ref="I733:J733" si="2100">E733/24</f>
        <v>310.3333333</v>
      </c>
      <c r="J733" s="16">
        <f t="shared" si="2100"/>
        <v>277.0833333</v>
      </c>
      <c r="K733" s="16">
        <f t="shared" ref="K733:L733" si="2101">E733/125</f>
        <v>59.584</v>
      </c>
      <c r="L733" s="16">
        <f t="shared" si="2101"/>
        <v>53.2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ht="15.75" customHeight="1">
      <c r="A734" s="1"/>
      <c r="B734" s="1" t="s">
        <v>15</v>
      </c>
      <c r="C734" s="1" t="s">
        <v>1393</v>
      </c>
      <c r="D734" s="2"/>
      <c r="E734" s="18">
        <f t="shared" si="2041"/>
        <v>7448</v>
      </c>
      <c r="F734" s="14">
        <v>6650.0</v>
      </c>
      <c r="G734" s="15">
        <f t="shared" ref="G734:H734" si="2102">E734/94</f>
        <v>79.23404255</v>
      </c>
      <c r="H734" s="15">
        <f t="shared" si="2102"/>
        <v>70.74468085</v>
      </c>
      <c r="I734" s="16">
        <f t="shared" ref="I734:J734" si="2103">E734/24</f>
        <v>310.3333333</v>
      </c>
      <c r="J734" s="16">
        <f t="shared" si="2103"/>
        <v>277.0833333</v>
      </c>
      <c r="K734" s="16">
        <f t="shared" ref="K734:L734" si="2104">E734/125</f>
        <v>59.584</v>
      </c>
      <c r="L734" s="16">
        <f t="shared" si="2104"/>
        <v>53.2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ht="15.0" customHeight="1">
      <c r="A735" s="17" t="s">
        <v>1394</v>
      </c>
      <c r="B735" s="1" t="s">
        <v>315</v>
      </c>
      <c r="C735" s="17" t="s">
        <v>1395</v>
      </c>
      <c r="D735" s="2">
        <v>14.0</v>
      </c>
      <c r="E735" s="18">
        <f t="shared" si="2041"/>
        <v>1780.8</v>
      </c>
      <c r="F735" s="14">
        <v>1590.0</v>
      </c>
      <c r="G735" s="15">
        <f t="shared" ref="G735:H735" si="2105">E735/94</f>
        <v>18.94468085</v>
      </c>
      <c r="H735" s="15">
        <f t="shared" si="2105"/>
        <v>16.91489362</v>
      </c>
      <c r="I735" s="16">
        <f t="shared" ref="I735:J735" si="2106">E735/24</f>
        <v>74.2</v>
      </c>
      <c r="J735" s="16">
        <f t="shared" si="2106"/>
        <v>66.25</v>
      </c>
      <c r="K735" s="16">
        <f t="shared" ref="K735:L735" si="2107">E735/125</f>
        <v>14.2464</v>
      </c>
      <c r="L735" s="16">
        <f t="shared" si="2107"/>
        <v>12.72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ht="15.75" customHeight="1">
      <c r="A736" s="1"/>
      <c r="B736" s="1" t="s">
        <v>317</v>
      </c>
      <c r="C736" s="17" t="s">
        <v>1396</v>
      </c>
      <c r="D736" s="2">
        <v>17.0</v>
      </c>
      <c r="E736" s="18">
        <f t="shared" si="2041"/>
        <v>2116.8</v>
      </c>
      <c r="F736" s="14">
        <v>1890.0</v>
      </c>
      <c r="G736" s="15">
        <f t="shared" ref="G736:H736" si="2108">E736/94</f>
        <v>22.51914894</v>
      </c>
      <c r="H736" s="15">
        <f t="shared" si="2108"/>
        <v>20.10638298</v>
      </c>
      <c r="I736" s="16">
        <f t="shared" ref="I736:J736" si="2109">E736/24</f>
        <v>88.2</v>
      </c>
      <c r="J736" s="16">
        <f t="shared" si="2109"/>
        <v>78.75</v>
      </c>
      <c r="K736" s="16">
        <f t="shared" ref="K736:L736" si="2110">E736/125</f>
        <v>16.9344</v>
      </c>
      <c r="L736" s="16">
        <f t="shared" si="2110"/>
        <v>15.12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ht="15.75" customHeight="1">
      <c r="A737" s="1"/>
      <c r="B737" s="1" t="s">
        <v>319</v>
      </c>
      <c r="C737" s="17" t="s">
        <v>1397</v>
      </c>
      <c r="D737" s="2">
        <v>12.0</v>
      </c>
      <c r="E737" s="18">
        <f t="shared" si="2041"/>
        <v>2228.8</v>
      </c>
      <c r="F737" s="14">
        <v>1990.0</v>
      </c>
      <c r="G737" s="15">
        <f t="shared" ref="G737:H737" si="2111">E737/94</f>
        <v>23.7106383</v>
      </c>
      <c r="H737" s="15">
        <f t="shared" si="2111"/>
        <v>21.17021277</v>
      </c>
      <c r="I737" s="16">
        <f t="shared" ref="I737:J737" si="2112">E737/24</f>
        <v>92.86666667</v>
      </c>
      <c r="J737" s="16">
        <f t="shared" si="2112"/>
        <v>82.91666667</v>
      </c>
      <c r="K737" s="16">
        <f t="shared" ref="K737:L737" si="2113">E737/125</f>
        <v>17.8304</v>
      </c>
      <c r="L737" s="16">
        <f t="shared" si="2113"/>
        <v>15.92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ht="15.75" customHeight="1">
      <c r="A738" s="19" t="s">
        <v>1398</v>
      </c>
      <c r="B738" s="19" t="s">
        <v>1399</v>
      </c>
      <c r="C738" s="19" t="s">
        <v>1400</v>
      </c>
      <c r="D738" s="42"/>
      <c r="E738" s="43">
        <v>3200.0</v>
      </c>
      <c r="F738" s="44">
        <v>2990.0</v>
      </c>
      <c r="G738" s="15">
        <f t="shared" ref="G738:H738" si="2114">E738/94</f>
        <v>34.04255319</v>
      </c>
      <c r="H738" s="15">
        <f t="shared" si="2114"/>
        <v>31.80851064</v>
      </c>
      <c r="I738" s="16">
        <f t="shared" ref="I738:J738" si="2115">E738/24</f>
        <v>133.3333333</v>
      </c>
      <c r="J738" s="16">
        <f t="shared" si="2115"/>
        <v>124.5833333</v>
      </c>
      <c r="K738" s="16">
        <f t="shared" ref="K738:L738" si="2116">E738/125</f>
        <v>25.6</v>
      </c>
      <c r="L738" s="16">
        <f t="shared" si="2116"/>
        <v>23.92</v>
      </c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</row>
    <row r="739" ht="15.75" customHeight="1">
      <c r="A739" s="19" t="s">
        <v>1401</v>
      </c>
      <c r="B739" s="19" t="s">
        <v>1402</v>
      </c>
      <c r="C739" s="19" t="s">
        <v>1403</v>
      </c>
      <c r="D739" s="42"/>
      <c r="E739" s="43">
        <v>3200.0</v>
      </c>
      <c r="F739" s="44">
        <v>2990.0</v>
      </c>
      <c r="G739" s="15">
        <f t="shared" ref="G739:H739" si="2117">E739/94</f>
        <v>34.04255319</v>
      </c>
      <c r="H739" s="15">
        <f t="shared" si="2117"/>
        <v>31.80851064</v>
      </c>
      <c r="I739" s="16">
        <f t="shared" ref="I739:J739" si="2118">E739/24</f>
        <v>133.3333333</v>
      </c>
      <c r="J739" s="16">
        <f t="shared" si="2118"/>
        <v>124.5833333</v>
      </c>
      <c r="K739" s="16">
        <f t="shared" ref="K739:L739" si="2119">E739/125</f>
        <v>25.6</v>
      </c>
      <c r="L739" s="16">
        <f t="shared" si="2119"/>
        <v>23.92</v>
      </c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</row>
    <row r="740" ht="15.75" customHeight="1">
      <c r="A740" s="19" t="s">
        <v>1404</v>
      </c>
      <c r="B740" s="19" t="s">
        <v>1405</v>
      </c>
      <c r="C740" s="19" t="s">
        <v>1406</v>
      </c>
      <c r="D740" s="42"/>
      <c r="E740" s="43">
        <v>3200.0</v>
      </c>
      <c r="F740" s="44">
        <v>2990.0</v>
      </c>
      <c r="G740" s="15">
        <f t="shared" ref="G740:H740" si="2120">E740/94</f>
        <v>34.04255319</v>
      </c>
      <c r="H740" s="15">
        <f t="shared" si="2120"/>
        <v>31.80851064</v>
      </c>
      <c r="I740" s="16">
        <f t="shared" ref="I740:J740" si="2121">E740/24</f>
        <v>133.3333333</v>
      </c>
      <c r="J740" s="16">
        <f t="shared" si="2121"/>
        <v>124.5833333</v>
      </c>
      <c r="K740" s="16">
        <f t="shared" ref="K740:L740" si="2122">E740/125</f>
        <v>25.6</v>
      </c>
      <c r="L740" s="16">
        <f t="shared" si="2122"/>
        <v>23.92</v>
      </c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</row>
    <row r="741" ht="15.75" customHeight="1">
      <c r="A741" s="19" t="s">
        <v>1407</v>
      </c>
      <c r="B741" s="19" t="s">
        <v>1408</v>
      </c>
      <c r="C741" s="19" t="s">
        <v>1409</v>
      </c>
      <c r="D741" s="42"/>
      <c r="E741" s="43">
        <v>3200.0</v>
      </c>
      <c r="F741" s="44">
        <v>2990.0</v>
      </c>
      <c r="G741" s="15">
        <f t="shared" ref="G741:H741" si="2123">E741/94</f>
        <v>34.04255319</v>
      </c>
      <c r="H741" s="15">
        <f t="shared" si="2123"/>
        <v>31.80851064</v>
      </c>
      <c r="I741" s="16">
        <f t="shared" ref="I741:J741" si="2124">E741/24</f>
        <v>133.3333333</v>
      </c>
      <c r="J741" s="16">
        <f t="shared" si="2124"/>
        <v>124.5833333</v>
      </c>
      <c r="K741" s="16">
        <f t="shared" ref="K741:L741" si="2125">E741/125</f>
        <v>25.6</v>
      </c>
      <c r="L741" s="16">
        <f t="shared" si="2125"/>
        <v>23.92</v>
      </c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</row>
    <row r="742" ht="15.0" customHeight="1">
      <c r="A742" s="27" t="s">
        <v>1410</v>
      </c>
      <c r="B742" s="27" t="s">
        <v>315</v>
      </c>
      <c r="C742" s="46" t="s">
        <v>1411</v>
      </c>
      <c r="D742" s="23"/>
      <c r="E742" s="13">
        <v>1390.0</v>
      </c>
      <c r="F742" s="20">
        <v>990.0</v>
      </c>
      <c r="G742" s="15">
        <f t="shared" ref="G742:H742" si="2126">E742/94</f>
        <v>14.78723404</v>
      </c>
      <c r="H742" s="15">
        <f t="shared" si="2126"/>
        <v>10.53191489</v>
      </c>
      <c r="I742" s="16">
        <f t="shared" ref="I742:J742" si="2127">E742/24</f>
        <v>57.91666667</v>
      </c>
      <c r="J742" s="16">
        <f t="shared" si="2127"/>
        <v>41.25</v>
      </c>
      <c r="K742" s="16">
        <f t="shared" ref="K742:L742" si="2128">E742/125</f>
        <v>11.12</v>
      </c>
      <c r="L742" s="16">
        <f t="shared" si="2128"/>
        <v>7.92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ht="15.0" customHeight="1">
      <c r="A743" s="27"/>
      <c r="B743" s="27" t="s">
        <v>317</v>
      </c>
      <c r="C743" s="46" t="s">
        <v>1412</v>
      </c>
      <c r="D743" s="23"/>
      <c r="E743" s="13">
        <v>1890.0</v>
      </c>
      <c r="F743" s="20">
        <v>1490.0</v>
      </c>
      <c r="G743" s="15">
        <f t="shared" ref="G743:H743" si="2129">E743/94</f>
        <v>20.10638298</v>
      </c>
      <c r="H743" s="15">
        <f t="shared" si="2129"/>
        <v>15.85106383</v>
      </c>
      <c r="I743" s="16">
        <f t="shared" ref="I743:J743" si="2130">E743/24</f>
        <v>78.75</v>
      </c>
      <c r="J743" s="16">
        <f t="shared" si="2130"/>
        <v>62.08333333</v>
      </c>
      <c r="K743" s="16">
        <f t="shared" ref="K743:L743" si="2131">E743/125</f>
        <v>15.12</v>
      </c>
      <c r="L743" s="16">
        <f t="shared" si="2131"/>
        <v>11.92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ht="15.0" customHeight="1">
      <c r="A744" s="27"/>
      <c r="B744" s="27" t="s">
        <v>319</v>
      </c>
      <c r="C744" s="46" t="s">
        <v>1413</v>
      </c>
      <c r="D744" s="23"/>
      <c r="E744" s="13">
        <v>2490.0</v>
      </c>
      <c r="F744" s="20">
        <v>1990.0</v>
      </c>
      <c r="G744" s="15">
        <f t="shared" ref="G744:H744" si="2132">E744/94</f>
        <v>26.4893617</v>
      </c>
      <c r="H744" s="15">
        <f t="shared" si="2132"/>
        <v>21.17021277</v>
      </c>
      <c r="I744" s="16">
        <f t="shared" ref="I744:J744" si="2133">E744/24</f>
        <v>103.75</v>
      </c>
      <c r="J744" s="16">
        <f t="shared" si="2133"/>
        <v>82.91666667</v>
      </c>
      <c r="K744" s="16">
        <f t="shared" ref="K744:L744" si="2134">E744/125</f>
        <v>19.92</v>
      </c>
      <c r="L744" s="16">
        <f t="shared" si="2134"/>
        <v>15.92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ht="15.0" customHeight="1">
      <c r="A745" s="1" t="s">
        <v>1414</v>
      </c>
      <c r="B745" s="1" t="s">
        <v>1415</v>
      </c>
      <c r="C745" s="24" t="s">
        <v>1416</v>
      </c>
      <c r="D745" s="23"/>
      <c r="E745" s="18">
        <f t="shared" ref="E745:E750" si="2138">F745+(F745*12%)</f>
        <v>42548.8</v>
      </c>
      <c r="F745" s="14">
        <v>37990.0</v>
      </c>
      <c r="G745" s="15">
        <f t="shared" ref="G745:H745" si="2135">E745/94</f>
        <v>452.6468085</v>
      </c>
      <c r="H745" s="15">
        <f t="shared" si="2135"/>
        <v>404.1489362</v>
      </c>
      <c r="I745" s="16">
        <f t="shared" ref="I745:J745" si="2136">E745/24</f>
        <v>1772.866667</v>
      </c>
      <c r="J745" s="16">
        <f t="shared" si="2136"/>
        <v>1582.916667</v>
      </c>
      <c r="K745" s="16">
        <f t="shared" ref="K745:L745" si="2137">E745/125</f>
        <v>340.3904</v>
      </c>
      <c r="L745" s="16">
        <f t="shared" si="2137"/>
        <v>303.92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ht="15.75" customHeight="1">
      <c r="A746" s="1"/>
      <c r="B746" s="1" t="s">
        <v>1417</v>
      </c>
      <c r="C746" s="32" t="s">
        <v>1418</v>
      </c>
      <c r="D746" s="23"/>
      <c r="E746" s="18">
        <f t="shared" si="2138"/>
        <v>35828.8</v>
      </c>
      <c r="F746" s="14">
        <v>31990.0</v>
      </c>
      <c r="G746" s="15">
        <f t="shared" ref="G746:H746" si="2139">E746/94</f>
        <v>381.1574468</v>
      </c>
      <c r="H746" s="15">
        <f t="shared" si="2139"/>
        <v>340.3191489</v>
      </c>
      <c r="I746" s="16">
        <f t="shared" ref="I746:J746" si="2140">E746/24</f>
        <v>1492.866667</v>
      </c>
      <c r="J746" s="16">
        <f t="shared" si="2140"/>
        <v>1332.916667</v>
      </c>
      <c r="K746" s="16">
        <f t="shared" ref="K746:L746" si="2141">E746/125</f>
        <v>286.6304</v>
      </c>
      <c r="L746" s="16">
        <f t="shared" si="2141"/>
        <v>255.92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ht="15.0" customHeight="1">
      <c r="A747" s="1" t="s">
        <v>1419</v>
      </c>
      <c r="B747" s="17" t="s">
        <v>1420</v>
      </c>
      <c r="C747" s="32" t="s">
        <v>1421</v>
      </c>
      <c r="D747" s="22">
        <v>0.0</v>
      </c>
      <c r="E747" s="18">
        <f t="shared" si="2138"/>
        <v>13428.8</v>
      </c>
      <c r="F747" s="14">
        <v>11990.0</v>
      </c>
      <c r="G747" s="15">
        <f t="shared" ref="G747:H747" si="2142">E747/94</f>
        <v>142.8595745</v>
      </c>
      <c r="H747" s="15">
        <f t="shared" si="2142"/>
        <v>127.5531915</v>
      </c>
      <c r="I747" s="16">
        <f t="shared" ref="I747:J747" si="2143">E747/24</f>
        <v>559.5333333</v>
      </c>
      <c r="J747" s="16">
        <f t="shared" si="2143"/>
        <v>499.5833333</v>
      </c>
      <c r="K747" s="16">
        <f t="shared" ref="K747:L747" si="2144">E747/125</f>
        <v>107.4304</v>
      </c>
      <c r="L747" s="16">
        <f t="shared" si="2144"/>
        <v>95.92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ht="15.75" customHeight="1">
      <c r="A748" s="1"/>
      <c r="B748" s="1" t="s">
        <v>1422</v>
      </c>
      <c r="C748" s="32" t="s">
        <v>1423</v>
      </c>
      <c r="D748" s="22">
        <v>5.0</v>
      </c>
      <c r="E748" s="18">
        <f t="shared" si="2138"/>
        <v>0</v>
      </c>
      <c r="F748" s="14"/>
      <c r="G748" s="15"/>
      <c r="H748" s="15"/>
      <c r="I748" s="16"/>
      <c r="J748" s="16"/>
      <c r="K748" s="16"/>
      <c r="L748" s="1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ht="15.75" customHeight="1">
      <c r="A749" s="1"/>
      <c r="B749" s="1" t="s">
        <v>1424</v>
      </c>
      <c r="C749" s="32" t="s">
        <v>1425</v>
      </c>
      <c r="D749" s="23">
        <v>3.0</v>
      </c>
      <c r="E749" s="18">
        <f t="shared" si="2138"/>
        <v>16788.8</v>
      </c>
      <c r="F749" s="14">
        <v>14990.0</v>
      </c>
      <c r="G749" s="15">
        <f t="shared" ref="G749:H749" si="2145">E749/94</f>
        <v>178.6042553</v>
      </c>
      <c r="H749" s="15">
        <f t="shared" si="2145"/>
        <v>159.4680851</v>
      </c>
      <c r="I749" s="16">
        <f t="shared" ref="I749:J749" si="2146">E749/24</f>
        <v>699.5333333</v>
      </c>
      <c r="J749" s="16">
        <f t="shared" si="2146"/>
        <v>624.5833333</v>
      </c>
      <c r="K749" s="16">
        <f t="shared" ref="K749:L749" si="2147">E749/125</f>
        <v>134.3104</v>
      </c>
      <c r="L749" s="16">
        <f t="shared" si="2147"/>
        <v>119.92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ht="15.75" customHeight="1">
      <c r="A750" s="1"/>
      <c r="B750" s="1" t="s">
        <v>1426</v>
      </c>
      <c r="C750" s="32" t="s">
        <v>1427</v>
      </c>
      <c r="D750" s="23">
        <v>3.0</v>
      </c>
      <c r="E750" s="18">
        <f t="shared" si="2138"/>
        <v>19028.8</v>
      </c>
      <c r="F750" s="14">
        <v>16990.0</v>
      </c>
      <c r="G750" s="15">
        <f t="shared" ref="G750:H750" si="2148">E750/94</f>
        <v>202.4340426</v>
      </c>
      <c r="H750" s="15">
        <f t="shared" si="2148"/>
        <v>180.7446809</v>
      </c>
      <c r="I750" s="16">
        <f t="shared" ref="I750:J750" si="2149">E750/24</f>
        <v>792.8666667</v>
      </c>
      <c r="J750" s="16">
        <f t="shared" si="2149"/>
        <v>707.9166667</v>
      </c>
      <c r="K750" s="16">
        <f t="shared" ref="K750:L750" si="2150">E750/125</f>
        <v>152.2304</v>
      </c>
      <c r="L750" s="16">
        <f t="shared" si="2150"/>
        <v>135.92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ht="15.0" customHeight="1">
      <c r="A751" s="1" t="s">
        <v>1428</v>
      </c>
      <c r="B751" s="17" t="s">
        <v>1429</v>
      </c>
      <c r="C751" s="19" t="s">
        <v>1430</v>
      </c>
      <c r="D751" s="2">
        <v>10.0</v>
      </c>
      <c r="E751" s="13">
        <v>2650.0</v>
      </c>
      <c r="F751" s="31">
        <v>1990.0</v>
      </c>
      <c r="G751" s="15">
        <f t="shared" ref="G751:H751" si="2151">E751/94</f>
        <v>28.19148936</v>
      </c>
      <c r="H751" s="15">
        <f t="shared" si="2151"/>
        <v>21.17021277</v>
      </c>
      <c r="I751" s="16">
        <f t="shared" ref="I751:J751" si="2152">E751/24</f>
        <v>110.4166667</v>
      </c>
      <c r="J751" s="16">
        <f t="shared" si="2152"/>
        <v>82.91666667</v>
      </c>
      <c r="K751" s="16">
        <f t="shared" ref="K751:L751" si="2153">E751/125</f>
        <v>21.2</v>
      </c>
      <c r="L751" s="16">
        <f t="shared" si="2153"/>
        <v>15.92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ht="15.75" customHeight="1">
      <c r="A752" s="19" t="s">
        <v>1431</v>
      </c>
      <c r="B752" s="41" t="s">
        <v>1432</v>
      </c>
      <c r="C752" s="32" t="s">
        <v>1433</v>
      </c>
      <c r="D752" s="22">
        <v>0.0</v>
      </c>
      <c r="E752" s="18">
        <f t="shared" ref="E752:E839" si="2157">F752+(F752*12%)</f>
        <v>25200</v>
      </c>
      <c r="F752" s="11">
        <v>22500.0</v>
      </c>
      <c r="G752" s="15">
        <f t="shared" ref="G752:H752" si="2154">E752/94</f>
        <v>268.0851064</v>
      </c>
      <c r="H752" s="15">
        <f t="shared" si="2154"/>
        <v>239.3617021</v>
      </c>
      <c r="I752" s="16">
        <f t="shared" ref="I752:J752" si="2155">E752/24</f>
        <v>1050</v>
      </c>
      <c r="J752" s="16">
        <f t="shared" si="2155"/>
        <v>937.5</v>
      </c>
      <c r="K752" s="16">
        <f t="shared" ref="K752:L752" si="2156">E752/125</f>
        <v>201.6</v>
      </c>
      <c r="L752" s="16">
        <f t="shared" si="2156"/>
        <v>180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ht="15.75" customHeight="1">
      <c r="A753" s="41" t="s">
        <v>1434</v>
      </c>
      <c r="B753" s="41" t="s">
        <v>1435</v>
      </c>
      <c r="C753" s="32" t="s">
        <v>1436</v>
      </c>
      <c r="D753" s="23">
        <v>2.0</v>
      </c>
      <c r="E753" s="18">
        <f t="shared" si="2157"/>
        <v>20720</v>
      </c>
      <c r="F753" s="16">
        <v>18500.0</v>
      </c>
      <c r="G753" s="15">
        <f t="shared" ref="G753:H753" si="2158">E753/94</f>
        <v>220.4255319</v>
      </c>
      <c r="H753" s="15">
        <f t="shared" si="2158"/>
        <v>196.8085106</v>
      </c>
      <c r="I753" s="16">
        <f t="shared" ref="I753:J753" si="2159">E753/24</f>
        <v>863.3333333</v>
      </c>
      <c r="J753" s="16">
        <f t="shared" si="2159"/>
        <v>770.8333333</v>
      </c>
      <c r="K753" s="16">
        <f t="shared" ref="K753:L753" si="2160">E753/125</f>
        <v>165.76</v>
      </c>
      <c r="L753" s="16">
        <f t="shared" si="2160"/>
        <v>148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ht="15.75" customHeight="1">
      <c r="A754" s="41" t="s">
        <v>1437</v>
      </c>
      <c r="B754" s="41" t="s">
        <v>1438</v>
      </c>
      <c r="C754" s="32" t="s">
        <v>1439</v>
      </c>
      <c r="D754" s="22">
        <v>0.0</v>
      </c>
      <c r="E754" s="18">
        <f t="shared" si="2157"/>
        <v>13384</v>
      </c>
      <c r="F754" s="16">
        <v>11950.0</v>
      </c>
      <c r="G754" s="15">
        <f t="shared" ref="G754:H754" si="2161">E754/94</f>
        <v>142.3829787</v>
      </c>
      <c r="H754" s="15">
        <f t="shared" si="2161"/>
        <v>127.1276596</v>
      </c>
      <c r="I754" s="16">
        <f t="shared" ref="I754:J754" si="2162">E754/24</f>
        <v>557.6666667</v>
      </c>
      <c r="J754" s="16">
        <f t="shared" si="2162"/>
        <v>497.9166667</v>
      </c>
      <c r="K754" s="16">
        <f t="shared" ref="K754:L754" si="2163">E754/125</f>
        <v>107.072</v>
      </c>
      <c r="L754" s="16">
        <f t="shared" si="2163"/>
        <v>95.6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ht="15.75" customHeight="1">
      <c r="A755" s="41" t="s">
        <v>1440</v>
      </c>
      <c r="B755" s="41" t="s">
        <v>1441</v>
      </c>
      <c r="C755" s="32" t="s">
        <v>1442</v>
      </c>
      <c r="D755" s="22">
        <v>0.0</v>
      </c>
      <c r="E755" s="18">
        <f t="shared" si="2157"/>
        <v>10640</v>
      </c>
      <c r="F755" s="16">
        <v>9500.0</v>
      </c>
      <c r="G755" s="15">
        <f t="shared" ref="G755:H755" si="2164">E755/94</f>
        <v>113.1914894</v>
      </c>
      <c r="H755" s="15">
        <f t="shared" si="2164"/>
        <v>101.0638298</v>
      </c>
      <c r="I755" s="16">
        <f t="shared" ref="I755:J755" si="2165">E755/24</f>
        <v>443.3333333</v>
      </c>
      <c r="J755" s="16">
        <f t="shared" si="2165"/>
        <v>395.8333333</v>
      </c>
      <c r="K755" s="16">
        <f t="shared" ref="K755:L755" si="2166">E755/125</f>
        <v>85.12</v>
      </c>
      <c r="L755" s="16">
        <f t="shared" si="2166"/>
        <v>76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ht="15.75" customHeight="1">
      <c r="A756" s="41" t="s">
        <v>1443</v>
      </c>
      <c r="B756" s="41" t="s">
        <v>1444</v>
      </c>
      <c r="C756" s="32" t="s">
        <v>1445</v>
      </c>
      <c r="D756" s="22">
        <v>0.0</v>
      </c>
      <c r="E756" s="18">
        <f t="shared" si="2157"/>
        <v>9240</v>
      </c>
      <c r="F756" s="14">
        <v>8250.0</v>
      </c>
      <c r="G756" s="15">
        <f t="shared" ref="G756:H756" si="2167">E756/94</f>
        <v>98.29787234</v>
      </c>
      <c r="H756" s="15">
        <f t="shared" si="2167"/>
        <v>87.76595745</v>
      </c>
      <c r="I756" s="16">
        <f t="shared" ref="I756:J756" si="2168">E756/24</f>
        <v>385</v>
      </c>
      <c r="J756" s="16">
        <f t="shared" si="2168"/>
        <v>343.75</v>
      </c>
      <c r="K756" s="16">
        <f t="shared" ref="K756:L756" si="2169">E756/125</f>
        <v>73.92</v>
      </c>
      <c r="L756" s="16">
        <f t="shared" si="2169"/>
        <v>66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ht="15.75" customHeight="1">
      <c r="A757" s="1" t="s">
        <v>1446</v>
      </c>
      <c r="B757" s="1" t="s">
        <v>315</v>
      </c>
      <c r="C757" s="21" t="s">
        <v>1447</v>
      </c>
      <c r="D757" s="22">
        <v>15.0</v>
      </c>
      <c r="E757" s="18">
        <f t="shared" si="2157"/>
        <v>2744</v>
      </c>
      <c r="F757" s="14">
        <v>2450.0</v>
      </c>
      <c r="G757" s="15">
        <f t="shared" ref="G757:H757" si="2170">E757/94</f>
        <v>29.19148936</v>
      </c>
      <c r="H757" s="15">
        <f t="shared" si="2170"/>
        <v>26.06382979</v>
      </c>
      <c r="I757" s="16">
        <f t="shared" ref="I757:J757" si="2171">E757/24</f>
        <v>114.3333333</v>
      </c>
      <c r="J757" s="16">
        <f t="shared" si="2171"/>
        <v>102.0833333</v>
      </c>
      <c r="K757" s="16">
        <f t="shared" ref="K757:L757" si="2172">E757/125</f>
        <v>21.952</v>
      </c>
      <c r="L757" s="16">
        <f t="shared" si="2172"/>
        <v>19.6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ht="15.75" customHeight="1">
      <c r="A758" s="1" t="s">
        <v>1448</v>
      </c>
      <c r="B758" s="1" t="s">
        <v>1449</v>
      </c>
      <c r="C758" s="21" t="s">
        <v>1450</v>
      </c>
      <c r="D758" s="22">
        <v>8.0</v>
      </c>
      <c r="E758" s="18">
        <f t="shared" si="2157"/>
        <v>3864</v>
      </c>
      <c r="F758" s="14">
        <v>3450.0</v>
      </c>
      <c r="G758" s="15">
        <f t="shared" ref="G758:H758" si="2173">E758/94</f>
        <v>41.10638298</v>
      </c>
      <c r="H758" s="15">
        <f t="shared" si="2173"/>
        <v>36.70212766</v>
      </c>
      <c r="I758" s="16">
        <f t="shared" ref="I758:J758" si="2174">E758/24</f>
        <v>161</v>
      </c>
      <c r="J758" s="16">
        <f t="shared" si="2174"/>
        <v>143.75</v>
      </c>
      <c r="K758" s="16">
        <f t="shared" ref="K758:L758" si="2175">E758/125</f>
        <v>30.912</v>
      </c>
      <c r="L758" s="16">
        <f t="shared" si="2175"/>
        <v>27.6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ht="15.75" customHeight="1">
      <c r="A759" s="1" t="s">
        <v>1451</v>
      </c>
      <c r="B759" s="1"/>
      <c r="C759" s="32" t="s">
        <v>1452</v>
      </c>
      <c r="D759" s="22">
        <v>10.0</v>
      </c>
      <c r="E759" s="18">
        <f t="shared" si="2157"/>
        <v>2520</v>
      </c>
      <c r="F759" s="14">
        <v>2250.0</v>
      </c>
      <c r="G759" s="15">
        <f t="shared" ref="G759:H759" si="2176">E759/94</f>
        <v>26.80851064</v>
      </c>
      <c r="H759" s="15">
        <f t="shared" si="2176"/>
        <v>23.93617021</v>
      </c>
      <c r="I759" s="16">
        <f t="shared" ref="I759:J759" si="2177">E759/24</f>
        <v>105</v>
      </c>
      <c r="J759" s="16">
        <f t="shared" si="2177"/>
        <v>93.75</v>
      </c>
      <c r="K759" s="16">
        <f t="shared" ref="K759:L759" si="2178">E759/125</f>
        <v>20.16</v>
      </c>
      <c r="L759" s="16">
        <f t="shared" si="2178"/>
        <v>18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ht="15.75" customHeight="1">
      <c r="A760" s="1" t="s">
        <v>1453</v>
      </c>
      <c r="B760" s="1"/>
      <c r="C760" s="21" t="s">
        <v>1454</v>
      </c>
      <c r="D760" s="22">
        <v>0.0</v>
      </c>
      <c r="E760" s="18">
        <f t="shared" si="2157"/>
        <v>952</v>
      </c>
      <c r="F760" s="14">
        <v>850.0</v>
      </c>
      <c r="G760" s="15">
        <f t="shared" ref="G760:H760" si="2179">E760/94</f>
        <v>10.12765957</v>
      </c>
      <c r="H760" s="15">
        <f t="shared" si="2179"/>
        <v>9.042553191</v>
      </c>
      <c r="I760" s="16">
        <f t="shared" ref="I760:J760" si="2180">E760/24</f>
        <v>39.66666667</v>
      </c>
      <c r="J760" s="16">
        <f t="shared" si="2180"/>
        <v>35.41666667</v>
      </c>
      <c r="K760" s="16">
        <f t="shared" ref="K760:L760" si="2181">E760/125</f>
        <v>7.616</v>
      </c>
      <c r="L760" s="16">
        <f t="shared" si="2181"/>
        <v>6.8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ht="15.75" customHeight="1">
      <c r="A761" s="1" t="s">
        <v>1455</v>
      </c>
      <c r="B761" s="1"/>
      <c r="C761" s="21" t="s">
        <v>1456</v>
      </c>
      <c r="D761" s="22">
        <v>0.0</v>
      </c>
      <c r="E761" s="18">
        <f t="shared" si="2157"/>
        <v>1960</v>
      </c>
      <c r="F761" s="14">
        <v>1750.0</v>
      </c>
      <c r="G761" s="15">
        <f t="shared" ref="G761:H761" si="2182">E761/94</f>
        <v>20.85106383</v>
      </c>
      <c r="H761" s="15">
        <f t="shared" si="2182"/>
        <v>18.61702128</v>
      </c>
      <c r="I761" s="16">
        <f t="shared" ref="I761:J761" si="2183">E761/24</f>
        <v>81.66666667</v>
      </c>
      <c r="J761" s="16">
        <f t="shared" si="2183"/>
        <v>72.91666667</v>
      </c>
      <c r="K761" s="16">
        <f t="shared" ref="K761:L761" si="2184">E761/125</f>
        <v>15.68</v>
      </c>
      <c r="L761" s="16">
        <f t="shared" si="2184"/>
        <v>14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>
      <c r="A762" s="1" t="s">
        <v>1457</v>
      </c>
      <c r="B762" s="1"/>
      <c r="C762" s="17" t="s">
        <v>1458</v>
      </c>
      <c r="D762" s="12">
        <v>0.0</v>
      </c>
      <c r="E762" s="18">
        <f t="shared" si="2157"/>
        <v>4424</v>
      </c>
      <c r="F762" s="14">
        <v>3950.0</v>
      </c>
      <c r="G762" s="15">
        <f t="shared" ref="G762:H762" si="2185">E762/94</f>
        <v>47.06382979</v>
      </c>
      <c r="H762" s="15">
        <f t="shared" si="2185"/>
        <v>42.0212766</v>
      </c>
      <c r="I762" s="16">
        <f t="shared" ref="I762:J762" si="2186">E762/24</f>
        <v>184.3333333</v>
      </c>
      <c r="J762" s="16">
        <f t="shared" si="2186"/>
        <v>164.5833333</v>
      </c>
      <c r="K762" s="16">
        <f t="shared" ref="K762:L762" si="2187">E762/125</f>
        <v>35.392</v>
      </c>
      <c r="L762" s="16">
        <f t="shared" si="2187"/>
        <v>31.6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ht="15.0" customHeight="1">
      <c r="A763" s="1" t="s">
        <v>1459</v>
      </c>
      <c r="B763" s="17" t="s">
        <v>319</v>
      </c>
      <c r="C763" s="24" t="s">
        <v>1460</v>
      </c>
      <c r="D763" s="22">
        <v>0.0</v>
      </c>
      <c r="E763" s="18">
        <f t="shared" si="2157"/>
        <v>3012.8</v>
      </c>
      <c r="F763" s="14">
        <v>2690.0</v>
      </c>
      <c r="G763" s="15">
        <f t="shared" ref="G763:H763" si="2188">E763/94</f>
        <v>32.05106383</v>
      </c>
      <c r="H763" s="15">
        <f t="shared" si="2188"/>
        <v>28.61702128</v>
      </c>
      <c r="I763" s="16">
        <f t="shared" ref="I763:J763" si="2189">E763/24</f>
        <v>125.5333333</v>
      </c>
      <c r="J763" s="16">
        <f t="shared" si="2189"/>
        <v>112.0833333</v>
      </c>
      <c r="K763" s="16">
        <f t="shared" ref="K763:L763" si="2190">E763/125</f>
        <v>24.1024</v>
      </c>
      <c r="L763" s="16">
        <f t="shared" si="2190"/>
        <v>21.52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ht="15.75" customHeight="1">
      <c r="A764" s="1"/>
      <c r="B764" s="1" t="s">
        <v>317</v>
      </c>
      <c r="C764" s="21" t="s">
        <v>1461</v>
      </c>
      <c r="D764" s="22">
        <v>0.0</v>
      </c>
      <c r="E764" s="18">
        <f t="shared" si="2157"/>
        <v>2788.8</v>
      </c>
      <c r="F764" s="14">
        <v>2490.0</v>
      </c>
      <c r="G764" s="15">
        <f t="shared" ref="G764:H764" si="2191">E764/94</f>
        <v>29.66808511</v>
      </c>
      <c r="H764" s="15">
        <f t="shared" si="2191"/>
        <v>26.4893617</v>
      </c>
      <c r="I764" s="16">
        <f t="shared" ref="I764:J764" si="2192">E764/24</f>
        <v>116.2</v>
      </c>
      <c r="J764" s="16">
        <f t="shared" si="2192"/>
        <v>103.75</v>
      </c>
      <c r="K764" s="16">
        <f t="shared" ref="K764:L764" si="2193">E764/125</f>
        <v>22.3104</v>
      </c>
      <c r="L764" s="16">
        <f t="shared" si="2193"/>
        <v>19.92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ht="15.75" customHeight="1">
      <c r="A765" s="1"/>
      <c r="B765" s="1" t="s">
        <v>315</v>
      </c>
      <c r="C765" s="21" t="s">
        <v>1462</v>
      </c>
      <c r="D765" s="22">
        <v>0.0</v>
      </c>
      <c r="E765" s="18">
        <f t="shared" si="2157"/>
        <v>2564.8</v>
      </c>
      <c r="F765" s="14">
        <v>2290.0</v>
      </c>
      <c r="G765" s="15">
        <f t="shared" ref="G765:H765" si="2194">E765/94</f>
        <v>27.28510638</v>
      </c>
      <c r="H765" s="15">
        <f t="shared" si="2194"/>
        <v>24.36170213</v>
      </c>
      <c r="I765" s="16">
        <f t="shared" ref="I765:J765" si="2195">E765/24</f>
        <v>106.8666667</v>
      </c>
      <c r="J765" s="16">
        <f t="shared" si="2195"/>
        <v>95.41666667</v>
      </c>
      <c r="K765" s="16">
        <f t="shared" ref="K765:L765" si="2196">E765/125</f>
        <v>20.5184</v>
      </c>
      <c r="L765" s="16">
        <f t="shared" si="2196"/>
        <v>18.32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ht="15.0" customHeight="1">
      <c r="A766" s="1" t="s">
        <v>1463</v>
      </c>
      <c r="B766" s="1" t="s">
        <v>1464</v>
      </c>
      <c r="C766" s="1" t="s">
        <v>1465</v>
      </c>
      <c r="D766" s="12">
        <v>1.0</v>
      </c>
      <c r="E766" s="18">
        <f t="shared" si="2157"/>
        <v>6552</v>
      </c>
      <c r="F766" s="14">
        <v>5850.0</v>
      </c>
      <c r="G766" s="15">
        <f t="shared" ref="G766:H766" si="2197">E766/94</f>
        <v>69.70212766</v>
      </c>
      <c r="H766" s="15">
        <f t="shared" si="2197"/>
        <v>62.23404255</v>
      </c>
      <c r="I766" s="16">
        <f t="shared" ref="I766:J766" si="2198">E766/24</f>
        <v>273</v>
      </c>
      <c r="J766" s="16">
        <f t="shared" si="2198"/>
        <v>243.75</v>
      </c>
      <c r="K766" s="16">
        <f t="shared" ref="K766:L766" si="2199">E766/125</f>
        <v>52.416</v>
      </c>
      <c r="L766" s="16">
        <f t="shared" si="2199"/>
        <v>46.8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ht="15.75" customHeight="1">
      <c r="A767" s="1"/>
      <c r="B767" s="1" t="s">
        <v>1466</v>
      </c>
      <c r="C767" s="1" t="s">
        <v>1467</v>
      </c>
      <c r="D767" s="12">
        <v>0.0</v>
      </c>
      <c r="E767" s="18">
        <f t="shared" si="2157"/>
        <v>7224</v>
      </c>
      <c r="F767" s="14">
        <v>6450.0</v>
      </c>
      <c r="G767" s="15">
        <f t="shared" ref="G767:H767" si="2200">E767/94</f>
        <v>76.85106383</v>
      </c>
      <c r="H767" s="15">
        <f t="shared" si="2200"/>
        <v>68.61702128</v>
      </c>
      <c r="I767" s="16">
        <f t="shared" ref="I767:J767" si="2201">E767/24</f>
        <v>301</v>
      </c>
      <c r="J767" s="16">
        <f t="shared" si="2201"/>
        <v>268.75</v>
      </c>
      <c r="K767" s="16">
        <f t="shared" ref="K767:L767" si="2202">E767/125</f>
        <v>57.792</v>
      </c>
      <c r="L767" s="16">
        <f t="shared" si="2202"/>
        <v>51.6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ht="15.75" customHeight="1">
      <c r="A768" s="1" t="s">
        <v>1468</v>
      </c>
      <c r="B768" s="1"/>
      <c r="C768" s="19" t="s">
        <v>1469</v>
      </c>
      <c r="D768" s="2">
        <v>12.0</v>
      </c>
      <c r="E768" s="18">
        <f t="shared" si="2157"/>
        <v>4312</v>
      </c>
      <c r="F768" s="14">
        <v>3850.0</v>
      </c>
      <c r="G768" s="15">
        <f t="shared" ref="G768:H768" si="2203">E768/94</f>
        <v>45.87234043</v>
      </c>
      <c r="H768" s="15">
        <f t="shared" si="2203"/>
        <v>40.95744681</v>
      </c>
      <c r="I768" s="16">
        <f t="shared" ref="I768:J768" si="2204">E768/24</f>
        <v>179.6666667</v>
      </c>
      <c r="J768" s="16">
        <f t="shared" si="2204"/>
        <v>160.4166667</v>
      </c>
      <c r="K768" s="16">
        <f t="shared" ref="K768:L768" si="2205">E768/125</f>
        <v>34.496</v>
      </c>
      <c r="L768" s="16">
        <f t="shared" si="2205"/>
        <v>30.8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ht="15.75" customHeight="1">
      <c r="A769" s="1" t="s">
        <v>1470</v>
      </c>
      <c r="B769" s="1" t="s">
        <v>1471</v>
      </c>
      <c r="C769" s="21" t="s">
        <v>1472</v>
      </c>
      <c r="D769" s="22">
        <v>10.0</v>
      </c>
      <c r="E769" s="18">
        <f t="shared" si="2157"/>
        <v>2184</v>
      </c>
      <c r="F769" s="1">
        <v>1950.0</v>
      </c>
      <c r="G769" s="15">
        <f t="shared" ref="G769:H769" si="2206">E769/94</f>
        <v>23.23404255</v>
      </c>
      <c r="H769" s="15">
        <f t="shared" si="2206"/>
        <v>20.74468085</v>
      </c>
      <c r="I769" s="16">
        <f t="shared" ref="I769:J769" si="2207">E769/24</f>
        <v>91</v>
      </c>
      <c r="J769" s="16">
        <f t="shared" si="2207"/>
        <v>81.25</v>
      </c>
      <c r="K769" s="16">
        <f t="shared" ref="K769:L769" si="2208">E769/125</f>
        <v>17.472</v>
      </c>
      <c r="L769" s="16">
        <f t="shared" si="2208"/>
        <v>15.6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ht="15.75" customHeight="1">
      <c r="A770" s="1"/>
      <c r="B770" s="1" t="s">
        <v>1473</v>
      </c>
      <c r="C770" s="21" t="s">
        <v>1474</v>
      </c>
      <c r="D770" s="23">
        <v>9.0</v>
      </c>
      <c r="E770" s="18">
        <f t="shared" si="2157"/>
        <v>2968</v>
      </c>
      <c r="F770" s="1">
        <v>2650.0</v>
      </c>
      <c r="G770" s="15">
        <f t="shared" ref="G770:H770" si="2209">E770/94</f>
        <v>31.57446809</v>
      </c>
      <c r="H770" s="15">
        <f t="shared" si="2209"/>
        <v>28.19148936</v>
      </c>
      <c r="I770" s="16">
        <f t="shared" ref="I770:J770" si="2210">E770/24</f>
        <v>123.6666667</v>
      </c>
      <c r="J770" s="16">
        <f t="shared" si="2210"/>
        <v>110.4166667</v>
      </c>
      <c r="K770" s="16">
        <f t="shared" ref="K770:L770" si="2211">E770/125</f>
        <v>23.744</v>
      </c>
      <c r="L770" s="16">
        <f t="shared" si="2211"/>
        <v>21.2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ht="15.75" customHeight="1">
      <c r="A771" s="1"/>
      <c r="B771" s="1" t="s">
        <v>1475</v>
      </c>
      <c r="C771" s="21" t="s">
        <v>1476</v>
      </c>
      <c r="D771" s="22">
        <v>10.0</v>
      </c>
      <c r="E771" s="18">
        <f t="shared" si="2157"/>
        <v>2184</v>
      </c>
      <c r="F771" s="1">
        <v>1950.0</v>
      </c>
      <c r="G771" s="15">
        <f t="shared" ref="G771:H771" si="2212">E771/94</f>
        <v>23.23404255</v>
      </c>
      <c r="H771" s="15">
        <f t="shared" si="2212"/>
        <v>20.74468085</v>
      </c>
      <c r="I771" s="16">
        <f t="shared" ref="I771:J771" si="2213">E771/24</f>
        <v>91</v>
      </c>
      <c r="J771" s="16">
        <f t="shared" si="2213"/>
        <v>81.25</v>
      </c>
      <c r="K771" s="16">
        <f t="shared" ref="K771:L771" si="2214">E771/125</f>
        <v>17.472</v>
      </c>
      <c r="L771" s="16">
        <f t="shared" si="2214"/>
        <v>15.6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ht="15.75" customHeight="1">
      <c r="A772" s="1"/>
      <c r="B772" s="1" t="s">
        <v>1477</v>
      </c>
      <c r="C772" s="21" t="s">
        <v>1478</v>
      </c>
      <c r="D772" s="22">
        <v>10.0</v>
      </c>
      <c r="E772" s="18">
        <f t="shared" si="2157"/>
        <v>2968</v>
      </c>
      <c r="F772" s="1">
        <v>2650.0</v>
      </c>
      <c r="G772" s="15">
        <f t="shared" ref="G772:H772" si="2215">E772/94</f>
        <v>31.57446809</v>
      </c>
      <c r="H772" s="15">
        <f t="shared" si="2215"/>
        <v>28.19148936</v>
      </c>
      <c r="I772" s="16">
        <f t="shared" ref="I772:J772" si="2216">E772/24</f>
        <v>123.6666667</v>
      </c>
      <c r="J772" s="16">
        <f t="shared" si="2216"/>
        <v>110.4166667</v>
      </c>
      <c r="K772" s="16">
        <f t="shared" ref="K772:L772" si="2217">E772/125</f>
        <v>23.744</v>
      </c>
      <c r="L772" s="16">
        <f t="shared" si="2217"/>
        <v>21.2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ht="15.75" customHeight="1">
      <c r="A773" s="1"/>
      <c r="B773" s="1" t="s">
        <v>1479</v>
      </c>
      <c r="C773" s="21" t="s">
        <v>1480</v>
      </c>
      <c r="D773" s="22">
        <v>10.0</v>
      </c>
      <c r="E773" s="18">
        <f t="shared" si="2157"/>
        <v>2184</v>
      </c>
      <c r="F773" s="1">
        <v>1950.0</v>
      </c>
      <c r="G773" s="15">
        <f t="shared" ref="G773:H773" si="2218">E773/94</f>
        <v>23.23404255</v>
      </c>
      <c r="H773" s="15">
        <f t="shared" si="2218"/>
        <v>20.74468085</v>
      </c>
      <c r="I773" s="16">
        <f t="shared" ref="I773:J773" si="2219">E773/24</f>
        <v>91</v>
      </c>
      <c r="J773" s="16">
        <f t="shared" si="2219"/>
        <v>81.25</v>
      </c>
      <c r="K773" s="16">
        <f t="shared" ref="K773:L773" si="2220">E773/125</f>
        <v>17.472</v>
      </c>
      <c r="L773" s="16">
        <f t="shared" si="2220"/>
        <v>15.6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ht="15.0" customHeight="1">
      <c r="A774" s="1"/>
      <c r="B774" s="1" t="s">
        <v>1481</v>
      </c>
      <c r="C774" s="1" t="s">
        <v>1482</v>
      </c>
      <c r="D774" s="2">
        <v>10.0</v>
      </c>
      <c r="E774" s="18">
        <f t="shared" si="2157"/>
        <v>2968</v>
      </c>
      <c r="F774" s="1">
        <v>2650.0</v>
      </c>
      <c r="G774" s="15">
        <f t="shared" ref="G774:H774" si="2221">E774/94</f>
        <v>31.57446809</v>
      </c>
      <c r="H774" s="15">
        <f t="shared" si="2221"/>
        <v>28.19148936</v>
      </c>
      <c r="I774" s="16">
        <f t="shared" ref="I774:J774" si="2222">E774/24</f>
        <v>123.6666667</v>
      </c>
      <c r="J774" s="16">
        <f t="shared" si="2222"/>
        <v>110.4166667</v>
      </c>
      <c r="K774" s="16">
        <f t="shared" ref="K774:L774" si="2223">E774/125</f>
        <v>23.744</v>
      </c>
      <c r="L774" s="16">
        <f t="shared" si="2223"/>
        <v>21.2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ht="15.0" customHeight="1">
      <c r="A775" s="1"/>
      <c r="B775" s="1" t="s">
        <v>1483</v>
      </c>
      <c r="C775" s="21" t="s">
        <v>1484</v>
      </c>
      <c r="D775" s="22">
        <v>10.0</v>
      </c>
      <c r="E775" s="18">
        <f t="shared" si="2157"/>
        <v>2184</v>
      </c>
      <c r="F775" s="1">
        <v>1950.0</v>
      </c>
      <c r="G775" s="15">
        <f t="shared" ref="G775:H775" si="2224">E775/94</f>
        <v>23.23404255</v>
      </c>
      <c r="H775" s="15">
        <f t="shared" si="2224"/>
        <v>20.74468085</v>
      </c>
      <c r="I775" s="16">
        <f t="shared" ref="I775:J775" si="2225">E775/24</f>
        <v>91</v>
      </c>
      <c r="J775" s="16">
        <f t="shared" si="2225"/>
        <v>81.25</v>
      </c>
      <c r="K775" s="16">
        <f t="shared" ref="K775:L775" si="2226">E775/125</f>
        <v>17.472</v>
      </c>
      <c r="L775" s="16">
        <f t="shared" si="2226"/>
        <v>15.6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ht="15.0" customHeight="1">
      <c r="A776" s="1"/>
      <c r="B776" s="1" t="s">
        <v>1485</v>
      </c>
      <c r="C776" s="21" t="s">
        <v>1486</v>
      </c>
      <c r="D776" s="23">
        <v>10.0</v>
      </c>
      <c r="E776" s="18">
        <f t="shared" si="2157"/>
        <v>2968</v>
      </c>
      <c r="F776" s="1">
        <v>2650.0</v>
      </c>
      <c r="G776" s="15">
        <f t="shared" ref="G776:H776" si="2227">E776/94</f>
        <v>31.57446809</v>
      </c>
      <c r="H776" s="15">
        <f t="shared" si="2227"/>
        <v>28.19148936</v>
      </c>
      <c r="I776" s="16">
        <f t="shared" ref="I776:J776" si="2228">E776/24</f>
        <v>123.6666667</v>
      </c>
      <c r="J776" s="16">
        <f t="shared" si="2228"/>
        <v>110.4166667</v>
      </c>
      <c r="K776" s="16">
        <f t="shared" ref="K776:L776" si="2229">E776/125</f>
        <v>23.744</v>
      </c>
      <c r="L776" s="16">
        <f t="shared" si="2229"/>
        <v>21.2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ht="15.0" customHeight="1">
      <c r="A777" s="1"/>
      <c r="B777" s="1" t="s">
        <v>1487</v>
      </c>
      <c r="C777" s="32" t="s">
        <v>1488</v>
      </c>
      <c r="D777" s="22">
        <v>10.0</v>
      </c>
      <c r="E777" s="18">
        <f t="shared" si="2157"/>
        <v>2184</v>
      </c>
      <c r="F777" s="1">
        <v>1950.0</v>
      </c>
      <c r="G777" s="15">
        <f t="shared" ref="G777:H777" si="2230">E777/94</f>
        <v>23.23404255</v>
      </c>
      <c r="H777" s="15">
        <f t="shared" si="2230"/>
        <v>20.74468085</v>
      </c>
      <c r="I777" s="16">
        <f t="shared" ref="I777:J777" si="2231">E777/24</f>
        <v>91</v>
      </c>
      <c r="J777" s="16">
        <f t="shared" si="2231"/>
        <v>81.25</v>
      </c>
      <c r="K777" s="16">
        <f t="shared" ref="K777:L777" si="2232">E777/125</f>
        <v>17.472</v>
      </c>
      <c r="L777" s="16">
        <f t="shared" si="2232"/>
        <v>15.6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ht="15.0" customHeight="1">
      <c r="A778" s="1"/>
      <c r="B778" s="1" t="s">
        <v>1489</v>
      </c>
      <c r="C778" s="32" t="s">
        <v>1490</v>
      </c>
      <c r="D778" s="23">
        <v>10.0</v>
      </c>
      <c r="E778" s="18">
        <f t="shared" si="2157"/>
        <v>2968</v>
      </c>
      <c r="F778" s="1">
        <v>2650.0</v>
      </c>
      <c r="G778" s="15">
        <f t="shared" ref="G778:H778" si="2233">E778/94</f>
        <v>31.57446809</v>
      </c>
      <c r="H778" s="15">
        <f t="shared" si="2233"/>
        <v>28.19148936</v>
      </c>
      <c r="I778" s="16">
        <f t="shared" ref="I778:J778" si="2234">E778/24</f>
        <v>123.6666667</v>
      </c>
      <c r="J778" s="16">
        <f t="shared" si="2234"/>
        <v>110.4166667</v>
      </c>
      <c r="K778" s="16">
        <f t="shared" ref="K778:L778" si="2235">E778/125</f>
        <v>23.744</v>
      </c>
      <c r="L778" s="16">
        <f t="shared" si="2235"/>
        <v>21.2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ht="15.0" customHeight="1">
      <c r="A779" s="1" t="s">
        <v>1491</v>
      </c>
      <c r="B779" s="1" t="s">
        <v>1492</v>
      </c>
      <c r="C779" s="21" t="s">
        <v>1493</v>
      </c>
      <c r="D779" s="22">
        <v>0.0</v>
      </c>
      <c r="E779" s="18">
        <f t="shared" si="2157"/>
        <v>6272</v>
      </c>
      <c r="F779" s="1">
        <v>5600.0</v>
      </c>
      <c r="G779" s="15">
        <f t="shared" ref="G779:H779" si="2236">E779/94</f>
        <v>66.72340426</v>
      </c>
      <c r="H779" s="15">
        <f t="shared" si="2236"/>
        <v>59.57446809</v>
      </c>
      <c r="I779" s="16">
        <f t="shared" ref="I779:J779" si="2237">E779/24</f>
        <v>261.3333333</v>
      </c>
      <c r="J779" s="16">
        <f t="shared" si="2237"/>
        <v>233.3333333</v>
      </c>
      <c r="K779" s="16">
        <f t="shared" ref="K779:L779" si="2238">E779/125</f>
        <v>50.176</v>
      </c>
      <c r="L779" s="16">
        <f t="shared" si="2238"/>
        <v>44.8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ht="15.0" customHeight="1">
      <c r="A780" s="1"/>
      <c r="B780" s="1" t="s">
        <v>1494</v>
      </c>
      <c r="C780" s="21" t="s">
        <v>1495</v>
      </c>
      <c r="D780" s="22">
        <v>1.0</v>
      </c>
      <c r="E780" s="18">
        <f t="shared" si="2157"/>
        <v>5376</v>
      </c>
      <c r="F780" s="1">
        <v>4800.0</v>
      </c>
      <c r="G780" s="15">
        <f t="shared" ref="G780:H780" si="2239">E780/94</f>
        <v>57.19148936</v>
      </c>
      <c r="H780" s="15">
        <f t="shared" si="2239"/>
        <v>51.06382979</v>
      </c>
      <c r="I780" s="16">
        <f t="shared" ref="I780:J780" si="2240">E780/24</f>
        <v>224</v>
      </c>
      <c r="J780" s="16">
        <f t="shared" si="2240"/>
        <v>200</v>
      </c>
      <c r="K780" s="16">
        <f t="shared" ref="K780:L780" si="2241">E780/125</f>
        <v>43.008</v>
      </c>
      <c r="L780" s="16">
        <f t="shared" si="2241"/>
        <v>38.4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ht="15.75" customHeight="1">
      <c r="A781" s="1" t="s">
        <v>1496</v>
      </c>
      <c r="B781" s="1" t="s">
        <v>1497</v>
      </c>
      <c r="C781" s="32" t="s">
        <v>1498</v>
      </c>
      <c r="D781" s="22">
        <v>1.0</v>
      </c>
      <c r="E781" s="18">
        <f t="shared" si="2157"/>
        <v>2228.8</v>
      </c>
      <c r="F781" s="14">
        <v>1990.0</v>
      </c>
      <c r="G781" s="15">
        <f t="shared" ref="G781:H781" si="2242">E781/94</f>
        <v>23.7106383</v>
      </c>
      <c r="H781" s="15">
        <f t="shared" si="2242"/>
        <v>21.17021277</v>
      </c>
      <c r="I781" s="16">
        <f t="shared" ref="I781:J781" si="2243">E781/24</f>
        <v>92.86666667</v>
      </c>
      <c r="J781" s="16">
        <f t="shared" si="2243"/>
        <v>82.91666667</v>
      </c>
      <c r="K781" s="16">
        <f t="shared" ref="K781:L781" si="2244">E781/125</f>
        <v>17.8304</v>
      </c>
      <c r="L781" s="16">
        <f t="shared" si="2244"/>
        <v>15.92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ht="15.75" customHeight="1">
      <c r="A782" s="1"/>
      <c r="B782" s="1" t="s">
        <v>1499</v>
      </c>
      <c r="C782" s="19" t="s">
        <v>1500</v>
      </c>
      <c r="D782" s="12">
        <v>3.0</v>
      </c>
      <c r="E782" s="18">
        <f t="shared" si="2157"/>
        <v>2228.8</v>
      </c>
      <c r="F782" s="14">
        <v>1990.0</v>
      </c>
      <c r="G782" s="15">
        <f t="shared" ref="G782:H782" si="2245">E782/94</f>
        <v>23.7106383</v>
      </c>
      <c r="H782" s="15">
        <f t="shared" si="2245"/>
        <v>21.17021277</v>
      </c>
      <c r="I782" s="16">
        <f t="shared" ref="I782:J782" si="2246">E782/24</f>
        <v>92.86666667</v>
      </c>
      <c r="J782" s="16">
        <f t="shared" si="2246"/>
        <v>82.91666667</v>
      </c>
      <c r="K782" s="16">
        <f t="shared" ref="K782:L782" si="2247">E782/125</f>
        <v>17.8304</v>
      </c>
      <c r="L782" s="16">
        <f t="shared" si="2247"/>
        <v>15.92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ht="15.75" customHeight="1">
      <c r="A783" s="1"/>
      <c r="B783" s="1" t="s">
        <v>1501</v>
      </c>
      <c r="C783" s="32" t="s">
        <v>1502</v>
      </c>
      <c r="D783" s="22">
        <v>2.0</v>
      </c>
      <c r="E783" s="18">
        <f t="shared" si="2157"/>
        <v>2228.8</v>
      </c>
      <c r="F783" s="14">
        <v>1990.0</v>
      </c>
      <c r="G783" s="15">
        <f t="shared" ref="G783:H783" si="2248">E783/94</f>
        <v>23.7106383</v>
      </c>
      <c r="H783" s="15">
        <f t="shared" si="2248"/>
        <v>21.17021277</v>
      </c>
      <c r="I783" s="16">
        <f t="shared" ref="I783:J783" si="2249">E783/24</f>
        <v>92.86666667</v>
      </c>
      <c r="J783" s="16">
        <f t="shared" si="2249"/>
        <v>82.91666667</v>
      </c>
      <c r="K783" s="16">
        <f t="shared" ref="K783:L783" si="2250">E783/125</f>
        <v>17.8304</v>
      </c>
      <c r="L783" s="16">
        <f t="shared" si="2250"/>
        <v>15.92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ht="15.0" customHeight="1">
      <c r="A784" s="3"/>
      <c r="B784" s="1" t="s">
        <v>1503</v>
      </c>
      <c r="C784" s="41" t="s">
        <v>1504</v>
      </c>
      <c r="D784" s="12">
        <v>0.0</v>
      </c>
      <c r="E784" s="18">
        <f t="shared" si="2157"/>
        <v>2004.8</v>
      </c>
      <c r="F784" s="14">
        <v>1790.0</v>
      </c>
      <c r="G784" s="15">
        <f t="shared" ref="G784:H784" si="2251">E784/94</f>
        <v>21.32765957</v>
      </c>
      <c r="H784" s="15">
        <f t="shared" si="2251"/>
        <v>19.04255319</v>
      </c>
      <c r="I784" s="16">
        <f t="shared" ref="I784:J784" si="2252">E784/24</f>
        <v>83.53333333</v>
      </c>
      <c r="J784" s="16">
        <f t="shared" si="2252"/>
        <v>74.58333333</v>
      </c>
      <c r="K784" s="16">
        <f t="shared" ref="K784:L784" si="2253">E784/125</f>
        <v>16.0384</v>
      </c>
      <c r="L784" s="16">
        <f t="shared" si="2253"/>
        <v>14.32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ht="15.75" customHeight="1">
      <c r="A785" s="1"/>
      <c r="B785" s="1" t="s">
        <v>1505</v>
      </c>
      <c r="C785" s="32" t="s">
        <v>1506</v>
      </c>
      <c r="D785" s="22">
        <v>9.0</v>
      </c>
      <c r="E785" s="18">
        <f t="shared" si="2157"/>
        <v>2004.8</v>
      </c>
      <c r="F785" s="14">
        <v>1790.0</v>
      </c>
      <c r="G785" s="15">
        <f t="shared" ref="G785:H785" si="2254">E785/94</f>
        <v>21.32765957</v>
      </c>
      <c r="H785" s="15">
        <f t="shared" si="2254"/>
        <v>19.04255319</v>
      </c>
      <c r="I785" s="16">
        <f t="shared" ref="I785:J785" si="2255">E785/24</f>
        <v>83.53333333</v>
      </c>
      <c r="J785" s="16">
        <f t="shared" si="2255"/>
        <v>74.58333333</v>
      </c>
      <c r="K785" s="16">
        <f t="shared" ref="K785:L785" si="2256">E785/125</f>
        <v>16.0384</v>
      </c>
      <c r="L785" s="16">
        <f t="shared" si="2256"/>
        <v>14.32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ht="15.75" customHeight="1">
      <c r="A786" s="1"/>
      <c r="B786" s="1" t="s">
        <v>1507</v>
      </c>
      <c r="C786" s="41" t="s">
        <v>1508</v>
      </c>
      <c r="D786" s="12">
        <v>8.0</v>
      </c>
      <c r="E786" s="18">
        <f t="shared" si="2157"/>
        <v>2004.8</v>
      </c>
      <c r="F786" s="14">
        <v>1790.0</v>
      </c>
      <c r="G786" s="15">
        <f t="shared" ref="G786:H786" si="2257">E786/94</f>
        <v>21.32765957</v>
      </c>
      <c r="H786" s="15">
        <f t="shared" si="2257"/>
        <v>19.04255319</v>
      </c>
      <c r="I786" s="16">
        <f t="shared" ref="I786:J786" si="2258">E786/24</f>
        <v>83.53333333</v>
      </c>
      <c r="J786" s="16">
        <f t="shared" si="2258"/>
        <v>74.58333333</v>
      </c>
      <c r="K786" s="16">
        <f t="shared" ref="K786:L786" si="2259">E786/125</f>
        <v>16.0384</v>
      </c>
      <c r="L786" s="16">
        <f t="shared" si="2259"/>
        <v>14.32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ht="15.75" customHeight="1">
      <c r="A787" s="1"/>
      <c r="B787" s="1" t="s">
        <v>1509</v>
      </c>
      <c r="C787" s="41" t="s">
        <v>1510</v>
      </c>
      <c r="D787" s="12">
        <v>8.0</v>
      </c>
      <c r="E787" s="18">
        <f t="shared" si="2157"/>
        <v>2004.8</v>
      </c>
      <c r="F787" s="14">
        <v>1790.0</v>
      </c>
      <c r="G787" s="15">
        <f t="shared" ref="G787:H787" si="2260">E787/94</f>
        <v>21.32765957</v>
      </c>
      <c r="H787" s="15">
        <f t="shared" si="2260"/>
        <v>19.04255319</v>
      </c>
      <c r="I787" s="16">
        <f t="shared" ref="I787:J787" si="2261">E787/24</f>
        <v>83.53333333</v>
      </c>
      <c r="J787" s="16">
        <f t="shared" si="2261"/>
        <v>74.58333333</v>
      </c>
      <c r="K787" s="16">
        <f t="shared" ref="K787:L787" si="2262">E787/125</f>
        <v>16.0384</v>
      </c>
      <c r="L787" s="16">
        <f t="shared" si="2262"/>
        <v>14.32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ht="15.75" customHeight="1">
      <c r="A788" s="1"/>
      <c r="B788" s="1" t="s">
        <v>1511</v>
      </c>
      <c r="C788" s="32" t="s">
        <v>1512</v>
      </c>
      <c r="D788" s="22">
        <v>11.0</v>
      </c>
      <c r="E788" s="18">
        <f t="shared" si="2157"/>
        <v>2004.8</v>
      </c>
      <c r="F788" s="14">
        <v>1790.0</v>
      </c>
      <c r="G788" s="15">
        <f t="shared" ref="G788:H788" si="2263">E788/94</f>
        <v>21.32765957</v>
      </c>
      <c r="H788" s="15">
        <f t="shared" si="2263"/>
        <v>19.04255319</v>
      </c>
      <c r="I788" s="16">
        <f t="shared" ref="I788:J788" si="2264">E788/24</f>
        <v>83.53333333</v>
      </c>
      <c r="J788" s="16">
        <f t="shared" si="2264"/>
        <v>74.58333333</v>
      </c>
      <c r="K788" s="16">
        <f t="shared" ref="K788:L788" si="2265">E788/125</f>
        <v>16.0384</v>
      </c>
      <c r="L788" s="16">
        <f t="shared" si="2265"/>
        <v>14.32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ht="15.75" customHeight="1">
      <c r="A789" s="1"/>
      <c r="B789" s="1" t="s">
        <v>1513</v>
      </c>
      <c r="C789" s="32" t="s">
        <v>1514</v>
      </c>
      <c r="D789" s="22">
        <v>10.0</v>
      </c>
      <c r="E789" s="18">
        <f t="shared" si="2157"/>
        <v>2004.8</v>
      </c>
      <c r="F789" s="14">
        <v>1790.0</v>
      </c>
      <c r="G789" s="15">
        <f t="shared" ref="G789:H789" si="2266">E789/94</f>
        <v>21.32765957</v>
      </c>
      <c r="H789" s="15">
        <f t="shared" si="2266"/>
        <v>19.04255319</v>
      </c>
      <c r="I789" s="16">
        <f t="shared" ref="I789:J789" si="2267">E789/24</f>
        <v>83.53333333</v>
      </c>
      <c r="J789" s="16">
        <f t="shared" si="2267"/>
        <v>74.58333333</v>
      </c>
      <c r="K789" s="16">
        <f t="shared" ref="K789:L789" si="2268">E789/125</f>
        <v>16.0384</v>
      </c>
      <c r="L789" s="16">
        <f t="shared" si="2268"/>
        <v>14.32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ht="15.75" customHeight="1">
      <c r="A790" s="1"/>
      <c r="B790" s="1" t="s">
        <v>1515</v>
      </c>
      <c r="C790" s="32" t="s">
        <v>1516</v>
      </c>
      <c r="D790" s="22">
        <v>0.0</v>
      </c>
      <c r="E790" s="18">
        <f t="shared" si="2157"/>
        <v>1556.8</v>
      </c>
      <c r="F790" s="14">
        <v>1390.0</v>
      </c>
      <c r="G790" s="15">
        <f t="shared" ref="G790:H790" si="2269">E790/94</f>
        <v>16.56170213</v>
      </c>
      <c r="H790" s="15">
        <f t="shared" si="2269"/>
        <v>14.78723404</v>
      </c>
      <c r="I790" s="16">
        <f t="shared" ref="I790:J790" si="2270">E790/24</f>
        <v>64.86666667</v>
      </c>
      <c r="J790" s="16">
        <f t="shared" si="2270"/>
        <v>57.91666667</v>
      </c>
      <c r="K790" s="16">
        <f t="shared" ref="K790:L790" si="2271">E790/125</f>
        <v>12.4544</v>
      </c>
      <c r="L790" s="16">
        <f t="shared" si="2271"/>
        <v>11.12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ht="15.75" customHeight="1">
      <c r="A791" s="1"/>
      <c r="B791" s="1" t="s">
        <v>1517</v>
      </c>
      <c r="C791" s="32" t="s">
        <v>1518</v>
      </c>
      <c r="D791" s="22">
        <v>0.0</v>
      </c>
      <c r="E791" s="18">
        <f t="shared" si="2157"/>
        <v>1556.8</v>
      </c>
      <c r="F791" s="14">
        <v>1390.0</v>
      </c>
      <c r="G791" s="15">
        <f t="shared" ref="G791:H791" si="2272">E791/94</f>
        <v>16.56170213</v>
      </c>
      <c r="H791" s="15">
        <f t="shared" si="2272"/>
        <v>14.78723404</v>
      </c>
      <c r="I791" s="16">
        <f t="shared" ref="I791:J791" si="2273">E791/24</f>
        <v>64.86666667</v>
      </c>
      <c r="J791" s="16">
        <f t="shared" si="2273"/>
        <v>57.91666667</v>
      </c>
      <c r="K791" s="16">
        <f t="shared" ref="K791:L791" si="2274">E791/125</f>
        <v>12.4544</v>
      </c>
      <c r="L791" s="16">
        <f t="shared" si="2274"/>
        <v>11.12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ht="15.75" customHeight="1">
      <c r="A792" s="1"/>
      <c r="B792" s="1" t="s">
        <v>1519</v>
      </c>
      <c r="C792" s="32" t="s">
        <v>1520</v>
      </c>
      <c r="D792" s="22">
        <v>0.0</v>
      </c>
      <c r="E792" s="18">
        <f t="shared" si="2157"/>
        <v>1556.8</v>
      </c>
      <c r="F792" s="14">
        <v>1390.0</v>
      </c>
      <c r="G792" s="15">
        <f t="shared" ref="G792:H792" si="2275">E792/94</f>
        <v>16.56170213</v>
      </c>
      <c r="H792" s="15">
        <f t="shared" si="2275"/>
        <v>14.78723404</v>
      </c>
      <c r="I792" s="16">
        <f t="shared" ref="I792:J792" si="2276">E792/24</f>
        <v>64.86666667</v>
      </c>
      <c r="J792" s="16">
        <f t="shared" si="2276"/>
        <v>57.91666667</v>
      </c>
      <c r="K792" s="16">
        <f t="shared" ref="K792:L792" si="2277">E792/125</f>
        <v>12.4544</v>
      </c>
      <c r="L792" s="16">
        <f t="shared" si="2277"/>
        <v>11.12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ht="15.75" customHeight="1">
      <c r="A793" s="1"/>
      <c r="B793" s="1" t="s">
        <v>1521</v>
      </c>
      <c r="C793" s="32" t="s">
        <v>1522</v>
      </c>
      <c r="D793" s="22">
        <v>4.0</v>
      </c>
      <c r="E793" s="18">
        <f t="shared" si="2157"/>
        <v>1556.8</v>
      </c>
      <c r="F793" s="14">
        <v>1390.0</v>
      </c>
      <c r="G793" s="15">
        <f t="shared" ref="G793:H793" si="2278">E793/94</f>
        <v>16.56170213</v>
      </c>
      <c r="H793" s="15">
        <f t="shared" si="2278"/>
        <v>14.78723404</v>
      </c>
      <c r="I793" s="16">
        <f t="shared" ref="I793:J793" si="2279">E793/24</f>
        <v>64.86666667</v>
      </c>
      <c r="J793" s="16">
        <f t="shared" si="2279"/>
        <v>57.91666667</v>
      </c>
      <c r="K793" s="16">
        <f t="shared" ref="K793:L793" si="2280">E793/125</f>
        <v>12.4544</v>
      </c>
      <c r="L793" s="16">
        <f t="shared" si="2280"/>
        <v>11.12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ht="15.75" customHeight="1">
      <c r="A794" s="1"/>
      <c r="B794" s="1" t="s">
        <v>1523</v>
      </c>
      <c r="C794" s="32" t="s">
        <v>1524</v>
      </c>
      <c r="D794" s="22">
        <v>1.0</v>
      </c>
      <c r="E794" s="18">
        <f t="shared" si="2157"/>
        <v>1556.8</v>
      </c>
      <c r="F794" s="14">
        <v>1390.0</v>
      </c>
      <c r="G794" s="15">
        <f t="shared" ref="G794:H794" si="2281">E794/94</f>
        <v>16.56170213</v>
      </c>
      <c r="H794" s="15">
        <f t="shared" si="2281"/>
        <v>14.78723404</v>
      </c>
      <c r="I794" s="16">
        <f t="shared" ref="I794:J794" si="2282">E794/24</f>
        <v>64.86666667</v>
      </c>
      <c r="J794" s="16">
        <f t="shared" si="2282"/>
        <v>57.91666667</v>
      </c>
      <c r="K794" s="16">
        <f t="shared" ref="K794:L794" si="2283">E794/125</f>
        <v>12.4544</v>
      </c>
      <c r="L794" s="16">
        <f t="shared" si="2283"/>
        <v>11.12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ht="15.75" customHeight="1">
      <c r="A795" s="1"/>
      <c r="B795" s="1" t="s">
        <v>1525</v>
      </c>
      <c r="C795" s="32" t="s">
        <v>1526</v>
      </c>
      <c r="D795" s="22">
        <v>4.0</v>
      </c>
      <c r="E795" s="18">
        <f t="shared" si="2157"/>
        <v>1556.8</v>
      </c>
      <c r="F795" s="14">
        <v>1390.0</v>
      </c>
      <c r="G795" s="15">
        <f t="shared" ref="G795:H795" si="2284">E795/94</f>
        <v>16.56170213</v>
      </c>
      <c r="H795" s="15">
        <f t="shared" si="2284"/>
        <v>14.78723404</v>
      </c>
      <c r="I795" s="16">
        <f t="shared" ref="I795:J795" si="2285">E795/24</f>
        <v>64.86666667</v>
      </c>
      <c r="J795" s="16">
        <f t="shared" si="2285"/>
        <v>57.91666667</v>
      </c>
      <c r="K795" s="16">
        <f t="shared" ref="K795:L795" si="2286">E795/125</f>
        <v>12.4544</v>
      </c>
      <c r="L795" s="16">
        <f t="shared" si="2286"/>
        <v>11.12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ht="15.75" customHeight="1">
      <c r="A796" s="1"/>
      <c r="B796" s="1" t="s">
        <v>1527</v>
      </c>
      <c r="C796" s="32" t="s">
        <v>1528</v>
      </c>
      <c r="D796" s="22">
        <v>4.0</v>
      </c>
      <c r="E796" s="18">
        <f t="shared" si="2157"/>
        <v>1556.8</v>
      </c>
      <c r="F796" s="14">
        <v>1390.0</v>
      </c>
      <c r="G796" s="15">
        <f t="shared" ref="G796:H796" si="2287">E796/94</f>
        <v>16.56170213</v>
      </c>
      <c r="H796" s="15">
        <f t="shared" si="2287"/>
        <v>14.78723404</v>
      </c>
      <c r="I796" s="16">
        <f t="shared" ref="I796:J796" si="2288">E796/24</f>
        <v>64.86666667</v>
      </c>
      <c r="J796" s="16">
        <f t="shared" si="2288"/>
        <v>57.91666667</v>
      </c>
      <c r="K796" s="16">
        <f t="shared" ref="K796:L796" si="2289">E796/125</f>
        <v>12.4544</v>
      </c>
      <c r="L796" s="16">
        <f t="shared" si="2289"/>
        <v>11.12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ht="15.75" customHeight="1">
      <c r="A797" s="1"/>
      <c r="B797" s="1" t="s">
        <v>1529</v>
      </c>
      <c r="C797" s="32" t="s">
        <v>1530</v>
      </c>
      <c r="D797" s="22">
        <v>6.0</v>
      </c>
      <c r="E797" s="18">
        <f t="shared" si="2157"/>
        <v>1556.8</v>
      </c>
      <c r="F797" s="14">
        <v>1390.0</v>
      </c>
      <c r="G797" s="15">
        <f t="shared" ref="G797:H797" si="2290">E797/94</f>
        <v>16.56170213</v>
      </c>
      <c r="H797" s="15">
        <f t="shared" si="2290"/>
        <v>14.78723404</v>
      </c>
      <c r="I797" s="16">
        <f t="shared" ref="I797:J797" si="2291">E797/24</f>
        <v>64.86666667</v>
      </c>
      <c r="J797" s="16">
        <f t="shared" si="2291"/>
        <v>57.91666667</v>
      </c>
      <c r="K797" s="16">
        <f t="shared" ref="K797:L797" si="2292">E797/125</f>
        <v>12.4544</v>
      </c>
      <c r="L797" s="16">
        <f t="shared" si="2292"/>
        <v>11.12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ht="15.75" customHeight="1">
      <c r="A798" s="1"/>
      <c r="B798" s="1" t="s">
        <v>1531</v>
      </c>
      <c r="C798" s="32" t="s">
        <v>1532</v>
      </c>
      <c r="D798" s="22">
        <v>4.0</v>
      </c>
      <c r="E798" s="18">
        <f t="shared" si="2157"/>
        <v>1556.8</v>
      </c>
      <c r="F798" s="14">
        <v>1390.0</v>
      </c>
      <c r="G798" s="15">
        <f t="shared" ref="G798:H798" si="2293">E798/94</f>
        <v>16.56170213</v>
      </c>
      <c r="H798" s="15">
        <f t="shared" si="2293"/>
        <v>14.78723404</v>
      </c>
      <c r="I798" s="16">
        <f t="shared" ref="I798:J798" si="2294">E798/24</f>
        <v>64.86666667</v>
      </c>
      <c r="J798" s="16">
        <f t="shared" si="2294"/>
        <v>57.91666667</v>
      </c>
      <c r="K798" s="16">
        <f t="shared" ref="K798:L798" si="2295">E798/125</f>
        <v>12.4544</v>
      </c>
      <c r="L798" s="16">
        <f t="shared" si="2295"/>
        <v>11.12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ht="15.0" customHeight="1">
      <c r="A799" s="1" t="s">
        <v>1533</v>
      </c>
      <c r="B799" s="1" t="s">
        <v>1534</v>
      </c>
      <c r="C799" s="19" t="s">
        <v>1535</v>
      </c>
      <c r="D799" s="12">
        <v>0.0</v>
      </c>
      <c r="E799" s="18">
        <f t="shared" si="2157"/>
        <v>1668.8</v>
      </c>
      <c r="F799" s="14">
        <v>1490.0</v>
      </c>
      <c r="G799" s="15">
        <f t="shared" ref="G799:H799" si="2296">E799/94</f>
        <v>17.75319149</v>
      </c>
      <c r="H799" s="15">
        <f t="shared" si="2296"/>
        <v>15.85106383</v>
      </c>
      <c r="I799" s="16">
        <f t="shared" ref="I799:J799" si="2297">E799/24</f>
        <v>69.53333333</v>
      </c>
      <c r="J799" s="16">
        <f t="shared" si="2297"/>
        <v>62.08333333</v>
      </c>
      <c r="K799" s="16">
        <f t="shared" ref="K799:L799" si="2298">E799/125</f>
        <v>13.3504</v>
      </c>
      <c r="L799" s="16">
        <f t="shared" si="2298"/>
        <v>11.92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ht="15.75" customHeight="1">
      <c r="A800" s="1"/>
      <c r="B800" s="1" t="s">
        <v>1536</v>
      </c>
      <c r="C800" s="19" t="s">
        <v>1537</v>
      </c>
      <c r="D800" s="12">
        <v>0.0</v>
      </c>
      <c r="E800" s="18">
        <f t="shared" si="2157"/>
        <v>1668.8</v>
      </c>
      <c r="F800" s="14">
        <v>1490.0</v>
      </c>
      <c r="G800" s="15">
        <f t="shared" ref="G800:H800" si="2299">E800/94</f>
        <v>17.75319149</v>
      </c>
      <c r="H800" s="15">
        <f t="shared" si="2299"/>
        <v>15.85106383</v>
      </c>
      <c r="I800" s="16">
        <f t="shared" ref="I800:J800" si="2300">E800/24</f>
        <v>69.53333333</v>
      </c>
      <c r="J800" s="16">
        <f t="shared" si="2300"/>
        <v>62.08333333</v>
      </c>
      <c r="K800" s="16">
        <f t="shared" ref="K800:L800" si="2301">E800/125</f>
        <v>13.3504</v>
      </c>
      <c r="L800" s="16">
        <f t="shared" si="2301"/>
        <v>11.92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ht="15.75" customHeight="1">
      <c r="A801" s="1"/>
      <c r="B801" s="1" t="s">
        <v>1538</v>
      </c>
      <c r="C801" s="19" t="s">
        <v>1539</v>
      </c>
      <c r="D801" s="12">
        <v>0.0</v>
      </c>
      <c r="E801" s="18">
        <f t="shared" si="2157"/>
        <v>1668.8</v>
      </c>
      <c r="F801" s="14">
        <v>1490.0</v>
      </c>
      <c r="G801" s="15">
        <f t="shared" ref="G801:H801" si="2302">E801/94</f>
        <v>17.75319149</v>
      </c>
      <c r="H801" s="15">
        <f t="shared" si="2302"/>
        <v>15.85106383</v>
      </c>
      <c r="I801" s="16">
        <f t="shared" ref="I801:J801" si="2303">E801/24</f>
        <v>69.53333333</v>
      </c>
      <c r="J801" s="16">
        <f t="shared" si="2303"/>
        <v>62.08333333</v>
      </c>
      <c r="K801" s="16">
        <f t="shared" ref="K801:L801" si="2304">E801/125</f>
        <v>13.3504</v>
      </c>
      <c r="L801" s="16">
        <f t="shared" si="2304"/>
        <v>11.92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ht="15.75" customHeight="1">
      <c r="A802" s="1"/>
      <c r="B802" s="1" t="s">
        <v>1540</v>
      </c>
      <c r="C802" s="19" t="s">
        <v>1541</v>
      </c>
      <c r="D802" s="12">
        <v>3.0</v>
      </c>
      <c r="E802" s="18">
        <f t="shared" si="2157"/>
        <v>3684.8</v>
      </c>
      <c r="F802" s="14">
        <v>3290.0</v>
      </c>
      <c r="G802" s="15">
        <f t="shared" ref="G802:H802" si="2305">E802/94</f>
        <v>39.2</v>
      </c>
      <c r="H802" s="15">
        <f t="shared" si="2305"/>
        <v>35</v>
      </c>
      <c r="I802" s="16">
        <f t="shared" ref="I802:J802" si="2306">E802/24</f>
        <v>153.5333333</v>
      </c>
      <c r="J802" s="16">
        <f t="shared" si="2306"/>
        <v>137.0833333</v>
      </c>
      <c r="K802" s="16">
        <f t="shared" ref="K802:L802" si="2307">E802/125</f>
        <v>29.4784</v>
      </c>
      <c r="L802" s="16">
        <f t="shared" si="2307"/>
        <v>26.32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ht="15.0" customHeight="1">
      <c r="A803" s="1" t="s">
        <v>1542</v>
      </c>
      <c r="B803" s="1" t="s">
        <v>1543</v>
      </c>
      <c r="C803" s="19" t="s">
        <v>1544</v>
      </c>
      <c r="D803" s="12">
        <v>0.0</v>
      </c>
      <c r="E803" s="18">
        <f t="shared" si="2157"/>
        <v>3348.8</v>
      </c>
      <c r="F803" s="14">
        <v>2990.0</v>
      </c>
      <c r="G803" s="15">
        <f t="shared" ref="G803:H803" si="2308">E803/94</f>
        <v>35.62553191</v>
      </c>
      <c r="H803" s="15">
        <f t="shared" si="2308"/>
        <v>31.80851064</v>
      </c>
      <c r="I803" s="16">
        <f t="shared" ref="I803:J803" si="2309">E803/24</f>
        <v>139.5333333</v>
      </c>
      <c r="J803" s="16">
        <f t="shared" si="2309"/>
        <v>124.5833333</v>
      </c>
      <c r="K803" s="16">
        <f t="shared" ref="K803:L803" si="2310">E803/125</f>
        <v>26.7904</v>
      </c>
      <c r="L803" s="16">
        <f t="shared" si="2310"/>
        <v>23.92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ht="15.75" customHeight="1">
      <c r="A804" s="1"/>
      <c r="B804" s="1" t="s">
        <v>1545</v>
      </c>
      <c r="C804" s="19" t="s">
        <v>1546</v>
      </c>
      <c r="D804" s="12">
        <v>0.0</v>
      </c>
      <c r="E804" s="18">
        <f t="shared" si="2157"/>
        <v>2228.8</v>
      </c>
      <c r="F804" s="14">
        <v>1990.0</v>
      </c>
      <c r="G804" s="15">
        <f t="shared" ref="G804:H804" si="2311">E804/94</f>
        <v>23.7106383</v>
      </c>
      <c r="H804" s="15">
        <f t="shared" si="2311"/>
        <v>21.17021277</v>
      </c>
      <c r="I804" s="16">
        <f t="shared" ref="I804:J804" si="2312">E804/24</f>
        <v>92.86666667</v>
      </c>
      <c r="J804" s="16">
        <f t="shared" si="2312"/>
        <v>82.91666667</v>
      </c>
      <c r="K804" s="16">
        <f t="shared" ref="K804:L804" si="2313">E804/125</f>
        <v>17.8304</v>
      </c>
      <c r="L804" s="16">
        <f t="shared" si="2313"/>
        <v>15.92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ht="15.0" customHeight="1">
      <c r="A805" s="1" t="s">
        <v>1547</v>
      </c>
      <c r="B805" s="1" t="s">
        <v>1548</v>
      </c>
      <c r="C805" s="32" t="s">
        <v>1549</v>
      </c>
      <c r="D805" s="23">
        <v>45.0</v>
      </c>
      <c r="E805" s="18">
        <f t="shared" si="2157"/>
        <v>240.8</v>
      </c>
      <c r="F805" s="14">
        <v>215.0</v>
      </c>
      <c r="G805" s="15">
        <f t="shared" ref="G805:H805" si="2314">E805/94</f>
        <v>2.561702128</v>
      </c>
      <c r="H805" s="15">
        <f t="shared" si="2314"/>
        <v>2.287234043</v>
      </c>
      <c r="I805" s="16">
        <f t="shared" ref="I805:J805" si="2315">E805/24</f>
        <v>10.03333333</v>
      </c>
      <c r="J805" s="16">
        <f t="shared" si="2315"/>
        <v>8.958333333</v>
      </c>
      <c r="K805" s="16">
        <f t="shared" ref="K805:L805" si="2316">E805/125</f>
        <v>1.9264</v>
      </c>
      <c r="L805" s="16">
        <f t="shared" si="2316"/>
        <v>1.72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ht="15.75" customHeight="1">
      <c r="A806" s="1"/>
      <c r="B806" s="1" t="s">
        <v>1550</v>
      </c>
      <c r="C806" s="32" t="s">
        <v>1551</v>
      </c>
      <c r="D806" s="22">
        <v>51.0</v>
      </c>
      <c r="E806" s="18">
        <f t="shared" si="2157"/>
        <v>240.8</v>
      </c>
      <c r="F806" s="14">
        <v>215.0</v>
      </c>
      <c r="G806" s="15">
        <f t="shared" ref="G806:H806" si="2317">E806/94</f>
        <v>2.561702128</v>
      </c>
      <c r="H806" s="15">
        <f t="shared" si="2317"/>
        <v>2.287234043</v>
      </c>
      <c r="I806" s="16">
        <f t="shared" ref="I806:J806" si="2318">E806/24</f>
        <v>10.03333333</v>
      </c>
      <c r="J806" s="16">
        <f t="shared" si="2318"/>
        <v>8.958333333</v>
      </c>
      <c r="K806" s="16">
        <f t="shared" ref="K806:L806" si="2319">E806/125</f>
        <v>1.9264</v>
      </c>
      <c r="L806" s="16">
        <f t="shared" si="2319"/>
        <v>1.72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ht="15.75" customHeight="1">
      <c r="A807" s="1"/>
      <c r="B807" s="1" t="s">
        <v>1552</v>
      </c>
      <c r="C807" s="32" t="s">
        <v>1553</v>
      </c>
      <c r="D807" s="22">
        <v>30.0</v>
      </c>
      <c r="E807" s="18">
        <f t="shared" si="2157"/>
        <v>442.4</v>
      </c>
      <c r="F807" s="14">
        <v>395.0</v>
      </c>
      <c r="G807" s="15">
        <f t="shared" ref="G807:H807" si="2320">E807/94</f>
        <v>4.706382979</v>
      </c>
      <c r="H807" s="15">
        <f t="shared" si="2320"/>
        <v>4.20212766</v>
      </c>
      <c r="I807" s="16">
        <f t="shared" ref="I807:J807" si="2321">E807/24</f>
        <v>18.43333333</v>
      </c>
      <c r="J807" s="16">
        <f t="shared" si="2321"/>
        <v>16.45833333</v>
      </c>
      <c r="K807" s="16">
        <f t="shared" ref="K807:L807" si="2322">E807/125</f>
        <v>3.5392</v>
      </c>
      <c r="L807" s="16">
        <f t="shared" si="2322"/>
        <v>3.16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ht="15.0" customHeight="1">
      <c r="A808" s="1" t="s">
        <v>1554</v>
      </c>
      <c r="B808" s="1" t="s">
        <v>1555</v>
      </c>
      <c r="C808" s="32" t="s">
        <v>1556</v>
      </c>
      <c r="D808" s="22">
        <v>24.0</v>
      </c>
      <c r="E808" s="18">
        <f t="shared" si="2157"/>
        <v>722.4</v>
      </c>
      <c r="F808" s="14">
        <v>645.0</v>
      </c>
      <c r="G808" s="15">
        <f t="shared" ref="G808:H808" si="2323">E808/94</f>
        <v>7.685106383</v>
      </c>
      <c r="H808" s="15">
        <f t="shared" si="2323"/>
        <v>6.861702128</v>
      </c>
      <c r="I808" s="16">
        <f t="shared" ref="I808:J808" si="2324">E808/24</f>
        <v>30.1</v>
      </c>
      <c r="J808" s="16">
        <f t="shared" si="2324"/>
        <v>26.875</v>
      </c>
      <c r="K808" s="16">
        <f t="shared" ref="K808:L808" si="2325">E808/125</f>
        <v>5.7792</v>
      </c>
      <c r="L808" s="16">
        <f t="shared" si="2325"/>
        <v>5.16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ht="15.75" customHeight="1">
      <c r="A809" s="1"/>
      <c r="B809" s="1" t="s">
        <v>1557</v>
      </c>
      <c r="C809" s="32" t="s">
        <v>1558</v>
      </c>
      <c r="D809" s="22">
        <v>3.0</v>
      </c>
      <c r="E809" s="18">
        <f t="shared" si="2157"/>
        <v>1114.4</v>
      </c>
      <c r="F809" s="14">
        <v>995.0</v>
      </c>
      <c r="G809" s="15">
        <f t="shared" ref="G809:H809" si="2326">E809/94</f>
        <v>11.85531915</v>
      </c>
      <c r="H809" s="15">
        <f t="shared" si="2326"/>
        <v>10.58510638</v>
      </c>
      <c r="I809" s="16">
        <f t="shared" ref="I809:J809" si="2327">E809/24</f>
        <v>46.43333333</v>
      </c>
      <c r="J809" s="16">
        <f t="shared" si="2327"/>
        <v>41.45833333</v>
      </c>
      <c r="K809" s="16">
        <f t="shared" ref="K809:L809" si="2328">E809/125</f>
        <v>8.9152</v>
      </c>
      <c r="L809" s="16">
        <f t="shared" si="2328"/>
        <v>7.96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ht="15.75" customHeight="1">
      <c r="A810" s="1"/>
      <c r="B810" s="1" t="s">
        <v>1559</v>
      </c>
      <c r="C810" s="32" t="s">
        <v>1560</v>
      </c>
      <c r="D810" s="22">
        <v>24.0</v>
      </c>
      <c r="E810" s="18">
        <f t="shared" si="2157"/>
        <v>1114.4</v>
      </c>
      <c r="F810" s="14">
        <v>995.0</v>
      </c>
      <c r="G810" s="15">
        <f t="shared" ref="G810:H810" si="2329">E810/94</f>
        <v>11.85531915</v>
      </c>
      <c r="H810" s="15">
        <f t="shared" si="2329"/>
        <v>10.58510638</v>
      </c>
      <c r="I810" s="16">
        <f t="shared" ref="I810:J810" si="2330">E810/24</f>
        <v>46.43333333</v>
      </c>
      <c r="J810" s="16">
        <f t="shared" si="2330"/>
        <v>41.45833333</v>
      </c>
      <c r="K810" s="16">
        <f t="shared" ref="K810:L810" si="2331">E810/125</f>
        <v>8.9152</v>
      </c>
      <c r="L810" s="16">
        <f t="shared" si="2331"/>
        <v>7.96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ht="15.0" customHeight="1">
      <c r="A811" s="1" t="s">
        <v>1561</v>
      </c>
      <c r="B811" s="1" t="s">
        <v>203</v>
      </c>
      <c r="C811" s="32" t="s">
        <v>1562</v>
      </c>
      <c r="D811" s="22">
        <v>0.0</v>
      </c>
      <c r="E811" s="18">
        <f t="shared" si="2157"/>
        <v>364</v>
      </c>
      <c r="F811" s="14">
        <v>325.0</v>
      </c>
      <c r="G811" s="15">
        <f t="shared" ref="G811:H811" si="2332">E811/94</f>
        <v>3.872340426</v>
      </c>
      <c r="H811" s="15">
        <f t="shared" si="2332"/>
        <v>3.457446809</v>
      </c>
      <c r="I811" s="16">
        <f t="shared" ref="I811:J811" si="2333">E811/24</f>
        <v>15.16666667</v>
      </c>
      <c r="J811" s="16">
        <f t="shared" si="2333"/>
        <v>13.54166667</v>
      </c>
      <c r="K811" s="16">
        <f t="shared" ref="K811:L811" si="2334">E811/125</f>
        <v>2.912</v>
      </c>
      <c r="L811" s="16">
        <f t="shared" si="2334"/>
        <v>2.6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ht="15.75" customHeight="1">
      <c r="A812" s="1"/>
      <c r="B812" s="1" t="s">
        <v>1563</v>
      </c>
      <c r="C812" s="32" t="s">
        <v>1564</v>
      </c>
      <c r="D812" s="22">
        <v>0.0</v>
      </c>
      <c r="E812" s="18">
        <f t="shared" si="2157"/>
        <v>364</v>
      </c>
      <c r="F812" s="14">
        <v>325.0</v>
      </c>
      <c r="G812" s="15">
        <f t="shared" ref="G812:H812" si="2335">E812/94</f>
        <v>3.872340426</v>
      </c>
      <c r="H812" s="15">
        <f t="shared" si="2335"/>
        <v>3.457446809</v>
      </c>
      <c r="I812" s="16">
        <f t="shared" ref="I812:J812" si="2336">E812/24</f>
        <v>15.16666667</v>
      </c>
      <c r="J812" s="16">
        <f t="shared" si="2336"/>
        <v>13.54166667</v>
      </c>
      <c r="K812" s="16">
        <f t="shared" ref="K812:L812" si="2337">E812/125</f>
        <v>2.912</v>
      </c>
      <c r="L812" s="16">
        <f t="shared" si="2337"/>
        <v>2.6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ht="15.75" customHeight="1">
      <c r="A813" s="1"/>
      <c r="B813" s="1" t="s">
        <v>1565</v>
      </c>
      <c r="C813" s="32" t="s">
        <v>1566</v>
      </c>
      <c r="D813" s="22">
        <v>0.0</v>
      </c>
      <c r="E813" s="18">
        <f t="shared" si="2157"/>
        <v>364</v>
      </c>
      <c r="F813" s="14">
        <v>325.0</v>
      </c>
      <c r="G813" s="15">
        <f t="shared" ref="G813:H813" si="2338">E813/94</f>
        <v>3.872340426</v>
      </c>
      <c r="H813" s="15">
        <f t="shared" si="2338"/>
        <v>3.457446809</v>
      </c>
      <c r="I813" s="16">
        <f t="shared" ref="I813:J813" si="2339">E813/24</f>
        <v>15.16666667</v>
      </c>
      <c r="J813" s="16">
        <f t="shared" si="2339"/>
        <v>13.54166667</v>
      </c>
      <c r="K813" s="16">
        <f t="shared" ref="K813:L813" si="2340">E813/125</f>
        <v>2.912</v>
      </c>
      <c r="L813" s="16">
        <f t="shared" si="2340"/>
        <v>2.6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ht="15.75" customHeight="1">
      <c r="A814" s="1"/>
      <c r="B814" s="1" t="s">
        <v>17</v>
      </c>
      <c r="C814" s="32" t="s">
        <v>1567</v>
      </c>
      <c r="D814" s="22">
        <v>0.0</v>
      </c>
      <c r="E814" s="18">
        <f t="shared" si="2157"/>
        <v>364</v>
      </c>
      <c r="F814" s="14">
        <v>325.0</v>
      </c>
      <c r="G814" s="15">
        <f t="shared" ref="G814:H814" si="2341">E814/94</f>
        <v>3.872340426</v>
      </c>
      <c r="H814" s="15">
        <f t="shared" si="2341"/>
        <v>3.457446809</v>
      </c>
      <c r="I814" s="16">
        <f t="shared" ref="I814:J814" si="2342">E814/24</f>
        <v>15.16666667</v>
      </c>
      <c r="J814" s="16">
        <f t="shared" si="2342"/>
        <v>13.54166667</v>
      </c>
      <c r="K814" s="16">
        <f t="shared" ref="K814:L814" si="2343">E814/125</f>
        <v>2.912</v>
      </c>
      <c r="L814" s="16">
        <f t="shared" si="2343"/>
        <v>2.6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ht="15.75" customHeight="1">
      <c r="A815" s="1"/>
      <c r="B815" s="1" t="s">
        <v>183</v>
      </c>
      <c r="C815" s="32" t="s">
        <v>1568</v>
      </c>
      <c r="D815" s="22">
        <v>0.0</v>
      </c>
      <c r="E815" s="18">
        <f t="shared" si="2157"/>
        <v>364</v>
      </c>
      <c r="F815" s="14">
        <v>325.0</v>
      </c>
      <c r="G815" s="15">
        <f t="shared" ref="G815:H815" si="2344">E815/94</f>
        <v>3.872340426</v>
      </c>
      <c r="H815" s="15">
        <f t="shared" si="2344"/>
        <v>3.457446809</v>
      </c>
      <c r="I815" s="16">
        <f t="shared" ref="I815:J815" si="2345">E815/24</f>
        <v>15.16666667</v>
      </c>
      <c r="J815" s="16">
        <f t="shared" si="2345"/>
        <v>13.54166667</v>
      </c>
      <c r="K815" s="16">
        <f t="shared" ref="K815:L815" si="2346">E815/125</f>
        <v>2.912</v>
      </c>
      <c r="L815" s="16">
        <f t="shared" si="2346"/>
        <v>2.6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ht="15.75" customHeight="1">
      <c r="A816" s="1"/>
      <c r="B816" s="1" t="s">
        <v>1569</v>
      </c>
      <c r="C816" s="32" t="s">
        <v>1570</v>
      </c>
      <c r="D816" s="22">
        <v>0.0</v>
      </c>
      <c r="E816" s="18">
        <f t="shared" si="2157"/>
        <v>364</v>
      </c>
      <c r="F816" s="14">
        <v>325.0</v>
      </c>
      <c r="G816" s="15">
        <f t="shared" ref="G816:H816" si="2347">E816/94</f>
        <v>3.872340426</v>
      </c>
      <c r="H816" s="15">
        <f t="shared" si="2347"/>
        <v>3.457446809</v>
      </c>
      <c r="I816" s="16">
        <f t="shared" ref="I816:J816" si="2348">E816/24</f>
        <v>15.16666667</v>
      </c>
      <c r="J816" s="16">
        <f t="shared" si="2348"/>
        <v>13.54166667</v>
      </c>
      <c r="K816" s="16">
        <f t="shared" ref="K816:L816" si="2349">E816/125</f>
        <v>2.912</v>
      </c>
      <c r="L816" s="16">
        <f t="shared" si="2349"/>
        <v>2.6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ht="15.75" customHeight="1">
      <c r="A817" s="1"/>
      <c r="B817" s="1" t="s">
        <v>15</v>
      </c>
      <c r="C817" s="32" t="s">
        <v>1571</v>
      </c>
      <c r="D817" s="22">
        <v>0.0</v>
      </c>
      <c r="E817" s="18">
        <f t="shared" si="2157"/>
        <v>364</v>
      </c>
      <c r="F817" s="14">
        <v>325.0</v>
      </c>
      <c r="G817" s="15">
        <f t="shared" ref="G817:H817" si="2350">E817/94</f>
        <v>3.872340426</v>
      </c>
      <c r="H817" s="15">
        <f t="shared" si="2350"/>
        <v>3.457446809</v>
      </c>
      <c r="I817" s="16">
        <f t="shared" ref="I817:J817" si="2351">E817/24</f>
        <v>15.16666667</v>
      </c>
      <c r="J817" s="16">
        <f t="shared" si="2351"/>
        <v>13.54166667</v>
      </c>
      <c r="K817" s="16">
        <f t="shared" ref="K817:L817" si="2352">E817/125</f>
        <v>2.912</v>
      </c>
      <c r="L817" s="16">
        <f t="shared" si="2352"/>
        <v>2.6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ht="15.75" customHeight="1">
      <c r="A818" s="1"/>
      <c r="B818" s="1" t="s">
        <v>569</v>
      </c>
      <c r="C818" s="32" t="s">
        <v>1572</v>
      </c>
      <c r="D818" s="22">
        <v>8.0</v>
      </c>
      <c r="E818" s="18">
        <f t="shared" si="2157"/>
        <v>1786.4</v>
      </c>
      <c r="F818" s="14">
        <v>1595.0</v>
      </c>
      <c r="G818" s="15">
        <f t="shared" ref="G818:H818" si="2353">E818/94</f>
        <v>19.00425532</v>
      </c>
      <c r="H818" s="15">
        <f t="shared" si="2353"/>
        <v>16.96808511</v>
      </c>
      <c r="I818" s="16">
        <f t="shared" ref="I818:J818" si="2354">E818/24</f>
        <v>74.43333333</v>
      </c>
      <c r="J818" s="16">
        <f t="shared" si="2354"/>
        <v>66.45833333</v>
      </c>
      <c r="K818" s="16">
        <f t="shared" ref="K818:L818" si="2355">E818/125</f>
        <v>14.2912</v>
      </c>
      <c r="L818" s="16">
        <f t="shared" si="2355"/>
        <v>12.76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ht="15.0" customHeight="1">
      <c r="A819" s="1" t="s">
        <v>1573</v>
      </c>
      <c r="B819" s="1" t="s">
        <v>1574</v>
      </c>
      <c r="C819" s="32" t="s">
        <v>1575</v>
      </c>
      <c r="D819" s="23"/>
      <c r="E819" s="18">
        <f t="shared" si="2157"/>
        <v>10920</v>
      </c>
      <c r="F819" s="14">
        <v>9750.0</v>
      </c>
      <c r="G819" s="15">
        <f t="shared" ref="G819:H819" si="2356">E819/94</f>
        <v>116.1702128</v>
      </c>
      <c r="H819" s="15">
        <f t="shared" si="2356"/>
        <v>103.7234043</v>
      </c>
      <c r="I819" s="16">
        <f t="shared" ref="I819:J819" si="2357">E819/24</f>
        <v>455</v>
      </c>
      <c r="J819" s="16">
        <f t="shared" si="2357"/>
        <v>406.25</v>
      </c>
      <c r="K819" s="16">
        <f t="shared" ref="K819:L819" si="2358">E819/125</f>
        <v>87.36</v>
      </c>
      <c r="L819" s="16">
        <f t="shared" si="2358"/>
        <v>78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ht="15.75" customHeight="1">
      <c r="A820" s="1"/>
      <c r="B820" s="1" t="s">
        <v>1576</v>
      </c>
      <c r="C820" s="32" t="s">
        <v>1577</v>
      </c>
      <c r="D820" s="23"/>
      <c r="E820" s="18">
        <f t="shared" si="2157"/>
        <v>9800</v>
      </c>
      <c r="F820" s="14">
        <v>8750.0</v>
      </c>
      <c r="G820" s="15">
        <f t="shared" ref="G820:H820" si="2359">E820/94</f>
        <v>104.2553191</v>
      </c>
      <c r="H820" s="15">
        <f t="shared" si="2359"/>
        <v>93.08510638</v>
      </c>
      <c r="I820" s="16">
        <f t="shared" ref="I820:J820" si="2360">E820/24</f>
        <v>408.3333333</v>
      </c>
      <c r="J820" s="16">
        <f t="shared" si="2360"/>
        <v>364.5833333</v>
      </c>
      <c r="K820" s="16">
        <f t="shared" ref="K820:L820" si="2361">E820/125</f>
        <v>78.4</v>
      </c>
      <c r="L820" s="16">
        <f t="shared" si="2361"/>
        <v>70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ht="15.75" customHeight="1">
      <c r="A821" s="1"/>
      <c r="B821" s="1" t="s">
        <v>1578</v>
      </c>
      <c r="C821" s="32" t="s">
        <v>1579</v>
      </c>
      <c r="D821" s="23"/>
      <c r="E821" s="18">
        <f t="shared" si="2157"/>
        <v>12264</v>
      </c>
      <c r="F821" s="14">
        <v>10950.0</v>
      </c>
      <c r="G821" s="15">
        <f t="shared" ref="G821:H821" si="2362">E821/94</f>
        <v>130.4680851</v>
      </c>
      <c r="H821" s="15">
        <f t="shared" si="2362"/>
        <v>116.4893617</v>
      </c>
      <c r="I821" s="16">
        <f t="shared" ref="I821:J821" si="2363">E821/24</f>
        <v>511</v>
      </c>
      <c r="J821" s="16">
        <f t="shared" si="2363"/>
        <v>456.25</v>
      </c>
      <c r="K821" s="16">
        <f t="shared" ref="K821:L821" si="2364">E821/125</f>
        <v>98.112</v>
      </c>
      <c r="L821" s="16">
        <f t="shared" si="2364"/>
        <v>87.6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ht="15.75" customHeight="1">
      <c r="A822" s="1"/>
      <c r="B822" s="1" t="s">
        <v>1580</v>
      </c>
      <c r="C822" s="32" t="s">
        <v>1581</v>
      </c>
      <c r="D822" s="23"/>
      <c r="E822" s="18">
        <f t="shared" si="2157"/>
        <v>11144</v>
      </c>
      <c r="F822" s="14">
        <v>9950.0</v>
      </c>
      <c r="G822" s="15">
        <f t="shared" ref="G822:H822" si="2365">E822/94</f>
        <v>118.5531915</v>
      </c>
      <c r="H822" s="15">
        <f t="shared" si="2365"/>
        <v>105.8510638</v>
      </c>
      <c r="I822" s="16">
        <f t="shared" ref="I822:J822" si="2366">E822/24</f>
        <v>464.3333333</v>
      </c>
      <c r="J822" s="16">
        <f t="shared" si="2366"/>
        <v>414.5833333</v>
      </c>
      <c r="K822" s="16">
        <f t="shared" ref="K822:L822" si="2367">E822/125</f>
        <v>89.152</v>
      </c>
      <c r="L822" s="16">
        <f t="shared" si="2367"/>
        <v>79.6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ht="15.75" customHeight="1">
      <c r="A823" s="1"/>
      <c r="B823" s="1" t="s">
        <v>1582</v>
      </c>
      <c r="C823" s="32" t="s">
        <v>1583</v>
      </c>
      <c r="D823" s="23"/>
      <c r="E823" s="18">
        <f t="shared" si="2157"/>
        <v>8568</v>
      </c>
      <c r="F823" s="14">
        <v>7650.0</v>
      </c>
      <c r="G823" s="15">
        <f t="shared" ref="G823:H823" si="2368">E823/94</f>
        <v>91.14893617</v>
      </c>
      <c r="H823" s="15">
        <f t="shared" si="2368"/>
        <v>81.38297872</v>
      </c>
      <c r="I823" s="16">
        <f t="shared" ref="I823:J823" si="2369">E823/24</f>
        <v>357</v>
      </c>
      <c r="J823" s="16">
        <f t="shared" si="2369"/>
        <v>318.75</v>
      </c>
      <c r="K823" s="16">
        <f t="shared" ref="K823:L823" si="2370">E823/125</f>
        <v>68.544</v>
      </c>
      <c r="L823" s="16">
        <f t="shared" si="2370"/>
        <v>61.2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ht="15.75" customHeight="1">
      <c r="A824" s="1"/>
      <c r="B824" s="1" t="s">
        <v>1584</v>
      </c>
      <c r="C824" s="32" t="s">
        <v>1585</v>
      </c>
      <c r="D824" s="23"/>
      <c r="E824" s="18">
        <f t="shared" si="2157"/>
        <v>7448</v>
      </c>
      <c r="F824" s="14">
        <v>6650.0</v>
      </c>
      <c r="G824" s="15">
        <f t="shared" ref="G824:H824" si="2371">E824/94</f>
        <v>79.23404255</v>
      </c>
      <c r="H824" s="15">
        <f t="shared" si="2371"/>
        <v>70.74468085</v>
      </c>
      <c r="I824" s="16">
        <f t="shared" ref="I824:J824" si="2372">E824/24</f>
        <v>310.3333333</v>
      </c>
      <c r="J824" s="16">
        <f t="shared" si="2372"/>
        <v>277.0833333</v>
      </c>
      <c r="K824" s="16">
        <f t="shared" ref="K824:L824" si="2373">E824/125</f>
        <v>59.584</v>
      </c>
      <c r="L824" s="16">
        <f t="shared" si="2373"/>
        <v>53.2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ht="15.75" customHeight="1">
      <c r="A825" s="1"/>
      <c r="B825" s="1" t="s">
        <v>1586</v>
      </c>
      <c r="C825" s="32" t="s">
        <v>1587</v>
      </c>
      <c r="D825" s="23"/>
      <c r="E825" s="18">
        <f t="shared" si="2157"/>
        <v>9464</v>
      </c>
      <c r="F825" s="14">
        <v>8450.0</v>
      </c>
      <c r="G825" s="15">
        <f t="shared" ref="G825:H825" si="2374">E825/94</f>
        <v>100.6808511</v>
      </c>
      <c r="H825" s="15">
        <f t="shared" si="2374"/>
        <v>89.89361702</v>
      </c>
      <c r="I825" s="16">
        <f t="shared" ref="I825:J825" si="2375">E825/24</f>
        <v>394.3333333</v>
      </c>
      <c r="J825" s="16">
        <f t="shared" si="2375"/>
        <v>352.0833333</v>
      </c>
      <c r="K825" s="16">
        <f t="shared" ref="K825:L825" si="2376">E825/125</f>
        <v>75.712</v>
      </c>
      <c r="L825" s="16">
        <f t="shared" si="2376"/>
        <v>67.6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ht="15.75" customHeight="1">
      <c r="A826" s="1"/>
      <c r="B826" s="1" t="s">
        <v>1588</v>
      </c>
      <c r="C826" s="32" t="s">
        <v>1589</v>
      </c>
      <c r="D826" s="23"/>
      <c r="E826" s="18">
        <f t="shared" si="2157"/>
        <v>8344</v>
      </c>
      <c r="F826" s="14">
        <v>7450.0</v>
      </c>
      <c r="G826" s="15">
        <f t="shared" ref="G826:H826" si="2377">E826/94</f>
        <v>88.76595745</v>
      </c>
      <c r="H826" s="15">
        <f t="shared" si="2377"/>
        <v>79.25531915</v>
      </c>
      <c r="I826" s="16">
        <f t="shared" ref="I826:J826" si="2378">E826/24</f>
        <v>347.6666667</v>
      </c>
      <c r="J826" s="16">
        <f t="shared" si="2378"/>
        <v>310.4166667</v>
      </c>
      <c r="K826" s="16">
        <f t="shared" ref="K826:L826" si="2379">E826/125</f>
        <v>66.752</v>
      </c>
      <c r="L826" s="16">
        <f t="shared" si="2379"/>
        <v>59.6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ht="15.0" customHeight="1">
      <c r="A827" s="1" t="s">
        <v>1590</v>
      </c>
      <c r="B827" s="1" t="s">
        <v>1543</v>
      </c>
      <c r="C827" s="32" t="s">
        <v>1591</v>
      </c>
      <c r="D827" s="22">
        <v>0.0</v>
      </c>
      <c r="E827" s="18">
        <f t="shared" si="2157"/>
        <v>11188.8</v>
      </c>
      <c r="F827" s="14">
        <v>9990.0</v>
      </c>
      <c r="G827" s="15">
        <f t="shared" ref="G827:H827" si="2380">E827/94</f>
        <v>119.0297872</v>
      </c>
      <c r="H827" s="15">
        <f t="shared" si="2380"/>
        <v>106.2765957</v>
      </c>
      <c r="I827" s="16">
        <f t="shared" ref="I827:J827" si="2381">E827/24</f>
        <v>466.2</v>
      </c>
      <c r="J827" s="16">
        <f t="shared" si="2381"/>
        <v>416.25</v>
      </c>
      <c r="K827" s="16">
        <f t="shared" ref="K827:L827" si="2382">E827/125</f>
        <v>89.5104</v>
      </c>
      <c r="L827" s="16">
        <f t="shared" si="2382"/>
        <v>79.92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ht="15.75" customHeight="1">
      <c r="A828" s="1"/>
      <c r="B828" s="1" t="s">
        <v>1545</v>
      </c>
      <c r="C828" s="32" t="s">
        <v>1592</v>
      </c>
      <c r="D828" s="22">
        <v>0.0</v>
      </c>
      <c r="E828" s="18">
        <f t="shared" si="2157"/>
        <v>8164.8</v>
      </c>
      <c r="F828" s="14">
        <v>7290.0</v>
      </c>
      <c r="G828" s="15">
        <f t="shared" ref="G828:H828" si="2383">E828/94</f>
        <v>86.85957447</v>
      </c>
      <c r="H828" s="15">
        <f t="shared" si="2383"/>
        <v>77.55319149</v>
      </c>
      <c r="I828" s="16">
        <f t="shared" ref="I828:J828" si="2384">E828/24</f>
        <v>340.2</v>
      </c>
      <c r="J828" s="16">
        <f t="shared" si="2384"/>
        <v>303.75</v>
      </c>
      <c r="K828" s="16">
        <f t="shared" ref="K828:L828" si="2385">E828/125</f>
        <v>65.3184</v>
      </c>
      <c r="L828" s="16">
        <f t="shared" si="2385"/>
        <v>58.32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ht="15.0" customHeight="1">
      <c r="A829" s="1" t="s">
        <v>1593</v>
      </c>
      <c r="B829" s="1" t="s">
        <v>1594</v>
      </c>
      <c r="C829" s="32" t="s">
        <v>1595</v>
      </c>
      <c r="D829" s="22">
        <v>2.0</v>
      </c>
      <c r="E829" s="18">
        <f t="shared" si="2157"/>
        <v>728</v>
      </c>
      <c r="F829" s="1">
        <v>650.0</v>
      </c>
      <c r="G829" s="15">
        <f t="shared" ref="G829:H829" si="2386">E829/94</f>
        <v>7.744680851</v>
      </c>
      <c r="H829" s="15">
        <f t="shared" si="2386"/>
        <v>6.914893617</v>
      </c>
      <c r="I829" s="16">
        <f t="shared" ref="I829:J829" si="2387">E829/24</f>
        <v>30.33333333</v>
      </c>
      <c r="J829" s="16">
        <f t="shared" si="2387"/>
        <v>27.08333333</v>
      </c>
      <c r="K829" s="16">
        <f t="shared" ref="K829:L829" si="2388">E829/125</f>
        <v>5.824</v>
      </c>
      <c r="L829" s="16">
        <f t="shared" si="2388"/>
        <v>5.2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ht="15.75" customHeight="1">
      <c r="A830" s="1"/>
      <c r="B830" s="1" t="s">
        <v>1596</v>
      </c>
      <c r="C830" s="32" t="s">
        <v>1597</v>
      </c>
      <c r="D830" s="22">
        <v>1.0</v>
      </c>
      <c r="E830" s="18">
        <f t="shared" si="2157"/>
        <v>840</v>
      </c>
      <c r="F830" s="1">
        <v>750.0</v>
      </c>
      <c r="G830" s="15">
        <f t="shared" ref="G830:H830" si="2389">E830/94</f>
        <v>8.936170213</v>
      </c>
      <c r="H830" s="15">
        <f t="shared" si="2389"/>
        <v>7.978723404</v>
      </c>
      <c r="I830" s="16">
        <f t="shared" ref="I830:J830" si="2390">E830/24</f>
        <v>35</v>
      </c>
      <c r="J830" s="16">
        <f t="shared" si="2390"/>
        <v>31.25</v>
      </c>
      <c r="K830" s="16">
        <f t="shared" ref="K830:L830" si="2391">E830/125</f>
        <v>6.72</v>
      </c>
      <c r="L830" s="16">
        <f t="shared" si="2391"/>
        <v>6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ht="15.75" customHeight="1">
      <c r="A831" s="1"/>
      <c r="B831" s="1" t="s">
        <v>1598</v>
      </c>
      <c r="C831" s="32" t="s">
        <v>1599</v>
      </c>
      <c r="D831" s="22">
        <v>2.0</v>
      </c>
      <c r="E831" s="18">
        <f t="shared" si="2157"/>
        <v>952</v>
      </c>
      <c r="F831" s="1">
        <v>850.0</v>
      </c>
      <c r="G831" s="15">
        <f t="shared" ref="G831:H831" si="2392">E831/94</f>
        <v>10.12765957</v>
      </c>
      <c r="H831" s="15">
        <f t="shared" si="2392"/>
        <v>9.042553191</v>
      </c>
      <c r="I831" s="16">
        <f t="shared" ref="I831:J831" si="2393">E831/24</f>
        <v>39.66666667</v>
      </c>
      <c r="J831" s="16">
        <f t="shared" si="2393"/>
        <v>35.41666667</v>
      </c>
      <c r="K831" s="16">
        <f t="shared" ref="K831:L831" si="2394">E831/125</f>
        <v>7.616</v>
      </c>
      <c r="L831" s="16">
        <f t="shared" si="2394"/>
        <v>6.8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ht="15.75" customHeight="1">
      <c r="A832" s="1"/>
      <c r="B832" s="1" t="s">
        <v>1600</v>
      </c>
      <c r="C832" s="32" t="s">
        <v>1601</v>
      </c>
      <c r="D832" s="22">
        <v>3.0</v>
      </c>
      <c r="E832" s="18">
        <f t="shared" si="2157"/>
        <v>1064</v>
      </c>
      <c r="F832" s="1">
        <v>950.0</v>
      </c>
      <c r="G832" s="15">
        <f t="shared" ref="G832:H832" si="2395">E832/94</f>
        <v>11.31914894</v>
      </c>
      <c r="H832" s="15">
        <f t="shared" si="2395"/>
        <v>10.10638298</v>
      </c>
      <c r="I832" s="16">
        <f t="shared" ref="I832:J832" si="2396">E832/24</f>
        <v>44.33333333</v>
      </c>
      <c r="J832" s="16">
        <f t="shared" si="2396"/>
        <v>39.58333333</v>
      </c>
      <c r="K832" s="16">
        <f t="shared" ref="K832:L832" si="2397">E832/125</f>
        <v>8.512</v>
      </c>
      <c r="L832" s="16">
        <f t="shared" si="2397"/>
        <v>7.6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ht="15.0" customHeight="1">
      <c r="A833" s="1" t="s">
        <v>1602</v>
      </c>
      <c r="B833" s="1"/>
      <c r="C833" s="1" t="s">
        <v>1603</v>
      </c>
      <c r="D833" s="12">
        <v>25.0</v>
      </c>
      <c r="E833" s="18">
        <f t="shared" si="2157"/>
        <v>0</v>
      </c>
      <c r="F833" s="3"/>
      <c r="G833" s="29"/>
      <c r="H833" s="29"/>
      <c r="I833" s="30"/>
      <c r="J833" s="30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ht="15.0" customHeight="1">
      <c r="A834" s="1" t="s">
        <v>1604</v>
      </c>
      <c r="B834" s="1"/>
      <c r="C834" s="1" t="s">
        <v>1605</v>
      </c>
      <c r="D834" s="2"/>
      <c r="E834" s="18">
        <f t="shared" si="2157"/>
        <v>0</v>
      </c>
      <c r="F834" s="3"/>
      <c r="G834" s="29"/>
      <c r="H834" s="29"/>
      <c r="I834" s="30"/>
      <c r="J834" s="30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ht="15.0" customHeight="1">
      <c r="A835" s="1" t="s">
        <v>1606</v>
      </c>
      <c r="B835" s="1"/>
      <c r="C835" s="1" t="s">
        <v>1607</v>
      </c>
      <c r="D835" s="2"/>
      <c r="E835" s="18">
        <f t="shared" si="2157"/>
        <v>0</v>
      </c>
      <c r="F835" s="3"/>
      <c r="G835" s="29"/>
      <c r="H835" s="29"/>
      <c r="I835" s="30"/>
      <c r="J835" s="30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ht="15.0" customHeight="1">
      <c r="A836" s="1" t="s">
        <v>1608</v>
      </c>
      <c r="B836" s="1"/>
      <c r="C836" s="1" t="s">
        <v>1609</v>
      </c>
      <c r="D836" s="12">
        <v>100.0</v>
      </c>
      <c r="E836" s="18">
        <f t="shared" si="2157"/>
        <v>0</v>
      </c>
      <c r="F836" s="3"/>
      <c r="G836" s="29"/>
      <c r="H836" s="29"/>
      <c r="I836" s="30"/>
      <c r="J836" s="30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ht="15.0" customHeight="1">
      <c r="A837" s="1" t="s">
        <v>1610</v>
      </c>
      <c r="B837" s="1"/>
      <c r="C837" s="1" t="s">
        <v>1611</v>
      </c>
      <c r="D837" s="2"/>
      <c r="E837" s="18">
        <f t="shared" si="2157"/>
        <v>0</v>
      </c>
      <c r="F837" s="3"/>
      <c r="G837" s="29"/>
      <c r="H837" s="29"/>
      <c r="I837" s="30"/>
      <c r="J837" s="30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ht="15.0" customHeight="1">
      <c r="A838" s="1" t="s">
        <v>1612</v>
      </c>
      <c r="B838" s="1"/>
      <c r="C838" s="17" t="s">
        <v>1613</v>
      </c>
      <c r="D838" s="2"/>
      <c r="E838" s="18">
        <f t="shared" si="2157"/>
        <v>0</v>
      </c>
      <c r="F838" s="3"/>
      <c r="G838" s="29"/>
      <c r="H838" s="29"/>
      <c r="I838" s="30"/>
      <c r="J838" s="30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ht="15.0" customHeight="1">
      <c r="A839" s="1" t="s">
        <v>1614</v>
      </c>
      <c r="B839" s="17" t="s">
        <v>1615</v>
      </c>
      <c r="C839" s="17" t="s">
        <v>1616</v>
      </c>
      <c r="D839" s="12">
        <v>25.0</v>
      </c>
      <c r="E839" s="18">
        <f t="shared" si="2157"/>
        <v>0</v>
      </c>
      <c r="F839" s="3"/>
      <c r="G839" s="29"/>
      <c r="H839" s="29"/>
      <c r="I839" s="30"/>
      <c r="J839" s="30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ht="15.0" customHeight="1">
      <c r="A840" s="1"/>
      <c r="B840" s="17" t="s">
        <v>23</v>
      </c>
      <c r="C840" s="17" t="s">
        <v>1617</v>
      </c>
      <c r="D840" s="12">
        <v>25.0</v>
      </c>
      <c r="E840" s="18"/>
      <c r="F840" s="3"/>
      <c r="G840" s="29"/>
      <c r="H840" s="29"/>
      <c r="I840" s="30"/>
      <c r="J840" s="30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ht="15.0" customHeight="1">
      <c r="A841" s="1" t="s">
        <v>1618</v>
      </c>
      <c r="B841" s="1"/>
      <c r="C841" s="1" t="s">
        <v>1619</v>
      </c>
      <c r="D841" s="12">
        <v>0.0</v>
      </c>
      <c r="E841" s="18">
        <f t="shared" ref="E841:E844" si="2398">F841+(F841*12%)</f>
        <v>0</v>
      </c>
      <c r="F841" s="3"/>
      <c r="G841" s="29"/>
      <c r="H841" s="29"/>
      <c r="I841" s="30"/>
      <c r="J841" s="30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ht="15.0" customHeight="1">
      <c r="A842" s="1" t="s">
        <v>1620</v>
      </c>
      <c r="B842" s="1"/>
      <c r="C842" s="1" t="s">
        <v>1621</v>
      </c>
      <c r="D842" s="2"/>
      <c r="E842" s="18">
        <f t="shared" si="2398"/>
        <v>0</v>
      </c>
      <c r="F842" s="3"/>
      <c r="G842" s="29"/>
      <c r="H842" s="29"/>
      <c r="I842" s="30"/>
      <c r="J842" s="30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ht="15.0" customHeight="1">
      <c r="A843" s="1" t="s">
        <v>1622</v>
      </c>
      <c r="B843" s="1"/>
      <c r="C843" s="17" t="s">
        <v>1623</v>
      </c>
      <c r="D843" s="12">
        <v>1.0</v>
      </c>
      <c r="E843" s="18">
        <f t="shared" si="2398"/>
        <v>0</v>
      </c>
      <c r="F843" s="14"/>
      <c r="G843" s="15"/>
      <c r="H843" s="15"/>
      <c r="I843" s="16"/>
      <c r="J843" s="16"/>
      <c r="K843" s="16"/>
      <c r="L843" s="1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ht="15.0" customHeight="1">
      <c r="A844" s="1"/>
      <c r="B844" s="1"/>
      <c r="C844" s="1"/>
      <c r="D844" s="2"/>
      <c r="E844" s="18">
        <f t="shared" si="2398"/>
        <v>0</v>
      </c>
      <c r="F844" s="3"/>
      <c r="G844" s="29"/>
      <c r="H844" s="29"/>
      <c r="I844" s="30"/>
      <c r="J844" s="30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ht="15.0" customHeight="1">
      <c r="A845" s="1"/>
      <c r="B845" s="1"/>
      <c r="C845" s="1"/>
      <c r="D845" s="2"/>
      <c r="E845" s="1"/>
      <c r="F845" s="3"/>
      <c r="G845" s="29"/>
      <c r="H845" s="29"/>
      <c r="I845" s="30"/>
      <c r="J845" s="30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ht="15.0" customHeight="1">
      <c r="A846" s="1"/>
      <c r="B846" s="1"/>
      <c r="C846" s="1"/>
      <c r="D846" s="2"/>
      <c r="E846" s="1"/>
      <c r="F846" s="3"/>
      <c r="G846" s="29"/>
      <c r="H846" s="29"/>
      <c r="I846" s="30"/>
      <c r="J846" s="30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ht="15.0" customHeight="1">
      <c r="A847" s="1"/>
      <c r="B847" s="1"/>
      <c r="C847" s="1"/>
      <c r="D847" s="2"/>
      <c r="E847" s="1"/>
      <c r="F847" s="3"/>
      <c r="G847" s="29"/>
      <c r="H847" s="29"/>
      <c r="I847" s="30"/>
      <c r="J847" s="30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ht="15.0" customHeight="1">
      <c r="A848" s="1"/>
      <c r="B848" s="1"/>
      <c r="C848" s="1"/>
      <c r="D848" s="2"/>
      <c r="E848" s="1"/>
      <c r="F848" s="3"/>
      <c r="G848" s="29"/>
      <c r="H848" s="29"/>
      <c r="I848" s="30"/>
      <c r="J848" s="30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ht="15.0" customHeight="1">
      <c r="A849" s="1"/>
      <c r="B849" s="1"/>
      <c r="C849" s="1"/>
      <c r="D849" s="2"/>
      <c r="E849" s="1"/>
      <c r="F849" s="3"/>
      <c r="G849" s="29"/>
      <c r="H849" s="29"/>
      <c r="I849" s="30"/>
      <c r="J849" s="30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ht="15.0" customHeight="1">
      <c r="A850" s="1"/>
      <c r="B850" s="1"/>
      <c r="C850" s="1"/>
      <c r="D850" s="2"/>
      <c r="E850" s="1"/>
      <c r="F850" s="3"/>
      <c r="G850" s="29"/>
      <c r="H850" s="29"/>
      <c r="I850" s="30"/>
      <c r="J850" s="30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ht="15.0" customHeight="1">
      <c r="A851" s="1"/>
      <c r="B851" s="1"/>
      <c r="C851" s="1"/>
      <c r="D851" s="2"/>
      <c r="E851" s="1"/>
      <c r="F851" s="3"/>
      <c r="G851" s="29"/>
      <c r="H851" s="29"/>
      <c r="I851" s="30"/>
      <c r="J851" s="30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ht="15.0" customHeight="1">
      <c r="A852" s="1"/>
      <c r="B852" s="1"/>
      <c r="C852" s="1"/>
      <c r="D852" s="2"/>
      <c r="E852" s="1"/>
      <c r="F852" s="3"/>
      <c r="G852" s="29"/>
      <c r="H852" s="29"/>
      <c r="I852" s="30"/>
      <c r="J852" s="30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ht="15.0" customHeight="1">
      <c r="A853" s="1"/>
      <c r="B853" s="1"/>
      <c r="C853" s="1"/>
      <c r="D853" s="2"/>
      <c r="E853" s="1"/>
      <c r="F853" s="3"/>
      <c r="G853" s="29"/>
      <c r="H853" s="29"/>
      <c r="I853" s="30"/>
      <c r="J853" s="30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ht="15.0" customHeight="1">
      <c r="A854" s="1"/>
      <c r="B854" s="1"/>
      <c r="C854" s="1"/>
      <c r="D854" s="2"/>
      <c r="E854" s="1"/>
      <c r="F854" s="3"/>
      <c r="G854" s="29"/>
      <c r="H854" s="29"/>
      <c r="I854" s="30"/>
      <c r="J854" s="30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ht="15.0" customHeight="1">
      <c r="A855" s="1"/>
      <c r="B855" s="1"/>
      <c r="C855" s="1"/>
      <c r="D855" s="2"/>
      <c r="E855" s="1"/>
      <c r="F855" s="3"/>
      <c r="G855" s="29"/>
      <c r="H855" s="29"/>
      <c r="I855" s="30"/>
      <c r="J855" s="30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ht="15.0" customHeight="1">
      <c r="A856" s="1"/>
      <c r="B856" s="1"/>
      <c r="C856" s="1"/>
      <c r="D856" s="2"/>
      <c r="E856" s="1"/>
      <c r="F856" s="3"/>
      <c r="G856" s="29"/>
      <c r="H856" s="29"/>
      <c r="I856" s="30"/>
      <c r="J856" s="30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ht="15.0" customHeight="1">
      <c r="A857" s="1"/>
      <c r="B857" s="1"/>
      <c r="C857" s="1"/>
      <c r="D857" s="2"/>
      <c r="E857" s="1"/>
      <c r="F857" s="3"/>
      <c r="G857" s="29"/>
      <c r="H857" s="29"/>
      <c r="I857" s="30"/>
      <c r="J857" s="30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ht="15.0" customHeight="1">
      <c r="A858" s="1"/>
      <c r="B858" s="1"/>
      <c r="C858" s="1"/>
      <c r="D858" s="2"/>
      <c r="E858" s="1"/>
      <c r="F858" s="3"/>
      <c r="G858" s="29"/>
      <c r="H858" s="29"/>
      <c r="I858" s="30"/>
      <c r="J858" s="30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ht="15.0" customHeight="1">
      <c r="A859" s="1"/>
      <c r="B859" s="1"/>
      <c r="C859" s="1"/>
      <c r="D859" s="2"/>
      <c r="E859" s="1"/>
      <c r="F859" s="3"/>
      <c r="G859" s="29"/>
      <c r="H859" s="29"/>
      <c r="I859" s="30"/>
      <c r="J859" s="30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ht="15.0" customHeight="1">
      <c r="A860" s="1"/>
      <c r="B860" s="1"/>
      <c r="C860" s="1"/>
      <c r="D860" s="2"/>
      <c r="E860" s="1"/>
      <c r="F860" s="3"/>
      <c r="G860" s="29"/>
      <c r="H860" s="29"/>
      <c r="I860" s="30"/>
      <c r="J860" s="30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ht="15.0" customHeight="1">
      <c r="A861" s="1"/>
      <c r="B861" s="1"/>
      <c r="C861" s="1"/>
      <c r="D861" s="2"/>
      <c r="E861" s="1"/>
      <c r="F861" s="3"/>
      <c r="G861" s="29"/>
      <c r="H861" s="29"/>
      <c r="I861" s="30"/>
      <c r="J861" s="30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ht="15.0" customHeight="1">
      <c r="A862" s="1"/>
      <c r="B862" s="1"/>
      <c r="C862" s="1"/>
      <c r="D862" s="2"/>
      <c r="E862" s="1"/>
      <c r="F862" s="3"/>
      <c r="G862" s="29"/>
      <c r="H862" s="29"/>
      <c r="I862" s="30"/>
      <c r="J862" s="30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ht="15.0" customHeight="1">
      <c r="A863" s="1"/>
      <c r="B863" s="1"/>
      <c r="C863" s="1"/>
      <c r="D863" s="2"/>
      <c r="E863" s="1"/>
      <c r="F863" s="3"/>
      <c r="G863" s="29"/>
      <c r="H863" s="29"/>
      <c r="I863" s="30"/>
      <c r="J863" s="30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ht="15.0" customHeight="1">
      <c r="A864" s="1"/>
      <c r="B864" s="1"/>
      <c r="C864" s="1"/>
      <c r="D864" s="2"/>
      <c r="E864" s="1"/>
      <c r="F864" s="3"/>
      <c r="G864" s="29"/>
      <c r="H864" s="29"/>
      <c r="I864" s="30"/>
      <c r="J864" s="30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ht="15.0" customHeight="1">
      <c r="A865" s="1"/>
      <c r="B865" s="1"/>
      <c r="C865" s="1"/>
      <c r="D865" s="2"/>
      <c r="E865" s="1"/>
      <c r="F865" s="3"/>
      <c r="G865" s="29"/>
      <c r="H865" s="29"/>
      <c r="I865" s="30"/>
      <c r="J865" s="30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ht="15.0" customHeight="1">
      <c r="A866" s="1"/>
      <c r="B866" s="1"/>
      <c r="C866" s="1"/>
      <c r="D866" s="2"/>
      <c r="E866" s="1"/>
      <c r="F866" s="3"/>
      <c r="G866" s="29"/>
      <c r="H866" s="29"/>
      <c r="I866" s="30"/>
      <c r="J866" s="30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ht="15.0" customHeight="1">
      <c r="A867" s="1"/>
      <c r="B867" s="1"/>
      <c r="C867" s="1"/>
      <c r="D867" s="2"/>
      <c r="E867" s="1"/>
      <c r="F867" s="3"/>
      <c r="G867" s="29"/>
      <c r="H867" s="29"/>
      <c r="I867" s="30"/>
      <c r="J867" s="30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ht="15.0" customHeight="1">
      <c r="A868" s="1"/>
      <c r="B868" s="1"/>
      <c r="C868" s="1"/>
      <c r="D868" s="2"/>
      <c r="E868" s="1"/>
      <c r="F868" s="3"/>
      <c r="G868" s="29"/>
      <c r="H868" s="29"/>
      <c r="I868" s="30"/>
      <c r="J868" s="30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ht="15.0" customHeight="1">
      <c r="A869" s="1"/>
      <c r="B869" s="1"/>
      <c r="C869" s="1"/>
      <c r="D869" s="2"/>
      <c r="E869" s="1"/>
      <c r="F869" s="3"/>
      <c r="G869" s="29"/>
      <c r="H869" s="29"/>
      <c r="I869" s="30"/>
      <c r="J869" s="30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ht="15.0" customHeight="1">
      <c r="A870" s="1"/>
      <c r="B870" s="1"/>
      <c r="C870" s="1"/>
      <c r="D870" s="2"/>
      <c r="E870" s="1"/>
      <c r="F870" s="3"/>
      <c r="G870" s="29"/>
      <c r="H870" s="29"/>
      <c r="I870" s="30"/>
      <c r="J870" s="30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ht="15.0" customHeight="1">
      <c r="A871" s="1"/>
      <c r="B871" s="1"/>
      <c r="C871" s="1"/>
      <c r="D871" s="2"/>
      <c r="E871" s="1"/>
      <c r="F871" s="3"/>
      <c r="G871" s="29"/>
      <c r="H871" s="29"/>
      <c r="I871" s="30"/>
      <c r="J871" s="30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ht="15.0" customHeight="1">
      <c r="A872" s="1"/>
      <c r="B872" s="1"/>
      <c r="C872" s="1"/>
      <c r="D872" s="2"/>
      <c r="E872" s="1"/>
      <c r="F872" s="3"/>
      <c r="G872" s="29"/>
      <c r="H872" s="29"/>
      <c r="I872" s="30"/>
      <c r="J872" s="30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ht="15.0" customHeight="1">
      <c r="A873" s="1"/>
      <c r="B873" s="1"/>
      <c r="C873" s="1"/>
      <c r="D873" s="2"/>
      <c r="E873" s="1"/>
      <c r="F873" s="3"/>
      <c r="G873" s="29"/>
      <c r="H873" s="29"/>
      <c r="I873" s="30"/>
      <c r="J873" s="30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ht="15.0" customHeight="1">
      <c r="A874" s="1"/>
      <c r="B874" s="1"/>
      <c r="C874" s="1"/>
      <c r="D874" s="2"/>
      <c r="E874" s="1"/>
      <c r="F874" s="3"/>
      <c r="G874" s="29"/>
      <c r="H874" s="29"/>
      <c r="I874" s="30"/>
      <c r="J874" s="30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ht="15.0" customHeight="1">
      <c r="A875" s="1"/>
      <c r="B875" s="1"/>
      <c r="C875" s="1"/>
      <c r="D875" s="2"/>
      <c r="E875" s="1"/>
      <c r="F875" s="3"/>
      <c r="G875" s="29"/>
      <c r="H875" s="29"/>
      <c r="I875" s="30"/>
      <c r="J875" s="30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ht="15.0" customHeight="1">
      <c r="A876" s="1"/>
      <c r="B876" s="1"/>
      <c r="C876" s="1"/>
      <c r="D876" s="2"/>
      <c r="E876" s="1"/>
      <c r="F876" s="3"/>
      <c r="G876" s="29"/>
      <c r="H876" s="29"/>
      <c r="I876" s="30"/>
      <c r="J876" s="30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ht="15.0" customHeight="1">
      <c r="A877" s="1"/>
      <c r="B877" s="1"/>
      <c r="C877" s="1"/>
      <c r="D877" s="2"/>
      <c r="E877" s="1"/>
      <c r="F877" s="3"/>
      <c r="G877" s="29"/>
      <c r="H877" s="29"/>
      <c r="I877" s="30"/>
      <c r="J877" s="30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ht="15.0" customHeight="1">
      <c r="A878" s="1"/>
      <c r="B878" s="1"/>
      <c r="C878" s="1"/>
      <c r="D878" s="2"/>
      <c r="E878" s="1"/>
      <c r="F878" s="3"/>
      <c r="G878" s="29"/>
      <c r="H878" s="29"/>
      <c r="I878" s="30"/>
      <c r="J878" s="30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ht="15.0" customHeight="1">
      <c r="A879" s="1"/>
      <c r="B879" s="1"/>
      <c r="C879" s="1"/>
      <c r="D879" s="2"/>
      <c r="E879" s="1"/>
      <c r="F879" s="3"/>
      <c r="G879" s="29"/>
      <c r="H879" s="29"/>
      <c r="I879" s="30"/>
      <c r="J879" s="30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ht="15.0" customHeight="1">
      <c r="A880" s="1"/>
      <c r="B880" s="1"/>
      <c r="C880" s="1"/>
      <c r="D880" s="2"/>
      <c r="E880" s="1"/>
      <c r="F880" s="3"/>
      <c r="G880" s="29"/>
      <c r="H880" s="29"/>
      <c r="I880" s="30"/>
      <c r="J880" s="30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ht="15.0" customHeight="1">
      <c r="A881" s="1"/>
      <c r="B881" s="1"/>
      <c r="C881" s="1"/>
      <c r="D881" s="2"/>
      <c r="E881" s="1"/>
      <c r="F881" s="3"/>
      <c r="G881" s="29"/>
      <c r="H881" s="29"/>
      <c r="I881" s="30"/>
      <c r="J881" s="30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ht="15.0" customHeight="1">
      <c r="A882" s="1"/>
      <c r="B882" s="1"/>
      <c r="C882" s="1"/>
      <c r="D882" s="2"/>
      <c r="E882" s="1"/>
      <c r="F882" s="3"/>
      <c r="G882" s="29"/>
      <c r="H882" s="29"/>
      <c r="I882" s="30"/>
      <c r="J882" s="30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ht="15.0" customHeight="1">
      <c r="A883" s="1"/>
      <c r="B883" s="1"/>
      <c r="C883" s="1"/>
      <c r="D883" s="2"/>
      <c r="E883" s="1"/>
      <c r="F883" s="3"/>
      <c r="G883" s="29"/>
      <c r="H883" s="29"/>
      <c r="I883" s="30"/>
      <c r="J883" s="30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ht="15.0" customHeight="1">
      <c r="A884" s="1"/>
      <c r="B884" s="1"/>
      <c r="C884" s="1"/>
      <c r="D884" s="2"/>
      <c r="E884" s="1"/>
      <c r="F884" s="3"/>
      <c r="G884" s="29"/>
      <c r="H884" s="29"/>
      <c r="I884" s="30"/>
      <c r="J884" s="30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ht="15.0" customHeight="1">
      <c r="A885" s="1"/>
      <c r="B885" s="1"/>
      <c r="C885" s="1"/>
      <c r="D885" s="2"/>
      <c r="E885" s="1"/>
      <c r="F885" s="3"/>
      <c r="G885" s="29"/>
      <c r="H885" s="29"/>
      <c r="I885" s="30"/>
      <c r="J885" s="30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ht="15.0" customHeight="1">
      <c r="A886" s="1"/>
      <c r="B886" s="1"/>
      <c r="C886" s="1"/>
      <c r="D886" s="2"/>
      <c r="E886" s="1"/>
      <c r="F886" s="3"/>
      <c r="G886" s="29"/>
      <c r="H886" s="29"/>
      <c r="I886" s="30"/>
      <c r="J886" s="30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ht="15.0" customHeight="1">
      <c r="A887" s="1"/>
      <c r="B887" s="1"/>
      <c r="C887" s="1"/>
      <c r="D887" s="2"/>
      <c r="E887" s="1"/>
      <c r="F887" s="3"/>
      <c r="G887" s="29"/>
      <c r="H887" s="29"/>
      <c r="I887" s="30"/>
      <c r="J887" s="30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ht="15.0" customHeight="1">
      <c r="A888" s="1"/>
      <c r="B888" s="1"/>
      <c r="C888" s="1"/>
      <c r="D888" s="2"/>
      <c r="E888" s="1"/>
      <c r="F888" s="3"/>
      <c r="G888" s="29"/>
      <c r="H888" s="29"/>
      <c r="I888" s="30"/>
      <c r="J888" s="30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ht="15.0" customHeight="1">
      <c r="A889" s="1"/>
      <c r="B889" s="1"/>
      <c r="C889" s="1"/>
      <c r="D889" s="2"/>
      <c r="E889" s="1"/>
      <c r="F889" s="3"/>
      <c r="G889" s="29"/>
      <c r="H889" s="29"/>
      <c r="I889" s="30"/>
      <c r="J889" s="30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ht="15.0" customHeight="1">
      <c r="A890" s="1"/>
      <c r="B890" s="1"/>
      <c r="C890" s="1"/>
      <c r="D890" s="2"/>
      <c r="E890" s="1"/>
      <c r="F890" s="3"/>
      <c r="G890" s="29"/>
      <c r="H890" s="29"/>
      <c r="I890" s="30"/>
      <c r="J890" s="30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ht="15.0" customHeight="1">
      <c r="A891" s="1"/>
      <c r="B891" s="1"/>
      <c r="C891" s="1"/>
      <c r="D891" s="2"/>
      <c r="E891" s="1"/>
      <c r="F891" s="3"/>
      <c r="G891" s="29"/>
      <c r="H891" s="29"/>
      <c r="I891" s="30"/>
      <c r="J891" s="30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ht="15.0" customHeight="1">
      <c r="A892" s="1"/>
      <c r="B892" s="1"/>
      <c r="C892" s="1"/>
      <c r="D892" s="2"/>
      <c r="E892" s="1"/>
      <c r="F892" s="3"/>
      <c r="G892" s="29"/>
      <c r="H892" s="29"/>
      <c r="I892" s="30"/>
      <c r="J892" s="30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ht="15.0" customHeight="1">
      <c r="A893" s="1"/>
      <c r="B893" s="1"/>
      <c r="C893" s="1"/>
      <c r="D893" s="2"/>
      <c r="E893" s="1"/>
      <c r="F893" s="3"/>
      <c r="G893" s="29"/>
      <c r="H893" s="29"/>
      <c r="I893" s="30"/>
      <c r="J893" s="30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ht="15.0" customHeight="1">
      <c r="A894" s="1"/>
      <c r="B894" s="1"/>
      <c r="C894" s="1"/>
      <c r="D894" s="2"/>
      <c r="E894" s="1"/>
      <c r="F894" s="3"/>
      <c r="G894" s="29"/>
      <c r="H894" s="29"/>
      <c r="I894" s="30"/>
      <c r="J894" s="30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ht="15.0" customHeight="1">
      <c r="A895" s="1"/>
      <c r="B895" s="1"/>
      <c r="C895" s="1"/>
      <c r="D895" s="2"/>
      <c r="E895" s="1"/>
      <c r="F895" s="3"/>
      <c r="G895" s="29"/>
      <c r="H895" s="29"/>
      <c r="I895" s="30"/>
      <c r="J895" s="30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ht="15.0" customHeight="1">
      <c r="A896" s="1"/>
      <c r="B896" s="1"/>
      <c r="C896" s="1"/>
      <c r="D896" s="2"/>
      <c r="E896" s="1"/>
      <c r="F896" s="3"/>
      <c r="G896" s="29"/>
      <c r="H896" s="29"/>
      <c r="I896" s="30"/>
      <c r="J896" s="30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ht="15.0" customHeight="1">
      <c r="A897" s="1"/>
      <c r="B897" s="1"/>
      <c r="C897" s="1"/>
      <c r="D897" s="2"/>
      <c r="E897" s="1"/>
      <c r="F897" s="3"/>
      <c r="G897" s="29"/>
      <c r="H897" s="29"/>
      <c r="I897" s="30"/>
      <c r="J897" s="30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ht="15.0" customHeight="1">
      <c r="A898" s="1"/>
      <c r="B898" s="1"/>
      <c r="C898" s="1"/>
      <c r="D898" s="2"/>
      <c r="E898" s="1"/>
      <c r="F898" s="3"/>
      <c r="G898" s="29"/>
      <c r="H898" s="29"/>
      <c r="I898" s="30"/>
      <c r="J898" s="30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ht="15.0" customHeight="1">
      <c r="A899" s="1"/>
      <c r="B899" s="1"/>
      <c r="C899" s="1"/>
      <c r="D899" s="2"/>
      <c r="E899" s="1"/>
      <c r="F899" s="3"/>
      <c r="G899" s="29"/>
      <c r="H899" s="29"/>
      <c r="I899" s="30"/>
      <c r="J899" s="30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ht="15.0" customHeight="1">
      <c r="A900" s="1"/>
      <c r="B900" s="1"/>
      <c r="C900" s="1"/>
      <c r="D900" s="2"/>
      <c r="E900" s="1"/>
      <c r="F900" s="3"/>
      <c r="G900" s="29"/>
      <c r="H900" s="29"/>
      <c r="I900" s="30"/>
      <c r="J900" s="30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ht="15.0" customHeight="1">
      <c r="A901" s="1"/>
      <c r="B901" s="1"/>
      <c r="C901" s="1"/>
      <c r="D901" s="2"/>
      <c r="E901" s="1"/>
      <c r="F901" s="3"/>
      <c r="G901" s="29"/>
      <c r="H901" s="29"/>
      <c r="I901" s="30"/>
      <c r="J901" s="30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ht="15.0" customHeight="1">
      <c r="A902" s="1"/>
      <c r="B902" s="1"/>
      <c r="C902" s="1"/>
      <c r="D902" s="2"/>
      <c r="E902" s="1"/>
      <c r="F902" s="3"/>
      <c r="G902" s="29"/>
      <c r="H902" s="29"/>
      <c r="I902" s="30"/>
      <c r="J902" s="30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ht="15.0" customHeight="1">
      <c r="A903" s="1"/>
      <c r="B903" s="1"/>
      <c r="C903" s="1"/>
      <c r="D903" s="2"/>
      <c r="E903" s="1"/>
      <c r="F903" s="3"/>
      <c r="G903" s="29"/>
      <c r="H903" s="29"/>
      <c r="I903" s="30"/>
      <c r="J903" s="30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ht="15.0" customHeight="1">
      <c r="A904" s="1"/>
      <c r="B904" s="1"/>
      <c r="C904" s="1"/>
      <c r="D904" s="2"/>
      <c r="E904" s="1"/>
      <c r="F904" s="3"/>
      <c r="G904" s="29"/>
      <c r="H904" s="29"/>
      <c r="I904" s="30"/>
      <c r="J904" s="30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ht="15.0" customHeight="1">
      <c r="A905" s="1"/>
      <c r="B905" s="1"/>
      <c r="C905" s="1"/>
      <c r="D905" s="2"/>
      <c r="E905" s="1"/>
      <c r="F905" s="3"/>
      <c r="G905" s="29"/>
      <c r="H905" s="29"/>
      <c r="I905" s="30"/>
      <c r="J905" s="30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ht="15.0" customHeight="1">
      <c r="A906" s="1"/>
      <c r="B906" s="1"/>
      <c r="C906" s="1"/>
      <c r="D906" s="2"/>
      <c r="E906" s="1"/>
      <c r="F906" s="3"/>
      <c r="G906" s="29"/>
      <c r="H906" s="29"/>
      <c r="I906" s="30"/>
      <c r="J906" s="30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ht="15.0" customHeight="1">
      <c r="A907" s="1"/>
      <c r="B907" s="1"/>
      <c r="C907" s="1"/>
      <c r="D907" s="2"/>
      <c r="E907" s="1"/>
      <c r="F907" s="3"/>
      <c r="G907" s="29"/>
      <c r="H907" s="29"/>
      <c r="I907" s="30"/>
      <c r="J907" s="30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ht="15.0" customHeight="1">
      <c r="A908" s="1"/>
      <c r="B908" s="1"/>
      <c r="C908" s="1"/>
      <c r="D908" s="2"/>
      <c r="E908" s="1"/>
      <c r="F908" s="3"/>
      <c r="G908" s="29"/>
      <c r="H908" s="29"/>
      <c r="I908" s="30"/>
      <c r="J908" s="30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ht="15.0" customHeight="1">
      <c r="A909" s="1"/>
      <c r="B909" s="1"/>
      <c r="C909" s="1"/>
      <c r="D909" s="2"/>
      <c r="E909" s="1"/>
      <c r="F909" s="3"/>
      <c r="G909" s="29"/>
      <c r="H909" s="29"/>
      <c r="I909" s="30"/>
      <c r="J909" s="30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ht="15.0" customHeight="1">
      <c r="A910" s="1"/>
      <c r="B910" s="1"/>
      <c r="C910" s="1"/>
      <c r="D910" s="2"/>
      <c r="E910" s="1"/>
      <c r="F910" s="3"/>
      <c r="G910" s="29"/>
      <c r="H910" s="29"/>
      <c r="I910" s="30"/>
      <c r="J910" s="30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ht="15.0" customHeight="1">
      <c r="A911" s="1"/>
      <c r="B911" s="1"/>
      <c r="C911" s="1"/>
      <c r="D911" s="2"/>
      <c r="E911" s="1"/>
      <c r="F911" s="3"/>
      <c r="G911" s="29"/>
      <c r="H911" s="29"/>
      <c r="I911" s="30"/>
      <c r="J911" s="30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ht="15.0" customHeight="1">
      <c r="A912" s="1"/>
      <c r="B912" s="1"/>
      <c r="C912" s="1"/>
      <c r="D912" s="2"/>
      <c r="E912" s="1"/>
      <c r="F912" s="3"/>
      <c r="G912" s="29"/>
      <c r="H912" s="29"/>
      <c r="I912" s="30"/>
      <c r="J912" s="30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ht="15.0" customHeight="1">
      <c r="A913" s="1"/>
      <c r="B913" s="1"/>
      <c r="C913" s="1"/>
      <c r="D913" s="2"/>
      <c r="E913" s="1"/>
      <c r="F913" s="3"/>
      <c r="G913" s="29"/>
      <c r="H913" s="29"/>
      <c r="I913" s="30"/>
      <c r="J913" s="30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ht="15.0" customHeight="1">
      <c r="A914" s="1"/>
      <c r="B914" s="1"/>
      <c r="C914" s="1"/>
      <c r="D914" s="2"/>
      <c r="E914" s="1"/>
      <c r="F914" s="3"/>
      <c r="G914" s="29"/>
      <c r="H914" s="29"/>
      <c r="I914" s="30"/>
      <c r="J914" s="30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ht="15.0" customHeight="1">
      <c r="A915" s="1"/>
      <c r="B915" s="1"/>
      <c r="C915" s="1"/>
      <c r="D915" s="2"/>
      <c r="E915" s="1"/>
      <c r="F915" s="3"/>
      <c r="G915" s="29"/>
      <c r="H915" s="29"/>
      <c r="I915" s="30"/>
      <c r="J915" s="30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ht="15.0" customHeight="1">
      <c r="A916" s="1"/>
      <c r="B916" s="1"/>
      <c r="C916" s="1"/>
      <c r="D916" s="2"/>
      <c r="E916" s="1"/>
      <c r="F916" s="3"/>
      <c r="G916" s="29"/>
      <c r="H916" s="29"/>
      <c r="I916" s="30"/>
      <c r="J916" s="30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ht="15.0" customHeight="1">
      <c r="A917" s="1"/>
      <c r="B917" s="1"/>
      <c r="C917" s="1"/>
      <c r="D917" s="2"/>
      <c r="E917" s="1"/>
      <c r="F917" s="3"/>
      <c r="G917" s="29"/>
      <c r="H917" s="29"/>
      <c r="I917" s="30"/>
      <c r="J917" s="30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ht="15.0" customHeight="1">
      <c r="A918" s="1"/>
      <c r="B918" s="1"/>
      <c r="C918" s="1"/>
      <c r="D918" s="2"/>
      <c r="E918" s="1"/>
      <c r="F918" s="3"/>
      <c r="G918" s="29"/>
      <c r="H918" s="29"/>
      <c r="I918" s="30"/>
      <c r="J918" s="30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ht="15.0" customHeight="1">
      <c r="A919" s="1"/>
      <c r="B919" s="1"/>
      <c r="C919" s="1"/>
      <c r="D919" s="2"/>
      <c r="E919" s="1"/>
      <c r="F919" s="3"/>
      <c r="G919" s="29"/>
      <c r="H919" s="29"/>
      <c r="I919" s="30"/>
      <c r="J919" s="30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ht="15.0" customHeight="1">
      <c r="A920" s="1"/>
      <c r="B920" s="1"/>
      <c r="C920" s="1"/>
      <c r="D920" s="2"/>
      <c r="E920" s="1"/>
      <c r="F920" s="3"/>
      <c r="G920" s="29"/>
      <c r="H920" s="29"/>
      <c r="I920" s="30"/>
      <c r="J920" s="30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ht="15.0" customHeight="1">
      <c r="A921" s="1"/>
      <c r="B921" s="1"/>
      <c r="C921" s="1"/>
      <c r="D921" s="2"/>
      <c r="E921" s="1"/>
      <c r="F921" s="3"/>
      <c r="G921" s="29"/>
      <c r="H921" s="29"/>
      <c r="I921" s="30"/>
      <c r="J921" s="30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ht="15.0" customHeight="1">
      <c r="A922" s="1"/>
      <c r="B922" s="1"/>
      <c r="C922" s="1"/>
      <c r="D922" s="2"/>
      <c r="E922" s="1"/>
      <c r="F922" s="3"/>
      <c r="G922" s="29"/>
      <c r="H922" s="29"/>
      <c r="I922" s="30"/>
      <c r="J922" s="30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ht="15.0" customHeight="1">
      <c r="A923" s="1"/>
      <c r="B923" s="1"/>
      <c r="C923" s="1"/>
      <c r="D923" s="2"/>
      <c r="E923" s="1"/>
      <c r="F923" s="3"/>
      <c r="G923" s="29"/>
      <c r="H923" s="29"/>
      <c r="I923" s="30"/>
      <c r="J923" s="30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ht="15.0" customHeight="1">
      <c r="A924" s="1"/>
      <c r="B924" s="1"/>
      <c r="C924" s="1"/>
      <c r="D924" s="2"/>
      <c r="E924" s="1"/>
      <c r="F924" s="3"/>
      <c r="G924" s="29"/>
      <c r="H924" s="29"/>
      <c r="I924" s="30"/>
      <c r="J924" s="30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ht="15.0" customHeight="1">
      <c r="A925" s="1"/>
      <c r="B925" s="1"/>
      <c r="C925" s="1"/>
      <c r="D925" s="2"/>
      <c r="E925" s="1"/>
      <c r="F925" s="3"/>
      <c r="G925" s="29"/>
      <c r="H925" s="29"/>
      <c r="I925" s="30"/>
      <c r="J925" s="30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ht="15.0" customHeight="1">
      <c r="A926" s="1"/>
      <c r="B926" s="1"/>
      <c r="C926" s="1"/>
      <c r="D926" s="2"/>
      <c r="E926" s="1"/>
      <c r="F926" s="3"/>
      <c r="G926" s="29"/>
      <c r="H926" s="29"/>
      <c r="I926" s="30"/>
      <c r="J926" s="30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ht="15.0" customHeight="1">
      <c r="A927" s="1"/>
      <c r="B927" s="1"/>
      <c r="C927" s="1"/>
      <c r="D927" s="2"/>
      <c r="E927" s="1"/>
      <c r="F927" s="3"/>
      <c r="G927" s="29"/>
      <c r="H927" s="29"/>
      <c r="I927" s="30"/>
      <c r="J927" s="30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ht="15.0" customHeight="1">
      <c r="A928" s="1"/>
      <c r="B928" s="1"/>
      <c r="C928" s="1"/>
      <c r="D928" s="2"/>
      <c r="E928" s="1"/>
      <c r="F928" s="3"/>
      <c r="G928" s="29"/>
      <c r="H928" s="29"/>
      <c r="I928" s="30"/>
      <c r="J928" s="30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ht="15.0" customHeight="1">
      <c r="A929" s="3"/>
      <c r="B929" s="3"/>
      <c r="C929" s="3"/>
      <c r="D929" s="23"/>
      <c r="E929" s="1"/>
      <c r="F929" s="3"/>
      <c r="G929" s="29"/>
      <c r="H929" s="29"/>
      <c r="I929" s="30"/>
      <c r="J929" s="30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ht="15.0" customHeight="1">
      <c r="A930" s="3"/>
      <c r="B930" s="3"/>
      <c r="C930" s="3"/>
      <c r="D930" s="23"/>
      <c r="E930" s="1"/>
      <c r="F930" s="3"/>
      <c r="G930" s="29"/>
      <c r="H930" s="29"/>
      <c r="I930" s="30"/>
      <c r="J930" s="30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ht="15.0" customHeight="1">
      <c r="A931" s="3"/>
      <c r="B931" s="3"/>
      <c r="C931" s="3"/>
      <c r="D931" s="23"/>
      <c r="E931" s="1"/>
      <c r="F931" s="3"/>
      <c r="G931" s="29"/>
      <c r="H931" s="29"/>
      <c r="I931" s="30"/>
      <c r="J931" s="30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ht="15.0" customHeight="1">
      <c r="A932" s="3"/>
      <c r="B932" s="3"/>
      <c r="C932" s="3"/>
      <c r="D932" s="23"/>
      <c r="E932" s="1"/>
      <c r="F932" s="3"/>
      <c r="G932" s="29"/>
      <c r="H932" s="29"/>
      <c r="I932" s="30"/>
      <c r="J932" s="30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ht="15.0" customHeight="1">
      <c r="A933" s="3"/>
      <c r="B933" s="3"/>
      <c r="C933" s="3"/>
      <c r="D933" s="23"/>
      <c r="E933" s="1"/>
      <c r="F933" s="3"/>
      <c r="G933" s="29"/>
      <c r="H933" s="29"/>
      <c r="I933" s="30"/>
      <c r="J933" s="30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>
      <c r="A934" s="3"/>
      <c r="B934" s="3"/>
      <c r="C934" s="3"/>
      <c r="D934" s="2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>
      <c r="A935" s="3"/>
      <c r="B935" s="3"/>
      <c r="C935" s="3"/>
      <c r="D935" s="2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>
      <c r="A936" s="3"/>
      <c r="B936" s="3"/>
      <c r="C936" s="3"/>
      <c r="D936" s="2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>
      <c r="A937" s="3"/>
      <c r="B937" s="3"/>
      <c r="C937" s="3"/>
      <c r="D937" s="2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>
      <c r="A938" s="3"/>
      <c r="B938" s="3"/>
      <c r="C938" s="3"/>
      <c r="D938" s="2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>
      <c r="A939" s="3"/>
      <c r="B939" s="3"/>
      <c r="C939" s="3"/>
      <c r="D939" s="2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>
      <c r="A940" s="3"/>
      <c r="B940" s="3"/>
      <c r="C940" s="3"/>
      <c r="D940" s="2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>
      <c r="A941" s="3"/>
      <c r="B941" s="3"/>
      <c r="C941" s="3"/>
      <c r="D941" s="2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</sheetData>
  <mergeCells count="4">
    <mergeCell ref="E2:F2"/>
    <mergeCell ref="G2:H2"/>
    <mergeCell ref="I2:J2"/>
    <mergeCell ref="K2:L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2026-06-23T09:23:01Z</dcterms:created>
  <dc:creator>openpyxl</dc:creator>
</cp:coreProperties>
</file>