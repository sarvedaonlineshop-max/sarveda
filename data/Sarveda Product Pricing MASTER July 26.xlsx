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bsit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rgb="FF000000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color rgb="FF0000FF"/>
    </font>
    <font>
      <name val="Calibri"/>
      <color rgb="FF000D1E"/>
      <scheme val="minor"/>
    </font>
    <font>
      <name val="&quot;Google Sans&quot;"/>
      <b val="1"/>
      <color theme="1"/>
      <sz val="12"/>
    </font>
    <font>
      <name val="Calibri"/>
      <color theme="1"/>
      <sz val="11"/>
    </font>
  </fonts>
  <fills count="10">
    <fill>
      <patternFill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1" fontId="2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4" borderId="0" pivotButton="0" quotePrefix="0" xfId="0"/>
    <xf numFmtId="164" fontId="1" fillId="0" borderId="0" pivotButton="0" quotePrefix="0" xfId="0"/>
    <xf numFmtId="1" fontId="1" fillId="5" borderId="0" applyAlignment="1" pivotButton="0" quotePrefix="0" xfId="0">
      <alignment horizontal="center"/>
    </xf>
    <xf numFmtId="1" fontId="1" fillId="3" borderId="0" applyAlignment="1" pivotButton="0" quotePrefix="0" xfId="0">
      <alignment horizontal="center"/>
    </xf>
    <xf numFmtId="164" fontId="2" fillId="6" borderId="0" applyAlignment="1" pivotButton="0" quotePrefix="0" xfId="0">
      <alignment horizontal="center"/>
    </xf>
    <xf numFmtId="1" fontId="2" fillId="7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pivotButton="0" quotePrefix="0" xfId="0"/>
    <xf numFmtId="164" fontId="2" fillId="2" borderId="0" pivotButton="0" quotePrefix="0" xfId="0"/>
    <xf numFmtId="1" fontId="2" fillId="4" borderId="0" pivotButton="0" quotePrefix="0" xfId="0"/>
    <xf numFmtId="164" fontId="2" fillId="0" borderId="0" pivotButton="0" quotePrefix="0" xfId="0"/>
    <xf numFmtId="1" fontId="2" fillId="5" borderId="0" applyAlignment="1" pivotButton="0" quotePrefix="0" xfId="0">
      <alignment horizontal="center"/>
    </xf>
    <xf numFmtId="1" fontId="2" fillId="3" borderId="0" pivotButton="0" quotePrefix="0" xfId="0"/>
    <xf numFmtId="164" fontId="2" fillId="6" borderId="0" pivotButton="0" quotePrefix="0" xfId="0"/>
    <xf numFmtId="1" fontId="2" fillId="7" borderId="0" pivotButton="0" quotePrefix="0" xfId="0"/>
    <xf numFmtId="164" fontId="2" fillId="8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164" fontId="1" fillId="2" borderId="0" pivotButton="0" quotePrefix="0" xfId="0"/>
    <xf numFmtId="0" fontId="1" fillId="0" borderId="0" pivotButton="0" quotePrefix="0" xfId="0"/>
    <xf numFmtId="1" fontId="1" fillId="5" borderId="0" pivotButton="0" quotePrefix="0" xfId="0"/>
    <xf numFmtId="1" fontId="1" fillId="3" borderId="0" pivotButton="0" quotePrefix="0" xfId="0"/>
    <xf numFmtId="164" fontId="1" fillId="6" borderId="0" pivotButton="0" quotePrefix="0" xfId="0"/>
    <xf numFmtId="1" fontId="1" fillId="7" borderId="0" pivotButton="0" quotePrefix="0" xfId="0"/>
    <xf numFmtId="164" fontId="1" fillId="8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9" fontId="1" fillId="2" borderId="0" pivotButton="0" quotePrefix="0" xfId="0"/>
    <xf numFmtId="0" fontId="1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bottom"/>
    </xf>
    <xf numFmtId="9" fontId="6" fillId="9" borderId="0" applyAlignment="1" pivotButton="0" quotePrefix="0" xfId="0">
      <alignment horizontal="center" vertical="bottom"/>
    </xf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E12" authorId="0" shapeId="0">
      <text>
        <t>======
ID#AAAB9LfXfrs
Sarveda Admin    (2026-06-24 07:18:56)
Bag</t>
      </text>
    </comment>
    <comment ref="E21" authorId="0" shapeId="0">
      <text>
        <t>======
ID#AAAB9LfXfrw
Sarveda Admin    (2026-06-24 07:19:37)
Brush</t>
      </text>
    </comment>
    <comment ref="E24" authorId="0" shapeId="0">
      <text>
        <t>======
ID#AAAB9LfXfr4
Chethan GS    (2026-06-24 07:41:32)
Brush</t>
      </text>
    </comment>
    <comment ref="E27" authorId="0" shapeId="0">
      <text>
        <t>======
ID#AAAB9LfXfr8
Chethan GS    (2026-06-24 07:42:04)
Brush</t>
      </text>
    </comment>
    <comment ref="E29" authorId="0" shapeId="0">
      <text>
        <t>======
ID#AAAB9LfXfsA
Chethan GS    (2026-06-24 07:42:15)
Brush</t>
      </text>
    </comment>
    <comment ref="E32" authorId="0" shapeId="0">
      <text>
        <t>======
ID#AAAB9LfXfxI
Chethan GS    (2026-06-24 07:42:58)
Brush</t>
      </text>
    </comment>
    <comment ref="E57" authorId="0" shapeId="0">
      <text>
        <t>======
ID#AAAB9LfXfxc
Chethan GS    (2026-06-24 07:46:16)
Bag</t>
      </text>
    </comment>
    <comment ref="E61" authorId="0" shapeId="0">
      <text>
        <t>======
ID#AAAB9LfXfxg
Chethan GS    (2026-06-24 07:47:16)
Brush</t>
      </text>
    </comment>
    <comment ref="E64" authorId="0" shapeId="0">
      <text>
        <t>======
ID#AAAB9LfXfxk
Chethan GS    (2026-06-24 07:47:31)
Brush</t>
      </text>
    </comment>
    <comment ref="E65" authorId="0" shapeId="0">
      <text>
        <t>======
ID#AAAB9LfXfxo
Chethan GS    (2026-06-24 07:47:52)
Brush</t>
      </text>
    </comment>
    <comment ref="E68" authorId="0" shapeId="0">
      <text>
        <t>======
ID#AAAB9LfXfxs
Chethan GS    (2026-06-24 07:48:51)
Brush</t>
      </text>
    </comment>
    <comment ref="E69" authorId="0" shapeId="0">
      <text>
        <t>======
ID#AAAB9LfXfxw
Chethan GS    (2026-06-24 07:48:58)
Brush</t>
      </text>
    </comment>
    <comment ref="E72" authorId="0" shapeId="0">
      <text>
        <t>======
ID#AAAB9LfXfx0
Chethan GS    (2026-06-24 07:49:51)
Brush</t>
      </text>
    </comment>
    <comment ref="E73" authorId="0" shapeId="0">
      <text>
        <t>======
ID#AAAB9LfXfx4
Chethan GS    (2026-06-24 07:49:59)
Brush</t>
      </text>
    </comment>
    <comment ref="E76" authorId="0" shapeId="0">
      <text>
        <t>======
ID#AAAB9LfXfx8
Chethan GS    (2026-06-24 07:51:02)
Brush</t>
      </text>
    </comment>
    <comment ref="E77" authorId="0" shapeId="0">
      <text>
        <t>======
ID#AAAB9LfXfyA
Chethan GS    (2026-06-24 07:51:09)
Brush</t>
      </text>
    </comment>
    <comment ref="E80" authorId="0" shapeId="0">
      <text>
        <t>======
ID#AAAB9LfXfyE
Chethan GS    (2026-06-24 07:51:24)
Brush</t>
      </text>
    </comment>
    <comment ref="E81" authorId="0" shapeId="0">
      <text>
        <t>======
ID#AAAB9LfXfyM
Chethan GS    (2026-06-24 07:52:52)
Bag</t>
      </text>
    </comment>
    <comment ref="E82" authorId="0" shapeId="0">
      <text>
        <t>======
ID#AAAB9LfXfyQ
Chethan GS    (2026-06-24 07:53:00)
Bag</t>
      </text>
    </comment>
    <comment ref="E83" authorId="0" shapeId="0">
      <text>
        <t>======
ID#AAAB9LfXfyU
Chethan GS    (2026-06-24 07:53:15)
Bag</t>
      </text>
    </comment>
    <comment ref="E84" authorId="0" shapeId="0">
      <text>
        <t>======
ID#AAAB9LfXfyY
Chethan GS    (2026-06-24 07:53:27)
Bag</t>
      </text>
    </comment>
    <comment ref="E88" authorId="0" shapeId="0">
      <text>
        <t>======
ID#AAAB9LfXfyI
Chethan GS    (2026-06-24 07:52:10)
Bag</t>
      </text>
    </comment>
    <comment ref="E90" authorId="0" shapeId="0">
      <text>
        <t>======
ID#AAAB9LfXfyc
Chethan GS    (2026-06-24 07:53:52)
Bag</t>
      </text>
    </comment>
    <comment ref="E91" authorId="0" shapeId="0">
      <text>
        <t>======
ID#AAAB9LfXfyg
Chethan GS    (2026-06-24 07:54:24)
Bag</t>
      </text>
    </comment>
    <comment ref="E92" authorId="0" shapeId="0">
      <text>
        <t>======
ID#AAAB9LfXfyk
Chethan GS    (2026-06-24 07:54:33)
Bag</t>
      </text>
    </comment>
    <comment ref="E93" authorId="0" shapeId="0">
      <text>
        <t>======
ID#AAAB9LfXfyo
Chethan GS    (2026-06-24 07:55:32)
Bag</t>
      </text>
    </comment>
    <comment ref="E94" authorId="0" shapeId="0">
      <text>
        <t>======
ID#AAAB9LfXfys
Chethan GS    (2026-06-24 07:55:42)
Bag</t>
      </text>
    </comment>
    <comment ref="E95" authorId="0" shapeId="0">
      <text>
        <t>======
ID#AAAB9LfXfyw
Chethan GS    (2026-06-24 07:55:55)
Bag</t>
      </text>
    </comment>
    <comment ref="E96" authorId="0" shapeId="0">
      <text>
        <t>======
ID#AAAB9LfXfy0
Chethan GS    (2026-06-24 07:56:20)
Bag</t>
      </text>
    </comment>
    <comment ref="E97" authorId="0" shapeId="0">
      <text>
        <t>======
ID#AAAB9LfXfy4
Chethan GS    (2026-06-24 07:56:27)
Bag</t>
      </text>
    </comment>
    <comment ref="I101" authorId="0" shapeId="0">
      <text>
        <t>======
ID#AAAB9LfXfy8
Chethan GS    (2026-06-24 07:56:54)
Bag</t>
      </text>
    </comment>
    <comment ref="E107" authorId="0" shapeId="0">
      <text>
        <t>======
ID#AAAB9LfXfzA
Chethan GS    (2026-06-24 07:57:14)
Bag</t>
      </text>
    </comment>
    <comment ref="E108" authorId="0" shapeId="0">
      <text>
        <t>======
ID#AAAB9LfXfzE
Chethan GS    (2026-06-24 07:57:22)
Bag</t>
      </text>
    </comment>
    <comment ref="E143" authorId="0" shapeId="0">
      <text>
        <t>======
ID#AAAB9LfXfzI
Chethan GS    (2026-06-24 07:58:04)
Brush</t>
      </text>
    </comment>
    <comment ref="E145" authorId="0" shapeId="0">
      <text>
        <t>======
ID#AAAB9LfXfzM
Chethan GS    (2026-06-24 07:58:15)
Brush</t>
      </text>
    </comment>
    <comment ref="E149" authorId="0" shapeId="0">
      <text>
        <t>======
ID#AAAB9LfXfzg
Chethan GS    (2026-06-24 08:00:18)
Brush</t>
      </text>
    </comment>
    <comment ref="E166" authorId="0" shapeId="0">
      <text>
        <t>======
ID#AAAB9LfXfzk
Chethan GS    (2026-06-24 08:00:55)
Bag</t>
      </text>
    </comment>
    <comment ref="E167" authorId="0" shapeId="0">
      <text>
        <t>======
ID#AAAB9LfXfzo
Chethan GS    (2026-06-24 08:01:06)
Bag</t>
      </text>
    </comment>
    <comment ref="E168" authorId="0" shapeId="0">
      <text>
        <t>======
ID#AAAB-NFaxjk
Chethan GS    (2026-06-24 09:19:45)
Mallet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ervices.gst.gov.in/services/" TargetMode="External" Id="rId1" /><Relationship Type="http://schemas.openxmlformats.org/officeDocument/2006/relationships/hyperlink" Target="https://services.gst.gov.in/services/" TargetMode="External" Id="rId2" /><Relationship Type="http://schemas.openxmlformats.org/officeDocument/2006/relationships/hyperlink" Target="https://services.gst.gov.in/services/" TargetMode="External" Id="rId3" /><Relationship Type="http://schemas.openxmlformats.org/officeDocument/2006/relationships/hyperlink" Target="https://services.gst.gov.in/services/" TargetMode="External" Id="rId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33"/>
  <sheetViews>
    <sheetView workbookViewId="0">
      <selection activeCell="A1" sqref="A1"/>
    </sheetView>
  </sheetViews>
  <sheetFormatPr baseColWidth="8" defaultColWidth="14.43" defaultRowHeight="15" customHeight="1"/>
  <cols>
    <col width="39.14" customWidth="1" style="50" min="1" max="1"/>
    <col width="24.29" customWidth="1" style="50" min="2" max="2"/>
    <col width="18" customWidth="1" style="50" min="3" max="3"/>
    <col width="14.29" customWidth="1" style="50" min="4" max="4"/>
    <col hidden="1" width="18" customWidth="1" style="50" min="5" max="8"/>
    <col width="18" customWidth="1" style="50" min="9" max="11"/>
    <col width="7.29" customWidth="1" style="50" min="12" max="12"/>
    <col width="18" customWidth="1" style="50" min="13" max="19"/>
    <col width="16.71" customWidth="1" style="50" min="20" max="20"/>
    <col width="18" customWidth="1" style="50" min="21" max="29"/>
    <col width="16.29" customWidth="1" style="50" min="30" max="31"/>
    <col width="12.57" customWidth="1" style="50" min="32" max="33"/>
    <col width="17" customWidth="1" style="50" min="34" max="34"/>
    <col width="10" customWidth="1" style="50" min="35" max="39"/>
    <col width="8.140000000000001" customWidth="1" style="50" min="40" max="40"/>
    <col width="10.43" customWidth="1" style="50" min="41" max="41"/>
    <col width="12.57" customWidth="1" style="50" min="42" max="43"/>
    <col width="8.43" customWidth="1" style="50" min="44" max="45"/>
  </cols>
  <sheetData>
    <row r="1" ht="15" customHeight="1" s="50">
      <c r="A1" s="32" t="inlineStr">
        <is>
          <t>Product</t>
        </is>
      </c>
      <c r="B1" s="32" t="n"/>
      <c r="C1" s="32" t="n"/>
      <c r="D1" s="17" t="inlineStr">
        <is>
          <t xml:space="preserve">Product Cost </t>
        </is>
      </c>
      <c r="N1" s="49" t="n"/>
      <c r="O1" s="17" t="inlineStr">
        <is>
          <t>Operations Cost</t>
        </is>
      </c>
      <c r="V1" s="49" t="n"/>
      <c r="W1" s="17" t="inlineStr">
        <is>
          <t>Sales Cost</t>
        </is>
      </c>
      <c r="AA1" s="32" t="n"/>
      <c r="AB1" s="49" t="n"/>
      <c r="AJ1" s="4" t="inlineStr">
        <is>
          <t xml:space="preserve">Sarveda Website Sales Price without GST </t>
        </is>
      </c>
    </row>
    <row r="2" ht="15" customHeight="1" s="50">
      <c r="A2" s="32" t="n"/>
      <c r="B2" s="32" t="n"/>
      <c r="C2" s="32" t="n"/>
      <c r="D2" s="32" t="n"/>
      <c r="E2" s="32" t="n"/>
      <c r="F2" s="32" t="n"/>
      <c r="G2" s="32" t="n"/>
      <c r="H2" s="32" t="n"/>
      <c r="I2" s="41" t="n"/>
      <c r="J2" s="41" t="n"/>
      <c r="K2" s="32" t="n"/>
      <c r="L2" s="32" t="n"/>
      <c r="M2" s="32" t="n"/>
      <c r="N2" s="49" t="n"/>
      <c r="O2" s="32" t="n"/>
      <c r="P2" s="32" t="n"/>
      <c r="Q2" s="32" t="n"/>
      <c r="R2" s="32" t="n"/>
      <c r="S2" s="32" t="n"/>
      <c r="T2" s="32" t="n"/>
      <c r="U2" s="32" t="n"/>
      <c r="V2" s="49" t="n"/>
      <c r="W2" s="32" t="n"/>
      <c r="X2" s="32" t="n"/>
      <c r="Y2" s="32" t="n"/>
      <c r="Z2" s="32" t="n"/>
      <c r="AA2" s="32" t="n"/>
      <c r="AB2" s="49" t="n"/>
      <c r="AC2" s="6" t="n"/>
      <c r="AF2" s="7" t="n"/>
      <c r="AG2" s="7" t="n"/>
      <c r="AI2" s="8" t="n"/>
      <c r="AJ2" s="9" t="inlineStr">
        <is>
          <t>INR</t>
        </is>
      </c>
      <c r="AL2" s="10" t="inlineStr">
        <is>
          <t>USD</t>
        </is>
      </c>
      <c r="AN2" s="11" t="inlineStr">
        <is>
          <t>Dinnar</t>
        </is>
      </c>
      <c r="AP2" s="12" t="inlineStr">
        <is>
          <t>GBP</t>
        </is>
      </c>
      <c r="AR2" s="32" t="inlineStr">
        <is>
          <t>GST</t>
        </is>
      </c>
      <c r="AS2" s="32" t="inlineStr">
        <is>
          <t xml:space="preserve">Price with GST </t>
        </is>
      </c>
    </row>
    <row r="3" ht="42.75" customHeight="1" s="50">
      <c r="A3" s="16" t="inlineStr">
        <is>
          <t>Name</t>
        </is>
      </c>
      <c r="B3" s="16" t="inlineStr">
        <is>
          <t>Variant Name</t>
        </is>
      </c>
      <c r="C3" s="16" t="inlineStr">
        <is>
          <t>SKU</t>
        </is>
      </c>
      <c r="D3" s="16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" s="16" t="inlineStr">
        <is>
          <t>Accessery1</t>
        </is>
      </c>
      <c r="F3" s="16" t="inlineStr">
        <is>
          <t>Accessery2</t>
        </is>
      </c>
      <c r="G3" s="16" t="inlineStr">
        <is>
          <t>Accessary3</t>
        </is>
      </c>
      <c r="H3" s="16" t="inlineStr">
        <is>
          <t>Accesary4
Instructions card</t>
        </is>
      </c>
      <c r="I3" s="17" t="inlineStr">
        <is>
          <t>HSN</t>
        </is>
      </c>
      <c r="J3" s="17" t="inlineStr">
        <is>
          <t>GST%</t>
        </is>
      </c>
      <c r="K3" s="16" t="inlineStr">
        <is>
          <t>GST</t>
        </is>
      </c>
      <c r="L3" s="16" t="inlineStr">
        <is>
          <t>Packaging  by Vendor</t>
        </is>
      </c>
      <c r="M3" s="16" t="inlineStr">
        <is>
          <t>Shipping to Warehouse</t>
        </is>
      </c>
      <c r="N3" s="19" t="inlineStr">
        <is>
          <t>Product Cost 
( Recd at wharehouse)</t>
        </is>
      </c>
      <c r="O3" s="16" t="inlineStr">
        <is>
          <t xml:space="preserve">Storage </t>
        </is>
      </c>
      <c r="P3" s="16" t="inlineStr">
        <is>
          <t xml:space="preserve">Packaging </t>
        </is>
      </c>
      <c r="Q3" s="16" t="inlineStr">
        <is>
          <t>Operations team</t>
        </is>
      </c>
      <c r="R3" s="16" t="inlineStr">
        <is>
          <t>Returns &amp; refunds</t>
        </is>
      </c>
      <c r="S3" s="16" t="inlineStr">
        <is>
          <t>Breakages</t>
        </is>
      </c>
      <c r="T3" s="16" t="inlineStr">
        <is>
          <t>Accounting 
Services</t>
        </is>
      </c>
      <c r="U3" s="16" t="inlineStr">
        <is>
          <t>IT and Telservices</t>
        </is>
      </c>
      <c r="V3" s="19" t="inlineStr">
        <is>
          <t xml:space="preserve">Operations Cost </t>
        </is>
      </c>
      <c r="W3" s="16" t="inlineStr">
        <is>
          <t>Ads</t>
        </is>
      </c>
      <c r="X3" s="16" t="inlineStr">
        <is>
          <t>Welcome 10</t>
        </is>
      </c>
      <c r="Y3" s="16" t="inlineStr">
        <is>
          <t>Add. discounts</t>
        </is>
      </c>
      <c r="Z3" s="16" t="inlineStr">
        <is>
          <t xml:space="preserve">Sales/Incentives </t>
        </is>
      </c>
      <c r="AA3" s="16" t="inlineStr">
        <is>
          <t>Sales Costs</t>
        </is>
      </c>
      <c r="AB3" s="20" t="inlineStr">
        <is>
          <t xml:space="preserve">Total Cost </t>
        </is>
      </c>
      <c r="AC3" s="21" t="inlineStr">
        <is>
          <t>Margin</t>
        </is>
      </c>
      <c r="AD3" s="16" t="inlineStr">
        <is>
          <t>Proposed Sale Price</t>
        </is>
      </c>
      <c r="AE3" s="16" t="inlineStr">
        <is>
          <t xml:space="preserve">Refernce Sale price </t>
        </is>
      </c>
      <c r="AF3" s="22" t="inlineStr">
        <is>
          <t>Differnce</t>
        </is>
      </c>
      <c r="AG3" s="22" t="inlineStr">
        <is>
          <t>DIffernce %</t>
        </is>
      </c>
      <c r="AH3" s="16" t="inlineStr">
        <is>
          <t xml:space="preserve">Existing Sale Price </t>
        </is>
      </c>
      <c r="AI3" s="23" t="inlineStr">
        <is>
          <t>DIfference</t>
        </is>
      </c>
      <c r="AJ3" s="24" t="inlineStr">
        <is>
          <t xml:space="preserve">MRP </t>
        </is>
      </c>
      <c r="AK3" s="24" t="inlineStr">
        <is>
          <t>Sale</t>
        </is>
      </c>
      <c r="AL3" s="25" t="inlineStr">
        <is>
          <t xml:space="preserve">MRP </t>
        </is>
      </c>
      <c r="AM3" s="25" t="inlineStr">
        <is>
          <t>Sale</t>
        </is>
      </c>
      <c r="AN3" s="26" t="inlineStr">
        <is>
          <t xml:space="preserve">MRP </t>
        </is>
      </c>
      <c r="AO3" s="26" t="inlineStr">
        <is>
          <t>Sale</t>
        </is>
      </c>
      <c r="AP3" s="27" t="inlineStr">
        <is>
          <t xml:space="preserve">MRP </t>
        </is>
      </c>
      <c r="AQ3" s="27" t="inlineStr">
        <is>
          <t>Sale</t>
        </is>
      </c>
      <c r="AR3" s="16" t="n"/>
      <c r="AS3" s="16" t="n"/>
    </row>
    <row r="4" ht="15" customHeight="1" s="50">
      <c r="A4" s="32" t="inlineStr">
        <is>
          <t>11 Note Tongue Drum</t>
        </is>
      </c>
      <c r="B4" s="32" t="inlineStr">
        <is>
          <t>10 inches / White</t>
        </is>
      </c>
      <c r="C4" s="32" t="inlineStr">
        <is>
          <t>MI-TD-11N-W-10</t>
        </is>
      </c>
      <c r="D4" s="32" t="n">
        <v>4100</v>
      </c>
      <c r="E4" s="32" t="n">
        <v>0</v>
      </c>
      <c r="F4" s="32" t="n">
        <v>0</v>
      </c>
      <c r="G4" s="32" t="n">
        <v>0</v>
      </c>
      <c r="H4" s="32" t="n">
        <v>10</v>
      </c>
      <c r="I4" s="41" t="n">
        <v>92060000</v>
      </c>
      <c r="J4" s="30" t="n">
        <v>0.18</v>
      </c>
      <c r="K4" s="32">
        <f>D4*5%</f>
        <v/>
      </c>
      <c r="L4" s="32" t="n">
        <v>30</v>
      </c>
      <c r="M4" s="32">
        <f>D4*4%</f>
        <v/>
      </c>
      <c r="N4" s="49">
        <f>M4+L4+K4+H4+G4+F4+E4+D4</f>
        <v/>
      </c>
      <c r="O4" s="32">
        <f>D4*1%</f>
        <v/>
      </c>
      <c r="P4" s="7">
        <f>N4*8%</f>
        <v/>
      </c>
      <c r="Q4" s="7">
        <f>N4*10%</f>
        <v/>
      </c>
      <c r="R4" s="7">
        <f>N4*5%</f>
        <v/>
      </c>
      <c r="S4" s="7">
        <f>N4*2%</f>
        <v/>
      </c>
      <c r="T4" s="7">
        <f>0.5%*AH4</f>
        <v/>
      </c>
      <c r="U4" s="7">
        <f>N4*1%</f>
        <v/>
      </c>
      <c r="V4" s="31">
        <f>U4+S4+R4+Q4+P4+O4</f>
        <v/>
      </c>
      <c r="W4" s="32">
        <f>AE4*1%</f>
        <v/>
      </c>
      <c r="X4" s="32">
        <f>AE4*10%</f>
        <v/>
      </c>
      <c r="Y4" s="32">
        <f>AE4*1%</f>
        <v/>
      </c>
      <c r="Z4" s="32">
        <f>AE4*8%</f>
        <v/>
      </c>
      <c r="AA4" s="32">
        <f>W4+X4+Y4+Z4</f>
        <v/>
      </c>
      <c r="AB4" s="31">
        <f>AA4+V4+N4</f>
        <v/>
      </c>
      <c r="AC4" s="6">
        <f>AB4*20%</f>
        <v/>
      </c>
      <c r="AD4" s="32" t="n">
        <v>8900</v>
      </c>
      <c r="AE4" s="32">
        <f>D4*2.1</f>
        <v/>
      </c>
      <c r="AF4" s="7">
        <f>AD4-AE4</f>
        <v/>
      </c>
      <c r="AG4" s="7">
        <f>AF4/AD4*100</f>
        <v/>
      </c>
      <c r="AH4" s="0" t="n">
        <v>7350</v>
      </c>
      <c r="AI4" s="33" t="n">
        <v>3250</v>
      </c>
      <c r="AJ4" s="34">
        <f>AD4</f>
        <v/>
      </c>
      <c r="AK4" s="34">
        <f>AJ4-(AJ4*7%)</f>
        <v/>
      </c>
      <c r="AL4" s="35">
        <f>AJ4/94</f>
        <v/>
      </c>
      <c r="AM4" s="35">
        <f>AK4/94</f>
        <v/>
      </c>
      <c r="AN4" s="36">
        <f>AJ4/24</f>
        <v/>
      </c>
      <c r="AO4" s="36">
        <f>AK4/24</f>
        <v/>
      </c>
      <c r="AP4" s="37">
        <f>AJ4/125</f>
        <v/>
      </c>
      <c r="AQ4" s="37">
        <f>AK4/125</f>
        <v/>
      </c>
    </row>
    <row r="5" ht="24" customHeight="1" s="50">
      <c r="B5" s="32" t="inlineStr">
        <is>
          <t>12 inches / White</t>
        </is>
      </c>
      <c r="C5" s="32" t="inlineStr">
        <is>
          <t>MI-TD-11N-W-12</t>
        </is>
      </c>
      <c r="D5" s="32" t="n">
        <v>4600</v>
      </c>
      <c r="E5" s="32" t="n">
        <v>0</v>
      </c>
      <c r="F5" s="32" t="n">
        <v>0</v>
      </c>
      <c r="G5" s="32" t="n">
        <v>0</v>
      </c>
      <c r="H5" s="32" t="n">
        <v>10</v>
      </c>
      <c r="I5" s="41" t="n">
        <v>92060000</v>
      </c>
      <c r="J5" s="30" t="n">
        <v>0.18</v>
      </c>
      <c r="K5" s="32">
        <f>D5*J5</f>
        <v/>
      </c>
      <c r="M5" s="32">
        <f>D5*4%</f>
        <v/>
      </c>
      <c r="N5" s="49">
        <f>M5+L5+K5+H5+G5+F5+E5+D5</f>
        <v/>
      </c>
      <c r="O5" s="32">
        <f>D5*1%</f>
        <v/>
      </c>
      <c r="P5" s="7">
        <f>N5*8%</f>
        <v/>
      </c>
      <c r="Q5" s="7">
        <f>N5*10%</f>
        <v/>
      </c>
      <c r="R5" s="7">
        <f>N5*5%</f>
        <v/>
      </c>
      <c r="S5" s="7">
        <f>N5*2%</f>
        <v/>
      </c>
      <c r="T5" s="7">
        <f>AE5*0.5%</f>
        <v/>
      </c>
      <c r="U5" s="7">
        <f>N5*1%</f>
        <v/>
      </c>
      <c r="V5" s="31">
        <f>U5+S5+R5+Q5+P5+O5</f>
        <v/>
      </c>
      <c r="W5" s="32">
        <f>AE5*1%</f>
        <v/>
      </c>
      <c r="X5" s="32">
        <f>AE5*10%</f>
        <v/>
      </c>
      <c r="Y5" s="32">
        <f>AE5*1%</f>
        <v/>
      </c>
      <c r="Z5" s="32">
        <f>AE5*8%</f>
        <v/>
      </c>
      <c r="AA5" s="32">
        <f>W5+X5+Y5+Z5</f>
        <v/>
      </c>
      <c r="AB5" s="31">
        <f>AA5+V5+N5</f>
        <v/>
      </c>
      <c r="AC5" s="6">
        <f>AB5*20%</f>
        <v/>
      </c>
      <c r="AD5" s="7">
        <f>AB5+AC5</f>
        <v/>
      </c>
      <c r="AE5" s="32">
        <f>D5*2.1</f>
        <v/>
      </c>
      <c r="AF5" s="7">
        <f>AD5-AE5</f>
        <v/>
      </c>
      <c r="AG5" s="7">
        <f>AF5/AD5*100</f>
        <v/>
      </c>
      <c r="AH5" s="0" t="n">
        <v>7850</v>
      </c>
      <c r="AI5" s="33" t="n">
        <v>3250</v>
      </c>
      <c r="AJ5" s="34">
        <f>AD5</f>
        <v/>
      </c>
      <c r="AK5" s="34">
        <f>AJ5-(AJ5*7%)</f>
        <v/>
      </c>
      <c r="AL5" s="35">
        <f>AJ5/94</f>
        <v/>
      </c>
      <c r="AM5" s="35">
        <f>AK5/94</f>
        <v/>
      </c>
      <c r="AN5" s="36">
        <f>AJ5/24</f>
        <v/>
      </c>
      <c r="AO5" s="36">
        <f>AK5/24</f>
        <v/>
      </c>
      <c r="AP5" s="37">
        <f>AJ5/125</f>
        <v/>
      </c>
      <c r="AQ5" s="37">
        <f>AK5/125</f>
        <v/>
      </c>
    </row>
    <row r="6">
      <c r="A6" s="32" t="n"/>
      <c r="B6" s="32" t="inlineStr">
        <is>
          <t>6 inches / White</t>
        </is>
      </c>
      <c r="C6" s="32" t="inlineStr">
        <is>
          <t>MI-TD-11N-W-6</t>
        </is>
      </c>
      <c r="D6" s="32" t="n">
        <v>2700</v>
      </c>
      <c r="E6" s="32" t="n">
        <v>0</v>
      </c>
      <c r="F6" s="32" t="n">
        <v>0</v>
      </c>
      <c r="G6" s="32" t="n">
        <v>0</v>
      </c>
      <c r="H6" s="32" t="n">
        <v>10</v>
      </c>
      <c r="I6" s="41" t="n">
        <v>92060000</v>
      </c>
      <c r="J6" s="30" t="n">
        <v>0.18</v>
      </c>
      <c r="K6" s="32">
        <f>D6*J6</f>
        <v/>
      </c>
      <c r="M6" s="32">
        <f>D6*4%</f>
        <v/>
      </c>
      <c r="N6" s="49">
        <f>M6+L6+K6+H6+G6+F6+E6+D6</f>
        <v/>
      </c>
      <c r="O6" s="32">
        <f>D6*1%</f>
        <v/>
      </c>
      <c r="P6" s="7">
        <f>N6*8%</f>
        <v/>
      </c>
      <c r="Q6" s="7">
        <f>N6*10%</f>
        <v/>
      </c>
      <c r="R6" s="7">
        <f>N6*5%</f>
        <v/>
      </c>
      <c r="S6" s="7">
        <f>N6*2%</f>
        <v/>
      </c>
      <c r="T6" s="7">
        <f>AE6*0.5%</f>
        <v/>
      </c>
      <c r="U6" s="7">
        <f>N6*1%</f>
        <v/>
      </c>
      <c r="V6" s="31">
        <f>U6+S6+R6+Q6+P6+O6</f>
        <v/>
      </c>
      <c r="W6" s="32">
        <f>AE6*1%</f>
        <v/>
      </c>
      <c r="X6" s="32">
        <f>AE6*10%</f>
        <v/>
      </c>
      <c r="Y6" s="32">
        <f>AE6*1%</f>
        <v/>
      </c>
      <c r="Z6" s="32">
        <f>AE6*8%</f>
        <v/>
      </c>
      <c r="AA6" s="32">
        <f>W6+X6+Y6+Z6</f>
        <v/>
      </c>
      <c r="AB6" s="31">
        <f>AA6+V6+N6</f>
        <v/>
      </c>
      <c r="AC6" s="6">
        <f>AB6*20%</f>
        <v/>
      </c>
      <c r="AD6" s="7">
        <f>AB6+AC6</f>
        <v/>
      </c>
      <c r="AE6" s="32">
        <f>D6*2.1</f>
        <v/>
      </c>
      <c r="AF6" s="7">
        <f>AD6-AE6</f>
        <v/>
      </c>
      <c r="AG6" s="7">
        <f>AF6/AD6*100</f>
        <v/>
      </c>
      <c r="AH6" s="0" t="n">
        <v>5850</v>
      </c>
      <c r="AI6" s="33" t="n">
        <v>3150</v>
      </c>
      <c r="AJ6" s="34">
        <f>AD6</f>
        <v/>
      </c>
      <c r="AK6" s="34">
        <f>AJ6-(AJ6*7%)</f>
        <v/>
      </c>
      <c r="AL6" s="35">
        <f>AJ6/94</f>
        <v/>
      </c>
      <c r="AM6" s="35">
        <f>AK6/94</f>
        <v/>
      </c>
      <c r="AN6" s="36">
        <f>AJ6/24</f>
        <v/>
      </c>
      <c r="AO6" s="36">
        <f>AK6/24</f>
        <v/>
      </c>
      <c r="AP6" s="37">
        <f>AJ6/125</f>
        <v/>
      </c>
      <c r="AQ6" s="37">
        <f>AK6/125</f>
        <v/>
      </c>
    </row>
    <row r="7">
      <c r="A7" s="32" t="n"/>
      <c r="B7" s="32" t="inlineStr">
        <is>
          <t>8 inches / White</t>
        </is>
      </c>
      <c r="C7" s="32" t="inlineStr">
        <is>
          <t>MI-TD-11N-W-8</t>
        </is>
      </c>
      <c r="D7" s="32" t="n">
        <v>3700</v>
      </c>
      <c r="E7" s="32" t="n">
        <v>0</v>
      </c>
      <c r="F7" s="32" t="n">
        <v>0</v>
      </c>
      <c r="G7" s="32" t="n">
        <v>0</v>
      </c>
      <c r="H7" s="32" t="n">
        <v>10</v>
      </c>
      <c r="I7" s="41" t="n">
        <v>92060000</v>
      </c>
      <c r="J7" s="30" t="n">
        <v>0.18</v>
      </c>
      <c r="K7" s="32">
        <f>D7*J7</f>
        <v/>
      </c>
      <c r="M7" s="32">
        <f>D7*4%</f>
        <v/>
      </c>
      <c r="N7" s="49">
        <f>M7+L7+K7+H7+G7+F7+E7+D7</f>
        <v/>
      </c>
      <c r="O7" s="32">
        <f>D7*1%</f>
        <v/>
      </c>
      <c r="P7" s="7">
        <f>N7*8%</f>
        <v/>
      </c>
      <c r="Q7" s="7">
        <f>N7*10%</f>
        <v/>
      </c>
      <c r="R7" s="7">
        <f>N7*5%</f>
        <v/>
      </c>
      <c r="S7" s="7">
        <f>N7*2%</f>
        <v/>
      </c>
      <c r="T7" s="7">
        <f>AE7*0.5%</f>
        <v/>
      </c>
      <c r="U7" s="7">
        <f>N7*1%</f>
        <v/>
      </c>
      <c r="V7" s="31">
        <f>U7+S7+R7+Q7+P7+O7</f>
        <v/>
      </c>
      <c r="W7" s="32">
        <f>AE7*1%</f>
        <v/>
      </c>
      <c r="X7" s="32">
        <f>AE7*10%</f>
        <v/>
      </c>
      <c r="Y7" s="32">
        <f>AE7*1%</f>
        <v/>
      </c>
      <c r="Z7" s="32">
        <f>AE7*8%</f>
        <v/>
      </c>
      <c r="AA7" s="32">
        <f>W7+X7+Y7+Z7</f>
        <v/>
      </c>
      <c r="AB7" s="31">
        <f>AA7+V7+N7</f>
        <v/>
      </c>
      <c r="AC7" s="6">
        <f>AB7*20%</f>
        <v/>
      </c>
      <c r="AD7" s="7">
        <f>AB7+AC7</f>
        <v/>
      </c>
      <c r="AE7" s="32">
        <f>D7*2.1</f>
        <v/>
      </c>
      <c r="AF7" s="7">
        <f>AD7-AE7</f>
        <v/>
      </c>
      <c r="AG7" s="7">
        <f>AF7/AD7*100</f>
        <v/>
      </c>
      <c r="AH7" s="0" t="n">
        <v>6750</v>
      </c>
      <c r="AI7" s="33" t="n">
        <v>3050</v>
      </c>
      <c r="AJ7" s="34">
        <f>AD7</f>
        <v/>
      </c>
      <c r="AK7" s="34">
        <f>AJ7-(AJ7*7%)</f>
        <v/>
      </c>
      <c r="AL7" s="35">
        <f>AJ7/94</f>
        <v/>
      </c>
      <c r="AM7" s="35">
        <f>AK7/94</f>
        <v/>
      </c>
      <c r="AN7" s="36">
        <f>AJ7/24</f>
        <v/>
      </c>
      <c r="AO7" s="36">
        <f>AK7/24</f>
        <v/>
      </c>
      <c r="AP7" s="37">
        <f>AJ7/125</f>
        <v/>
      </c>
      <c r="AQ7" s="37">
        <f>AK7/125</f>
        <v/>
      </c>
    </row>
    <row r="8">
      <c r="A8" s="32" t="n"/>
      <c r="B8" s="32" t="inlineStr">
        <is>
          <t>10 inches / Blue</t>
        </is>
      </c>
      <c r="C8" s="32" t="inlineStr">
        <is>
          <t>MI-TD-11N-B-10</t>
        </is>
      </c>
      <c r="D8" s="32" t="n">
        <v>4100</v>
      </c>
      <c r="E8" s="32" t="n">
        <v>0</v>
      </c>
      <c r="F8" s="32" t="n">
        <v>0</v>
      </c>
      <c r="G8" s="32" t="n">
        <v>0</v>
      </c>
      <c r="H8" s="32" t="n">
        <v>10</v>
      </c>
      <c r="I8" s="41" t="n">
        <v>92060000</v>
      </c>
      <c r="J8" s="30" t="n">
        <v>0.18</v>
      </c>
      <c r="K8" s="32">
        <f>D8*J8</f>
        <v/>
      </c>
      <c r="M8" s="32">
        <f>D8*4%</f>
        <v/>
      </c>
      <c r="N8" s="49">
        <f>M8+L8+K8+H8+G8+F8+E8+D8</f>
        <v/>
      </c>
      <c r="O8" s="32">
        <f>D8*1%</f>
        <v/>
      </c>
      <c r="P8" s="7">
        <f>N8*8%</f>
        <v/>
      </c>
      <c r="Q8" s="7">
        <f>N8*10%</f>
        <v/>
      </c>
      <c r="R8" s="7">
        <f>N8*5%</f>
        <v/>
      </c>
      <c r="S8" s="7">
        <f>N8*2%</f>
        <v/>
      </c>
      <c r="T8" s="7">
        <f>AE8*0.5%</f>
        <v/>
      </c>
      <c r="U8" s="7">
        <f>N8*1%</f>
        <v/>
      </c>
      <c r="V8" s="31">
        <f>U8+S8+R8+Q8+P8+O8</f>
        <v/>
      </c>
      <c r="W8" s="32">
        <f>AE8*1%</f>
        <v/>
      </c>
      <c r="X8" s="32">
        <f>AE8*10%</f>
        <v/>
      </c>
      <c r="Y8" s="32">
        <f>AE8*1%</f>
        <v/>
      </c>
      <c r="Z8" s="32">
        <f>AE8*8%</f>
        <v/>
      </c>
      <c r="AA8" s="32">
        <f>W8+X8+Y8+Z8</f>
        <v/>
      </c>
      <c r="AB8" s="31">
        <f>AA8+V8+N8</f>
        <v/>
      </c>
      <c r="AC8" s="6">
        <f>AB8*20%</f>
        <v/>
      </c>
      <c r="AD8" s="7">
        <f>AB8+AC8</f>
        <v/>
      </c>
      <c r="AE8" s="32">
        <f>D8*2.1</f>
        <v/>
      </c>
      <c r="AF8" s="7">
        <f>AD8-AE8</f>
        <v/>
      </c>
      <c r="AG8" s="7">
        <f>AF8/AD8*100</f>
        <v/>
      </c>
      <c r="AH8" s="0" t="n">
        <v>7350</v>
      </c>
      <c r="AI8" s="33" t="n">
        <v>3250</v>
      </c>
      <c r="AJ8" s="34">
        <f>AD8</f>
        <v/>
      </c>
      <c r="AK8" s="34">
        <f>AJ8-(AJ8*7%)</f>
        <v/>
      </c>
      <c r="AL8" s="35">
        <f>AJ8/94</f>
        <v/>
      </c>
      <c r="AM8" s="35">
        <f>AK8/94</f>
        <v/>
      </c>
      <c r="AN8" s="36">
        <f>AJ8/24</f>
        <v/>
      </c>
      <c r="AO8" s="36">
        <f>AK8/24</f>
        <v/>
      </c>
      <c r="AP8" s="37">
        <f>AJ8/125</f>
        <v/>
      </c>
      <c r="AQ8" s="37">
        <f>AK8/125</f>
        <v/>
      </c>
    </row>
    <row r="9">
      <c r="A9" s="32" t="n"/>
      <c r="B9" s="32" t="inlineStr">
        <is>
          <t>12 inches / Blue</t>
        </is>
      </c>
      <c r="C9" s="32" t="inlineStr">
        <is>
          <t>MI-TD-11N-B-12</t>
        </is>
      </c>
      <c r="D9" s="32" t="n">
        <v>4600</v>
      </c>
      <c r="E9" s="32" t="n">
        <v>0</v>
      </c>
      <c r="F9" s="32" t="n">
        <v>0</v>
      </c>
      <c r="G9" s="32" t="n">
        <v>0</v>
      </c>
      <c r="H9" s="32" t="n">
        <v>10</v>
      </c>
      <c r="I9" s="41" t="n">
        <v>92060000</v>
      </c>
      <c r="J9" s="30" t="n">
        <v>0.18</v>
      </c>
      <c r="K9" s="32">
        <f>D9*J9</f>
        <v/>
      </c>
      <c r="M9" s="32">
        <f>D9*4%</f>
        <v/>
      </c>
      <c r="N9" s="49">
        <f>M9+L9+K9+H9+G9+F9+E9+D9</f>
        <v/>
      </c>
      <c r="O9" s="32">
        <f>D9*1%</f>
        <v/>
      </c>
      <c r="P9" s="7">
        <f>N9*8%</f>
        <v/>
      </c>
      <c r="Q9" s="7">
        <f>N9*10%</f>
        <v/>
      </c>
      <c r="R9" s="7">
        <f>N9*5%</f>
        <v/>
      </c>
      <c r="S9" s="7">
        <f>N9*2%</f>
        <v/>
      </c>
      <c r="T9" s="7">
        <f>AE9*0.5%</f>
        <v/>
      </c>
      <c r="U9" s="7">
        <f>N9*1%</f>
        <v/>
      </c>
      <c r="V9" s="31">
        <f>U9+S9+R9+Q9+P9+O9</f>
        <v/>
      </c>
      <c r="W9" s="32">
        <f>AE9*1%</f>
        <v/>
      </c>
      <c r="X9" s="32">
        <f>AE9*10%</f>
        <v/>
      </c>
      <c r="Y9" s="32">
        <f>AE9*1%</f>
        <v/>
      </c>
      <c r="Z9" s="32">
        <f>AE9*8%</f>
        <v/>
      </c>
      <c r="AA9" s="32">
        <f>W9+X9+Y9+Z9</f>
        <v/>
      </c>
      <c r="AB9" s="31">
        <f>AA9+V9+N9</f>
        <v/>
      </c>
      <c r="AC9" s="6">
        <f>AB9*20%</f>
        <v/>
      </c>
      <c r="AD9" s="7">
        <f>AB9+AC9</f>
        <v/>
      </c>
      <c r="AE9" s="32">
        <f>D9*2.1</f>
        <v/>
      </c>
      <c r="AF9" s="7">
        <f>AD9-AE9</f>
        <v/>
      </c>
      <c r="AG9" s="7">
        <f>AF9/AD9*100</f>
        <v/>
      </c>
      <c r="AH9" s="0" t="n">
        <v>7850</v>
      </c>
      <c r="AI9" s="33" t="n">
        <v>3250</v>
      </c>
      <c r="AJ9" s="34">
        <f>AD9</f>
        <v/>
      </c>
      <c r="AK9" s="34">
        <f>AJ9-(AJ9*7%)</f>
        <v/>
      </c>
      <c r="AL9" s="35">
        <f>AJ9/94</f>
        <v/>
      </c>
      <c r="AM9" s="35">
        <f>AK9/94</f>
        <v/>
      </c>
      <c r="AN9" s="36">
        <f>AJ9/24</f>
        <v/>
      </c>
      <c r="AO9" s="36">
        <f>AK9/24</f>
        <v/>
      </c>
      <c r="AP9" s="37">
        <f>AJ9/125</f>
        <v/>
      </c>
      <c r="AQ9" s="37">
        <f>AK9/125</f>
        <v/>
      </c>
    </row>
    <row r="10">
      <c r="A10" s="32" t="n"/>
      <c r="B10" s="32" t="inlineStr">
        <is>
          <t>6 inches / Blue</t>
        </is>
      </c>
      <c r="C10" s="32" t="inlineStr">
        <is>
          <t>MI-TD-11N-B-6</t>
        </is>
      </c>
      <c r="D10" s="32" t="n">
        <v>2700</v>
      </c>
      <c r="E10" s="32" t="n">
        <v>0</v>
      </c>
      <c r="F10" s="32" t="n">
        <v>0</v>
      </c>
      <c r="G10" s="32" t="n">
        <v>0</v>
      </c>
      <c r="H10" s="32" t="n">
        <v>10</v>
      </c>
      <c r="I10" s="41" t="n">
        <v>92060000</v>
      </c>
      <c r="J10" s="30" t="n">
        <v>0.18</v>
      </c>
      <c r="K10" s="32">
        <f>D10*J10</f>
        <v/>
      </c>
      <c r="M10" s="32">
        <f>D10*4%</f>
        <v/>
      </c>
      <c r="N10" s="49">
        <f>M10+L10+K10+H10+G10+F10+E10+D10</f>
        <v/>
      </c>
      <c r="O10" s="32">
        <f>D10*1%</f>
        <v/>
      </c>
      <c r="P10" s="7">
        <f>N10*8%</f>
        <v/>
      </c>
      <c r="Q10" s="7">
        <f>N10*10%</f>
        <v/>
      </c>
      <c r="R10" s="7">
        <f>N10*5%</f>
        <v/>
      </c>
      <c r="S10" s="7">
        <f>N10*2%</f>
        <v/>
      </c>
      <c r="T10" s="7">
        <f>AE10*0.5%</f>
        <v/>
      </c>
      <c r="U10" s="7">
        <f>N10*1%</f>
        <v/>
      </c>
      <c r="V10" s="31">
        <f>U10+S10+R10+Q10+P10+O10</f>
        <v/>
      </c>
      <c r="W10" s="32">
        <f>AE10*1%</f>
        <v/>
      </c>
      <c r="X10" s="32">
        <f>AE10*10%</f>
        <v/>
      </c>
      <c r="Y10" s="32">
        <f>AE10*1%</f>
        <v/>
      </c>
      <c r="Z10" s="32">
        <f>AE10*8%</f>
        <v/>
      </c>
      <c r="AA10" s="32">
        <f>W10+X10+Y10+Z10</f>
        <v/>
      </c>
      <c r="AB10" s="31">
        <f>AA10+V10+N10</f>
        <v/>
      </c>
      <c r="AC10" s="6">
        <f>AB10*20%</f>
        <v/>
      </c>
      <c r="AD10" s="7">
        <f>AB10+AC10</f>
        <v/>
      </c>
      <c r="AE10" s="32">
        <f>D10*2.1</f>
        <v/>
      </c>
      <c r="AF10" s="7">
        <f>AD10-AE10</f>
        <v/>
      </c>
      <c r="AG10" s="7">
        <f>AF10/AD10*100</f>
        <v/>
      </c>
      <c r="AH10" s="0" t="n">
        <v>5850</v>
      </c>
      <c r="AI10" s="33" t="n">
        <v>3150</v>
      </c>
      <c r="AJ10" s="34">
        <f>AD10</f>
        <v/>
      </c>
      <c r="AK10" s="34">
        <f>AJ10-(AJ10*7%)</f>
        <v/>
      </c>
      <c r="AL10" s="35">
        <f>AJ10/94</f>
        <v/>
      </c>
      <c r="AM10" s="35">
        <f>AK10/94</f>
        <v/>
      </c>
      <c r="AN10" s="36">
        <f>AJ10/24</f>
        <v/>
      </c>
      <c r="AO10" s="36">
        <f>AK10/24</f>
        <v/>
      </c>
      <c r="AP10" s="37">
        <f>AJ10/125</f>
        <v/>
      </c>
      <c r="AQ10" s="37">
        <f>AK10/125</f>
        <v/>
      </c>
    </row>
    <row r="11">
      <c r="A11" s="32" t="n"/>
      <c r="B11" s="32" t="inlineStr">
        <is>
          <t>8 inches / Blue</t>
        </is>
      </c>
      <c r="C11" s="32" t="inlineStr">
        <is>
          <t>MI-TD-11N-B-8</t>
        </is>
      </c>
      <c r="D11" s="32" t="n">
        <v>4100</v>
      </c>
      <c r="E11" s="32" t="n">
        <v>0</v>
      </c>
      <c r="F11" s="32" t="n">
        <v>0</v>
      </c>
      <c r="G11" s="32" t="n">
        <v>0</v>
      </c>
      <c r="H11" s="32" t="n">
        <v>10</v>
      </c>
      <c r="I11" s="41" t="n">
        <v>92060000</v>
      </c>
      <c r="J11" s="30" t="n">
        <v>0.18</v>
      </c>
      <c r="K11" s="32">
        <f>D11*J11</f>
        <v/>
      </c>
      <c r="M11" s="32">
        <f>D11*4%</f>
        <v/>
      </c>
      <c r="N11" s="49">
        <f>M11+L11+K11+H11+G11+F11+E11+D11</f>
        <v/>
      </c>
      <c r="O11" s="32">
        <f>D11*1%</f>
        <v/>
      </c>
      <c r="P11" s="7">
        <f>N11*8%</f>
        <v/>
      </c>
      <c r="Q11" s="7">
        <f>N11*10%</f>
        <v/>
      </c>
      <c r="R11" s="7">
        <f>N11*5%</f>
        <v/>
      </c>
      <c r="S11" s="7">
        <f>N11*2%</f>
        <v/>
      </c>
      <c r="T11" s="7">
        <f>AE11*0.5%</f>
        <v/>
      </c>
      <c r="U11" s="7">
        <f>N11*1%</f>
        <v/>
      </c>
      <c r="V11" s="31">
        <f>U11+S11+R11+Q11+P11+O11</f>
        <v/>
      </c>
      <c r="W11" s="32">
        <f>AE11*1%</f>
        <v/>
      </c>
      <c r="X11" s="32">
        <f>AE11*10%</f>
        <v/>
      </c>
      <c r="Y11" s="32">
        <f>AE11*1%</f>
        <v/>
      </c>
      <c r="Z11" s="32">
        <f>AE11*8%</f>
        <v/>
      </c>
      <c r="AA11" s="32">
        <f>W11+X11+Y11+Z11</f>
        <v/>
      </c>
      <c r="AB11" s="31">
        <f>AA11+V11+N11</f>
        <v/>
      </c>
      <c r="AC11" s="6">
        <f>AB11*20%</f>
        <v/>
      </c>
      <c r="AD11" s="7">
        <f>AB11+AC11</f>
        <v/>
      </c>
      <c r="AE11" s="32">
        <f>D11*2.1</f>
        <v/>
      </c>
      <c r="AF11" s="7">
        <f>AD11-AE11</f>
        <v/>
      </c>
      <c r="AG11" s="7">
        <f>AF11/AD11*100</f>
        <v/>
      </c>
      <c r="AH11" s="0" t="n">
        <v>6750</v>
      </c>
      <c r="AI11" s="33" t="n">
        <v>2650</v>
      </c>
      <c r="AJ11" s="34">
        <f>AD11</f>
        <v/>
      </c>
      <c r="AK11" s="34">
        <f>AJ11-(AJ11*7%)</f>
        <v/>
      </c>
      <c r="AL11" s="35">
        <f>AJ11/94</f>
        <v/>
      </c>
      <c r="AM11" s="35">
        <f>AK11/94</f>
        <v/>
      </c>
      <c r="AN11" s="36">
        <f>AJ11/24</f>
        <v/>
      </c>
      <c r="AO11" s="36">
        <f>AK11/24</f>
        <v/>
      </c>
      <c r="AP11" s="37">
        <f>AJ11/125</f>
        <v/>
      </c>
      <c r="AQ11" s="37">
        <f>AK11/125</f>
        <v/>
      </c>
    </row>
    <row r="12">
      <c r="A12" s="32" t="inlineStr">
        <is>
          <t>32 Rods - Bar Chime</t>
        </is>
      </c>
      <c r="B12" s="32" t="inlineStr">
        <is>
          <t>Standard</t>
        </is>
      </c>
      <c r="C12" s="32" t="inlineStr">
        <is>
          <t>MI-BCH-32</t>
        </is>
      </c>
      <c r="D12" s="32" t="n">
        <v>3200</v>
      </c>
      <c r="E12" s="32" t="n">
        <v>100</v>
      </c>
      <c r="G12" s="32" t="n">
        <v>0</v>
      </c>
      <c r="H12" s="32" t="n">
        <v>10</v>
      </c>
      <c r="I12" s="41" t="n">
        <v>92060000</v>
      </c>
      <c r="J12" s="30" t="n">
        <v>0.18</v>
      </c>
      <c r="K12" s="32">
        <f>D12*J12</f>
        <v/>
      </c>
      <c r="M12" s="32">
        <f>D12*4%</f>
        <v/>
      </c>
      <c r="N12" s="49">
        <f>M12+L12+K12+H12+G12+F12+E12+D12</f>
        <v/>
      </c>
      <c r="O12" s="32">
        <f>D12*1%</f>
        <v/>
      </c>
      <c r="P12" s="7">
        <f>N12*8%</f>
        <v/>
      </c>
      <c r="Q12" s="7">
        <f>N12*10%</f>
        <v/>
      </c>
      <c r="R12" s="7">
        <f>N12*5%</f>
        <v/>
      </c>
      <c r="S12" s="7">
        <f>N12*2%</f>
        <v/>
      </c>
      <c r="T12" s="7">
        <f>AE12*0.5%</f>
        <v/>
      </c>
      <c r="U12" s="7">
        <f>N12*1%</f>
        <v/>
      </c>
      <c r="V12" s="31">
        <f>U12+S12+R12+Q12+P12+O12</f>
        <v/>
      </c>
      <c r="W12" s="32">
        <f>AE12*1%</f>
        <v/>
      </c>
      <c r="X12" s="32">
        <f>AE12*10%</f>
        <v/>
      </c>
      <c r="Y12" s="32">
        <f>AE12*1%</f>
        <v/>
      </c>
      <c r="Z12" s="32">
        <f>AE12*8%</f>
        <v/>
      </c>
      <c r="AA12" s="32">
        <f>W12+X12+Y12+Z12</f>
        <v/>
      </c>
      <c r="AB12" s="31">
        <f>AA12+V12+N12</f>
        <v/>
      </c>
      <c r="AC12" s="6">
        <f>AB12*20%</f>
        <v/>
      </c>
      <c r="AD12" s="7">
        <f>AB12+AC12</f>
        <v/>
      </c>
      <c r="AE12" s="32">
        <f>D12*2.1</f>
        <v/>
      </c>
      <c r="AF12" s="7">
        <f>AD12-AE12</f>
        <v/>
      </c>
      <c r="AG12" s="7">
        <f>AF12/AD12*100</f>
        <v/>
      </c>
      <c r="AH12" s="0" t="n">
        <v>5850</v>
      </c>
      <c r="AI12" s="33" t="n">
        <v>2650</v>
      </c>
      <c r="AJ12" s="34">
        <f>AD12</f>
        <v/>
      </c>
      <c r="AK12" s="34">
        <f>AJ12-(AJ12*7%)</f>
        <v/>
      </c>
      <c r="AL12" s="35">
        <f>AJ12/94</f>
        <v/>
      </c>
      <c r="AM12" s="35">
        <f>AK12/94</f>
        <v/>
      </c>
      <c r="AN12" s="36">
        <f>AJ12/24</f>
        <v/>
      </c>
      <c r="AO12" s="36">
        <f>AK12/24</f>
        <v/>
      </c>
      <c r="AP12" s="37">
        <f>AJ12/125</f>
        <v/>
      </c>
      <c r="AQ12" s="37">
        <f>AK12/125</f>
        <v/>
      </c>
    </row>
    <row r="13" ht="15" customHeight="1" s="50">
      <c r="A13" s="32" t="inlineStr">
        <is>
          <t xml:space="preserve">7 Chakra Morchang </t>
        </is>
      </c>
      <c r="B13" s="32" t="inlineStr">
        <is>
          <t>C Tune</t>
        </is>
      </c>
      <c r="C13" s="32" t="inlineStr">
        <is>
          <t>MI-MO-C</t>
        </is>
      </c>
      <c r="D13" s="32" t="n">
        <v>1500</v>
      </c>
      <c r="G13" s="32" t="n">
        <v>0</v>
      </c>
      <c r="H13" s="32" t="n">
        <v>10</v>
      </c>
      <c r="I13" s="41" t="n">
        <v>93030010</v>
      </c>
      <c r="J13" s="41" t="n">
        <v>0</v>
      </c>
      <c r="K13" s="32">
        <f>D13*J13</f>
        <v/>
      </c>
      <c r="M13" s="32">
        <f>D13*4%</f>
        <v/>
      </c>
      <c r="N13" s="49">
        <f>M13+L13+K13+H13+G13+F13+E13+D13</f>
        <v/>
      </c>
      <c r="O13" s="32">
        <f>D13*1%</f>
        <v/>
      </c>
      <c r="P13" s="7">
        <f>N13*8%</f>
        <v/>
      </c>
      <c r="Q13" s="7">
        <f>N13*10%</f>
        <v/>
      </c>
      <c r="R13" s="7">
        <f>N13*5%</f>
        <v/>
      </c>
      <c r="S13" s="7">
        <f>N13*2%</f>
        <v/>
      </c>
      <c r="T13" s="7">
        <f>AE13*0.5%</f>
        <v/>
      </c>
      <c r="U13" s="7">
        <f>N13*1%</f>
        <v/>
      </c>
      <c r="V13" s="31">
        <f>U13+S13+R13+Q13+P13+O13</f>
        <v/>
      </c>
      <c r="W13" s="32">
        <f>AE13*1%</f>
        <v/>
      </c>
      <c r="X13" s="32">
        <f>AE13*10%</f>
        <v/>
      </c>
      <c r="Y13" s="32">
        <f>AE13*1%</f>
        <v/>
      </c>
      <c r="Z13" s="32">
        <f>AE13*8%</f>
        <v/>
      </c>
      <c r="AA13" s="32">
        <f>W13+X13+Y13+Z13</f>
        <v/>
      </c>
      <c r="AB13" s="31">
        <f>AA13+V13+N13</f>
        <v/>
      </c>
      <c r="AC13" s="6">
        <f>AB13*20%</f>
        <v/>
      </c>
      <c r="AD13" s="7">
        <f>AB13+AC13</f>
        <v/>
      </c>
      <c r="AE13" s="32">
        <f>D13*2.1</f>
        <v/>
      </c>
      <c r="AF13" s="7">
        <f>AD13-AE13</f>
        <v/>
      </c>
      <c r="AG13" s="7">
        <f>AF13/AD13*100</f>
        <v/>
      </c>
      <c r="AH13" s="0" t="n">
        <v>2650</v>
      </c>
      <c r="AI13" s="33" t="n">
        <v>1150</v>
      </c>
      <c r="AJ13" s="34">
        <f>AD13</f>
        <v/>
      </c>
      <c r="AK13" s="34">
        <f>AJ13-(AJ13*7%)</f>
        <v/>
      </c>
      <c r="AL13" s="35">
        <f>AJ13/94</f>
        <v/>
      </c>
      <c r="AM13" s="35">
        <f>AK13/94</f>
        <v/>
      </c>
      <c r="AN13" s="36">
        <f>AJ13/24</f>
        <v/>
      </c>
      <c r="AO13" s="36">
        <f>AK13/24</f>
        <v/>
      </c>
      <c r="AP13" s="37">
        <f>AJ13/125</f>
        <v/>
      </c>
      <c r="AQ13" s="37">
        <f>AK13/125</f>
        <v/>
      </c>
    </row>
    <row r="14">
      <c r="A14" s="32" t="n"/>
      <c r="B14" s="32" t="inlineStr">
        <is>
          <t>D Tune</t>
        </is>
      </c>
      <c r="C14" s="32" t="inlineStr">
        <is>
          <t>MI-MO-D</t>
        </is>
      </c>
      <c r="D14" s="32" t="n">
        <v>1500</v>
      </c>
      <c r="G14" s="32" t="n">
        <v>0</v>
      </c>
      <c r="H14" s="32" t="n">
        <v>10</v>
      </c>
      <c r="I14" s="41" t="n">
        <v>93030010</v>
      </c>
      <c r="J14" s="41" t="n">
        <v>0</v>
      </c>
      <c r="K14" s="32">
        <f>D14*J14</f>
        <v/>
      </c>
      <c r="M14" s="32">
        <f>D14*4%</f>
        <v/>
      </c>
      <c r="N14" s="49">
        <f>M14+L14+K14+H14+G14+F14+E14+D14</f>
        <v/>
      </c>
      <c r="O14" s="32">
        <f>D14*1%</f>
        <v/>
      </c>
      <c r="P14" s="7">
        <f>N14*8%</f>
        <v/>
      </c>
      <c r="Q14" s="7">
        <f>N14*10%</f>
        <v/>
      </c>
      <c r="R14" s="7">
        <f>N14*5%</f>
        <v/>
      </c>
      <c r="S14" s="7">
        <f>N14*2%</f>
        <v/>
      </c>
      <c r="T14" s="7">
        <f>AE14*0.5%</f>
        <v/>
      </c>
      <c r="U14" s="7">
        <f>N14*1%</f>
        <v/>
      </c>
      <c r="V14" s="31">
        <f>U14+S14+R14+Q14+P14+O14</f>
        <v/>
      </c>
      <c r="W14" s="32">
        <f>AE14*1%</f>
        <v/>
      </c>
      <c r="X14" s="32">
        <f>AE14*10%</f>
        <v/>
      </c>
      <c r="Y14" s="32">
        <f>AE14*1%</f>
        <v/>
      </c>
      <c r="Z14" s="32">
        <f>AE14*8%</f>
        <v/>
      </c>
      <c r="AA14" s="32">
        <f>W14+X14+Y14+Z14</f>
        <v/>
      </c>
      <c r="AB14" s="31">
        <f>AA14+V14+N14</f>
        <v/>
      </c>
      <c r="AC14" s="6">
        <f>AB14*20%</f>
        <v/>
      </c>
      <c r="AD14" s="7">
        <f>AB14+AC14</f>
        <v/>
      </c>
      <c r="AE14" s="32">
        <f>D14*2.1</f>
        <v/>
      </c>
      <c r="AF14" s="7">
        <f>AD14-AE14</f>
        <v/>
      </c>
      <c r="AG14" s="7">
        <f>AF14/AD14*100</f>
        <v/>
      </c>
      <c r="AH14" s="0" t="n">
        <v>2650</v>
      </c>
      <c r="AI14" s="33" t="n">
        <v>1150</v>
      </c>
      <c r="AJ14" s="34">
        <f>AD14</f>
        <v/>
      </c>
      <c r="AK14" s="34">
        <f>AJ14-(AJ14*7%)</f>
        <v/>
      </c>
      <c r="AL14" s="35">
        <f>AJ14/94</f>
        <v/>
      </c>
      <c r="AM14" s="35">
        <f>AK14/94</f>
        <v/>
      </c>
      <c r="AN14" s="36">
        <f>AJ14/24</f>
        <v/>
      </c>
      <c r="AO14" s="36">
        <f>AK14/24</f>
        <v/>
      </c>
      <c r="AP14" s="37">
        <f>AJ14/125</f>
        <v/>
      </c>
      <c r="AQ14" s="37">
        <f>AK14/125</f>
        <v/>
      </c>
    </row>
    <row r="15">
      <c r="A15" s="32" t="n"/>
      <c r="B15" s="32" t="inlineStr">
        <is>
          <t>E Tune</t>
        </is>
      </c>
      <c r="C15" s="32" t="inlineStr">
        <is>
          <t>MI-MO-E</t>
        </is>
      </c>
      <c r="D15" s="32" t="n">
        <v>1500</v>
      </c>
      <c r="G15" s="32" t="n">
        <v>0</v>
      </c>
      <c r="H15" s="32" t="n">
        <v>10</v>
      </c>
      <c r="I15" s="41" t="n">
        <v>93030010</v>
      </c>
      <c r="J15" s="41" t="n">
        <v>0</v>
      </c>
      <c r="K15" s="32">
        <f>D15*J15</f>
        <v/>
      </c>
      <c r="M15" s="32">
        <f>D15*4%</f>
        <v/>
      </c>
      <c r="N15" s="49">
        <f>M15+L15+K15+H15+G15+F15+E15+D15</f>
        <v/>
      </c>
      <c r="O15" s="32">
        <f>D15*1%</f>
        <v/>
      </c>
      <c r="P15" s="7">
        <f>N15*8%</f>
        <v/>
      </c>
      <c r="Q15" s="7">
        <f>N15*10%</f>
        <v/>
      </c>
      <c r="R15" s="7">
        <f>N15*5%</f>
        <v/>
      </c>
      <c r="S15" s="7">
        <f>N15*2%</f>
        <v/>
      </c>
      <c r="T15" s="7">
        <f>AE15*0.5%</f>
        <v/>
      </c>
      <c r="U15" s="7">
        <f>N15*1%</f>
        <v/>
      </c>
      <c r="V15" s="31">
        <f>U15+S15+R15+Q15+P15+O15</f>
        <v/>
      </c>
      <c r="W15" s="32">
        <f>AE15*1%</f>
        <v/>
      </c>
      <c r="X15" s="32">
        <f>AE15*10%</f>
        <v/>
      </c>
      <c r="Y15" s="32">
        <f>AE15*1%</f>
        <v/>
      </c>
      <c r="Z15" s="32">
        <f>AE15*8%</f>
        <v/>
      </c>
      <c r="AA15" s="32">
        <f>W15+X15+Y15+Z15</f>
        <v/>
      </c>
      <c r="AB15" s="31">
        <f>AA15+V15+N15</f>
        <v/>
      </c>
      <c r="AC15" s="6">
        <f>AB15*20%</f>
        <v/>
      </c>
      <c r="AD15" s="7">
        <f>AB15+AC15</f>
        <v/>
      </c>
      <c r="AE15" s="32">
        <f>D15*2.1</f>
        <v/>
      </c>
      <c r="AF15" s="7">
        <f>AD15-AE15</f>
        <v/>
      </c>
      <c r="AG15" s="7">
        <f>AF15/AD15*100</f>
        <v/>
      </c>
      <c r="AH15" s="0" t="n">
        <v>2650</v>
      </c>
      <c r="AI15" s="33" t="n">
        <v>1150</v>
      </c>
      <c r="AJ15" s="34">
        <f>AD15</f>
        <v/>
      </c>
      <c r="AK15" s="34">
        <f>AJ15-(AJ15*7%)</f>
        <v/>
      </c>
      <c r="AL15" s="35">
        <f>AJ15/94</f>
        <v/>
      </c>
      <c r="AM15" s="35">
        <f>AK15/94</f>
        <v/>
      </c>
      <c r="AN15" s="36">
        <f>AJ15/24</f>
        <v/>
      </c>
      <c r="AO15" s="36">
        <f>AK15/24</f>
        <v/>
      </c>
      <c r="AP15" s="37">
        <f>AJ15/125</f>
        <v/>
      </c>
      <c r="AQ15" s="37">
        <f>AK15/125</f>
        <v/>
      </c>
    </row>
    <row r="16">
      <c r="A16" s="32" t="n"/>
      <c r="B16" s="32" t="inlineStr">
        <is>
          <t>F Tune</t>
        </is>
      </c>
      <c r="C16" s="32" t="inlineStr">
        <is>
          <t>MI-MO-F</t>
        </is>
      </c>
      <c r="D16" s="32" t="n">
        <v>1500</v>
      </c>
      <c r="G16" s="32" t="n">
        <v>0</v>
      </c>
      <c r="H16" s="32" t="n">
        <v>10</v>
      </c>
      <c r="I16" s="41" t="n">
        <v>93030010</v>
      </c>
      <c r="J16" s="41" t="n">
        <v>0</v>
      </c>
      <c r="K16" s="32">
        <f>D16*J16</f>
        <v/>
      </c>
      <c r="M16" s="32">
        <f>D16*4%</f>
        <v/>
      </c>
      <c r="N16" s="49">
        <f>M16+L16+K16+H16+G16+F16+E16+D16</f>
        <v/>
      </c>
      <c r="O16" s="32">
        <f>D16*1%</f>
        <v/>
      </c>
      <c r="P16" s="7">
        <f>N16*8%</f>
        <v/>
      </c>
      <c r="Q16" s="7">
        <f>N16*10%</f>
        <v/>
      </c>
      <c r="R16" s="7">
        <f>N16*5%</f>
        <v/>
      </c>
      <c r="S16" s="7">
        <f>N16*2%</f>
        <v/>
      </c>
      <c r="T16" s="7">
        <f>AE16*0.5%</f>
        <v/>
      </c>
      <c r="U16" s="7">
        <f>N16*1%</f>
        <v/>
      </c>
      <c r="V16" s="31">
        <f>U16+S16+R16+Q16+P16+O16</f>
        <v/>
      </c>
      <c r="W16" s="32">
        <f>AE16*1%</f>
        <v/>
      </c>
      <c r="X16" s="32">
        <f>AE16*10%</f>
        <v/>
      </c>
      <c r="Y16" s="32">
        <f>AE16*1%</f>
        <v/>
      </c>
      <c r="Z16" s="32">
        <f>AE16*8%</f>
        <v/>
      </c>
      <c r="AA16" s="32">
        <f>W16+X16+Y16+Z16</f>
        <v/>
      </c>
      <c r="AB16" s="31">
        <f>AA16+V16+N16</f>
        <v/>
      </c>
      <c r="AC16" s="6">
        <f>AB16*20%</f>
        <v/>
      </c>
      <c r="AD16" s="7">
        <f>AB16+AC16</f>
        <v/>
      </c>
      <c r="AE16" s="32">
        <f>D16*2.1</f>
        <v/>
      </c>
      <c r="AF16" s="7">
        <f>AD16-AE16</f>
        <v/>
      </c>
      <c r="AG16" s="7">
        <f>AF16/AD16*100</f>
        <v/>
      </c>
      <c r="AH16" s="0" t="n">
        <v>2650</v>
      </c>
      <c r="AI16" s="33" t="n">
        <v>1150</v>
      </c>
      <c r="AJ16" s="34">
        <f>AD16</f>
        <v/>
      </c>
      <c r="AK16" s="34">
        <f>AJ16-(AJ16*7%)</f>
        <v/>
      </c>
      <c r="AL16" s="35">
        <f>AJ16/94</f>
        <v/>
      </c>
      <c r="AM16" s="35">
        <f>AK16/94</f>
        <v/>
      </c>
      <c r="AN16" s="36">
        <f>AJ16/24</f>
        <v/>
      </c>
      <c r="AO16" s="36">
        <f>AK16/24</f>
        <v/>
      </c>
      <c r="AP16" s="37">
        <f>AJ16/125</f>
        <v/>
      </c>
      <c r="AQ16" s="37">
        <f>AK16/125</f>
        <v/>
      </c>
    </row>
    <row r="17">
      <c r="A17" s="32" t="n"/>
      <c r="B17" s="32" t="inlineStr">
        <is>
          <t>G Tune</t>
        </is>
      </c>
      <c r="C17" s="32" t="inlineStr">
        <is>
          <t>MI-MO-G</t>
        </is>
      </c>
      <c r="D17" s="32" t="n">
        <v>1500</v>
      </c>
      <c r="G17" s="32" t="n">
        <v>0</v>
      </c>
      <c r="H17" s="32" t="n">
        <v>10</v>
      </c>
      <c r="I17" s="41" t="n">
        <v>93030010</v>
      </c>
      <c r="J17" s="41" t="n">
        <v>0</v>
      </c>
      <c r="K17" s="32">
        <f>D17*J17</f>
        <v/>
      </c>
      <c r="M17" s="32">
        <f>D17*4%</f>
        <v/>
      </c>
      <c r="N17" s="49">
        <f>M17+L17+K17+H17+G17+F17+E17+D17</f>
        <v/>
      </c>
      <c r="O17" s="32">
        <f>D17*1%</f>
        <v/>
      </c>
      <c r="P17" s="7">
        <f>N17*8%</f>
        <v/>
      </c>
      <c r="Q17" s="7">
        <f>N17*10%</f>
        <v/>
      </c>
      <c r="R17" s="7">
        <f>N17*5%</f>
        <v/>
      </c>
      <c r="S17" s="7">
        <f>N17*2%</f>
        <v/>
      </c>
      <c r="T17" s="7">
        <f>AE17*0.5%</f>
        <v/>
      </c>
      <c r="U17" s="7">
        <f>N17*1%</f>
        <v/>
      </c>
      <c r="V17" s="31">
        <f>U17+S17+R17+Q17+P17+O17</f>
        <v/>
      </c>
      <c r="W17" s="32">
        <f>AE17*1%</f>
        <v/>
      </c>
      <c r="X17" s="32">
        <f>AE17*10%</f>
        <v/>
      </c>
      <c r="Y17" s="32">
        <f>AE17*1%</f>
        <v/>
      </c>
      <c r="Z17" s="32">
        <f>AE17*8%</f>
        <v/>
      </c>
      <c r="AA17" s="32">
        <f>W17+X17+Y17+Z17</f>
        <v/>
      </c>
      <c r="AB17" s="31">
        <f>AA17+V17+N17</f>
        <v/>
      </c>
      <c r="AC17" s="6">
        <f>AB17*20%</f>
        <v/>
      </c>
      <c r="AD17" s="7">
        <f>AB17+AC17</f>
        <v/>
      </c>
      <c r="AE17" s="32">
        <f>D17*2.1</f>
        <v/>
      </c>
      <c r="AF17" s="7">
        <f>AD17-AE17</f>
        <v/>
      </c>
      <c r="AG17" s="7">
        <f>AF17/AD17*100</f>
        <v/>
      </c>
      <c r="AH17" s="0" t="n">
        <v>2650</v>
      </c>
      <c r="AI17" s="33" t="n">
        <v>1150</v>
      </c>
      <c r="AJ17" s="34">
        <f>AD17</f>
        <v/>
      </c>
      <c r="AK17" s="34">
        <f>AJ17-(AJ17*7%)</f>
        <v/>
      </c>
      <c r="AL17" s="35">
        <f>AJ17/94</f>
        <v/>
      </c>
      <c r="AM17" s="35">
        <f>AK17/94</f>
        <v/>
      </c>
      <c r="AN17" s="36">
        <f>AJ17/24</f>
        <v/>
      </c>
      <c r="AO17" s="36">
        <f>AK17/24</f>
        <v/>
      </c>
      <c r="AP17" s="37">
        <f>AJ17/125</f>
        <v/>
      </c>
      <c r="AQ17" s="37">
        <f>AK17/125</f>
        <v/>
      </c>
    </row>
    <row r="18">
      <c r="A18" s="32" t="n"/>
      <c r="B18" s="32" t="inlineStr">
        <is>
          <t>A Tune</t>
        </is>
      </c>
      <c r="C18" s="32" t="inlineStr">
        <is>
          <t>MI-MO-A</t>
        </is>
      </c>
      <c r="D18" s="32" t="n">
        <v>1500</v>
      </c>
      <c r="G18" s="32" t="n">
        <v>0</v>
      </c>
      <c r="H18" s="32" t="n">
        <v>10</v>
      </c>
      <c r="I18" s="41" t="n">
        <v>93030010</v>
      </c>
      <c r="J18" s="41" t="n">
        <v>0</v>
      </c>
      <c r="K18" s="32">
        <f>D18*J18</f>
        <v/>
      </c>
      <c r="M18" s="32">
        <f>D18*4%</f>
        <v/>
      </c>
      <c r="N18" s="49">
        <f>M18+L18+K18+H18+G18+F18+E18+D18</f>
        <v/>
      </c>
      <c r="O18" s="32">
        <f>D18*1%</f>
        <v/>
      </c>
      <c r="P18" s="7">
        <f>N18*8%</f>
        <v/>
      </c>
      <c r="Q18" s="7">
        <f>N18*10%</f>
        <v/>
      </c>
      <c r="R18" s="7">
        <f>N18*5%</f>
        <v/>
      </c>
      <c r="S18" s="7">
        <f>N18*2%</f>
        <v/>
      </c>
      <c r="T18" s="7">
        <f>AE18*0.5%</f>
        <v/>
      </c>
      <c r="U18" s="7">
        <f>N18*1%</f>
        <v/>
      </c>
      <c r="V18" s="31">
        <f>U18+S18+R18+Q18+P18+O18</f>
        <v/>
      </c>
      <c r="W18" s="32">
        <f>AE18*1%</f>
        <v/>
      </c>
      <c r="X18" s="32">
        <f>AE18*10%</f>
        <v/>
      </c>
      <c r="Y18" s="32">
        <f>AE18*1%</f>
        <v/>
      </c>
      <c r="Z18" s="32">
        <f>AE18*8%</f>
        <v/>
      </c>
      <c r="AA18" s="32">
        <f>W18+X18+Y18+Z18</f>
        <v/>
      </c>
      <c r="AB18" s="31">
        <f>AA18+V18+N18</f>
        <v/>
      </c>
      <c r="AC18" s="6">
        <f>AB18*20%</f>
        <v/>
      </c>
      <c r="AD18" s="7">
        <f>AB18+AC18</f>
        <v/>
      </c>
      <c r="AE18" s="32">
        <f>D18*2.1</f>
        <v/>
      </c>
      <c r="AF18" s="7">
        <f>AD18-AE18</f>
        <v/>
      </c>
      <c r="AG18" s="7">
        <f>AF18/AD18*100</f>
        <v/>
      </c>
      <c r="AH18" s="0" t="n">
        <v>2650</v>
      </c>
      <c r="AI18" s="33" t="n">
        <v>1150</v>
      </c>
      <c r="AJ18" s="34">
        <f>AD18</f>
        <v/>
      </c>
      <c r="AK18" s="34">
        <f>AJ18-(AJ18*7%)</f>
        <v/>
      </c>
      <c r="AL18" s="35">
        <f>AJ18/94</f>
        <v/>
      </c>
      <c r="AM18" s="35">
        <f>AK18/94</f>
        <v/>
      </c>
      <c r="AN18" s="36">
        <f>AJ18/24</f>
        <v/>
      </c>
      <c r="AO18" s="36">
        <f>AK18/24</f>
        <v/>
      </c>
      <c r="AP18" s="37">
        <f>AJ18/125</f>
        <v/>
      </c>
      <c r="AQ18" s="37">
        <f>AK18/125</f>
        <v/>
      </c>
    </row>
    <row r="19">
      <c r="A19" s="32" t="n"/>
      <c r="B19" s="32" t="inlineStr">
        <is>
          <t>B Tune</t>
        </is>
      </c>
      <c r="C19" s="32" t="inlineStr">
        <is>
          <t>MI-MO-B</t>
        </is>
      </c>
      <c r="D19" s="32" t="n">
        <v>1500</v>
      </c>
      <c r="G19" s="32" t="n">
        <v>0</v>
      </c>
      <c r="H19" s="32" t="n">
        <v>10</v>
      </c>
      <c r="I19" s="41" t="n">
        <v>93030010</v>
      </c>
      <c r="J19" s="41" t="n">
        <v>0</v>
      </c>
      <c r="K19" s="32">
        <f>D19*J19</f>
        <v/>
      </c>
      <c r="M19" s="32">
        <f>D19*4%</f>
        <v/>
      </c>
      <c r="N19" s="49">
        <f>M19+L19+K19+H19+G19+F19+E19+D19</f>
        <v/>
      </c>
      <c r="O19" s="32">
        <f>D19*1%</f>
        <v/>
      </c>
      <c r="P19" s="7">
        <f>N19*8%</f>
        <v/>
      </c>
      <c r="Q19" s="7">
        <f>N19*10%</f>
        <v/>
      </c>
      <c r="R19" s="7">
        <f>N19*5%</f>
        <v/>
      </c>
      <c r="S19" s="7">
        <f>N19*2%</f>
        <v/>
      </c>
      <c r="T19" s="7">
        <f>AE19*0.5%</f>
        <v/>
      </c>
      <c r="U19" s="7">
        <f>N19*1%</f>
        <v/>
      </c>
      <c r="V19" s="31">
        <f>U19+S19+R19+Q19+P19+O19</f>
        <v/>
      </c>
      <c r="W19" s="32">
        <f>AE19*1%</f>
        <v/>
      </c>
      <c r="X19" s="32">
        <f>AE19*10%</f>
        <v/>
      </c>
      <c r="Y19" s="32">
        <f>AE19*1%</f>
        <v/>
      </c>
      <c r="Z19" s="32">
        <f>AE19*8%</f>
        <v/>
      </c>
      <c r="AA19" s="32">
        <f>W19+X19+Y19+Z19</f>
        <v/>
      </c>
      <c r="AB19" s="31">
        <f>AA19+V19+N19</f>
        <v/>
      </c>
      <c r="AC19" s="6">
        <f>AB19*20%</f>
        <v/>
      </c>
      <c r="AD19" s="7">
        <f>AB19+AC19</f>
        <v/>
      </c>
      <c r="AE19" s="32">
        <f>D19*2.1</f>
        <v/>
      </c>
      <c r="AF19" s="7">
        <f>AD19-AE19</f>
        <v/>
      </c>
      <c r="AG19" s="7">
        <f>AF19/AD19*100</f>
        <v/>
      </c>
      <c r="AH19" s="0" t="n">
        <v>2650</v>
      </c>
      <c r="AI19" s="33" t="n">
        <v>1150</v>
      </c>
      <c r="AJ19" s="34">
        <f>AD19</f>
        <v/>
      </c>
      <c r="AK19" s="34">
        <f>AJ19-(AJ19*7%)</f>
        <v/>
      </c>
      <c r="AL19" s="35">
        <f>AJ19/94</f>
        <v/>
      </c>
      <c r="AM19" s="35">
        <f>AK19/94</f>
        <v/>
      </c>
      <c r="AN19" s="36">
        <f>AJ19/24</f>
        <v/>
      </c>
      <c r="AO19" s="36">
        <f>AK19/24</f>
        <v/>
      </c>
      <c r="AP19" s="37">
        <f>AJ19/125</f>
        <v/>
      </c>
      <c r="AQ19" s="37">
        <f>AK19/125</f>
        <v/>
      </c>
    </row>
    <row r="20">
      <c r="A20" s="32" t="n"/>
      <c r="B20" s="32" t="inlineStr">
        <is>
          <t>Full Set</t>
        </is>
      </c>
      <c r="C20" s="32" t="inlineStr">
        <is>
          <t>MI-MO-ST</t>
        </is>
      </c>
      <c r="D20" s="32" t="n">
        <v>10500</v>
      </c>
      <c r="G20" s="32" t="n">
        <v>0</v>
      </c>
      <c r="H20" s="32" t="n">
        <v>10</v>
      </c>
      <c r="I20" s="41" t="n">
        <v>93030010</v>
      </c>
      <c r="J20" s="41" t="n">
        <v>0</v>
      </c>
      <c r="K20" s="32">
        <f>D20*J20</f>
        <v/>
      </c>
      <c r="M20" s="32">
        <f>D20*4%</f>
        <v/>
      </c>
      <c r="N20" s="49">
        <f>M20+L20+K20+H20+G20+F20+E20+D20</f>
        <v/>
      </c>
      <c r="O20" s="32">
        <f>D20*1%</f>
        <v/>
      </c>
      <c r="P20" s="7">
        <f>N20*8%</f>
        <v/>
      </c>
      <c r="Q20" s="7">
        <f>N20*10%</f>
        <v/>
      </c>
      <c r="R20" s="7">
        <f>N20*5%</f>
        <v/>
      </c>
      <c r="S20" s="7">
        <f>N20*2%</f>
        <v/>
      </c>
      <c r="T20" s="7">
        <f>AE20*0.5%</f>
        <v/>
      </c>
      <c r="U20" s="7">
        <f>N20*1%</f>
        <v/>
      </c>
      <c r="V20" s="31">
        <f>U20+S20+R20+Q20+P20+O20</f>
        <v/>
      </c>
      <c r="W20" s="32">
        <f>AE20*1%</f>
        <v/>
      </c>
      <c r="X20" s="32">
        <f>AE20*10%</f>
        <v/>
      </c>
      <c r="Y20" s="32">
        <f>AE20*1%</f>
        <v/>
      </c>
      <c r="Z20" s="32">
        <f>AE20*8%</f>
        <v/>
      </c>
      <c r="AA20" s="32">
        <f>W20+X20+Y20+Z20</f>
        <v/>
      </c>
      <c r="AB20" s="31">
        <f>AA20+V20+N20</f>
        <v/>
      </c>
      <c r="AC20" s="6">
        <f>AB20*20%</f>
        <v/>
      </c>
      <c r="AD20" s="7">
        <f>AB20+AC20</f>
        <v/>
      </c>
      <c r="AE20" s="32">
        <f>D20*2.1</f>
        <v/>
      </c>
      <c r="AF20" s="7">
        <f>AD20-AE20</f>
        <v/>
      </c>
      <c r="AG20" s="7">
        <f>AF20/AD20*100</f>
        <v/>
      </c>
      <c r="AH20" s="0" t="n">
        <v>16500</v>
      </c>
      <c r="AI20" s="33" t="n">
        <v>6000</v>
      </c>
      <c r="AJ20" s="34">
        <f>AD20</f>
        <v/>
      </c>
      <c r="AK20" s="34">
        <f>AJ20-(AJ20*7%)</f>
        <v/>
      </c>
      <c r="AL20" s="35">
        <f>AJ20/94</f>
        <v/>
      </c>
      <c r="AM20" s="35">
        <f>AK20/94</f>
        <v/>
      </c>
      <c r="AN20" s="36">
        <f>AJ20/24</f>
        <v/>
      </c>
      <c r="AO20" s="36">
        <f>AK20/24</f>
        <v/>
      </c>
      <c r="AP20" s="37">
        <f>AJ20/125</f>
        <v/>
      </c>
      <c r="AQ20" s="37">
        <f>AK20/125</f>
        <v/>
      </c>
    </row>
    <row r="21" ht="15" customHeight="1" s="50">
      <c r="A21" s="32" t="inlineStr">
        <is>
          <t>7 Chakras Copper Water Bottles</t>
        </is>
      </c>
      <c r="B21" s="32" t="inlineStr">
        <is>
          <t>7 Chakras Plain / With Brush / 500ml</t>
        </is>
      </c>
      <c r="C21" s="32" t="inlineStr">
        <is>
          <t>CB-7CP-B-.5</t>
        </is>
      </c>
      <c r="D21" s="32" t="n">
        <v>390</v>
      </c>
      <c r="E21" s="32" t="n">
        <v>50</v>
      </c>
      <c r="F21" s="32" t="n">
        <v>0</v>
      </c>
      <c r="G21" s="32" t="n">
        <v>0</v>
      </c>
      <c r="H21" s="32" t="n">
        <v>10</v>
      </c>
      <c r="I21" s="41" t="n">
        <v>741810</v>
      </c>
      <c r="J21" s="30" t="n">
        <v>0.05</v>
      </c>
      <c r="K21" s="32">
        <f>D21*J21</f>
        <v/>
      </c>
      <c r="L21" s="32" t="n">
        <v>0</v>
      </c>
      <c r="M21" s="32">
        <f>D21*4%</f>
        <v/>
      </c>
      <c r="N21" s="49">
        <f>M21+L21+K21+H21+G21+F21+E21+D21</f>
        <v/>
      </c>
      <c r="O21" s="32">
        <f>D21*1%</f>
        <v/>
      </c>
      <c r="P21" s="7">
        <f>N21*8%</f>
        <v/>
      </c>
      <c r="Q21" s="7">
        <f>N21*10%</f>
        <v/>
      </c>
      <c r="R21" s="7">
        <f>N21*5%</f>
        <v/>
      </c>
      <c r="S21" s="7">
        <f>N21*2%</f>
        <v/>
      </c>
      <c r="T21" s="7">
        <f>AE21*0.5%</f>
        <v/>
      </c>
      <c r="U21" s="7">
        <f>N21*1%</f>
        <v/>
      </c>
      <c r="V21" s="31">
        <f>U21+S21+R21+Q21+P21+O21</f>
        <v/>
      </c>
      <c r="W21" s="32">
        <f>AE21*1%</f>
        <v/>
      </c>
      <c r="X21" s="32">
        <f>AE21*10%</f>
        <v/>
      </c>
      <c r="Y21" s="32">
        <f>AE21*1%</f>
        <v/>
      </c>
      <c r="Z21" s="32">
        <f>AE21*8%</f>
        <v/>
      </c>
      <c r="AA21" s="32">
        <f>W21+X21+Y21+Z21</f>
        <v/>
      </c>
      <c r="AB21" s="31">
        <f>AA21+V21+N21</f>
        <v/>
      </c>
      <c r="AC21" s="6">
        <f>AB21*20%</f>
        <v/>
      </c>
      <c r="AD21" s="7">
        <f>AB21+AC21</f>
        <v/>
      </c>
      <c r="AE21" s="32">
        <f>D21*2.1</f>
        <v/>
      </c>
      <c r="AF21" s="7">
        <f>AD21-AE21</f>
        <v/>
      </c>
      <c r="AG21" s="7">
        <f>AF21/AD21*100</f>
        <v/>
      </c>
      <c r="AH21" s="7" t="n">
        <v>995</v>
      </c>
      <c r="AI21" s="33" t="n">
        <v>605</v>
      </c>
      <c r="AJ21" s="34">
        <f>AD21</f>
        <v/>
      </c>
      <c r="AK21" s="34">
        <f>AJ21-(AJ21*7%)</f>
        <v/>
      </c>
      <c r="AL21" s="35">
        <f>AJ21/94</f>
        <v/>
      </c>
      <c r="AM21" s="35">
        <f>AK21/94</f>
        <v/>
      </c>
      <c r="AN21" s="36">
        <f>AJ21/24</f>
        <v/>
      </c>
      <c r="AO21" s="36">
        <f>AK21/24</f>
        <v/>
      </c>
      <c r="AP21" s="37">
        <f>AJ21/125</f>
        <v/>
      </c>
      <c r="AQ21" s="37">
        <f>AK21/125</f>
        <v/>
      </c>
    </row>
    <row r="22" ht="15.75" customHeight="1" s="50">
      <c r="A22" s="32" t="n"/>
      <c r="B22" s="32" t="inlineStr">
        <is>
          <t>7 Chakras Plain / Without Brush / 1L</t>
        </is>
      </c>
      <c r="C22" s="32" t="inlineStr">
        <is>
          <t>CB-7CP</t>
        </is>
      </c>
      <c r="D22" s="32" t="n">
        <v>510</v>
      </c>
      <c r="G22" s="32" t="n">
        <v>0</v>
      </c>
      <c r="H22" s="32" t="n">
        <v>10</v>
      </c>
      <c r="I22" s="41" t="n">
        <v>741810</v>
      </c>
      <c r="J22" s="30" t="n">
        <v>0.05</v>
      </c>
      <c r="K22" s="32">
        <f>D22*J22</f>
        <v/>
      </c>
      <c r="M22" s="32">
        <f>D22*4%</f>
        <v/>
      </c>
      <c r="N22" s="49">
        <f>M22+L22+K22+H22+G22+F22+E22+D22</f>
        <v/>
      </c>
      <c r="O22" s="32">
        <f>D22*1%</f>
        <v/>
      </c>
      <c r="P22" s="7">
        <f>N22*8%</f>
        <v/>
      </c>
      <c r="Q22" s="7">
        <f>N22*10%</f>
        <v/>
      </c>
      <c r="R22" s="7">
        <f>N22*5%</f>
        <v/>
      </c>
      <c r="S22" s="7">
        <f>N22*2%</f>
        <v/>
      </c>
      <c r="T22" s="7">
        <f>AE22*0.5%</f>
        <v/>
      </c>
      <c r="U22" s="7">
        <f>N22*1%</f>
        <v/>
      </c>
      <c r="V22" s="31">
        <f>U22+S22+R22+Q22+P22+O22</f>
        <v/>
      </c>
      <c r="W22" s="32">
        <f>AE22*1%</f>
        <v/>
      </c>
      <c r="X22" s="32">
        <f>AE22*10%</f>
        <v/>
      </c>
      <c r="Y22" s="32">
        <f>AE22*1%</f>
        <v/>
      </c>
      <c r="Z22" s="32">
        <f>AE22*8%</f>
        <v/>
      </c>
      <c r="AA22" s="32">
        <f>W22+X22+Y22+Z22</f>
        <v/>
      </c>
      <c r="AB22" s="31">
        <f>AA22+V22+N22</f>
        <v/>
      </c>
      <c r="AC22" s="6">
        <f>AB22*20%</f>
        <v/>
      </c>
      <c r="AD22" s="7">
        <f>AB22+AC22</f>
        <v/>
      </c>
      <c r="AE22" s="32">
        <f>D22*2.1</f>
        <v/>
      </c>
      <c r="AF22" s="7">
        <f>AD22-AE22</f>
        <v/>
      </c>
      <c r="AG22" s="7">
        <f>AF22/AD22*100</f>
        <v/>
      </c>
      <c r="AH22" s="0" t="n">
        <v>1245</v>
      </c>
      <c r="AI22" s="33" t="n">
        <v>735</v>
      </c>
      <c r="AJ22" s="34">
        <f>AD22</f>
        <v/>
      </c>
      <c r="AK22" s="34">
        <f>AJ22-(AJ22*7%)</f>
        <v/>
      </c>
      <c r="AL22" s="35">
        <f>AJ22/94</f>
        <v/>
      </c>
      <c r="AM22" s="35">
        <f>AK22/94</f>
        <v/>
      </c>
      <c r="AN22" s="36">
        <f>AJ22/24</f>
        <v/>
      </c>
      <c r="AO22" s="36">
        <f>AK22/24</f>
        <v/>
      </c>
      <c r="AP22" s="37">
        <f>AJ22/125</f>
        <v/>
      </c>
      <c r="AQ22" s="37">
        <f>AK22/125</f>
        <v/>
      </c>
    </row>
    <row r="23" ht="15.75" customHeight="1" s="50">
      <c r="A23" s="32" t="n"/>
      <c r="B23" s="32" t="inlineStr">
        <is>
          <t>7 Chakras Plain / Without Brush / 500ml</t>
        </is>
      </c>
      <c r="C23" s="32" t="inlineStr">
        <is>
          <t>CB-7CP-.5</t>
        </is>
      </c>
      <c r="D23" s="32" t="n">
        <v>390</v>
      </c>
      <c r="E23" s="32" t="n">
        <v>0</v>
      </c>
      <c r="F23" s="32" t="n">
        <v>10</v>
      </c>
      <c r="G23" s="32" t="n">
        <v>0</v>
      </c>
      <c r="H23" s="32" t="n">
        <v>10</v>
      </c>
      <c r="I23" s="41" t="n">
        <v>741810</v>
      </c>
      <c r="J23" s="30" t="n">
        <v>0.05</v>
      </c>
      <c r="K23" s="32">
        <f>D23*J23</f>
        <v/>
      </c>
      <c r="M23" s="32">
        <f>D23*4%</f>
        <v/>
      </c>
      <c r="N23" s="49">
        <f>M23+L23+K23+H23+G23+F23+E23+D23</f>
        <v/>
      </c>
      <c r="O23" s="32">
        <f>D23*1%</f>
        <v/>
      </c>
      <c r="P23" s="7">
        <f>N23*8%</f>
        <v/>
      </c>
      <c r="Q23" s="7">
        <f>N23*10%</f>
        <v/>
      </c>
      <c r="R23" s="7">
        <f>N23*5%</f>
        <v/>
      </c>
      <c r="S23" s="7">
        <f>N23*2%</f>
        <v/>
      </c>
      <c r="T23" s="7">
        <f>AE23*0.5%</f>
        <v/>
      </c>
      <c r="U23" s="7">
        <f>N23*1%</f>
        <v/>
      </c>
      <c r="V23" s="31">
        <f>U23+S23+R23+Q23+P23+O23</f>
        <v/>
      </c>
      <c r="W23" s="32">
        <f>AE23*1%</f>
        <v/>
      </c>
      <c r="X23" s="32">
        <f>AE23*10%</f>
        <v/>
      </c>
      <c r="Y23" s="32">
        <f>AE23*1%</f>
        <v/>
      </c>
      <c r="Z23" s="32">
        <f>AE23*8%</f>
        <v/>
      </c>
      <c r="AA23" s="32">
        <f>W23+X23+Y23+Z23</f>
        <v/>
      </c>
      <c r="AB23" s="31">
        <f>AA23+V23+N23</f>
        <v/>
      </c>
      <c r="AC23" s="6">
        <f>AB23*20%</f>
        <v/>
      </c>
      <c r="AD23" s="7">
        <f>AB23+AC23</f>
        <v/>
      </c>
      <c r="AE23" s="32">
        <f>D23*2.1</f>
        <v/>
      </c>
      <c r="AF23" s="7">
        <f>AD23-AE23</f>
        <v/>
      </c>
      <c r="AG23" s="7">
        <f>AF23/AD23*100</f>
        <v/>
      </c>
      <c r="AH23" s="0" t="n">
        <v>925</v>
      </c>
      <c r="AI23" s="33" t="n">
        <v>535</v>
      </c>
      <c r="AJ23" s="34">
        <f>AD23</f>
        <v/>
      </c>
      <c r="AK23" s="34">
        <f>AJ23-(AJ23*7%)</f>
        <v/>
      </c>
      <c r="AL23" s="35">
        <f>AJ23/94</f>
        <v/>
      </c>
      <c r="AM23" s="35">
        <f>AK23/94</f>
        <v/>
      </c>
      <c r="AN23" s="36">
        <f>AJ23/24</f>
        <v/>
      </c>
      <c r="AO23" s="36">
        <f>AK23/24</f>
        <v/>
      </c>
      <c r="AP23" s="37">
        <f>AJ23/125</f>
        <v/>
      </c>
      <c r="AQ23" s="37">
        <f>AK23/125</f>
        <v/>
      </c>
    </row>
    <row r="24" ht="15.75" customHeight="1" s="50">
      <c r="A24" s="32" t="n"/>
      <c r="B24" s="32" t="inlineStr">
        <is>
          <t>7 Chakras Plain / 1L / With Brush</t>
        </is>
      </c>
      <c r="C24" s="32" t="inlineStr">
        <is>
          <t>CB-7CP-B</t>
        </is>
      </c>
      <c r="D24" s="32" t="n">
        <v>510</v>
      </c>
      <c r="E24" s="32" t="n">
        <v>50</v>
      </c>
      <c r="G24" s="32" t="n">
        <v>0</v>
      </c>
      <c r="H24" s="32" t="n">
        <v>10</v>
      </c>
      <c r="I24" s="41" t="n">
        <v>741810</v>
      </c>
      <c r="J24" s="30" t="n">
        <v>0.05</v>
      </c>
      <c r="K24" s="32">
        <f>D24*J24</f>
        <v/>
      </c>
      <c r="M24" s="32">
        <f>D24*4%</f>
        <v/>
      </c>
      <c r="N24" s="49">
        <f>M24+L24+K24+H24+G24+F24+E24+D24</f>
        <v/>
      </c>
      <c r="O24" s="32">
        <f>D24*1%</f>
        <v/>
      </c>
      <c r="P24" s="7">
        <f>N24*8%</f>
        <v/>
      </c>
      <c r="Q24" s="7">
        <f>N24*10%</f>
        <v/>
      </c>
      <c r="R24" s="7">
        <f>N24*5%</f>
        <v/>
      </c>
      <c r="S24" s="7">
        <f>N24*2%</f>
        <v/>
      </c>
      <c r="T24" s="7">
        <f>AE24*0.5%</f>
        <v/>
      </c>
      <c r="U24" s="7">
        <f>N24*1%</f>
        <v/>
      </c>
      <c r="V24" s="31">
        <f>U24+S24+R24+Q24+P24+O24</f>
        <v/>
      </c>
      <c r="W24" s="32">
        <f>AE24*1%</f>
        <v/>
      </c>
      <c r="X24" s="32">
        <f>AE24*10%</f>
        <v/>
      </c>
      <c r="Y24" s="32">
        <f>AE24*1%</f>
        <v/>
      </c>
      <c r="Z24" s="32">
        <f>AE24*8%</f>
        <v/>
      </c>
      <c r="AA24" s="32">
        <f>W24+X24+Y24+Z24</f>
        <v/>
      </c>
      <c r="AB24" s="31">
        <f>AA24+V24+N24</f>
        <v/>
      </c>
      <c r="AC24" s="6">
        <f>AB24*20%</f>
        <v/>
      </c>
      <c r="AD24" s="7">
        <f>AB24+AC24</f>
        <v/>
      </c>
      <c r="AE24" s="32">
        <f>D24*2.1</f>
        <v/>
      </c>
      <c r="AF24" s="7">
        <f>AD24-AE24</f>
        <v/>
      </c>
      <c r="AG24" s="7">
        <f>AF24/AD24*100</f>
        <v/>
      </c>
      <c r="AH24" s="0" t="n">
        <v>1345</v>
      </c>
      <c r="AI24" s="33" t="n">
        <v>835</v>
      </c>
      <c r="AJ24" s="34">
        <f>AD24</f>
        <v/>
      </c>
      <c r="AK24" s="34">
        <f>AJ24-(AJ24*7%)</f>
        <v/>
      </c>
      <c r="AL24" s="35">
        <f>AJ24/94</f>
        <v/>
      </c>
      <c r="AM24" s="35">
        <f>AK24/94</f>
        <v/>
      </c>
      <c r="AN24" s="36">
        <f>AJ24/24</f>
        <v/>
      </c>
      <c r="AO24" s="36">
        <f>AK24/24</f>
        <v/>
      </c>
      <c r="AP24" s="37">
        <f>AJ24/125</f>
        <v/>
      </c>
      <c r="AQ24" s="37">
        <f>AK24/125</f>
        <v/>
      </c>
    </row>
    <row r="25" ht="15.75" customHeight="1" s="50">
      <c r="A25" s="32" t="n"/>
      <c r="B25" s="32" t="inlineStr">
        <is>
          <t>Without Brush / 1L / 7 Chakras Vintage</t>
        </is>
      </c>
      <c r="C25" s="32" t="inlineStr">
        <is>
          <t>CB-7CV</t>
        </is>
      </c>
      <c r="D25" s="32" t="n">
        <v>520</v>
      </c>
      <c r="G25" s="32" t="n">
        <v>0</v>
      </c>
      <c r="H25" s="32" t="n">
        <v>10</v>
      </c>
      <c r="I25" s="41" t="n">
        <v>741810</v>
      </c>
      <c r="J25" s="30" t="n">
        <v>0.05</v>
      </c>
      <c r="K25" s="32">
        <f>D25*J25</f>
        <v/>
      </c>
      <c r="M25" s="32">
        <f>D25*4%</f>
        <v/>
      </c>
      <c r="N25" s="49">
        <f>M25+L25+K25+H25+G25+F25+E25+D25</f>
        <v/>
      </c>
      <c r="O25" s="32">
        <f>D25*1%</f>
        <v/>
      </c>
      <c r="P25" s="7">
        <f>N25*8%</f>
        <v/>
      </c>
      <c r="Q25" s="7">
        <f>N25*10%</f>
        <v/>
      </c>
      <c r="R25" s="7">
        <f>N25*5%</f>
        <v/>
      </c>
      <c r="S25" s="7">
        <f>N25*2%</f>
        <v/>
      </c>
      <c r="T25" s="7">
        <f>AE25*0.5%</f>
        <v/>
      </c>
      <c r="U25" s="7">
        <f>N25*1%</f>
        <v/>
      </c>
      <c r="V25" s="31">
        <f>U25+S25+R25+Q25+P25+O25</f>
        <v/>
      </c>
      <c r="W25" s="32">
        <f>AE25*1%</f>
        <v/>
      </c>
      <c r="X25" s="32">
        <f>AE25*10%</f>
        <v/>
      </c>
      <c r="Y25" s="32">
        <f>AE25*1%</f>
        <v/>
      </c>
      <c r="Z25" s="32">
        <f>AE25*8%</f>
        <v/>
      </c>
      <c r="AA25" s="32">
        <f>W25+X25+Y25+Z25</f>
        <v/>
      </c>
      <c r="AB25" s="31">
        <f>AA25+V25+N25</f>
        <v/>
      </c>
      <c r="AC25" s="6">
        <f>AB25*20%</f>
        <v/>
      </c>
      <c r="AD25" s="7">
        <f>AB25+AC25</f>
        <v/>
      </c>
      <c r="AE25" s="32">
        <f>D25*2.1</f>
        <v/>
      </c>
      <c r="AF25" s="7">
        <f>AD25-AE25</f>
        <v/>
      </c>
      <c r="AG25" s="7">
        <f>AF25/AD25*100</f>
        <v/>
      </c>
      <c r="AH25" s="0" t="n">
        <v>1245</v>
      </c>
      <c r="AI25" s="33" t="n">
        <v>725</v>
      </c>
      <c r="AJ25" s="34">
        <f>AD25</f>
        <v/>
      </c>
      <c r="AK25" s="34">
        <f>AJ25-(AJ25*7%)</f>
        <v/>
      </c>
      <c r="AL25" s="35">
        <f>AJ25/94</f>
        <v/>
      </c>
      <c r="AM25" s="35">
        <f>AK25/94</f>
        <v/>
      </c>
      <c r="AN25" s="36">
        <f>AJ25/24</f>
        <v/>
      </c>
      <c r="AO25" s="36">
        <f>AK25/24</f>
        <v/>
      </c>
      <c r="AP25" s="37">
        <f>AJ25/125</f>
        <v/>
      </c>
      <c r="AQ25" s="37">
        <f>AK25/125</f>
        <v/>
      </c>
    </row>
    <row r="26" ht="15.75" customHeight="1" s="50">
      <c r="A26" s="32" t="n"/>
      <c r="B26" s="32" t="inlineStr">
        <is>
          <t>Without Brush / 7 Chakras Vintage / 500ml</t>
        </is>
      </c>
      <c r="C26" s="32" t="inlineStr">
        <is>
          <t>CB-7CV-.5</t>
        </is>
      </c>
      <c r="D26" s="32" t="n">
        <v>550</v>
      </c>
      <c r="G26" s="32" t="n">
        <v>0</v>
      </c>
      <c r="H26" s="32" t="n">
        <v>10</v>
      </c>
      <c r="I26" s="41" t="n">
        <v>741810</v>
      </c>
      <c r="J26" s="30" t="n">
        <v>0.05</v>
      </c>
      <c r="K26" s="32">
        <f>D26*J26</f>
        <v/>
      </c>
      <c r="M26" s="32">
        <f>D26*4%</f>
        <v/>
      </c>
      <c r="N26" s="49">
        <f>M26+L26+K26+H26+G26+F26+E26+D26</f>
        <v/>
      </c>
      <c r="O26" s="32">
        <f>D26*1%</f>
        <v/>
      </c>
      <c r="P26" s="7">
        <f>N26*8%</f>
        <v/>
      </c>
      <c r="Q26" s="7">
        <f>N26*10%</f>
        <v/>
      </c>
      <c r="R26" s="7">
        <f>N26*5%</f>
        <v/>
      </c>
      <c r="S26" s="7">
        <f>N26*2%</f>
        <v/>
      </c>
      <c r="T26" s="7">
        <f>AE26*0.5%</f>
        <v/>
      </c>
      <c r="U26" s="7">
        <f>N26*1%</f>
        <v/>
      </c>
      <c r="V26" s="31">
        <f>U26+S26+R26+Q26+P26+O26</f>
        <v/>
      </c>
      <c r="W26" s="32">
        <f>AE26*1%</f>
        <v/>
      </c>
      <c r="X26" s="32">
        <f>AE26*10%</f>
        <v/>
      </c>
      <c r="Y26" s="32">
        <f>AE26*1%</f>
        <v/>
      </c>
      <c r="Z26" s="32">
        <f>AE26*8%</f>
        <v/>
      </c>
      <c r="AA26" s="32">
        <f>W26+X26+Y26+Z26</f>
        <v/>
      </c>
      <c r="AB26" s="31">
        <f>AA26+V26+N26</f>
        <v/>
      </c>
      <c r="AC26" s="6">
        <f>AB26*20%</f>
        <v/>
      </c>
      <c r="AD26" s="7">
        <f>AB26+AC26</f>
        <v/>
      </c>
      <c r="AE26" s="32">
        <f>D26*2.1</f>
        <v/>
      </c>
      <c r="AF26" s="7">
        <f>AD26-AE26</f>
        <v/>
      </c>
      <c r="AG26" s="7">
        <f>AF26/AD26*100</f>
        <v/>
      </c>
      <c r="AH26" s="0" t="n">
        <v>925</v>
      </c>
      <c r="AI26" s="33" t="n">
        <v>375</v>
      </c>
      <c r="AJ26" s="34">
        <f>AD26</f>
        <v/>
      </c>
      <c r="AK26" s="34">
        <f>AJ26-(AJ26*7%)</f>
        <v/>
      </c>
      <c r="AL26" s="35">
        <f>AJ26/94</f>
        <v/>
      </c>
      <c r="AM26" s="35">
        <f>AK26/94</f>
        <v/>
      </c>
      <c r="AN26" s="36">
        <f>AJ26/24</f>
        <v/>
      </c>
      <c r="AO26" s="36">
        <f>AK26/24</f>
        <v/>
      </c>
      <c r="AP26" s="37">
        <f>AJ26/125</f>
        <v/>
      </c>
      <c r="AQ26" s="37">
        <f>AK26/125</f>
        <v/>
      </c>
    </row>
    <row r="27" ht="15.75" customHeight="1" s="50">
      <c r="A27" s="32" t="n"/>
      <c r="B27" s="32" t="inlineStr">
        <is>
          <t>1L / 7 Chakras Vintage / With Brush</t>
        </is>
      </c>
      <c r="C27" s="32" t="inlineStr">
        <is>
          <t>CB-7CV-B</t>
        </is>
      </c>
      <c r="D27" s="32" t="n">
        <v>520</v>
      </c>
      <c r="E27" s="32" t="n">
        <v>50</v>
      </c>
      <c r="G27" s="32" t="n">
        <v>0</v>
      </c>
      <c r="H27" s="32" t="n">
        <v>10</v>
      </c>
      <c r="I27" s="41" t="n">
        <v>741810</v>
      </c>
      <c r="J27" s="30" t="n">
        <v>0.05</v>
      </c>
      <c r="K27" s="32">
        <f>D27*J27</f>
        <v/>
      </c>
      <c r="M27" s="32">
        <f>D27*4%</f>
        <v/>
      </c>
      <c r="N27" s="49">
        <f>M27+L27+K27+H27+G27+F27+E27+D27</f>
        <v/>
      </c>
      <c r="O27" s="32">
        <f>D27*1%</f>
        <v/>
      </c>
      <c r="P27" s="7">
        <f>N27*8%</f>
        <v/>
      </c>
      <c r="Q27" s="7">
        <f>N27*10%</f>
        <v/>
      </c>
      <c r="R27" s="7">
        <f>N27*5%</f>
        <v/>
      </c>
      <c r="S27" s="7">
        <f>N27*2%</f>
        <v/>
      </c>
      <c r="T27" s="7">
        <f>AE27*0.5%</f>
        <v/>
      </c>
      <c r="U27" s="7">
        <f>N27*1%</f>
        <v/>
      </c>
      <c r="V27" s="31">
        <f>U27+S27+R27+Q27+P27+O27</f>
        <v/>
      </c>
      <c r="W27" s="32">
        <f>AE27*1%</f>
        <v/>
      </c>
      <c r="X27" s="32">
        <f>AE27*10%</f>
        <v/>
      </c>
      <c r="Y27" s="32">
        <f>AE27*1%</f>
        <v/>
      </c>
      <c r="Z27" s="32">
        <f>AE27*8%</f>
        <v/>
      </c>
      <c r="AA27" s="32">
        <f>W27+X27+Y27+Z27</f>
        <v/>
      </c>
      <c r="AB27" s="31">
        <f>AA27+V27+N27</f>
        <v/>
      </c>
      <c r="AC27" s="6">
        <f>AB27*20%</f>
        <v/>
      </c>
      <c r="AD27" s="7">
        <f>AB27+AC27</f>
        <v/>
      </c>
      <c r="AE27" s="32">
        <f>D27*2.1</f>
        <v/>
      </c>
      <c r="AF27" s="7">
        <f>AD27-AE27</f>
        <v/>
      </c>
      <c r="AG27" s="7">
        <f>AF27/AD27*100</f>
        <v/>
      </c>
      <c r="AH27" s="0" t="n">
        <v>1345</v>
      </c>
      <c r="AI27" s="33" t="n">
        <v>825</v>
      </c>
      <c r="AJ27" s="34">
        <f>AD27</f>
        <v/>
      </c>
      <c r="AK27" s="34">
        <f>AJ27-(AJ27*7%)</f>
        <v/>
      </c>
      <c r="AL27" s="35">
        <f>AJ27/94</f>
        <v/>
      </c>
      <c r="AM27" s="35">
        <f>AK27/94</f>
        <v/>
      </c>
      <c r="AN27" s="36">
        <f>AJ27/24</f>
        <v/>
      </c>
      <c r="AO27" s="36">
        <f>AK27/24</f>
        <v/>
      </c>
      <c r="AP27" s="37">
        <f>AJ27/125</f>
        <v/>
      </c>
      <c r="AQ27" s="37">
        <f>AK27/125</f>
        <v/>
      </c>
    </row>
    <row r="28" ht="15.75" customHeight="1" s="50">
      <c r="A28" s="32" t="n"/>
      <c r="B28" s="32" t="inlineStr">
        <is>
          <t>7 Chakras Vintage / With Brush / 500ml</t>
        </is>
      </c>
      <c r="C28" s="32" t="inlineStr">
        <is>
          <t>CB-7CV-B-.5</t>
        </is>
      </c>
      <c r="D28" s="32" t="n">
        <v>550</v>
      </c>
      <c r="E28" s="32" t="n">
        <v>50</v>
      </c>
      <c r="G28" s="32" t="n">
        <v>0</v>
      </c>
      <c r="H28" s="32" t="n">
        <v>10</v>
      </c>
      <c r="I28" s="41" t="n">
        <v>741810</v>
      </c>
      <c r="J28" s="30" t="n">
        <v>0.05</v>
      </c>
      <c r="K28" s="32">
        <f>D28*J28</f>
        <v/>
      </c>
      <c r="M28" s="32">
        <f>D28*4%</f>
        <v/>
      </c>
      <c r="N28" s="49">
        <f>M28+L28+K28+H28+G28+F28+E28+D28</f>
        <v/>
      </c>
      <c r="O28" s="32">
        <f>D28*1%</f>
        <v/>
      </c>
      <c r="P28" s="7">
        <f>N28*8%</f>
        <v/>
      </c>
      <c r="Q28" s="7">
        <f>N28*10%</f>
        <v/>
      </c>
      <c r="R28" s="7">
        <f>N28*5%</f>
        <v/>
      </c>
      <c r="S28" s="7">
        <f>N28*2%</f>
        <v/>
      </c>
      <c r="T28" s="7">
        <f>AE28*0.5%</f>
        <v/>
      </c>
      <c r="U28" s="7">
        <f>N28*1%</f>
        <v/>
      </c>
      <c r="V28" s="31">
        <f>U28+S28+R28+Q28+P28+O28</f>
        <v/>
      </c>
      <c r="W28" s="32">
        <f>AE28*1%</f>
        <v/>
      </c>
      <c r="X28" s="32">
        <f>AE28*10%</f>
        <v/>
      </c>
      <c r="Y28" s="32">
        <f>AE28*1%</f>
        <v/>
      </c>
      <c r="Z28" s="32">
        <f>AE28*8%</f>
        <v/>
      </c>
      <c r="AA28" s="32">
        <f>W28+X28+Y28+Z28</f>
        <v/>
      </c>
      <c r="AB28" s="31">
        <f>AA28+V28+N28</f>
        <v/>
      </c>
      <c r="AC28" s="6">
        <f>AB28*20%</f>
        <v/>
      </c>
      <c r="AD28" s="7">
        <f>AB28+AC28</f>
        <v/>
      </c>
      <c r="AE28" s="32">
        <f>D28*2.1</f>
        <v/>
      </c>
      <c r="AF28" s="7">
        <f>AD28-AE28</f>
        <v/>
      </c>
      <c r="AG28" s="7">
        <f>AF28/AD28*100</f>
        <v/>
      </c>
      <c r="AH28" s="0" t="n">
        <v>995</v>
      </c>
      <c r="AI28" s="33" t="n">
        <v>445</v>
      </c>
      <c r="AJ28" s="34">
        <f>AD28</f>
        <v/>
      </c>
      <c r="AK28" s="34">
        <f>AJ28-(AJ28*7%)</f>
        <v/>
      </c>
      <c r="AL28" s="35">
        <f>AJ28/94</f>
        <v/>
      </c>
      <c r="AM28" s="35">
        <f>AK28/94</f>
        <v/>
      </c>
      <c r="AN28" s="36">
        <f>AJ28/24</f>
        <v/>
      </c>
      <c r="AO28" s="36">
        <f>AK28/24</f>
        <v/>
      </c>
      <c r="AP28" s="37">
        <f>AJ28/125</f>
        <v/>
      </c>
      <c r="AQ28" s="37">
        <f>AK28/125</f>
        <v/>
      </c>
    </row>
    <row r="29" ht="15" customHeight="1" s="50">
      <c r="A29" s="32" t="inlineStr">
        <is>
          <t>7 Chakras Copper Water Bottles with Handle</t>
        </is>
      </c>
      <c r="B29" s="32" t="inlineStr">
        <is>
          <t>7 Chakras Plain / 1L / With Brush</t>
        </is>
      </c>
      <c r="C29" s="32" t="inlineStr">
        <is>
          <t>CB-7CP-B-1</t>
        </is>
      </c>
      <c r="D29" s="32" t="n">
        <v>530</v>
      </c>
      <c r="E29" s="32" t="n">
        <v>50</v>
      </c>
      <c r="G29" s="32" t="n">
        <v>0</v>
      </c>
      <c r="H29" s="32" t="n">
        <v>10</v>
      </c>
      <c r="I29" s="41" t="n">
        <v>741810</v>
      </c>
      <c r="J29" s="30" t="n">
        <v>0.05</v>
      </c>
      <c r="K29" s="32">
        <f>D29*J29</f>
        <v/>
      </c>
      <c r="M29" s="32">
        <f>D29*4%</f>
        <v/>
      </c>
      <c r="N29" s="49">
        <f>M29+L29+K29+H29+G29+F29+E29+D29</f>
        <v/>
      </c>
      <c r="O29" s="32">
        <f>D29*1%</f>
        <v/>
      </c>
      <c r="P29" s="7">
        <f>N29*8%</f>
        <v/>
      </c>
      <c r="Q29" s="7">
        <f>N29*10%</f>
        <v/>
      </c>
      <c r="R29" s="7">
        <f>N29*5%</f>
        <v/>
      </c>
      <c r="S29" s="7">
        <f>N29*2%</f>
        <v/>
      </c>
      <c r="T29" s="7">
        <f>AE29*0.5%</f>
        <v/>
      </c>
      <c r="U29" s="7">
        <f>N29*1%</f>
        <v/>
      </c>
      <c r="V29" s="31">
        <f>U29+S29+R29+Q29+P29+O29</f>
        <v/>
      </c>
      <c r="W29" s="32">
        <f>AE29*1%</f>
        <v/>
      </c>
      <c r="X29" s="32">
        <f>AE29*10%</f>
        <v/>
      </c>
      <c r="Y29" s="32">
        <f>AE29*1%</f>
        <v/>
      </c>
      <c r="Z29" s="32">
        <f>AE29*8%</f>
        <v/>
      </c>
      <c r="AA29" s="32">
        <f>W29+X29+Y29+Z29</f>
        <v/>
      </c>
      <c r="AB29" s="31">
        <f>AA29+V29+N29</f>
        <v/>
      </c>
      <c r="AC29" s="6">
        <f>AB29*20%</f>
        <v/>
      </c>
      <c r="AD29" s="7">
        <f>AB29+AC29</f>
        <v/>
      </c>
      <c r="AE29" s="32">
        <f>D29*2.1</f>
        <v/>
      </c>
      <c r="AF29" s="7">
        <f>AD29-AE29</f>
        <v/>
      </c>
      <c r="AG29" s="7">
        <f>AF29/AD29*100</f>
        <v/>
      </c>
      <c r="AH29" s="0" t="n">
        <v>1345</v>
      </c>
      <c r="AI29" s="33" t="n">
        <v>815</v>
      </c>
      <c r="AJ29" s="34">
        <f>AD29</f>
        <v/>
      </c>
      <c r="AK29" s="34">
        <f>AJ29-(AJ29*7%)</f>
        <v/>
      </c>
      <c r="AL29" s="35">
        <f>AJ29/94</f>
        <v/>
      </c>
      <c r="AM29" s="35">
        <f>AK29/94</f>
        <v/>
      </c>
      <c r="AN29" s="36">
        <f>AJ29/24</f>
        <v/>
      </c>
      <c r="AO29" s="36">
        <f>AK29/24</f>
        <v/>
      </c>
      <c r="AP29" s="37">
        <f>AJ29/125</f>
        <v/>
      </c>
      <c r="AQ29" s="37">
        <f>AK29/125</f>
        <v/>
      </c>
    </row>
    <row r="30" ht="15.75" customHeight="1" s="50">
      <c r="A30" s="32" t="n"/>
      <c r="B30" s="32" t="inlineStr">
        <is>
          <t>7 Chakras Plain / Without Brush / 1L</t>
        </is>
      </c>
      <c r="C30" s="32" t="inlineStr">
        <is>
          <t>CB-7CP-1</t>
        </is>
      </c>
      <c r="D30" s="32" t="n">
        <v>530</v>
      </c>
      <c r="G30" s="32" t="n">
        <v>0</v>
      </c>
      <c r="H30" s="32" t="n">
        <v>10</v>
      </c>
      <c r="I30" s="41" t="n">
        <v>741810</v>
      </c>
      <c r="J30" s="30" t="n">
        <v>0.05</v>
      </c>
      <c r="K30" s="32">
        <f>D30*J30</f>
        <v/>
      </c>
      <c r="M30" s="32">
        <f>D30*4%</f>
        <v/>
      </c>
      <c r="N30" s="49">
        <f>M30+L30+K30+H30+G30+F30+E30+D30</f>
        <v/>
      </c>
      <c r="O30" s="32">
        <f>D30*1%</f>
        <v/>
      </c>
      <c r="P30" s="7">
        <f>N30*8%</f>
        <v/>
      </c>
      <c r="Q30" s="7">
        <f>N30*10%</f>
        <v/>
      </c>
      <c r="R30" s="7">
        <f>N30*5%</f>
        <v/>
      </c>
      <c r="S30" s="7">
        <f>N30*2%</f>
        <v/>
      </c>
      <c r="T30" s="7">
        <f>AE30*0.5%</f>
        <v/>
      </c>
      <c r="U30" s="7">
        <f>N30*1%</f>
        <v/>
      </c>
      <c r="V30" s="31">
        <f>U30+S30+R30+Q30+P30+O30</f>
        <v/>
      </c>
      <c r="W30" s="32">
        <f>AE30*1%</f>
        <v/>
      </c>
      <c r="X30" s="32">
        <f>AE30*10%</f>
        <v/>
      </c>
      <c r="Y30" s="32">
        <f>AE30*1%</f>
        <v/>
      </c>
      <c r="Z30" s="32">
        <f>AE30*8%</f>
        <v/>
      </c>
      <c r="AA30" s="32">
        <f>W30+X30+Y30+Z30</f>
        <v/>
      </c>
      <c r="AB30" s="31">
        <f>AA30+V30+N30</f>
        <v/>
      </c>
      <c r="AC30" s="6">
        <f>AB30*20%</f>
        <v/>
      </c>
      <c r="AD30" s="7">
        <f>AB30+AC30</f>
        <v/>
      </c>
      <c r="AE30" s="32">
        <f>D30*2.1</f>
        <v/>
      </c>
      <c r="AF30" s="7">
        <f>AD30-AE30</f>
        <v/>
      </c>
      <c r="AG30" s="7">
        <f>AF30/AD30*100</f>
        <v/>
      </c>
      <c r="AH30" s="0" t="n">
        <v>1245</v>
      </c>
      <c r="AI30" s="33" t="n">
        <v>715</v>
      </c>
      <c r="AJ30" s="34">
        <f>AD30</f>
        <v/>
      </c>
      <c r="AK30" s="34">
        <f>AJ30-(AJ30*7%)</f>
        <v/>
      </c>
      <c r="AL30" s="35">
        <f>AJ30/94</f>
        <v/>
      </c>
      <c r="AM30" s="35">
        <f>AK30/94</f>
        <v/>
      </c>
      <c r="AN30" s="36">
        <f>AJ30/24</f>
        <v/>
      </c>
      <c r="AO30" s="36">
        <f>AK30/24</f>
        <v/>
      </c>
      <c r="AP30" s="37">
        <f>AJ30/125</f>
        <v/>
      </c>
      <c r="AQ30" s="37">
        <f>AK30/125</f>
        <v/>
      </c>
    </row>
    <row r="31" ht="15.75" customHeight="1" s="50">
      <c r="A31" s="32" t="n"/>
      <c r="B31" s="32" t="inlineStr">
        <is>
          <t>Without Brush / 1L / 7 Chakras Vintage</t>
        </is>
      </c>
      <c r="C31" s="32" t="inlineStr">
        <is>
          <t>CB-7CV-1</t>
        </is>
      </c>
      <c r="D31" s="32" t="n">
        <v>540</v>
      </c>
      <c r="G31" s="32" t="n">
        <v>0</v>
      </c>
      <c r="H31" s="32" t="n">
        <v>10</v>
      </c>
      <c r="I31" s="41" t="n">
        <v>741810</v>
      </c>
      <c r="J31" s="30" t="n">
        <v>0.05</v>
      </c>
      <c r="K31" s="32">
        <f>D31*J31</f>
        <v/>
      </c>
      <c r="M31" s="32">
        <f>D31*4%</f>
        <v/>
      </c>
      <c r="N31" s="49">
        <f>M31+L31+K31+H31+G31+F31+E31+D31</f>
        <v/>
      </c>
      <c r="O31" s="32">
        <f>D31*1%</f>
        <v/>
      </c>
      <c r="P31" s="7">
        <f>N31*8%</f>
        <v/>
      </c>
      <c r="Q31" s="7">
        <f>N31*10%</f>
        <v/>
      </c>
      <c r="R31" s="7">
        <f>N31*5%</f>
        <v/>
      </c>
      <c r="S31" s="7">
        <f>N31*2%</f>
        <v/>
      </c>
      <c r="T31" s="7">
        <f>AE31*0.5%</f>
        <v/>
      </c>
      <c r="U31" s="7">
        <f>N31*1%</f>
        <v/>
      </c>
      <c r="V31" s="31">
        <f>U31+S31+R31+Q31+P31+O31</f>
        <v/>
      </c>
      <c r="W31" s="32">
        <f>AE31*1%</f>
        <v/>
      </c>
      <c r="X31" s="32">
        <f>AE31*10%</f>
        <v/>
      </c>
      <c r="Y31" s="32">
        <f>AE31*1%</f>
        <v/>
      </c>
      <c r="Z31" s="32">
        <f>AE31*8%</f>
        <v/>
      </c>
      <c r="AA31" s="32">
        <f>W31+X31+Y31+Z31</f>
        <v/>
      </c>
      <c r="AB31" s="31">
        <f>AA31+V31+N31</f>
        <v/>
      </c>
      <c r="AC31" s="6">
        <f>AB31*20%</f>
        <v/>
      </c>
      <c r="AD31" s="7">
        <f>AB31+AC31</f>
        <v/>
      </c>
      <c r="AE31" s="32">
        <f>D31*2.1</f>
        <v/>
      </c>
      <c r="AF31" s="7">
        <f>AD31-AE31</f>
        <v/>
      </c>
      <c r="AG31" s="7">
        <f>AF31/AD31*100</f>
        <v/>
      </c>
      <c r="AH31" s="0" t="n">
        <v>1245</v>
      </c>
      <c r="AI31" s="33" t="n">
        <v>705</v>
      </c>
      <c r="AJ31" s="34">
        <f>AD31</f>
        <v/>
      </c>
      <c r="AK31" s="34">
        <f>AJ31-(AJ31*7%)</f>
        <v/>
      </c>
      <c r="AL31" s="35">
        <f>AJ31/94</f>
        <v/>
      </c>
      <c r="AM31" s="35">
        <f>AK31/94</f>
        <v/>
      </c>
      <c r="AN31" s="36">
        <f>AJ31/24</f>
        <v/>
      </c>
      <c r="AO31" s="36">
        <f>AK31/24</f>
        <v/>
      </c>
      <c r="AP31" s="37">
        <f>AJ31/125</f>
        <v/>
      </c>
      <c r="AQ31" s="37">
        <f>AK31/125</f>
        <v/>
      </c>
    </row>
    <row r="32" ht="15.75" customHeight="1" s="50">
      <c r="A32" s="32" t="n"/>
      <c r="B32" s="32" t="inlineStr">
        <is>
          <t>1L / 7 Chakras Vintage / With Brush</t>
        </is>
      </c>
      <c r="C32" s="32" t="inlineStr">
        <is>
          <t>CB-7CV-B-1</t>
        </is>
      </c>
      <c r="D32" s="32" t="n">
        <v>540</v>
      </c>
      <c r="E32" s="32" t="n">
        <v>50</v>
      </c>
      <c r="G32" s="32" t="n">
        <v>0</v>
      </c>
      <c r="H32" s="32" t="n">
        <v>10</v>
      </c>
      <c r="I32" s="41" t="n">
        <v>741810</v>
      </c>
      <c r="J32" s="30" t="n">
        <v>0.05</v>
      </c>
      <c r="K32" s="32">
        <f>D32*J32</f>
        <v/>
      </c>
      <c r="M32" s="32">
        <f>D32*4%</f>
        <v/>
      </c>
      <c r="N32" s="49">
        <f>M32+L32+K32+H32+G32+F32+E32+D32</f>
        <v/>
      </c>
      <c r="O32" s="32">
        <f>D32*1%</f>
        <v/>
      </c>
      <c r="P32" s="7">
        <f>N32*8%</f>
        <v/>
      </c>
      <c r="Q32" s="7">
        <f>N32*10%</f>
        <v/>
      </c>
      <c r="R32" s="7">
        <f>N32*5%</f>
        <v/>
      </c>
      <c r="S32" s="7">
        <f>N32*2%</f>
        <v/>
      </c>
      <c r="T32" s="7">
        <f>AE32*0.5%</f>
        <v/>
      </c>
      <c r="U32" s="7">
        <f>N32*1%</f>
        <v/>
      </c>
      <c r="V32" s="31">
        <f>U32+S32+R32+Q32+P32+O32</f>
        <v/>
      </c>
      <c r="W32" s="32">
        <f>AE32*1%</f>
        <v/>
      </c>
      <c r="X32" s="32">
        <f>AE32*10%</f>
        <v/>
      </c>
      <c r="Y32" s="32">
        <f>AE32*1%</f>
        <v/>
      </c>
      <c r="Z32" s="32">
        <f>AE32*8%</f>
        <v/>
      </c>
      <c r="AA32" s="32">
        <f>W32+X32+Y32+Z32</f>
        <v/>
      </c>
      <c r="AB32" s="31">
        <f>AA32+V32+N32</f>
        <v/>
      </c>
      <c r="AC32" s="6">
        <f>AB32*20%</f>
        <v/>
      </c>
      <c r="AD32" s="7">
        <f>AB32+AC32</f>
        <v/>
      </c>
      <c r="AE32" s="32">
        <f>D32*2.1</f>
        <v/>
      </c>
      <c r="AF32" s="7">
        <f>AD32-AE32</f>
        <v/>
      </c>
      <c r="AG32" s="7">
        <f>AF32/AD32*100</f>
        <v/>
      </c>
      <c r="AH32" s="0" t="n">
        <v>1345</v>
      </c>
      <c r="AI32" s="33" t="n">
        <v>805</v>
      </c>
      <c r="AJ32" s="34">
        <f>AD32</f>
        <v/>
      </c>
      <c r="AK32" s="34">
        <f>AJ32-(AJ32*7%)</f>
        <v/>
      </c>
      <c r="AL32" s="35">
        <f>AJ32/94</f>
        <v/>
      </c>
      <c r="AM32" s="35">
        <f>AK32/94</f>
        <v/>
      </c>
      <c r="AN32" s="36">
        <f>AJ32/24</f>
        <v/>
      </c>
      <c r="AO32" s="36">
        <f>AK32/24</f>
        <v/>
      </c>
      <c r="AP32" s="37">
        <f>AJ32/125</f>
        <v/>
      </c>
      <c r="AQ32" s="37">
        <f>AK32/125</f>
        <v/>
      </c>
    </row>
    <row r="33" ht="15" customHeight="1" s="50">
      <c r="A33" s="32" t="inlineStr">
        <is>
          <t>7 Chakras Mystical Incense Sticks Set</t>
        </is>
      </c>
      <c r="B33" s="32" t="inlineStr">
        <is>
          <t>7 Chakra Set</t>
        </is>
      </c>
      <c r="C33" s="32" t="inlineStr">
        <is>
          <t>IS-7C</t>
        </is>
      </c>
      <c r="D33" s="32" t="n">
        <v>380</v>
      </c>
      <c r="G33" s="32" t="n">
        <v>0</v>
      </c>
      <c r="H33" s="32" t="n">
        <v>10</v>
      </c>
      <c r="I33" s="41" t="n">
        <v>33074100</v>
      </c>
      <c r="J33" s="30" t="n">
        <v>0.05</v>
      </c>
      <c r="K33" s="32">
        <f>D33*J33</f>
        <v/>
      </c>
      <c r="M33" s="32">
        <f>D33*4%</f>
        <v/>
      </c>
      <c r="N33" s="49">
        <f>M33+L33+K33+H33+G33+F33+E33+D33</f>
        <v/>
      </c>
      <c r="O33" s="32">
        <f>D33*1%</f>
        <v/>
      </c>
      <c r="P33" s="7">
        <f>N33*8%</f>
        <v/>
      </c>
      <c r="Q33" s="7">
        <f>N33*10%</f>
        <v/>
      </c>
      <c r="R33" s="7">
        <f>N33*5%</f>
        <v/>
      </c>
      <c r="S33" s="7">
        <f>N33*2%</f>
        <v/>
      </c>
      <c r="T33" s="7">
        <f>AE33*0.5%</f>
        <v/>
      </c>
      <c r="U33" s="7">
        <f>N33*1%</f>
        <v/>
      </c>
      <c r="V33" s="31">
        <f>U33+S33+R33+Q33+P33+O33</f>
        <v/>
      </c>
      <c r="W33" s="32">
        <f>AE33*1%</f>
        <v/>
      </c>
      <c r="X33" s="32">
        <f>AE33*10%</f>
        <v/>
      </c>
      <c r="Y33" s="32">
        <f>AE33*1%</f>
        <v/>
      </c>
      <c r="Z33" s="32">
        <f>AE33*8%</f>
        <v/>
      </c>
      <c r="AA33" s="32">
        <f>W33+X33+Y33+Z33</f>
        <v/>
      </c>
      <c r="AB33" s="31">
        <f>AA33+V33+N33</f>
        <v/>
      </c>
      <c r="AC33" s="6">
        <f>AB33*20%</f>
        <v/>
      </c>
      <c r="AD33" s="7">
        <f>AB33+AC33</f>
        <v/>
      </c>
      <c r="AE33" s="32">
        <f>D33*2.1</f>
        <v/>
      </c>
      <c r="AF33" s="7">
        <f>AD33-AE33</f>
        <v/>
      </c>
      <c r="AG33" s="7">
        <f>AF33/AD33*100</f>
        <v/>
      </c>
      <c r="AH33" s="0" t="n">
        <v>480</v>
      </c>
      <c r="AI33" s="33" t="n">
        <v>100</v>
      </c>
      <c r="AJ33" s="34">
        <f>AD33</f>
        <v/>
      </c>
      <c r="AK33" s="34">
        <f>AJ33-(AJ33*7%)</f>
        <v/>
      </c>
      <c r="AL33" s="35">
        <f>AJ33/94</f>
        <v/>
      </c>
      <c r="AM33" s="35">
        <f>AK33/94</f>
        <v/>
      </c>
      <c r="AN33" s="36">
        <f>AJ33/24</f>
        <v/>
      </c>
      <c r="AO33" s="36">
        <f>AK33/24</f>
        <v/>
      </c>
      <c r="AP33" s="37">
        <f>AJ33/125</f>
        <v/>
      </c>
      <c r="AQ33" s="37">
        <f>AK33/125</f>
        <v/>
      </c>
    </row>
    <row r="34" ht="15.75" customHeight="1" s="50">
      <c r="A34" s="32" t="n"/>
      <c r="B34" s="32" t="inlineStr">
        <is>
          <t>7 Chakra Set with Stand</t>
        </is>
      </c>
      <c r="C34" s="32" t="inlineStr">
        <is>
          <t>IS-7C-S</t>
        </is>
      </c>
      <c r="D34" s="32" t="n">
        <v>440</v>
      </c>
      <c r="G34" s="32" t="n">
        <v>0</v>
      </c>
      <c r="H34" s="32" t="n">
        <v>10</v>
      </c>
      <c r="I34" s="41" t="n">
        <v>33074100</v>
      </c>
      <c r="J34" s="30" t="n">
        <v>0.05</v>
      </c>
      <c r="K34" s="32">
        <f>D34*J34</f>
        <v/>
      </c>
      <c r="M34" s="32">
        <f>D34*4%</f>
        <v/>
      </c>
      <c r="N34" s="49">
        <f>M34+L34+K34+H34+G34+F34+E34+D34</f>
        <v/>
      </c>
      <c r="O34" s="32">
        <f>D34*1%</f>
        <v/>
      </c>
      <c r="P34" s="7">
        <f>N34*8%</f>
        <v/>
      </c>
      <c r="Q34" s="7">
        <f>N34*10%</f>
        <v/>
      </c>
      <c r="R34" s="7">
        <f>N34*5%</f>
        <v/>
      </c>
      <c r="S34" s="7">
        <f>N34*2%</f>
        <v/>
      </c>
      <c r="T34" s="7">
        <f>AE34*0.5%</f>
        <v/>
      </c>
      <c r="U34" s="7">
        <f>N34*1%</f>
        <v/>
      </c>
      <c r="V34" s="31">
        <f>U34+S34+R34+Q34+P34+O34</f>
        <v/>
      </c>
      <c r="W34" s="32">
        <f>AE34*1%</f>
        <v/>
      </c>
      <c r="X34" s="32">
        <f>AE34*10%</f>
        <v/>
      </c>
      <c r="Y34" s="32">
        <f>AE34*1%</f>
        <v/>
      </c>
      <c r="Z34" s="32">
        <f>AE34*8%</f>
        <v/>
      </c>
      <c r="AA34" s="32">
        <f>W34+X34+Y34+Z34</f>
        <v/>
      </c>
      <c r="AB34" s="31">
        <f>AA34+V34+N34</f>
        <v/>
      </c>
      <c r="AC34" s="6">
        <f>AB34*20%</f>
        <v/>
      </c>
      <c r="AD34" s="7">
        <f>AB34+AC34</f>
        <v/>
      </c>
      <c r="AE34" s="32">
        <f>D34*2.1</f>
        <v/>
      </c>
      <c r="AF34" s="7">
        <f>AD34-AE34</f>
        <v/>
      </c>
      <c r="AG34" s="7">
        <f>AF34/AD34*100</f>
        <v/>
      </c>
      <c r="AH34" s="0" t="n">
        <v>565</v>
      </c>
      <c r="AI34" s="33" t="n">
        <v>125</v>
      </c>
      <c r="AJ34" s="34">
        <f>AD34</f>
        <v/>
      </c>
      <c r="AK34" s="34">
        <f>AJ34-(AJ34*7%)</f>
        <v/>
      </c>
      <c r="AL34" s="35">
        <f>AJ34/94</f>
        <v/>
      </c>
      <c r="AM34" s="35">
        <f>AK34/94</f>
        <v/>
      </c>
      <c r="AN34" s="36">
        <f>AJ34/24</f>
        <v/>
      </c>
      <c r="AO34" s="36">
        <f>AK34/24</f>
        <v/>
      </c>
      <c r="AP34" s="37">
        <f>AJ34/125</f>
        <v/>
      </c>
      <c r="AQ34" s="37">
        <f>AK34/125</f>
        <v/>
      </c>
    </row>
    <row r="35" ht="15.75" customHeight="1" s="50">
      <c r="A35" s="32" t="n"/>
      <c r="B35" s="32" t="inlineStr">
        <is>
          <t>Pure Citronella</t>
        </is>
      </c>
      <c r="C35" s="32" t="inlineStr">
        <is>
          <t>IS-C-12</t>
        </is>
      </c>
      <c r="D35" s="32" t="n">
        <v>50</v>
      </c>
      <c r="G35" s="32" t="n">
        <v>0</v>
      </c>
      <c r="H35" s="32" t="n">
        <v>10</v>
      </c>
      <c r="I35" s="41" t="n">
        <v>33074100</v>
      </c>
      <c r="J35" s="30" t="n">
        <v>0.05</v>
      </c>
      <c r="K35" s="32">
        <f>D35*J35</f>
        <v/>
      </c>
      <c r="M35" s="32">
        <f>D35*4%</f>
        <v/>
      </c>
      <c r="N35" s="49">
        <f>M35+L35+K35+H35+G35+F35+E35+D35</f>
        <v/>
      </c>
      <c r="O35" s="32">
        <f>D35*1%</f>
        <v/>
      </c>
      <c r="P35" s="7">
        <f>N35*8%</f>
        <v/>
      </c>
      <c r="Q35" s="7">
        <f>N35*10%</f>
        <v/>
      </c>
      <c r="R35" s="7">
        <f>N35*5%</f>
        <v/>
      </c>
      <c r="S35" s="7">
        <f>N35*2%</f>
        <v/>
      </c>
      <c r="T35" s="7">
        <f>AE35*0.5%</f>
        <v/>
      </c>
      <c r="U35" s="7">
        <f>N35*1%</f>
        <v/>
      </c>
      <c r="V35" s="31">
        <f>U35+S35+R35+Q35+P35+O35</f>
        <v/>
      </c>
      <c r="W35" s="32">
        <f>AE35*1%</f>
        <v/>
      </c>
      <c r="X35" s="32">
        <f>AE35*10%</f>
        <v/>
      </c>
      <c r="Y35" s="32">
        <f>AE35*1%</f>
        <v/>
      </c>
      <c r="Z35" s="32">
        <f>AE35*8%</f>
        <v/>
      </c>
      <c r="AA35" s="32">
        <f>W35+X35+Y35+Z35</f>
        <v/>
      </c>
      <c r="AB35" s="31">
        <f>AA35+V35+N35</f>
        <v/>
      </c>
      <c r="AC35" s="6">
        <f>AB35*20%</f>
        <v/>
      </c>
      <c r="AD35" s="7">
        <f>AB35+AC35</f>
        <v/>
      </c>
      <c r="AE35" s="32">
        <f>D35*2.1</f>
        <v/>
      </c>
      <c r="AF35" s="7">
        <f>AD35-AE35</f>
        <v/>
      </c>
      <c r="AG35" s="7">
        <f>AF35/AD35*100</f>
        <v/>
      </c>
      <c r="AH35" s="0" t="n">
        <v>80</v>
      </c>
      <c r="AI35" s="33" t="n">
        <v>30</v>
      </c>
      <c r="AJ35" s="34">
        <f>AD35</f>
        <v/>
      </c>
      <c r="AK35" s="34">
        <f>AJ35-(AJ35*7%)</f>
        <v/>
      </c>
      <c r="AL35" s="35">
        <f>AJ35/94</f>
        <v/>
      </c>
      <c r="AM35" s="35">
        <f>AK35/94</f>
        <v/>
      </c>
      <c r="AN35" s="36">
        <f>AJ35/24</f>
        <v/>
      </c>
      <c r="AO35" s="36">
        <f>AK35/24</f>
        <v/>
      </c>
      <c r="AP35" s="37">
        <f>AJ35/125</f>
        <v/>
      </c>
      <c r="AQ35" s="37">
        <f>AK35/125</f>
        <v/>
      </c>
    </row>
    <row r="36" ht="15.75" customHeight="1" s="50">
      <c r="A36" s="32" t="n"/>
      <c r="B36" s="32" t="inlineStr">
        <is>
          <t>Pure Eucalyptus</t>
        </is>
      </c>
      <c r="C36" s="32" t="inlineStr">
        <is>
          <t>IS-E-12</t>
        </is>
      </c>
      <c r="D36" s="32" t="n">
        <v>50</v>
      </c>
      <c r="G36" s="32" t="n">
        <v>0</v>
      </c>
      <c r="H36" s="32" t="n">
        <v>10</v>
      </c>
      <c r="I36" s="41" t="n">
        <v>33074100</v>
      </c>
      <c r="J36" s="30" t="n">
        <v>0.05</v>
      </c>
      <c r="K36" s="32">
        <f>D36*J36</f>
        <v/>
      </c>
      <c r="M36" s="32">
        <f>D36*4%</f>
        <v/>
      </c>
      <c r="N36" s="49">
        <f>M36+L36+K36+H36+G36+F36+E36+D36</f>
        <v/>
      </c>
      <c r="O36" s="32">
        <f>D36*1%</f>
        <v/>
      </c>
      <c r="P36" s="7">
        <f>N36*8%</f>
        <v/>
      </c>
      <c r="Q36" s="7">
        <f>N36*10%</f>
        <v/>
      </c>
      <c r="R36" s="7">
        <f>N36*5%</f>
        <v/>
      </c>
      <c r="S36" s="7">
        <f>N36*2%</f>
        <v/>
      </c>
      <c r="T36" s="7">
        <f>AE36*0.5%</f>
        <v/>
      </c>
      <c r="U36" s="7">
        <f>N36*1%</f>
        <v/>
      </c>
      <c r="V36" s="31">
        <f>U36+S36+R36+Q36+P36+O36</f>
        <v/>
      </c>
      <c r="W36" s="32">
        <f>AE36*1%</f>
        <v/>
      </c>
      <c r="X36" s="32">
        <f>AE36*10%</f>
        <v/>
      </c>
      <c r="Y36" s="32">
        <f>AE36*1%</f>
        <v/>
      </c>
      <c r="Z36" s="32">
        <f>AE36*8%</f>
        <v/>
      </c>
      <c r="AA36" s="32">
        <f>W36+X36+Y36+Z36</f>
        <v/>
      </c>
      <c r="AB36" s="31">
        <f>AA36+V36+N36</f>
        <v/>
      </c>
      <c r="AC36" s="6">
        <f>AB36*20%</f>
        <v/>
      </c>
      <c r="AD36" s="7">
        <f>AB36+AC36</f>
        <v/>
      </c>
      <c r="AE36" s="32">
        <f>D36*2.1</f>
        <v/>
      </c>
      <c r="AF36" s="7">
        <f>AD36-AE36</f>
        <v/>
      </c>
      <c r="AG36" s="7">
        <f>AF36/AD36*100</f>
        <v/>
      </c>
      <c r="AH36" s="0" t="n">
        <v>80</v>
      </c>
      <c r="AI36" s="33" t="n">
        <v>30</v>
      </c>
      <c r="AJ36" s="34">
        <f>AD36</f>
        <v/>
      </c>
      <c r="AK36" s="34">
        <f>AJ36-(AJ36*7%)</f>
        <v/>
      </c>
      <c r="AL36" s="35">
        <f>AJ36/94</f>
        <v/>
      </c>
      <c r="AM36" s="35">
        <f>AK36/94</f>
        <v/>
      </c>
      <c r="AN36" s="36">
        <f>AJ36/24</f>
        <v/>
      </c>
      <c r="AO36" s="36">
        <f>AK36/24</f>
        <v/>
      </c>
      <c r="AP36" s="37">
        <f>AJ36/125</f>
        <v/>
      </c>
      <c r="AQ36" s="37">
        <f>AK36/125</f>
        <v/>
      </c>
    </row>
    <row r="37" ht="15.75" customHeight="1" s="50">
      <c r="A37" s="32" t="n"/>
      <c r="B37" s="32" t="inlineStr">
        <is>
          <t>Pure Frankincense</t>
        </is>
      </c>
      <c r="C37" s="32" t="inlineStr">
        <is>
          <t>IS-F-12</t>
        </is>
      </c>
      <c r="D37" s="32" t="n">
        <v>50</v>
      </c>
      <c r="G37" s="32" t="n">
        <v>0</v>
      </c>
      <c r="H37" s="32" t="n">
        <v>10</v>
      </c>
      <c r="I37" s="41" t="n">
        <v>33074100</v>
      </c>
      <c r="J37" s="30" t="n">
        <v>0.05</v>
      </c>
      <c r="K37" s="32">
        <f>D37*J37</f>
        <v/>
      </c>
      <c r="M37" s="32">
        <f>D37*4%</f>
        <v/>
      </c>
      <c r="N37" s="49">
        <f>M37+L37+K37+H37+G37+F37+E37+D37</f>
        <v/>
      </c>
      <c r="O37" s="32">
        <f>D37*1%</f>
        <v/>
      </c>
      <c r="P37" s="7">
        <f>N37*8%</f>
        <v/>
      </c>
      <c r="Q37" s="7">
        <f>N37*10%</f>
        <v/>
      </c>
      <c r="R37" s="7">
        <f>N37*5%</f>
        <v/>
      </c>
      <c r="S37" s="7">
        <f>N37*2%</f>
        <v/>
      </c>
      <c r="T37" s="7">
        <f>AE37*0.5%</f>
        <v/>
      </c>
      <c r="U37" s="7">
        <f>N37*1%</f>
        <v/>
      </c>
      <c r="V37" s="31">
        <f>U37+S37+R37+Q37+P37+O37</f>
        <v/>
      </c>
      <c r="W37" s="32">
        <f>AE37*1%</f>
        <v/>
      </c>
      <c r="X37" s="32">
        <f>AE37*10%</f>
        <v/>
      </c>
      <c r="Y37" s="32">
        <f>AE37*1%</f>
        <v/>
      </c>
      <c r="Z37" s="32">
        <f>AE37*8%</f>
        <v/>
      </c>
      <c r="AA37" s="32">
        <f>W37+X37+Y37+Z37</f>
        <v/>
      </c>
      <c r="AB37" s="31">
        <f>AA37+V37+N37</f>
        <v/>
      </c>
      <c r="AC37" s="6">
        <f>AB37*20%</f>
        <v/>
      </c>
      <c r="AD37" s="7">
        <f>AB37+AC37</f>
        <v/>
      </c>
      <c r="AE37" s="32">
        <f>D37*2.1</f>
        <v/>
      </c>
      <c r="AF37" s="7">
        <f>AD37-AE37</f>
        <v/>
      </c>
      <c r="AG37" s="7">
        <f>AF37/AD37*100</f>
        <v/>
      </c>
      <c r="AH37" s="0" t="n">
        <v>80</v>
      </c>
      <c r="AI37" s="33" t="n">
        <v>30</v>
      </c>
      <c r="AJ37" s="34">
        <f>AD37</f>
        <v/>
      </c>
      <c r="AK37" s="34">
        <f>AJ37-(AJ37*7%)</f>
        <v/>
      </c>
      <c r="AL37" s="35">
        <f>AJ37/94</f>
        <v/>
      </c>
      <c r="AM37" s="35">
        <f>AK37/94</f>
        <v/>
      </c>
      <c r="AN37" s="36">
        <f>AJ37/24</f>
        <v/>
      </c>
      <c r="AO37" s="36">
        <f>AK37/24</f>
        <v/>
      </c>
      <c r="AP37" s="37">
        <f>AJ37/125</f>
        <v/>
      </c>
      <c r="AQ37" s="37">
        <f>AK37/125</f>
        <v/>
      </c>
    </row>
    <row r="38" ht="15.75" customHeight="1" s="50">
      <c r="A38" s="32" t="n"/>
      <c r="B38" s="32" t="inlineStr">
        <is>
          <t>Pure Lavender</t>
        </is>
      </c>
      <c r="C38" s="32" t="inlineStr">
        <is>
          <t>IS-L-12</t>
        </is>
      </c>
      <c r="D38" s="32" t="n">
        <v>50</v>
      </c>
      <c r="G38" s="32" t="n">
        <v>0</v>
      </c>
      <c r="H38" s="32" t="n">
        <v>10</v>
      </c>
      <c r="I38" s="41" t="n">
        <v>33074100</v>
      </c>
      <c r="J38" s="30" t="n">
        <v>0.05</v>
      </c>
      <c r="K38" s="32">
        <f>D38*J38</f>
        <v/>
      </c>
      <c r="M38" s="32">
        <f>D38*4%</f>
        <v/>
      </c>
      <c r="N38" s="49">
        <f>M38+L38+K38+H38+G38+F38+E38+D38</f>
        <v/>
      </c>
      <c r="O38" s="32">
        <f>D38*1%</f>
        <v/>
      </c>
      <c r="P38" s="7">
        <f>N38*8%</f>
        <v/>
      </c>
      <c r="Q38" s="7">
        <f>N38*10%</f>
        <v/>
      </c>
      <c r="R38" s="7">
        <f>N38*5%</f>
        <v/>
      </c>
      <c r="S38" s="7">
        <f>N38*2%</f>
        <v/>
      </c>
      <c r="T38" s="7">
        <f>AE38*0.5%</f>
        <v/>
      </c>
      <c r="U38" s="7">
        <f>N38*1%</f>
        <v/>
      </c>
      <c r="V38" s="31">
        <f>U38+S38+R38+Q38+P38+O38</f>
        <v/>
      </c>
      <c r="W38" s="32">
        <f>AE38*1%</f>
        <v/>
      </c>
      <c r="X38" s="32">
        <f>AE38*10%</f>
        <v/>
      </c>
      <c r="Y38" s="32">
        <f>AE38*1%</f>
        <v/>
      </c>
      <c r="Z38" s="32">
        <f>AE38*8%</f>
        <v/>
      </c>
      <c r="AA38" s="32">
        <f>W38+X38+Y38+Z38</f>
        <v/>
      </c>
      <c r="AB38" s="31">
        <f>AA38+V38+N38</f>
        <v/>
      </c>
      <c r="AC38" s="6">
        <f>AB38*20%</f>
        <v/>
      </c>
      <c r="AD38" s="7">
        <f>AB38+AC38</f>
        <v/>
      </c>
      <c r="AE38" s="32">
        <f>D38*2.1</f>
        <v/>
      </c>
      <c r="AF38" s="7">
        <f>AD38-AE38</f>
        <v/>
      </c>
      <c r="AG38" s="7">
        <f>AF38/AD38*100</f>
        <v/>
      </c>
      <c r="AH38" s="0" t="n">
        <v>80</v>
      </c>
      <c r="AI38" s="33" t="n">
        <v>30</v>
      </c>
      <c r="AJ38" s="34">
        <f>AD38</f>
        <v/>
      </c>
      <c r="AK38" s="34">
        <f>AJ38-(AJ38*7%)</f>
        <v/>
      </c>
      <c r="AL38" s="35">
        <f>AJ38/94</f>
        <v/>
      </c>
      <c r="AM38" s="35">
        <f>AK38/94</f>
        <v/>
      </c>
      <c r="AN38" s="36">
        <f>AJ38/24</f>
        <v/>
      </c>
      <c r="AO38" s="36">
        <f>AK38/24</f>
        <v/>
      </c>
      <c r="AP38" s="37">
        <f>AJ38/125</f>
        <v/>
      </c>
      <c r="AQ38" s="37">
        <f>AK38/125</f>
        <v/>
      </c>
    </row>
    <row r="39" ht="15.75" customHeight="1" s="50">
      <c r="A39" s="32" t="n"/>
      <c r="B39" s="32" t="inlineStr">
        <is>
          <t>Pure Musk</t>
        </is>
      </c>
      <c r="C39" s="32" t="inlineStr">
        <is>
          <t>IS-M-12</t>
        </is>
      </c>
      <c r="D39" s="32" t="n">
        <v>50</v>
      </c>
      <c r="G39" s="32" t="n">
        <v>0</v>
      </c>
      <c r="H39" s="32" t="n">
        <v>10</v>
      </c>
      <c r="I39" s="41" t="n">
        <v>33074100</v>
      </c>
      <c r="J39" s="30" t="n">
        <v>0.05</v>
      </c>
      <c r="K39" s="32">
        <f>D39*J39</f>
        <v/>
      </c>
      <c r="M39" s="32">
        <f>D39*4%</f>
        <v/>
      </c>
      <c r="N39" s="49">
        <f>M39+L39+K39+H39+G39+F39+E39+D39</f>
        <v/>
      </c>
      <c r="O39" s="32">
        <f>D39*1%</f>
        <v/>
      </c>
      <c r="P39" s="7">
        <f>N39*8%</f>
        <v/>
      </c>
      <c r="Q39" s="7">
        <f>N39*10%</f>
        <v/>
      </c>
      <c r="R39" s="7">
        <f>N39*5%</f>
        <v/>
      </c>
      <c r="S39" s="7">
        <f>N39*2%</f>
        <v/>
      </c>
      <c r="T39" s="7">
        <f>AE39*0.5%</f>
        <v/>
      </c>
      <c r="U39" s="7">
        <f>N39*1%</f>
        <v/>
      </c>
      <c r="V39" s="31">
        <f>U39+S39+R39+Q39+P39+O39</f>
        <v/>
      </c>
      <c r="W39" s="32">
        <f>AE39*1%</f>
        <v/>
      </c>
      <c r="X39" s="32">
        <f>AE39*10%</f>
        <v/>
      </c>
      <c r="Y39" s="32">
        <f>AE39*1%</f>
        <v/>
      </c>
      <c r="Z39" s="32">
        <f>AE39*8%</f>
        <v/>
      </c>
      <c r="AA39" s="32">
        <f>W39+X39+Y39+Z39</f>
        <v/>
      </c>
      <c r="AB39" s="31">
        <f>AA39+V39+N39</f>
        <v/>
      </c>
      <c r="AC39" s="6">
        <f>AB39*20%</f>
        <v/>
      </c>
      <c r="AD39" s="7">
        <f>AB39+AC39</f>
        <v/>
      </c>
      <c r="AE39" s="32">
        <f>D39*2.1</f>
        <v/>
      </c>
      <c r="AF39" s="7">
        <f>AD39-AE39</f>
        <v/>
      </c>
      <c r="AG39" s="7">
        <f>AF39/AD39*100</f>
        <v/>
      </c>
      <c r="AH39" s="0" t="n">
        <v>80</v>
      </c>
      <c r="AI39" s="33" t="n">
        <v>30</v>
      </c>
      <c r="AJ39" s="34">
        <f>AD39</f>
        <v/>
      </c>
      <c r="AK39" s="34">
        <f>AJ39-(AJ39*7%)</f>
        <v/>
      </c>
      <c r="AL39" s="35">
        <f>AJ39/94</f>
        <v/>
      </c>
      <c r="AM39" s="35">
        <f>AK39/94</f>
        <v/>
      </c>
      <c r="AN39" s="36">
        <f>AJ39/24</f>
        <v/>
      </c>
      <c r="AO39" s="36">
        <f>AK39/24</f>
        <v/>
      </c>
      <c r="AP39" s="37">
        <f>AJ39/125</f>
        <v/>
      </c>
      <c r="AQ39" s="37">
        <f>AK39/125</f>
        <v/>
      </c>
    </row>
    <row r="40" ht="15.75" customHeight="1" s="50">
      <c r="A40" s="32" t="n"/>
      <c r="B40" s="32" t="inlineStr">
        <is>
          <t>Pure Rose</t>
        </is>
      </c>
      <c r="C40" s="32" t="inlineStr">
        <is>
          <t>IS-R-12</t>
        </is>
      </c>
      <c r="D40" s="32" t="n">
        <v>50</v>
      </c>
      <c r="G40" s="32" t="n">
        <v>0</v>
      </c>
      <c r="H40" s="32" t="n">
        <v>10</v>
      </c>
      <c r="I40" s="41" t="n">
        <v>33074100</v>
      </c>
      <c r="J40" s="30" t="n">
        <v>0.05</v>
      </c>
      <c r="K40" s="32">
        <f>D40*J40</f>
        <v/>
      </c>
      <c r="M40" s="32">
        <f>D40*4%</f>
        <v/>
      </c>
      <c r="N40" s="49">
        <f>M40+L40+K40+H40+G40+F40+E40+D40</f>
        <v/>
      </c>
      <c r="O40" s="32">
        <f>D40*1%</f>
        <v/>
      </c>
      <c r="P40" s="7">
        <f>N40*8%</f>
        <v/>
      </c>
      <c r="Q40" s="7">
        <f>N40*10%</f>
        <v/>
      </c>
      <c r="R40" s="7">
        <f>N40*5%</f>
        <v/>
      </c>
      <c r="S40" s="7">
        <f>N40*2%</f>
        <v/>
      </c>
      <c r="T40" s="7">
        <f>AE40*0.5%</f>
        <v/>
      </c>
      <c r="U40" s="7">
        <f>N40*1%</f>
        <v/>
      </c>
      <c r="V40" s="31">
        <f>U40+S40+R40+Q40+P40+O40</f>
        <v/>
      </c>
      <c r="W40" s="32">
        <f>AE40*1%</f>
        <v/>
      </c>
      <c r="X40" s="32">
        <f>AE40*10%</f>
        <v/>
      </c>
      <c r="Y40" s="32">
        <f>AE40*1%</f>
        <v/>
      </c>
      <c r="Z40" s="32">
        <f>AE40*8%</f>
        <v/>
      </c>
      <c r="AA40" s="32">
        <f>W40+X40+Y40+Z40</f>
        <v/>
      </c>
      <c r="AB40" s="31">
        <f>AA40+V40+N40</f>
        <v/>
      </c>
      <c r="AC40" s="6">
        <f>AB40*20%</f>
        <v/>
      </c>
      <c r="AD40" s="7">
        <f>AB40+AC40</f>
        <v/>
      </c>
      <c r="AE40" s="32">
        <f>D40*2.1</f>
        <v/>
      </c>
      <c r="AF40" s="7">
        <f>AD40-AE40</f>
        <v/>
      </c>
      <c r="AG40" s="7">
        <f>AF40/AD40*100</f>
        <v/>
      </c>
      <c r="AH40" s="0" t="n">
        <v>80</v>
      </c>
      <c r="AI40" s="33" t="n">
        <v>30</v>
      </c>
      <c r="AJ40" s="34">
        <f>AD40</f>
        <v/>
      </c>
      <c r="AK40" s="34">
        <f>AJ40-(AJ40*7%)</f>
        <v/>
      </c>
      <c r="AL40" s="35">
        <f>AJ40/94</f>
        <v/>
      </c>
      <c r="AM40" s="35">
        <f>AK40/94</f>
        <v/>
      </c>
      <c r="AN40" s="36">
        <f>AJ40/24</f>
        <v/>
      </c>
      <c r="AO40" s="36">
        <f>AK40/24</f>
        <v/>
      </c>
      <c r="AP40" s="37">
        <f>AJ40/125</f>
        <v/>
      </c>
      <c r="AQ40" s="37">
        <f>AK40/125</f>
        <v/>
      </c>
    </row>
    <row r="41" ht="15.75" customHeight="1" s="50">
      <c r="A41" s="32" t="n"/>
      <c r="B41" s="32" t="inlineStr">
        <is>
          <t>Pure Sandalwood</t>
        </is>
      </c>
      <c r="C41" s="32" t="inlineStr">
        <is>
          <t>IS-S-12</t>
        </is>
      </c>
      <c r="D41" s="32" t="n">
        <v>50</v>
      </c>
      <c r="G41" s="32" t="n">
        <v>0</v>
      </c>
      <c r="H41" s="32" t="n">
        <v>10</v>
      </c>
      <c r="I41" s="41" t="n">
        <v>33074100</v>
      </c>
      <c r="J41" s="30" t="n">
        <v>0.05</v>
      </c>
      <c r="K41" s="32">
        <f>D41*J41</f>
        <v/>
      </c>
      <c r="M41" s="32">
        <f>D41*4%</f>
        <v/>
      </c>
      <c r="N41" s="49">
        <f>M41+L41+K41+H41+G41+F41+E41+D41</f>
        <v/>
      </c>
      <c r="O41" s="32">
        <f>D41*1%</f>
        <v/>
      </c>
      <c r="P41" s="7">
        <f>N41*8%</f>
        <v/>
      </c>
      <c r="Q41" s="7">
        <f>N41*10%</f>
        <v/>
      </c>
      <c r="R41" s="7">
        <f>N41*5%</f>
        <v/>
      </c>
      <c r="S41" s="7">
        <f>N41*2%</f>
        <v/>
      </c>
      <c r="T41" s="7">
        <f>AE41*0.5%</f>
        <v/>
      </c>
      <c r="U41" s="7">
        <f>N41*1%</f>
        <v/>
      </c>
      <c r="V41" s="31">
        <f>U41+S41+R41+Q41+P41+O41</f>
        <v/>
      </c>
      <c r="W41" s="32">
        <f>AE41*1%</f>
        <v/>
      </c>
      <c r="X41" s="32">
        <f>AE41*10%</f>
        <v/>
      </c>
      <c r="Y41" s="32">
        <f>AE41*1%</f>
        <v/>
      </c>
      <c r="Z41" s="32">
        <f>AE41*8%</f>
        <v/>
      </c>
      <c r="AA41" s="32">
        <f>W41+X41+Y41+Z41</f>
        <v/>
      </c>
      <c r="AB41" s="31">
        <f>AA41+V41+N41</f>
        <v/>
      </c>
      <c r="AC41" s="6">
        <f>AB41*20%</f>
        <v/>
      </c>
      <c r="AD41" s="7">
        <f>AB41+AC41</f>
        <v/>
      </c>
      <c r="AE41" s="32">
        <f>D41*2.1</f>
        <v/>
      </c>
      <c r="AF41" s="7">
        <f>AD41-AE41</f>
        <v/>
      </c>
      <c r="AG41" s="7">
        <f>AF41/AD41*100</f>
        <v/>
      </c>
      <c r="AH41" s="0" t="n">
        <v>80</v>
      </c>
      <c r="AI41" s="33" t="n">
        <v>30</v>
      </c>
      <c r="AJ41" s="34">
        <f>AD41</f>
        <v/>
      </c>
      <c r="AK41" s="34">
        <f>AJ41-(AJ41*7%)</f>
        <v/>
      </c>
      <c r="AL41" s="35">
        <f>AJ41/94</f>
        <v/>
      </c>
      <c r="AM41" s="35">
        <f>AK41/94</f>
        <v/>
      </c>
      <c r="AN41" s="36">
        <f>AJ41/24</f>
        <v/>
      </c>
      <c r="AO41" s="36">
        <f>AK41/24</f>
        <v/>
      </c>
      <c r="AP41" s="37">
        <f>AJ41/125</f>
        <v/>
      </c>
      <c r="AQ41" s="37">
        <f>AK41/125</f>
        <v/>
      </c>
    </row>
    <row r="42" ht="15" customHeight="1" s="50">
      <c r="A42" s="32" t="inlineStr">
        <is>
          <t>7 Chakras Yoga Mats</t>
        </is>
      </c>
      <c r="B42" s="32" t="inlineStr">
        <is>
          <t>Moderate / Green</t>
        </is>
      </c>
      <c r="C42" s="32" t="inlineStr">
        <is>
          <t>Yo-M-C-MG-G-27</t>
        </is>
      </c>
      <c r="D42" s="32" t="n">
        <v>930</v>
      </c>
      <c r="G42" s="32" t="n">
        <v>0</v>
      </c>
      <c r="H42" s="32" t="n">
        <v>10</v>
      </c>
      <c r="I42" s="41" t="n">
        <v>57050042</v>
      </c>
      <c r="J42" s="30" t="n">
        <v>0.05</v>
      </c>
      <c r="K42" s="32">
        <f>D42*J42</f>
        <v/>
      </c>
      <c r="M42" s="32">
        <f>D42*4%</f>
        <v/>
      </c>
      <c r="N42" s="49">
        <f>M42+L42+K42+H42+G42+F42+E42+D42</f>
        <v/>
      </c>
      <c r="O42" s="32">
        <f>D42*1%</f>
        <v/>
      </c>
      <c r="P42" s="7">
        <f>N42*8%</f>
        <v/>
      </c>
      <c r="Q42" s="7">
        <f>N42*10%</f>
        <v/>
      </c>
      <c r="R42" s="7">
        <f>N42*5%</f>
        <v/>
      </c>
      <c r="S42" s="7">
        <f>N42*2%</f>
        <v/>
      </c>
      <c r="T42" s="7">
        <f>AE42*0.5%</f>
        <v/>
      </c>
      <c r="U42" s="7">
        <f>N42*1%</f>
        <v/>
      </c>
      <c r="V42" s="31">
        <f>U42+S42+R42+Q42+P42+O42</f>
        <v/>
      </c>
      <c r="W42" s="32">
        <f>AE42*1%</f>
        <v/>
      </c>
      <c r="X42" s="32">
        <f>AE42*10%</f>
        <v/>
      </c>
      <c r="Y42" s="32">
        <f>AE42*1%</f>
        <v/>
      </c>
      <c r="Z42" s="32">
        <f>AE42*8%</f>
        <v/>
      </c>
      <c r="AA42" s="32">
        <f>W42+X42+Y42+Z42</f>
        <v/>
      </c>
      <c r="AB42" s="31">
        <f>AA42+V42+N42</f>
        <v/>
      </c>
      <c r="AC42" s="6">
        <f>AB42*20%</f>
        <v/>
      </c>
      <c r="AD42" s="7">
        <f>AB42+AC42</f>
        <v/>
      </c>
      <c r="AE42" s="32">
        <f>D42*2.1</f>
        <v/>
      </c>
      <c r="AF42" s="7">
        <f>AD42-AE42</f>
        <v/>
      </c>
      <c r="AG42" s="7">
        <f>AF42/AD42*100</f>
        <v/>
      </c>
      <c r="AH42" s="0" t="n">
        <v>1790</v>
      </c>
      <c r="AI42" s="33" t="n">
        <v>860</v>
      </c>
      <c r="AJ42" s="34">
        <f>AD42</f>
        <v/>
      </c>
      <c r="AK42" s="34">
        <f>AJ42-(AJ42*7%)</f>
        <v/>
      </c>
      <c r="AL42" s="35">
        <f>AJ42/94</f>
        <v/>
      </c>
      <c r="AM42" s="35">
        <f>AK42/94</f>
        <v/>
      </c>
      <c r="AN42" s="36">
        <f>AJ42/24</f>
        <v/>
      </c>
      <c r="AO42" s="36">
        <f>AK42/24</f>
        <v/>
      </c>
      <c r="AP42" s="37">
        <f>AJ42/125</f>
        <v/>
      </c>
      <c r="AQ42" s="37">
        <f>AK42/125</f>
        <v/>
      </c>
    </row>
    <row r="43" ht="15.75" customHeight="1" s="50">
      <c r="A43" s="32" t="n"/>
      <c r="B43" s="32" t="inlineStr">
        <is>
          <t>Moderate / Orange</t>
        </is>
      </c>
      <c r="C43" s="32" t="inlineStr">
        <is>
          <t>Yo-M-C-MG-o-27</t>
        </is>
      </c>
      <c r="D43" s="32" t="n">
        <v>930</v>
      </c>
      <c r="G43" s="32" t="n">
        <v>0</v>
      </c>
      <c r="H43" s="32" t="n">
        <v>10</v>
      </c>
      <c r="I43" s="41" t="n">
        <v>57050042</v>
      </c>
      <c r="J43" s="30" t="n">
        <v>0.05</v>
      </c>
      <c r="K43" s="32">
        <f>D43*J43</f>
        <v/>
      </c>
      <c r="M43" s="32">
        <f>D43*4%</f>
        <v/>
      </c>
      <c r="N43" s="49">
        <f>M43+L43+K43+H43+G43+F43+E43+D43</f>
        <v/>
      </c>
      <c r="O43" s="32">
        <f>D43*1%</f>
        <v/>
      </c>
      <c r="P43" s="7">
        <f>N43*8%</f>
        <v/>
      </c>
      <c r="Q43" s="7">
        <f>N43*10%</f>
        <v/>
      </c>
      <c r="R43" s="7">
        <f>N43*5%</f>
        <v/>
      </c>
      <c r="S43" s="7">
        <f>N43*2%</f>
        <v/>
      </c>
      <c r="T43" s="7">
        <f>AE43*0.5%</f>
        <v/>
      </c>
      <c r="U43" s="7">
        <f>N43*1%</f>
        <v/>
      </c>
      <c r="V43" s="31">
        <f>U43+S43+R43+Q43+P43+O43</f>
        <v/>
      </c>
      <c r="W43" s="32">
        <f>AE43*1%</f>
        <v/>
      </c>
      <c r="X43" s="32">
        <f>AE43*10%</f>
        <v/>
      </c>
      <c r="Y43" s="32">
        <f>AE43*1%</f>
        <v/>
      </c>
      <c r="Z43" s="32">
        <f>AE43*8%</f>
        <v/>
      </c>
      <c r="AA43" s="32">
        <f>W43+X43+Y43+Z43</f>
        <v/>
      </c>
      <c r="AB43" s="31">
        <f>AA43+V43+N43</f>
        <v/>
      </c>
      <c r="AC43" s="6">
        <f>AB43*20%</f>
        <v/>
      </c>
      <c r="AD43" s="7">
        <f>AB43+AC43</f>
        <v/>
      </c>
      <c r="AE43" s="32">
        <f>D43*2.1</f>
        <v/>
      </c>
      <c r="AF43" s="7">
        <f>AD43-AE43</f>
        <v/>
      </c>
      <c r="AG43" s="7">
        <f>AF43/AD43*100</f>
        <v/>
      </c>
      <c r="AH43" s="0" t="n">
        <v>1790</v>
      </c>
      <c r="AI43" s="33" t="n">
        <v>860</v>
      </c>
      <c r="AJ43" s="34">
        <f>AD43</f>
        <v/>
      </c>
      <c r="AK43" s="34">
        <f>AJ43-(AJ43*7%)</f>
        <v/>
      </c>
      <c r="AL43" s="35">
        <f>AJ43/94</f>
        <v/>
      </c>
      <c r="AM43" s="35">
        <f>AK43/94</f>
        <v/>
      </c>
      <c r="AN43" s="36">
        <f>AJ43/24</f>
        <v/>
      </c>
      <c r="AO43" s="36">
        <f>AK43/24</f>
        <v/>
      </c>
      <c r="AP43" s="37">
        <f>AJ43/125</f>
        <v/>
      </c>
      <c r="AQ43" s="37">
        <f>AK43/125</f>
        <v/>
      </c>
    </row>
    <row r="44" ht="15.75" customHeight="1" s="50">
      <c r="A44" s="32" t="n"/>
      <c r="B44" s="32" t="inlineStr">
        <is>
          <t>Moderate / Blue</t>
        </is>
      </c>
      <c r="C44" s="32" t="inlineStr">
        <is>
          <t>Yo-M-C-MG-B-27</t>
        </is>
      </c>
      <c r="D44" s="32" t="n">
        <v>930</v>
      </c>
      <c r="G44" s="32" t="n">
        <v>0</v>
      </c>
      <c r="H44" s="32" t="n">
        <v>10</v>
      </c>
      <c r="I44" s="41" t="n">
        <v>57050042</v>
      </c>
      <c r="J44" s="30" t="n">
        <v>0.05</v>
      </c>
      <c r="K44" s="32">
        <f>D44*J44</f>
        <v/>
      </c>
      <c r="M44" s="32">
        <f>D44*4%</f>
        <v/>
      </c>
      <c r="N44" s="49">
        <f>M44+L44+K44+H44+G44+F44+E44+D44</f>
        <v/>
      </c>
      <c r="O44" s="32">
        <f>D44*1%</f>
        <v/>
      </c>
      <c r="P44" s="7">
        <f>N44*8%</f>
        <v/>
      </c>
      <c r="Q44" s="7">
        <f>N44*10%</f>
        <v/>
      </c>
      <c r="R44" s="7">
        <f>N44*5%</f>
        <v/>
      </c>
      <c r="S44" s="7">
        <f>N44*2%</f>
        <v/>
      </c>
      <c r="T44" s="7">
        <f>AE44*0.5%</f>
        <v/>
      </c>
      <c r="U44" s="7">
        <f>N44*1%</f>
        <v/>
      </c>
      <c r="V44" s="31">
        <f>U44+S44+R44+Q44+P44+O44</f>
        <v/>
      </c>
      <c r="W44" s="32">
        <f>AE44*1%</f>
        <v/>
      </c>
      <c r="X44" s="32">
        <f>AE44*10%</f>
        <v/>
      </c>
      <c r="Y44" s="32">
        <f>AE44*1%</f>
        <v/>
      </c>
      <c r="Z44" s="32">
        <f>AE44*8%</f>
        <v/>
      </c>
      <c r="AA44" s="32">
        <f>W44+X44+Y44+Z44</f>
        <v/>
      </c>
      <c r="AB44" s="31">
        <f>AA44+V44+N44</f>
        <v/>
      </c>
      <c r="AC44" s="6">
        <f>AB44*20%</f>
        <v/>
      </c>
      <c r="AD44" s="7">
        <f>AB44+AC44</f>
        <v/>
      </c>
      <c r="AE44" s="32">
        <f>D44*2.1</f>
        <v/>
      </c>
      <c r="AF44" s="7">
        <f>AD44-AE44</f>
        <v/>
      </c>
      <c r="AG44" s="7">
        <f>AF44/AD44*100</f>
        <v/>
      </c>
      <c r="AH44" s="0" t="n">
        <v>1790</v>
      </c>
      <c r="AI44" s="33" t="n">
        <v>860</v>
      </c>
      <c r="AJ44" s="34">
        <f>AD44</f>
        <v/>
      </c>
      <c r="AK44" s="34">
        <f>AJ44-(AJ44*7%)</f>
        <v/>
      </c>
      <c r="AL44" s="35">
        <f>AJ44/94</f>
        <v/>
      </c>
      <c r="AM44" s="35">
        <f>AK44/94</f>
        <v/>
      </c>
      <c r="AN44" s="36">
        <f>AJ44/24</f>
        <v/>
      </c>
      <c r="AO44" s="36">
        <f>AK44/24</f>
        <v/>
      </c>
      <c r="AP44" s="37">
        <f>AJ44/125</f>
        <v/>
      </c>
      <c r="AQ44" s="37">
        <f>AK44/125</f>
        <v/>
      </c>
    </row>
    <row r="45" ht="15.75" customHeight="1" s="50">
      <c r="A45" s="32" t="n"/>
      <c r="B45" s="32" t="inlineStr">
        <is>
          <t>Moderate / Pink</t>
        </is>
      </c>
      <c r="C45" s="32" t="inlineStr">
        <is>
          <t>Yo-M-C-MG-P-27</t>
        </is>
      </c>
      <c r="D45" s="32" t="n">
        <v>930</v>
      </c>
      <c r="G45" s="32" t="n">
        <v>0</v>
      </c>
      <c r="H45" s="32" t="n">
        <v>10</v>
      </c>
      <c r="I45" s="41" t="n">
        <v>57050042</v>
      </c>
      <c r="J45" s="30" t="n">
        <v>0.05</v>
      </c>
      <c r="K45" s="32">
        <f>D45*J45</f>
        <v/>
      </c>
      <c r="M45" s="32">
        <f>D45*4%</f>
        <v/>
      </c>
      <c r="N45" s="49">
        <f>M45+L45+K45+H45+G45+F45+E45+D45</f>
        <v/>
      </c>
      <c r="O45" s="32">
        <f>D45*1%</f>
        <v/>
      </c>
      <c r="P45" s="7">
        <f>N45*8%</f>
        <v/>
      </c>
      <c r="Q45" s="7">
        <f>N45*10%</f>
        <v/>
      </c>
      <c r="R45" s="7">
        <f>N45*5%</f>
        <v/>
      </c>
      <c r="S45" s="7">
        <f>N45*2%</f>
        <v/>
      </c>
      <c r="T45" s="7">
        <f>AE45*0.5%</f>
        <v/>
      </c>
      <c r="U45" s="7">
        <f>N45*1%</f>
        <v/>
      </c>
      <c r="V45" s="31">
        <f>U45+S45+R45+Q45+P45+O45</f>
        <v/>
      </c>
      <c r="W45" s="32">
        <f>AE45*1%</f>
        <v/>
      </c>
      <c r="X45" s="32">
        <f>AE45*10%</f>
        <v/>
      </c>
      <c r="Y45" s="32">
        <f>AE45*1%</f>
        <v/>
      </c>
      <c r="Z45" s="32">
        <f>AE45*8%</f>
        <v/>
      </c>
      <c r="AA45" s="32">
        <f>W45+X45+Y45+Z45</f>
        <v/>
      </c>
      <c r="AB45" s="31">
        <f>AA45+V45+N45</f>
        <v/>
      </c>
      <c r="AC45" s="6">
        <f>AB45*20%</f>
        <v/>
      </c>
      <c r="AD45" s="7">
        <f>AB45+AC45</f>
        <v/>
      </c>
      <c r="AE45" s="32">
        <f>D45*2.1</f>
        <v/>
      </c>
      <c r="AF45" s="7">
        <f>AD45-AE45</f>
        <v/>
      </c>
      <c r="AG45" s="7">
        <f>AF45/AD45*100</f>
        <v/>
      </c>
      <c r="AH45" s="0" t="n">
        <v>1790</v>
      </c>
      <c r="AI45" s="33" t="n">
        <v>860</v>
      </c>
      <c r="AJ45" s="34">
        <f>AD45</f>
        <v/>
      </c>
      <c r="AK45" s="34">
        <f>AJ45-(AJ45*7%)</f>
        <v/>
      </c>
      <c r="AL45" s="35">
        <f>AJ45/94</f>
        <v/>
      </c>
      <c r="AM45" s="35">
        <f>AK45/94</f>
        <v/>
      </c>
      <c r="AN45" s="36">
        <f>AJ45/24</f>
        <v/>
      </c>
      <c r="AO45" s="36">
        <f>AK45/24</f>
        <v/>
      </c>
      <c r="AP45" s="37">
        <f>AJ45/125</f>
        <v/>
      </c>
      <c r="AQ45" s="37">
        <f>AK45/125</f>
        <v/>
      </c>
    </row>
    <row r="46" ht="15.75" customHeight="1" s="50">
      <c r="A46" s="32" t="n"/>
      <c r="B46" s="32" t="inlineStr">
        <is>
          <t>Teal/ Superior</t>
        </is>
      </c>
      <c r="C46" s="32" t="inlineStr">
        <is>
          <t>Yo-M-C-HG-T</t>
        </is>
      </c>
      <c r="D46" s="32" t="n">
        <v>960</v>
      </c>
      <c r="G46" s="32" t="n">
        <v>0</v>
      </c>
      <c r="H46" s="32" t="n">
        <v>10</v>
      </c>
      <c r="I46" s="41" t="n">
        <v>57050042</v>
      </c>
      <c r="J46" s="30" t="n">
        <v>0.05</v>
      </c>
      <c r="K46" s="32">
        <f>D46*J46</f>
        <v/>
      </c>
      <c r="M46" s="32">
        <f>D46*4%</f>
        <v/>
      </c>
      <c r="N46" s="49">
        <f>M46+L46+K46+H46+G46+F46+E46+D46</f>
        <v/>
      </c>
      <c r="O46" s="32">
        <f>D46*1%</f>
        <v/>
      </c>
      <c r="P46" s="7">
        <f>N46*8%</f>
        <v/>
      </c>
      <c r="Q46" s="7">
        <f>N46*10%</f>
        <v/>
      </c>
      <c r="R46" s="7">
        <f>N46*5%</f>
        <v/>
      </c>
      <c r="S46" s="7">
        <f>N46*2%</f>
        <v/>
      </c>
      <c r="T46" s="7">
        <f>AE46*0.5%</f>
        <v/>
      </c>
      <c r="U46" s="7">
        <f>N46*1%</f>
        <v/>
      </c>
      <c r="V46" s="31">
        <f>U46+S46+R46+Q46+P46+O46</f>
        <v/>
      </c>
      <c r="W46" s="32">
        <f>AE46*1%</f>
        <v/>
      </c>
      <c r="X46" s="32">
        <f>AE46*10%</f>
        <v/>
      </c>
      <c r="Y46" s="32">
        <f>AE46*1%</f>
        <v/>
      </c>
      <c r="Z46" s="32">
        <f>AE46*8%</f>
        <v/>
      </c>
      <c r="AA46" s="32">
        <f>W46+X46+Y46+Z46</f>
        <v/>
      </c>
      <c r="AB46" s="31">
        <f>AA46+V46+N46</f>
        <v/>
      </c>
      <c r="AC46" s="6">
        <f>AB46*20%</f>
        <v/>
      </c>
      <c r="AD46" s="7">
        <f>AB46+AC46</f>
        <v/>
      </c>
      <c r="AE46" s="32">
        <f>D46*2.1</f>
        <v/>
      </c>
      <c r="AF46" s="7">
        <f>AD46-AE46</f>
        <v/>
      </c>
      <c r="AG46" s="7">
        <f>AF46/AD46*100</f>
        <v/>
      </c>
      <c r="AH46" s="0" t="n">
        <v>1990</v>
      </c>
      <c r="AI46" s="33" t="n">
        <v>1030</v>
      </c>
      <c r="AJ46" s="34">
        <f>AD46</f>
        <v/>
      </c>
      <c r="AK46" s="34">
        <f>AJ46-(AJ46*7%)</f>
        <v/>
      </c>
      <c r="AL46" s="35">
        <f>AJ46/94</f>
        <v/>
      </c>
      <c r="AM46" s="35">
        <f>AK46/94</f>
        <v/>
      </c>
      <c r="AN46" s="36">
        <f>AJ46/24</f>
        <v/>
      </c>
      <c r="AO46" s="36">
        <f>AK46/24</f>
        <v/>
      </c>
      <c r="AP46" s="37">
        <f>AJ46/125</f>
        <v/>
      </c>
      <c r="AQ46" s="37">
        <f>AK46/125</f>
        <v/>
      </c>
    </row>
    <row r="47" ht="15.75" customHeight="1" s="50">
      <c r="A47" s="32" t="n"/>
      <c r="B47" s="32" t="inlineStr">
        <is>
          <t>Orange / Superior</t>
        </is>
      </c>
      <c r="C47" s="32" t="inlineStr">
        <is>
          <t>Yo-M-C-HG-O</t>
        </is>
      </c>
      <c r="D47" s="32" t="n">
        <v>960</v>
      </c>
      <c r="G47" s="32" t="n">
        <v>0</v>
      </c>
      <c r="H47" s="32" t="n">
        <v>10</v>
      </c>
      <c r="I47" s="41" t="n">
        <v>57050042</v>
      </c>
      <c r="J47" s="30" t="n">
        <v>0.05</v>
      </c>
      <c r="K47" s="32">
        <f>D47*J47</f>
        <v/>
      </c>
      <c r="M47" s="32">
        <f>D47*4%</f>
        <v/>
      </c>
      <c r="N47" s="49">
        <f>M47+L47+K47+H47+G47+F47+E47+D47</f>
        <v/>
      </c>
      <c r="O47" s="32">
        <f>D47*1%</f>
        <v/>
      </c>
      <c r="P47" s="7">
        <f>N47*8%</f>
        <v/>
      </c>
      <c r="Q47" s="7">
        <f>N47*10%</f>
        <v/>
      </c>
      <c r="R47" s="7">
        <f>N47*5%</f>
        <v/>
      </c>
      <c r="S47" s="7">
        <f>N47*2%</f>
        <v/>
      </c>
      <c r="T47" s="7">
        <f>AE47*0.5%</f>
        <v/>
      </c>
      <c r="U47" s="7">
        <f>N47*1%</f>
        <v/>
      </c>
      <c r="V47" s="31">
        <f>U47+S47+R47+Q47+P47+O47</f>
        <v/>
      </c>
      <c r="W47" s="32">
        <f>AE47*1%</f>
        <v/>
      </c>
      <c r="X47" s="32">
        <f>AE47*10%</f>
        <v/>
      </c>
      <c r="Y47" s="32">
        <f>AE47*1%</f>
        <v/>
      </c>
      <c r="Z47" s="32">
        <f>AE47*8%</f>
        <v/>
      </c>
      <c r="AA47" s="32">
        <f>W47+X47+Y47+Z47</f>
        <v/>
      </c>
      <c r="AB47" s="31">
        <f>AA47+V47+N47</f>
        <v/>
      </c>
      <c r="AC47" s="6">
        <f>AB47*20%</f>
        <v/>
      </c>
      <c r="AD47" s="7">
        <f>AB47+AC47</f>
        <v/>
      </c>
      <c r="AE47" s="32">
        <f>D47*2.1</f>
        <v/>
      </c>
      <c r="AF47" s="7">
        <f>AD47-AE47</f>
        <v/>
      </c>
      <c r="AG47" s="7">
        <f>AF47/AD47*100</f>
        <v/>
      </c>
      <c r="AH47" s="0" t="n">
        <v>1990</v>
      </c>
      <c r="AI47" s="33" t="n">
        <v>1030</v>
      </c>
      <c r="AJ47" s="34">
        <f>AD47</f>
        <v/>
      </c>
      <c r="AK47" s="34">
        <f>AJ47-(AJ47*7%)</f>
        <v/>
      </c>
      <c r="AL47" s="35">
        <f>AJ47/94</f>
        <v/>
      </c>
      <c r="AM47" s="35">
        <f>AK47/94</f>
        <v/>
      </c>
      <c r="AN47" s="36">
        <f>AJ47/24</f>
        <v/>
      </c>
      <c r="AO47" s="36">
        <f>AK47/24</f>
        <v/>
      </c>
      <c r="AP47" s="37">
        <f>AJ47/125</f>
        <v/>
      </c>
      <c r="AQ47" s="37">
        <f>AK47/125</f>
        <v/>
      </c>
    </row>
    <row r="48" ht="15.75" customHeight="1" s="50">
      <c r="A48" s="32" t="n"/>
      <c r="B48" s="32" t="inlineStr">
        <is>
          <t>Yellow / Superior</t>
        </is>
      </c>
      <c r="C48" s="32" t="inlineStr">
        <is>
          <t>Yo-M-C-HG-Y</t>
        </is>
      </c>
      <c r="D48" s="32" t="n">
        <v>960</v>
      </c>
      <c r="G48" s="32" t="n">
        <v>0</v>
      </c>
      <c r="H48" s="32" t="n">
        <v>10</v>
      </c>
      <c r="I48" s="41" t="n">
        <v>57050042</v>
      </c>
      <c r="J48" s="30" t="n">
        <v>0.05</v>
      </c>
      <c r="K48" s="32">
        <f>D48*J48</f>
        <v/>
      </c>
      <c r="M48" s="32">
        <f>D48*4%</f>
        <v/>
      </c>
      <c r="N48" s="49">
        <f>M48+L48+K48+H48+G48+F48+E48+D48</f>
        <v/>
      </c>
      <c r="O48" s="32">
        <f>D48*1%</f>
        <v/>
      </c>
      <c r="P48" s="7">
        <f>N48*8%</f>
        <v/>
      </c>
      <c r="Q48" s="7">
        <f>N48*10%</f>
        <v/>
      </c>
      <c r="R48" s="7">
        <f>N48*5%</f>
        <v/>
      </c>
      <c r="S48" s="7">
        <f>N48*2%</f>
        <v/>
      </c>
      <c r="T48" s="7">
        <f>AE48*0.5%</f>
        <v/>
      </c>
      <c r="U48" s="7">
        <f>N48*1%</f>
        <v/>
      </c>
      <c r="V48" s="31">
        <f>U48+S48+R48+Q48+P48+O48</f>
        <v/>
      </c>
      <c r="W48" s="32">
        <f>AE48*1%</f>
        <v/>
      </c>
      <c r="X48" s="32">
        <f>AE48*10%</f>
        <v/>
      </c>
      <c r="Y48" s="32">
        <f>AE48*1%</f>
        <v/>
      </c>
      <c r="Z48" s="32">
        <f>AE48*8%</f>
        <v/>
      </c>
      <c r="AA48" s="32">
        <f>W48+X48+Y48+Z48</f>
        <v/>
      </c>
      <c r="AB48" s="31">
        <f>AA48+V48+N48</f>
        <v/>
      </c>
      <c r="AC48" s="6">
        <f>AB48*20%</f>
        <v/>
      </c>
      <c r="AD48" s="7">
        <f>AB48+AC48</f>
        <v/>
      </c>
      <c r="AE48" s="32">
        <f>D48*2.1</f>
        <v/>
      </c>
      <c r="AF48" s="7">
        <f>AD48-AE48</f>
        <v/>
      </c>
      <c r="AG48" s="7">
        <f>AF48/AD48*100</f>
        <v/>
      </c>
      <c r="AH48" s="0" t="n">
        <v>1990</v>
      </c>
      <c r="AI48" s="33" t="n">
        <v>1030</v>
      </c>
      <c r="AJ48" s="34">
        <f>AD48</f>
        <v/>
      </c>
      <c r="AK48" s="34">
        <f>AJ48-(AJ48*7%)</f>
        <v/>
      </c>
      <c r="AL48" s="35">
        <f>AJ48/94</f>
        <v/>
      </c>
      <c r="AM48" s="35">
        <f>AK48/94</f>
        <v/>
      </c>
      <c r="AN48" s="36">
        <f>AJ48/24</f>
        <v/>
      </c>
      <c r="AO48" s="36">
        <f>AK48/24</f>
        <v/>
      </c>
      <c r="AP48" s="37">
        <f>AJ48/125</f>
        <v/>
      </c>
      <c r="AQ48" s="37">
        <f>AK48/125</f>
        <v/>
      </c>
    </row>
    <row r="49" ht="15.75" customHeight="1" s="50">
      <c r="A49" s="32" t="n"/>
      <c r="B49" s="32" t="inlineStr">
        <is>
          <t>Pink / Superior</t>
        </is>
      </c>
      <c r="C49" s="32" t="inlineStr">
        <is>
          <t>Yo-M-C-HG-P</t>
        </is>
      </c>
      <c r="D49" s="32" t="n">
        <v>960</v>
      </c>
      <c r="G49" s="32" t="n">
        <v>0</v>
      </c>
      <c r="H49" s="32" t="n">
        <v>10</v>
      </c>
      <c r="I49" s="41" t="n">
        <v>57050042</v>
      </c>
      <c r="J49" s="30" t="n">
        <v>0.05</v>
      </c>
      <c r="K49" s="32">
        <f>D49*J49</f>
        <v/>
      </c>
      <c r="M49" s="32">
        <f>D49*4%</f>
        <v/>
      </c>
      <c r="N49" s="49">
        <f>M49+L49+K49+H49+G49+F49+E49+D49</f>
        <v/>
      </c>
      <c r="O49" s="32">
        <f>D49*1%</f>
        <v/>
      </c>
      <c r="P49" s="7">
        <f>N49*8%</f>
        <v/>
      </c>
      <c r="Q49" s="7">
        <f>N49*10%</f>
        <v/>
      </c>
      <c r="R49" s="7">
        <f>N49*5%</f>
        <v/>
      </c>
      <c r="S49" s="7">
        <f>N49*2%</f>
        <v/>
      </c>
      <c r="T49" s="7">
        <f>AE49*0.5%</f>
        <v/>
      </c>
      <c r="U49" s="7">
        <f>N49*1%</f>
        <v/>
      </c>
      <c r="V49" s="31">
        <f>U49+S49+R49+Q49+P49+O49</f>
        <v/>
      </c>
      <c r="W49" s="32">
        <f>AE49*1%</f>
        <v/>
      </c>
      <c r="X49" s="32">
        <f>AE49*10%</f>
        <v/>
      </c>
      <c r="Y49" s="32">
        <f>AE49*1%</f>
        <v/>
      </c>
      <c r="Z49" s="32">
        <f>AE49*8%</f>
        <v/>
      </c>
      <c r="AA49" s="32">
        <f>W49+X49+Y49+Z49</f>
        <v/>
      </c>
      <c r="AB49" s="31">
        <f>AA49+V49+N49</f>
        <v/>
      </c>
      <c r="AC49" s="6">
        <f>AB49*20%</f>
        <v/>
      </c>
      <c r="AD49" s="7">
        <f>AB49+AC49</f>
        <v/>
      </c>
      <c r="AE49" s="32">
        <f>D49*2.1</f>
        <v/>
      </c>
      <c r="AF49" s="7">
        <f>AD49-AE49</f>
        <v/>
      </c>
      <c r="AG49" s="7">
        <f>AF49/AD49*100</f>
        <v/>
      </c>
      <c r="AH49" s="0" t="n">
        <v>1990</v>
      </c>
      <c r="AI49" s="33" t="n">
        <v>1030</v>
      </c>
      <c r="AJ49" s="34">
        <f>AD49</f>
        <v/>
      </c>
      <c r="AK49" s="34">
        <f>AJ49-(AJ49*7%)</f>
        <v/>
      </c>
      <c r="AL49" s="35">
        <f>AJ49/94</f>
        <v/>
      </c>
      <c r="AM49" s="35">
        <f>AK49/94</f>
        <v/>
      </c>
      <c r="AN49" s="36">
        <f>AJ49/24</f>
        <v/>
      </c>
      <c r="AO49" s="36">
        <f>AK49/24</f>
        <v/>
      </c>
      <c r="AP49" s="37">
        <f>AJ49/125</f>
        <v/>
      </c>
      <c r="AQ49" s="37">
        <f>AK49/125</f>
        <v/>
      </c>
    </row>
    <row r="50" ht="15" customHeight="1" s="50">
      <c r="A50" s="32" t="inlineStr">
        <is>
          <t>7-Key Kalimba Made from Coconut Shell - Painted &amp; Plain</t>
        </is>
      </c>
      <c r="B50" s="32" t="inlineStr">
        <is>
          <t>Plain Etched</t>
        </is>
      </c>
      <c r="C50" s="32" t="inlineStr">
        <is>
          <t>MI-KCS-PE</t>
        </is>
      </c>
      <c r="D50" s="32" t="n">
        <v>300</v>
      </c>
      <c r="G50" s="32" t="n">
        <v>0</v>
      </c>
      <c r="H50" s="32" t="n">
        <v>10</v>
      </c>
      <c r="I50" s="41" t="n">
        <v>46029000</v>
      </c>
      <c r="J50" s="30" t="n">
        <v>0.05</v>
      </c>
      <c r="K50" s="32">
        <f>D50*J50</f>
        <v/>
      </c>
      <c r="M50" s="32">
        <f>D50*4%</f>
        <v/>
      </c>
      <c r="N50" s="49">
        <f>M50+L50+K50+H50+G50+F50+E50+D50</f>
        <v/>
      </c>
      <c r="O50" s="32">
        <f>D50*1%</f>
        <v/>
      </c>
      <c r="P50" s="7">
        <f>N50*8%</f>
        <v/>
      </c>
      <c r="Q50" s="7">
        <f>N50*10%</f>
        <v/>
      </c>
      <c r="R50" s="7">
        <f>N50*5%</f>
        <v/>
      </c>
      <c r="S50" s="7">
        <f>N50*2%</f>
        <v/>
      </c>
      <c r="T50" s="7">
        <f>AE50*0.5%</f>
        <v/>
      </c>
      <c r="U50" s="7">
        <f>N50*1%</f>
        <v/>
      </c>
      <c r="V50" s="31">
        <f>U50+S50+R50+Q50+P50+O50</f>
        <v/>
      </c>
      <c r="W50" s="32">
        <f>AE50*1%</f>
        <v/>
      </c>
      <c r="X50" s="32">
        <f>AE50*10%</f>
        <v/>
      </c>
      <c r="Y50" s="32">
        <f>AE50*1%</f>
        <v/>
      </c>
      <c r="Z50" s="32">
        <f>AE50*8%</f>
        <v/>
      </c>
      <c r="AA50" s="32">
        <f>W50+X50+Y50+Z50</f>
        <v/>
      </c>
      <c r="AB50" s="31">
        <f>AA50+V50+N50</f>
        <v/>
      </c>
      <c r="AC50" s="6">
        <f>AB50*20%</f>
        <v/>
      </c>
      <c r="AD50" s="7">
        <f>AB50+AC50</f>
        <v/>
      </c>
      <c r="AE50" s="32">
        <f>D50*2.1</f>
        <v/>
      </c>
      <c r="AF50" s="7">
        <f>AD50-AE50</f>
        <v/>
      </c>
      <c r="AG50" s="7">
        <f>AF50/AD50*100</f>
        <v/>
      </c>
      <c r="AH50" s="0" t="n">
        <v>950</v>
      </c>
      <c r="AI50" s="33" t="n">
        <v>650</v>
      </c>
      <c r="AJ50" s="34">
        <f>AD50</f>
        <v/>
      </c>
      <c r="AK50" s="34">
        <f>AJ50-(AJ50*7%)</f>
        <v/>
      </c>
      <c r="AL50" s="35">
        <f>AJ50/94</f>
        <v/>
      </c>
      <c r="AM50" s="35">
        <f>AK50/94</f>
        <v/>
      </c>
      <c r="AN50" s="36">
        <f>AJ50/24</f>
        <v/>
      </c>
      <c r="AO50" s="36">
        <f>AK50/24</f>
        <v/>
      </c>
      <c r="AP50" s="37">
        <f>AJ50/125</f>
        <v/>
      </c>
      <c r="AQ50" s="37">
        <f>AK50/125</f>
        <v/>
      </c>
    </row>
    <row r="51" ht="15.75" customHeight="1" s="50">
      <c r="A51" s="32" t="n"/>
      <c r="B51" s="32" t="inlineStr">
        <is>
          <t>Dot Painted</t>
        </is>
      </c>
      <c r="C51" s="32" t="inlineStr">
        <is>
          <t>MI-KCS-DP</t>
        </is>
      </c>
      <c r="D51" s="32" t="n">
        <v>350</v>
      </c>
      <c r="G51" s="32" t="n">
        <v>0</v>
      </c>
      <c r="H51" s="32" t="n">
        <v>10</v>
      </c>
      <c r="I51" s="41" t="n">
        <v>46029000</v>
      </c>
      <c r="J51" s="30" t="n">
        <v>0.05</v>
      </c>
      <c r="K51" s="32">
        <f>D51*J51</f>
        <v/>
      </c>
      <c r="M51" s="32">
        <f>D51*4%</f>
        <v/>
      </c>
      <c r="N51" s="49">
        <f>M51+L51+K51+H51+G51+F51+E51+D51</f>
        <v/>
      </c>
      <c r="O51" s="32">
        <f>D51*1%</f>
        <v/>
      </c>
      <c r="P51" s="7">
        <f>N51*8%</f>
        <v/>
      </c>
      <c r="Q51" s="7">
        <f>N51*10%</f>
        <v/>
      </c>
      <c r="R51" s="7">
        <f>N51*5%</f>
        <v/>
      </c>
      <c r="S51" s="7">
        <f>N51*2%</f>
        <v/>
      </c>
      <c r="T51" s="7">
        <f>AE51*0.5%</f>
        <v/>
      </c>
      <c r="U51" s="7">
        <f>N51*1%</f>
        <v/>
      </c>
      <c r="V51" s="31">
        <f>U51+S51+R51+Q51+P51+O51</f>
        <v/>
      </c>
      <c r="W51" s="32">
        <f>AE51*1%</f>
        <v/>
      </c>
      <c r="X51" s="32">
        <f>AE51*10%</f>
        <v/>
      </c>
      <c r="Y51" s="32">
        <f>AE51*1%</f>
        <v/>
      </c>
      <c r="Z51" s="32">
        <f>AE51*8%</f>
        <v/>
      </c>
      <c r="AA51" s="32">
        <f>W51+X51+Y51+Z51</f>
        <v/>
      </c>
      <c r="AB51" s="31">
        <f>AA51+V51+N51</f>
        <v/>
      </c>
      <c r="AC51" s="6">
        <f>AB51*20%</f>
        <v/>
      </c>
      <c r="AD51" s="7">
        <f>AB51+AC51</f>
        <v/>
      </c>
      <c r="AE51" s="32">
        <f>D51*2.1</f>
        <v/>
      </c>
      <c r="AF51" s="7">
        <f>AD51-AE51</f>
        <v/>
      </c>
      <c r="AG51" s="7">
        <f>AF51/AD51*100</f>
        <v/>
      </c>
      <c r="AH51" s="0" t="n">
        <v>950</v>
      </c>
      <c r="AI51" s="33" t="n">
        <v>600</v>
      </c>
      <c r="AJ51" s="34">
        <f>AD51</f>
        <v/>
      </c>
      <c r="AK51" s="34">
        <f>AJ51-(AJ51*7%)</f>
        <v/>
      </c>
      <c r="AL51" s="35">
        <f>AJ51/94</f>
        <v/>
      </c>
      <c r="AM51" s="35">
        <f>AK51/94</f>
        <v/>
      </c>
      <c r="AN51" s="36">
        <f>AJ51/24</f>
        <v/>
      </c>
      <c r="AO51" s="36">
        <f>AK51/24</f>
        <v/>
      </c>
      <c r="AP51" s="37">
        <f>AJ51/125</f>
        <v/>
      </c>
      <c r="AQ51" s="37">
        <f>AK51/125</f>
        <v/>
      </c>
    </row>
    <row r="52" ht="15" customHeight="1" s="50">
      <c r="A52" s="32" t="inlineStr">
        <is>
          <t>8 Keys Metallophone - with 1” &amp; 1.5” key-widths</t>
        </is>
      </c>
      <c r="B52" s="32" t="inlineStr">
        <is>
          <t>1 inch</t>
        </is>
      </c>
      <c r="C52" s="32" t="inlineStr">
        <is>
          <t>MI-XP-SP-1-8</t>
        </is>
      </c>
      <c r="D52" s="32" t="n">
        <v>5700</v>
      </c>
      <c r="G52" s="32" t="n">
        <v>0</v>
      </c>
      <c r="H52" s="32" t="n">
        <v>10</v>
      </c>
      <c r="I52" s="41" t="n">
        <v>92060000</v>
      </c>
      <c r="J52" s="41" t="n">
        <v>0</v>
      </c>
      <c r="K52" s="32">
        <f>D52*J52</f>
        <v/>
      </c>
      <c r="M52" s="32">
        <f>D52*4%</f>
        <v/>
      </c>
      <c r="N52" s="49">
        <f>M52+L52+K52+H52+G52+F52+E52+D52</f>
        <v/>
      </c>
      <c r="O52" s="32">
        <f>D52*1%</f>
        <v/>
      </c>
      <c r="P52" s="7">
        <f>N52*8%</f>
        <v/>
      </c>
      <c r="Q52" s="7">
        <f>N52*10%</f>
        <v/>
      </c>
      <c r="R52" s="7">
        <f>N52*5%</f>
        <v/>
      </c>
      <c r="S52" s="7">
        <f>N52*2%</f>
        <v/>
      </c>
      <c r="T52" s="7">
        <f>AE52*0.5%</f>
        <v/>
      </c>
      <c r="U52" s="7">
        <f>N52*1%</f>
        <v/>
      </c>
      <c r="V52" s="31">
        <f>U52+S52+R52+Q52+P52+O52</f>
        <v/>
      </c>
      <c r="W52" s="32">
        <f>AE52*1%</f>
        <v/>
      </c>
      <c r="X52" s="32">
        <f>AE52*10%</f>
        <v/>
      </c>
      <c r="Y52" s="32">
        <f>AE52*1%</f>
        <v/>
      </c>
      <c r="Z52" s="32">
        <f>AE52*8%</f>
        <v/>
      </c>
      <c r="AA52" s="32">
        <f>W52+X52+Y52+Z52</f>
        <v/>
      </c>
      <c r="AB52" s="31">
        <f>AA52+V52+N52</f>
        <v/>
      </c>
      <c r="AC52" s="6">
        <f>AB52*20%</f>
        <v/>
      </c>
      <c r="AD52" s="7">
        <f>AB52+AC52</f>
        <v/>
      </c>
      <c r="AE52" s="32">
        <f>D52*2.1</f>
        <v/>
      </c>
      <c r="AF52" s="7">
        <f>AD52-AE52</f>
        <v/>
      </c>
      <c r="AG52" s="7">
        <f>AF52/AD52*100</f>
        <v/>
      </c>
      <c r="AH52" s="0" t="n">
        <v>7650</v>
      </c>
      <c r="AI52" s="33" t="n">
        <v>1950</v>
      </c>
      <c r="AJ52" s="34">
        <f>AD52</f>
        <v/>
      </c>
      <c r="AK52" s="34">
        <f>AJ52-(AJ52*7%)</f>
        <v/>
      </c>
      <c r="AL52" s="35">
        <f>AJ52/94</f>
        <v/>
      </c>
      <c r="AM52" s="35">
        <f>AK52/94</f>
        <v/>
      </c>
      <c r="AN52" s="36">
        <f>AJ52/24</f>
        <v/>
      </c>
      <c r="AO52" s="36">
        <f>AK52/24</f>
        <v/>
      </c>
      <c r="AP52" s="37">
        <f>AJ52/125</f>
        <v/>
      </c>
      <c r="AQ52" s="37">
        <f>AK52/125</f>
        <v/>
      </c>
    </row>
    <row r="53" ht="15.75" customHeight="1" s="50">
      <c r="A53" s="32" t="n"/>
      <c r="B53" s="32" t="inlineStr">
        <is>
          <t>1.5 inch</t>
        </is>
      </c>
      <c r="C53" s="32" t="inlineStr">
        <is>
          <t>MI-XP-SP-1.5-8</t>
        </is>
      </c>
      <c r="D53" s="32" t="n">
        <v>7500</v>
      </c>
      <c r="G53" s="32" t="n">
        <v>0</v>
      </c>
      <c r="H53" s="32" t="n">
        <v>10</v>
      </c>
      <c r="I53" s="41" t="n">
        <v>92060000</v>
      </c>
      <c r="J53" s="41" t="n">
        <v>0</v>
      </c>
      <c r="K53" s="32">
        <f>D53*J53</f>
        <v/>
      </c>
      <c r="M53" s="32">
        <f>D53*4%</f>
        <v/>
      </c>
      <c r="N53" s="49">
        <f>M53+L53+K53+H53+G53+F53+E53+D53</f>
        <v/>
      </c>
      <c r="O53" s="32">
        <f>D53*1%</f>
        <v/>
      </c>
      <c r="P53" s="7">
        <f>N53*8%</f>
        <v/>
      </c>
      <c r="Q53" s="7">
        <f>N53*10%</f>
        <v/>
      </c>
      <c r="R53" s="7">
        <f>N53*5%</f>
        <v/>
      </c>
      <c r="S53" s="7">
        <f>N53*2%</f>
        <v/>
      </c>
      <c r="T53" s="7">
        <f>AE53*0.5%</f>
        <v/>
      </c>
      <c r="U53" s="7">
        <f>N53*1%</f>
        <v/>
      </c>
      <c r="V53" s="31">
        <f>U53+S53+R53+Q53+P53+O53</f>
        <v/>
      </c>
      <c r="W53" s="32">
        <f>AE53*1%</f>
        <v/>
      </c>
      <c r="X53" s="32">
        <f>AE53*10%</f>
        <v/>
      </c>
      <c r="Y53" s="32">
        <f>AE53*1%</f>
        <v/>
      </c>
      <c r="Z53" s="32">
        <f>AE53*8%</f>
        <v/>
      </c>
      <c r="AA53" s="32">
        <f>W53+X53+Y53+Z53</f>
        <v/>
      </c>
      <c r="AB53" s="31">
        <f>AA53+V53+N53</f>
        <v/>
      </c>
      <c r="AC53" s="6">
        <f>AB53*20%</f>
        <v/>
      </c>
      <c r="AD53" s="7">
        <f>AB53+AC53</f>
        <v/>
      </c>
      <c r="AE53" s="32">
        <f>D53*2.1</f>
        <v/>
      </c>
      <c r="AF53" s="7">
        <f>AD53-AE53</f>
        <v/>
      </c>
      <c r="AG53" s="7">
        <f>AF53/AD53*100</f>
        <v/>
      </c>
      <c r="AH53" s="0" t="n">
        <v>9350</v>
      </c>
      <c r="AI53" s="33" t="n">
        <v>1850</v>
      </c>
      <c r="AJ53" s="34">
        <f>AD53</f>
        <v/>
      </c>
      <c r="AK53" s="34">
        <f>AJ53-(AJ53*7%)</f>
        <v/>
      </c>
      <c r="AL53" s="35">
        <f>AJ53/94</f>
        <v/>
      </c>
      <c r="AM53" s="35">
        <f>AK53/94</f>
        <v/>
      </c>
      <c r="AN53" s="36">
        <f>AJ53/24</f>
        <v/>
      </c>
      <c r="AO53" s="36">
        <f>AK53/24</f>
        <v/>
      </c>
      <c r="AP53" s="37">
        <f>AJ53/125</f>
        <v/>
      </c>
      <c r="AQ53" s="37">
        <f>AK53/125</f>
        <v/>
      </c>
    </row>
    <row r="54" ht="15.75" customHeight="1" s="50">
      <c r="A54" s="32" t="inlineStr">
        <is>
          <t>8 Keys Wooden Xylophone</t>
        </is>
      </c>
      <c r="B54" s="32" t="inlineStr">
        <is>
          <t>Standard</t>
        </is>
      </c>
      <c r="C54" s="32" t="inlineStr">
        <is>
          <t>MI-XP-W-8</t>
        </is>
      </c>
      <c r="D54" s="32" t="n">
        <v>4500</v>
      </c>
      <c r="G54" s="32" t="n">
        <v>0</v>
      </c>
      <c r="H54" s="32" t="n">
        <v>10</v>
      </c>
      <c r="I54" s="41" t="n">
        <v>92060000</v>
      </c>
      <c r="J54" s="41" t="n">
        <v>0</v>
      </c>
      <c r="K54" s="32">
        <f>D54*J54</f>
        <v/>
      </c>
      <c r="M54" s="32">
        <f>D54*4%</f>
        <v/>
      </c>
      <c r="N54" s="49">
        <f>M54+L54+K54+H54+G54+F54+E54+D54</f>
        <v/>
      </c>
      <c r="O54" s="32">
        <f>D54*1%</f>
        <v/>
      </c>
      <c r="P54" s="7">
        <f>N54*8%</f>
        <v/>
      </c>
      <c r="Q54" s="7">
        <f>N54*10%</f>
        <v/>
      </c>
      <c r="R54" s="7">
        <f>N54*5%</f>
        <v/>
      </c>
      <c r="S54" s="7">
        <f>N54*2%</f>
        <v/>
      </c>
      <c r="T54" s="7">
        <f>AE54*0.5%</f>
        <v/>
      </c>
      <c r="U54" s="7">
        <f>N54*1%</f>
        <v/>
      </c>
      <c r="V54" s="31">
        <f>U54+S54+R54+Q54+P54+O54</f>
        <v/>
      </c>
      <c r="W54" s="32">
        <f>AE54*1%</f>
        <v/>
      </c>
      <c r="X54" s="32">
        <f>AE54*10%</f>
        <v/>
      </c>
      <c r="Y54" s="32">
        <f>AE54*1%</f>
        <v/>
      </c>
      <c r="Z54" s="32">
        <f>AE54*8%</f>
        <v/>
      </c>
      <c r="AA54" s="32">
        <f>W54+X54+Y54+Z54</f>
        <v/>
      </c>
      <c r="AB54" s="31">
        <f>AA54+V54+N54</f>
        <v/>
      </c>
      <c r="AC54" s="6">
        <f>AB54*20%</f>
        <v/>
      </c>
      <c r="AD54" s="7">
        <f>AB54+AC54</f>
        <v/>
      </c>
      <c r="AE54" s="32">
        <f>D54*2.1</f>
        <v/>
      </c>
      <c r="AF54" s="7">
        <f>AD54-AE54</f>
        <v/>
      </c>
      <c r="AG54" s="7">
        <f>AF54/AD54*100</f>
        <v/>
      </c>
      <c r="AH54" s="0" t="n">
        <v>7850</v>
      </c>
      <c r="AI54" s="33" t="n">
        <v>3350</v>
      </c>
      <c r="AJ54" s="34">
        <f>AD54</f>
        <v/>
      </c>
      <c r="AK54" s="34">
        <f>AJ54-(AJ54*7%)</f>
        <v/>
      </c>
      <c r="AL54" s="35">
        <f>AJ54/94</f>
        <v/>
      </c>
      <c r="AM54" s="35">
        <f>AK54/94</f>
        <v/>
      </c>
      <c r="AN54" s="36">
        <f>AJ54/24</f>
        <v/>
      </c>
      <c r="AO54" s="36">
        <f>AK54/24</f>
        <v/>
      </c>
      <c r="AP54" s="37">
        <f>AJ54/125</f>
        <v/>
      </c>
      <c r="AQ54" s="37">
        <f>AK54/125</f>
        <v/>
      </c>
    </row>
    <row r="55" ht="15" customHeight="1" s="50">
      <c r="A55" s="32" t="inlineStr">
        <is>
          <t>9/10 Notes Handpan Drum - Handcrafted to Precision</t>
        </is>
      </c>
      <c r="B55" s="32" t="inlineStr">
        <is>
          <t>D Celtic Minor 9</t>
        </is>
      </c>
      <c r="C55" s="32" t="inlineStr">
        <is>
          <t>MI-D-HP-DC-M9</t>
        </is>
      </c>
      <c r="D55" s="32" t="n">
        <v>72600</v>
      </c>
      <c r="G55" s="32" t="n">
        <v>0</v>
      </c>
      <c r="H55" s="32" t="n">
        <v>10</v>
      </c>
      <c r="I55" s="41" t="n">
        <v>92030090</v>
      </c>
      <c r="J55" s="41" t="n">
        <v>0</v>
      </c>
      <c r="K55" s="32">
        <f>D55*J55</f>
        <v/>
      </c>
      <c r="M55" s="32">
        <f>D55*4%</f>
        <v/>
      </c>
      <c r="N55" s="49">
        <f>M55+L55+K55+H55+G55+F55+E55+D55</f>
        <v/>
      </c>
      <c r="O55" s="32">
        <f>D55*1%</f>
        <v/>
      </c>
      <c r="P55" s="7">
        <f>N55*8%</f>
        <v/>
      </c>
      <c r="Q55" s="7">
        <f>N55*10%</f>
        <v/>
      </c>
      <c r="R55" s="7">
        <f>N55*5%</f>
        <v/>
      </c>
      <c r="S55" s="7">
        <f>N55*2%</f>
        <v/>
      </c>
      <c r="T55" s="7">
        <f>AE55*0.5%</f>
        <v/>
      </c>
      <c r="U55" s="7">
        <f>N55*1%</f>
        <v/>
      </c>
      <c r="V55" s="31">
        <f>U55+S55+R55+Q55+P55+O55</f>
        <v/>
      </c>
      <c r="W55" s="32">
        <f>AE55*1%</f>
        <v/>
      </c>
      <c r="X55" s="32">
        <f>AE55*10%</f>
        <v/>
      </c>
      <c r="Y55" s="32">
        <f>AE55*1%</f>
        <v/>
      </c>
      <c r="Z55" s="32">
        <f>AE55*8%</f>
        <v/>
      </c>
      <c r="AA55" s="32">
        <f>W55+X55+Y55+Z55</f>
        <v/>
      </c>
      <c r="AB55" s="31">
        <f>AA55+V55+N55</f>
        <v/>
      </c>
      <c r="AC55" s="6">
        <f>AB55*20%</f>
        <v/>
      </c>
      <c r="AD55" s="7">
        <f>AB55+AC55</f>
        <v/>
      </c>
      <c r="AE55" s="32">
        <f>D55*2.1</f>
        <v/>
      </c>
      <c r="AF55" s="7">
        <f>AD55-AE55</f>
        <v/>
      </c>
      <c r="AG55" s="7">
        <f>AF55/AD55*100</f>
        <v/>
      </c>
      <c r="AH55" s="0" t="n">
        <v>81500</v>
      </c>
      <c r="AI55" s="33" t="n">
        <v>8900</v>
      </c>
      <c r="AJ55" s="34">
        <f>AD55</f>
        <v/>
      </c>
      <c r="AK55" s="34">
        <f>AJ55-(AJ55*7%)</f>
        <v/>
      </c>
      <c r="AL55" s="35">
        <f>AJ55/94</f>
        <v/>
      </c>
      <c r="AM55" s="35">
        <f>AK55/94</f>
        <v/>
      </c>
      <c r="AN55" s="36">
        <f>AJ55/24</f>
        <v/>
      </c>
      <c r="AO55" s="36">
        <f>AK55/24</f>
        <v/>
      </c>
      <c r="AP55" s="37">
        <f>AJ55/125</f>
        <v/>
      </c>
      <c r="AQ55" s="37">
        <f>AK55/125</f>
        <v/>
      </c>
    </row>
    <row r="56" ht="15.75" customHeight="1" s="50">
      <c r="A56" s="32" t="n"/>
      <c r="B56" s="32" t="inlineStr">
        <is>
          <t>D Kurd 10</t>
        </is>
      </c>
      <c r="C56" s="32" t="inlineStr">
        <is>
          <t>MI-D-HP-DK-10</t>
        </is>
      </c>
      <c r="D56" s="32" t="n">
        <v>81000</v>
      </c>
      <c r="G56" s="32" t="n">
        <v>0</v>
      </c>
      <c r="H56" s="32" t="n">
        <v>10</v>
      </c>
      <c r="I56" s="41" t="n">
        <v>92060000</v>
      </c>
      <c r="J56" s="41" t="n">
        <v>0</v>
      </c>
      <c r="K56" s="32">
        <f>D56*J56</f>
        <v/>
      </c>
      <c r="M56" s="32">
        <f>D56*4%</f>
        <v/>
      </c>
      <c r="N56" s="49">
        <f>M56+L56+K56+H56+G56+F56+E56+D56</f>
        <v/>
      </c>
      <c r="O56" s="32">
        <f>D56*1%</f>
        <v/>
      </c>
      <c r="P56" s="7">
        <f>N56*8%</f>
        <v/>
      </c>
      <c r="Q56" s="7">
        <f>N56*10%</f>
        <v/>
      </c>
      <c r="R56" s="7">
        <f>N56*5%</f>
        <v/>
      </c>
      <c r="S56" s="7">
        <f>N56*2%</f>
        <v/>
      </c>
      <c r="T56" s="7">
        <f>AE56*0.5%</f>
        <v/>
      </c>
      <c r="U56" s="7">
        <f>N56*1%</f>
        <v/>
      </c>
      <c r="V56" s="31">
        <f>U56+S56+R56+Q56+P56+O56</f>
        <v/>
      </c>
      <c r="W56" s="32">
        <f>AE56*1%</f>
        <v/>
      </c>
      <c r="X56" s="32">
        <f>AE56*10%</f>
        <v/>
      </c>
      <c r="Y56" s="32">
        <f>AE56*1%</f>
        <v/>
      </c>
      <c r="Z56" s="32">
        <f>AE56*8%</f>
        <v/>
      </c>
      <c r="AA56" s="32">
        <f>W56+X56+Y56+Z56</f>
        <v/>
      </c>
      <c r="AB56" s="31">
        <f>AA56+V56+N56</f>
        <v/>
      </c>
      <c r="AC56" s="6">
        <f>AB56*20%</f>
        <v/>
      </c>
      <c r="AD56" s="7">
        <f>AB56+AC56</f>
        <v/>
      </c>
      <c r="AE56" s="32">
        <f>D56*2.1</f>
        <v/>
      </c>
      <c r="AF56" s="7">
        <f>AD56-AE56</f>
        <v/>
      </c>
      <c r="AG56" s="7">
        <f>AF56/AD56*100</f>
        <v/>
      </c>
      <c r="AH56" s="0" t="n">
        <v>91500</v>
      </c>
      <c r="AI56" s="33" t="n">
        <v>10500</v>
      </c>
      <c r="AJ56" s="34">
        <f>AD56</f>
        <v/>
      </c>
      <c r="AK56" s="34">
        <f>AJ56-(AJ56*7%)</f>
        <v/>
      </c>
      <c r="AL56" s="35">
        <f>AJ56/94</f>
        <v/>
      </c>
      <c r="AM56" s="35">
        <f>AK56/94</f>
        <v/>
      </c>
      <c r="AN56" s="36">
        <f>AJ56/24</f>
        <v/>
      </c>
      <c r="AO56" s="36">
        <f>AK56/24</f>
        <v/>
      </c>
      <c r="AP56" s="37">
        <f>AJ56/125</f>
        <v/>
      </c>
      <c r="AQ56" s="37">
        <f>AK56/125</f>
        <v/>
      </c>
    </row>
    <row r="57" ht="15.75" customHeight="1" s="50">
      <c r="A57" s="32" t="inlineStr">
        <is>
          <t>Aluminium 25 Steel Bars Chime</t>
        </is>
      </c>
      <c r="B57" s="32" t="inlineStr">
        <is>
          <t>Standard</t>
        </is>
      </c>
      <c r="C57" s="32" t="inlineStr">
        <is>
          <t>MI-Ch-BS-25</t>
        </is>
      </c>
      <c r="D57" s="32" t="n">
        <v>1680</v>
      </c>
      <c r="E57" s="32" t="n">
        <v>100</v>
      </c>
      <c r="G57" s="32" t="n">
        <v>0</v>
      </c>
      <c r="H57" s="32" t="n">
        <v>10</v>
      </c>
      <c r="I57" s="41" t="n">
        <v>92059090</v>
      </c>
      <c r="J57" s="41" t="n"/>
      <c r="K57" s="32">
        <f>D57*J57</f>
        <v/>
      </c>
      <c r="M57" s="32">
        <f>D57*4%</f>
        <v/>
      </c>
      <c r="N57" s="49">
        <f>M57+L57+K57+H57+G57+F57+E57+D57</f>
        <v/>
      </c>
      <c r="O57" s="32">
        <f>D57*1%</f>
        <v/>
      </c>
      <c r="P57" s="7">
        <f>N57*8%</f>
        <v/>
      </c>
      <c r="Q57" s="7">
        <f>N57*10%</f>
        <v/>
      </c>
      <c r="R57" s="7">
        <f>N57*5%</f>
        <v/>
      </c>
      <c r="S57" s="7">
        <f>N57*2%</f>
        <v/>
      </c>
      <c r="T57" s="7">
        <f>AE57*0.5%</f>
        <v/>
      </c>
      <c r="U57" s="7">
        <f>N57*1%</f>
        <v/>
      </c>
      <c r="V57" s="31">
        <f>U57+S57+R57+Q57+P57+O57</f>
        <v/>
      </c>
      <c r="W57" s="32">
        <f>AE57*1%</f>
        <v/>
      </c>
      <c r="X57" s="32">
        <f>AE57*10%</f>
        <v/>
      </c>
      <c r="Y57" s="32">
        <f>AE57*1%</f>
        <v/>
      </c>
      <c r="Z57" s="32">
        <f>AE57*8%</f>
        <v/>
      </c>
      <c r="AA57" s="32">
        <f>W57+X57+Y57+Z57</f>
        <v/>
      </c>
      <c r="AB57" s="31">
        <f>AA57+V57+N57</f>
        <v/>
      </c>
      <c r="AC57" s="6">
        <f>AB57*20%</f>
        <v/>
      </c>
      <c r="AD57" s="7">
        <f>AB57+AC57</f>
        <v/>
      </c>
      <c r="AE57" s="32">
        <f>D57*2.1</f>
        <v/>
      </c>
      <c r="AF57" s="7">
        <f>AD57-AE57</f>
        <v/>
      </c>
      <c r="AG57" s="7">
        <f>AF57/AD57*100</f>
        <v/>
      </c>
      <c r="AI57" s="33" t="n"/>
      <c r="AJ57" s="34">
        <f>AD57</f>
        <v/>
      </c>
      <c r="AK57" s="34">
        <f>AJ57-(AJ57*7%)</f>
        <v/>
      </c>
      <c r="AL57" s="35">
        <f>AJ57/94</f>
        <v/>
      </c>
      <c r="AM57" s="35">
        <f>AK57/94</f>
        <v/>
      </c>
      <c r="AN57" s="36">
        <f>AJ57/24</f>
        <v/>
      </c>
      <c r="AO57" s="36">
        <f>AK57/24</f>
        <v/>
      </c>
      <c r="AP57" s="37">
        <f>AJ57/125</f>
        <v/>
      </c>
      <c r="AQ57" s="37">
        <f>AK57/125</f>
        <v/>
      </c>
    </row>
    <row r="58" ht="15" customHeight="1" s="50">
      <c r="A58" s="32" t="inlineStr">
        <is>
          <t>Angel Tuning Forks</t>
        </is>
      </c>
      <c r="B58" s="32" t="inlineStr">
        <is>
          <t>4096 Hz</t>
        </is>
      </c>
      <c r="C58" s="32" t="inlineStr">
        <is>
          <t>Mi-TF-AG-4096</t>
        </is>
      </c>
      <c r="D58" s="32" t="n">
        <v>1200</v>
      </c>
      <c r="G58" s="32" t="n">
        <v>0</v>
      </c>
      <c r="H58" s="32" t="n">
        <v>10</v>
      </c>
      <c r="I58" s="41" t="n">
        <v>9202</v>
      </c>
      <c r="J58" s="30" t="n">
        <v>0.18</v>
      </c>
      <c r="K58" s="32">
        <f>D58*J58</f>
        <v/>
      </c>
      <c r="M58" s="32">
        <f>D58*4%</f>
        <v/>
      </c>
      <c r="N58" s="49">
        <f>M58+L58+K58+H58+G58+F58+E58+D58</f>
        <v/>
      </c>
      <c r="O58" s="32">
        <f>D58*1%</f>
        <v/>
      </c>
      <c r="P58" s="7">
        <f>N58*8%</f>
        <v/>
      </c>
      <c r="Q58" s="7">
        <f>N58*10%</f>
        <v/>
      </c>
      <c r="R58" s="7">
        <f>N58*5%</f>
        <v/>
      </c>
      <c r="S58" s="7">
        <f>N58*2%</f>
        <v/>
      </c>
      <c r="T58" s="7">
        <f>AE58*0.5%</f>
        <v/>
      </c>
      <c r="U58" s="7">
        <f>N58*1%</f>
        <v/>
      </c>
      <c r="V58" s="31">
        <f>U58+S58+R58+Q58+P58+O58</f>
        <v/>
      </c>
      <c r="W58" s="32">
        <f>AE58*1%</f>
        <v/>
      </c>
      <c r="X58" s="32">
        <f>AE58*10%</f>
        <v/>
      </c>
      <c r="Y58" s="32">
        <f>AE58*1%</f>
        <v/>
      </c>
      <c r="Z58" s="32">
        <f>AE58*8%</f>
        <v/>
      </c>
      <c r="AA58" s="32">
        <f>W58+X58+Y58+Z58</f>
        <v/>
      </c>
      <c r="AB58" s="31">
        <f>AA58+V58+N58</f>
        <v/>
      </c>
      <c r="AC58" s="6">
        <f>AB58*20%</f>
        <v/>
      </c>
      <c r="AD58" s="7">
        <f>AB58+AC58</f>
        <v/>
      </c>
      <c r="AE58" s="32">
        <f>D58*2.1</f>
        <v/>
      </c>
      <c r="AF58" s="7">
        <f>AD58-AE58</f>
        <v/>
      </c>
      <c r="AG58" s="7">
        <f>AF58/AD58*100</f>
        <v/>
      </c>
      <c r="AH58" s="0" t="n">
        <v>2350</v>
      </c>
      <c r="AI58" s="33" t="n">
        <v>1150</v>
      </c>
      <c r="AJ58" s="34">
        <f>AD58</f>
        <v/>
      </c>
      <c r="AK58" s="34">
        <f>AJ58-(AJ58*7%)</f>
        <v/>
      </c>
      <c r="AL58" s="35">
        <f>AJ58/94</f>
        <v/>
      </c>
      <c r="AM58" s="35">
        <f>AK58/94</f>
        <v/>
      </c>
      <c r="AN58" s="36">
        <f>AJ58/24</f>
        <v/>
      </c>
      <c r="AO58" s="36">
        <f>AK58/24</f>
        <v/>
      </c>
      <c r="AP58" s="37">
        <f>AJ58/125</f>
        <v/>
      </c>
      <c r="AQ58" s="37">
        <f>AK58/125</f>
        <v/>
      </c>
    </row>
    <row r="59" ht="15.75" customHeight="1" s="50">
      <c r="A59" s="32" t="n"/>
      <c r="B59" s="32" t="inlineStr">
        <is>
          <t>4160 Hz</t>
        </is>
      </c>
      <c r="C59" s="32" t="inlineStr">
        <is>
          <t>Mi-TF-AG-4160</t>
        </is>
      </c>
      <c r="D59" s="32" t="n">
        <v>1200</v>
      </c>
      <c r="G59" s="32" t="n">
        <v>0</v>
      </c>
      <c r="H59" s="32" t="n">
        <v>10</v>
      </c>
      <c r="I59" s="41" t="n">
        <v>9202</v>
      </c>
      <c r="J59" s="30" t="n">
        <v>0.18</v>
      </c>
      <c r="K59" s="32">
        <f>D59*J59</f>
        <v/>
      </c>
      <c r="M59" s="32">
        <f>D59*4%</f>
        <v/>
      </c>
      <c r="N59" s="49">
        <f>M59+L59+K59+H59+G59+F59+E59+D59</f>
        <v/>
      </c>
      <c r="O59" s="32">
        <f>D59*1%</f>
        <v/>
      </c>
      <c r="P59" s="7">
        <f>N59*8%</f>
        <v/>
      </c>
      <c r="Q59" s="7">
        <f>N59*10%</f>
        <v/>
      </c>
      <c r="R59" s="7">
        <f>N59*5%</f>
        <v/>
      </c>
      <c r="S59" s="7">
        <f>N59*2%</f>
        <v/>
      </c>
      <c r="T59" s="7">
        <f>AE59*0.5%</f>
        <v/>
      </c>
      <c r="U59" s="7">
        <f>N59*1%</f>
        <v/>
      </c>
      <c r="V59" s="31">
        <f>U59+S59+R59+Q59+P59+O59</f>
        <v/>
      </c>
      <c r="W59" s="32">
        <f>AE59*1%</f>
        <v/>
      </c>
      <c r="X59" s="32">
        <f>AE59*10%</f>
        <v/>
      </c>
      <c r="Y59" s="32">
        <f>AE59*1%</f>
        <v/>
      </c>
      <c r="Z59" s="32">
        <f>AE59*8%</f>
        <v/>
      </c>
      <c r="AA59" s="32">
        <f>W59+X59+Y59+Z59</f>
        <v/>
      </c>
      <c r="AB59" s="31">
        <f>AA59+V59+N59</f>
        <v/>
      </c>
      <c r="AC59" s="6">
        <f>AB59*20%</f>
        <v/>
      </c>
      <c r="AD59" s="7">
        <f>AB59+AC59</f>
        <v/>
      </c>
      <c r="AE59" s="32">
        <f>D59*2.1</f>
        <v/>
      </c>
      <c r="AF59" s="7">
        <f>AD59-AE59</f>
        <v/>
      </c>
      <c r="AG59" s="7">
        <f>AF59/AD59*100</f>
        <v/>
      </c>
      <c r="AH59" s="0" t="n">
        <v>2550</v>
      </c>
      <c r="AI59" s="33" t="n">
        <v>1350</v>
      </c>
      <c r="AJ59" s="34">
        <f>AD59</f>
        <v/>
      </c>
      <c r="AK59" s="34">
        <f>AJ59-(AJ59*7%)</f>
        <v/>
      </c>
      <c r="AL59" s="35">
        <f>AJ59/94</f>
        <v/>
      </c>
      <c r="AM59" s="35">
        <f>AK59/94</f>
        <v/>
      </c>
      <c r="AN59" s="36">
        <f>AJ59/24</f>
        <v/>
      </c>
      <c r="AO59" s="36">
        <f>AK59/24</f>
        <v/>
      </c>
      <c r="AP59" s="37">
        <f>AJ59/125</f>
        <v/>
      </c>
      <c r="AQ59" s="37">
        <f>AK59/125</f>
        <v/>
      </c>
    </row>
    <row r="60" ht="15.75" customHeight="1" s="50">
      <c r="A60" s="32" t="n"/>
      <c r="B60" s="32" t="inlineStr">
        <is>
          <t>4225 Hz</t>
        </is>
      </c>
      <c r="C60" s="32" t="inlineStr">
        <is>
          <t>Mi-TF-AG-4225</t>
        </is>
      </c>
      <c r="D60" s="32" t="n">
        <v>1200</v>
      </c>
      <c r="G60" s="32" t="n">
        <v>0</v>
      </c>
      <c r="H60" s="32" t="n">
        <v>10</v>
      </c>
      <c r="I60" s="41" t="n">
        <v>9202</v>
      </c>
      <c r="J60" s="30" t="n">
        <v>0.18</v>
      </c>
      <c r="K60" s="32">
        <f>D60*J60</f>
        <v/>
      </c>
      <c r="M60" s="32">
        <f>D60*4%</f>
        <v/>
      </c>
      <c r="N60" s="49">
        <f>M60+L60+K60+H60+G60+F60+E60+D60</f>
        <v/>
      </c>
      <c r="O60" s="32">
        <f>D60*1%</f>
        <v/>
      </c>
      <c r="P60" s="7">
        <f>N60*8%</f>
        <v/>
      </c>
      <c r="Q60" s="7">
        <f>N60*10%</f>
        <v/>
      </c>
      <c r="R60" s="7">
        <f>N60*5%</f>
        <v/>
      </c>
      <c r="S60" s="7">
        <f>N60*2%</f>
        <v/>
      </c>
      <c r="T60" s="7">
        <f>AE60*0.5%</f>
        <v/>
      </c>
      <c r="U60" s="7">
        <f>N60*1%</f>
        <v/>
      </c>
      <c r="V60" s="31">
        <f>U60+S60+R60+Q60+P60+O60</f>
        <v/>
      </c>
      <c r="W60" s="32">
        <f>AE60*1%</f>
        <v/>
      </c>
      <c r="X60" s="32">
        <f>AE60*10%</f>
        <v/>
      </c>
      <c r="Y60" s="32">
        <f>AE60*1%</f>
        <v/>
      </c>
      <c r="Z60" s="32">
        <f>AE60*8%</f>
        <v/>
      </c>
      <c r="AA60" s="32">
        <f>W60+X60+Y60+Z60</f>
        <v/>
      </c>
      <c r="AB60" s="31">
        <f>AA60+V60+N60</f>
        <v/>
      </c>
      <c r="AC60" s="6">
        <f>AB60*20%</f>
        <v/>
      </c>
      <c r="AD60" s="7">
        <f>AB60+AC60</f>
        <v/>
      </c>
      <c r="AE60" s="32">
        <f>D60*2.1</f>
        <v/>
      </c>
      <c r="AF60" s="7">
        <f>AD60-AE60</f>
        <v/>
      </c>
      <c r="AG60" s="7">
        <f>AF60/AD60*100</f>
        <v/>
      </c>
      <c r="AH60" s="0" t="n">
        <v>2750</v>
      </c>
      <c r="AI60" s="33" t="n">
        <v>1550</v>
      </c>
      <c r="AJ60" s="34">
        <f>AD60</f>
        <v/>
      </c>
      <c r="AK60" s="34">
        <f>AJ60-(AJ60*7%)</f>
        <v/>
      </c>
      <c r="AL60" s="35">
        <f>AJ60/94</f>
        <v/>
      </c>
      <c r="AM60" s="35">
        <f>AK60/94</f>
        <v/>
      </c>
      <c r="AN60" s="36">
        <f>AJ60/24</f>
        <v/>
      </c>
      <c r="AO60" s="36">
        <f>AK60/24</f>
        <v/>
      </c>
      <c r="AP60" s="37">
        <f>AJ60/125</f>
        <v/>
      </c>
      <c r="AQ60" s="37">
        <f>AK60/125</f>
        <v/>
      </c>
    </row>
    <row r="61" ht="15" customHeight="1" s="50">
      <c r="A61" s="32" t="inlineStr">
        <is>
          <t>Artistically Designed Copper Bottles</t>
        </is>
      </c>
      <c r="B61" s="32" t="inlineStr">
        <is>
          <t>Tatvamasi - I am Infinite / With Brush / 500ml</t>
        </is>
      </c>
      <c r="C61" s="32" t="inlineStr">
        <is>
          <t>CB-T-B-.5</t>
        </is>
      </c>
      <c r="D61" s="32" t="n">
        <v>390</v>
      </c>
      <c r="E61" s="32" t="n">
        <v>50</v>
      </c>
      <c r="G61" s="32" t="n">
        <v>0</v>
      </c>
      <c r="H61" s="32" t="n">
        <v>10</v>
      </c>
      <c r="I61" s="41" t="n">
        <v>741810</v>
      </c>
      <c r="J61" s="41" t="n">
        <v>5</v>
      </c>
      <c r="K61" s="32">
        <f>D61*J61</f>
        <v/>
      </c>
      <c r="M61" s="32">
        <f>D61*4%</f>
        <v/>
      </c>
      <c r="N61" s="49">
        <f>M61+L61+K61+H61+G61+F61+E61+D61</f>
        <v/>
      </c>
      <c r="O61" s="32">
        <f>D61*1%</f>
        <v/>
      </c>
      <c r="P61" s="7">
        <f>N61*8%</f>
        <v/>
      </c>
      <c r="Q61" s="7">
        <f>N61*10%</f>
        <v/>
      </c>
      <c r="R61" s="7">
        <f>N61*5%</f>
        <v/>
      </c>
      <c r="S61" s="7">
        <f>N61*2%</f>
        <v/>
      </c>
      <c r="T61" s="7">
        <f>AE61*0.5%</f>
        <v/>
      </c>
      <c r="U61" s="7">
        <f>N61*1%</f>
        <v/>
      </c>
      <c r="V61" s="31">
        <f>U61+S61+R61+Q61+P61+O61</f>
        <v/>
      </c>
      <c r="W61" s="32">
        <f>AE61*1%</f>
        <v/>
      </c>
      <c r="X61" s="32">
        <f>AE61*10%</f>
        <v/>
      </c>
      <c r="Y61" s="32">
        <f>AE61*1%</f>
        <v/>
      </c>
      <c r="Z61" s="32">
        <f>AE61*8%</f>
        <v/>
      </c>
      <c r="AA61" s="32">
        <f>W61+X61+Y61+Z61</f>
        <v/>
      </c>
      <c r="AB61" s="31">
        <f>AA61+V61+N61</f>
        <v/>
      </c>
      <c r="AC61" s="6">
        <f>AB61*20%</f>
        <v/>
      </c>
      <c r="AD61" s="7">
        <f>AB61+AC61</f>
        <v/>
      </c>
      <c r="AE61" s="32">
        <f>D61*2.1</f>
        <v/>
      </c>
      <c r="AF61" s="7">
        <f>AD61-AE61</f>
        <v/>
      </c>
      <c r="AG61" s="7">
        <f>AF61/AD61*100</f>
        <v/>
      </c>
      <c r="AH61" s="0" t="n">
        <v>985</v>
      </c>
      <c r="AI61" s="33" t="n">
        <v>595</v>
      </c>
      <c r="AJ61" s="34">
        <f>AD61</f>
        <v/>
      </c>
      <c r="AK61" s="34">
        <f>AJ61-(AJ61*7%)</f>
        <v/>
      </c>
      <c r="AL61" s="35">
        <f>AJ61/94</f>
        <v/>
      </c>
      <c r="AM61" s="35">
        <f>AK61/94</f>
        <v/>
      </c>
      <c r="AN61" s="36">
        <f>AJ61/24</f>
        <v/>
      </c>
      <c r="AO61" s="36">
        <f>AK61/24</f>
        <v/>
      </c>
      <c r="AP61" s="37">
        <f>AJ61/125</f>
        <v/>
      </c>
      <c r="AQ61" s="37">
        <f>AK61/125</f>
        <v/>
      </c>
    </row>
    <row r="62" ht="15.75" customHeight="1" s="50">
      <c r="A62" s="32" t="n"/>
      <c r="B62" s="32" t="inlineStr">
        <is>
          <t>Without Brush / 1L / Blue Tranquillity</t>
        </is>
      </c>
      <c r="C62" s="32" t="inlineStr">
        <is>
          <t>CB-BM</t>
        </is>
      </c>
      <c r="D62" s="32" t="n">
        <v>460</v>
      </c>
      <c r="G62" s="32" t="n">
        <v>0</v>
      </c>
      <c r="H62" s="32" t="n">
        <v>10</v>
      </c>
      <c r="I62" s="41" t="n">
        <v>741810</v>
      </c>
      <c r="J62" s="41" t="n">
        <v>5</v>
      </c>
      <c r="K62" s="32">
        <f>D62*J62</f>
        <v/>
      </c>
      <c r="M62" s="32">
        <f>D62*4%</f>
        <v/>
      </c>
      <c r="N62" s="49">
        <f>M62+L62+K62+H62+G62+F62+E62+D62</f>
        <v/>
      </c>
      <c r="O62" s="32">
        <f>D62*1%</f>
        <v/>
      </c>
      <c r="P62" s="7">
        <f>N62*8%</f>
        <v/>
      </c>
      <c r="Q62" s="7">
        <f>N62*10%</f>
        <v/>
      </c>
      <c r="R62" s="7">
        <f>N62*5%</f>
        <v/>
      </c>
      <c r="S62" s="7">
        <f>N62*2%</f>
        <v/>
      </c>
      <c r="T62" s="7">
        <f>AE62*0.5%</f>
        <v/>
      </c>
      <c r="U62" s="7">
        <f>N62*1%</f>
        <v/>
      </c>
      <c r="V62" s="31">
        <f>U62+S62+R62+Q62+P62+O62</f>
        <v/>
      </c>
      <c r="W62" s="32">
        <f>AE62*1%</f>
        <v/>
      </c>
      <c r="X62" s="32">
        <f>AE62*10%</f>
        <v/>
      </c>
      <c r="Y62" s="32">
        <f>AE62*1%</f>
        <v/>
      </c>
      <c r="Z62" s="32">
        <f>AE62*8%</f>
        <v/>
      </c>
      <c r="AA62" s="32">
        <f>W62+X62+Y62+Z62</f>
        <v/>
      </c>
      <c r="AB62" s="31">
        <f>AA62+V62+N62</f>
        <v/>
      </c>
      <c r="AC62" s="6">
        <f>AB62*20%</f>
        <v/>
      </c>
      <c r="AD62" s="7">
        <f>AB62+AC62</f>
        <v/>
      </c>
      <c r="AE62" s="32">
        <f>D62*2.1</f>
        <v/>
      </c>
      <c r="AF62" s="7">
        <f>AD62-AE62</f>
        <v/>
      </c>
      <c r="AG62" s="7">
        <f>AF62/AD62*100</f>
        <v/>
      </c>
      <c r="AH62" s="0" t="n">
        <v>1245</v>
      </c>
      <c r="AI62" s="33" t="n">
        <v>785</v>
      </c>
      <c r="AJ62" s="34">
        <f>AD62</f>
        <v/>
      </c>
      <c r="AK62" s="34">
        <f>AJ62-(AJ62*7%)</f>
        <v/>
      </c>
      <c r="AL62" s="35">
        <f>AJ62/94</f>
        <v/>
      </c>
      <c r="AM62" s="35">
        <f>AK62/94</f>
        <v/>
      </c>
      <c r="AN62" s="36">
        <f>AJ62/24</f>
        <v/>
      </c>
      <c r="AO62" s="36">
        <f>AK62/24</f>
        <v/>
      </c>
      <c r="AP62" s="37">
        <f>AJ62/125</f>
        <v/>
      </c>
      <c r="AQ62" s="37">
        <f>AK62/125</f>
        <v/>
      </c>
    </row>
    <row r="63" ht="15.75" customHeight="1" s="50">
      <c r="A63" s="32" t="n"/>
      <c r="B63" s="32" t="inlineStr">
        <is>
          <t>Without Brush / Blue Tranquillity / 500ml</t>
        </is>
      </c>
      <c r="C63" s="32" t="inlineStr">
        <is>
          <t>CB-BM-.5</t>
        </is>
      </c>
      <c r="D63" s="32" t="n">
        <v>390</v>
      </c>
      <c r="G63" s="32" t="n">
        <v>0</v>
      </c>
      <c r="H63" s="32" t="n">
        <v>10</v>
      </c>
      <c r="I63" s="41" t="n">
        <v>741810</v>
      </c>
      <c r="J63" s="41" t="n">
        <v>5</v>
      </c>
      <c r="K63" s="32">
        <f>D63*J63</f>
        <v/>
      </c>
      <c r="M63" s="32">
        <f>D63*4%</f>
        <v/>
      </c>
      <c r="N63" s="49">
        <f>M63+L63+K63+H63+G63+F63+E63+D63</f>
        <v/>
      </c>
      <c r="O63" s="32">
        <f>D63*1%</f>
        <v/>
      </c>
      <c r="P63" s="7">
        <f>N63*8%</f>
        <v/>
      </c>
      <c r="Q63" s="7">
        <f>N63*10%</f>
        <v/>
      </c>
      <c r="R63" s="7">
        <f>N63*5%</f>
        <v/>
      </c>
      <c r="S63" s="7">
        <f>N63*2%</f>
        <v/>
      </c>
      <c r="T63" s="7">
        <f>AE63*0.5%</f>
        <v/>
      </c>
      <c r="U63" s="7">
        <f>N63*1%</f>
        <v/>
      </c>
      <c r="V63" s="31">
        <f>U63+S63+R63+Q63+P63+O63</f>
        <v/>
      </c>
      <c r="W63" s="32">
        <f>AE63*1%</f>
        <v/>
      </c>
      <c r="X63" s="32">
        <f>AE63*10%</f>
        <v/>
      </c>
      <c r="Y63" s="32">
        <f>AE63*1%</f>
        <v/>
      </c>
      <c r="Z63" s="32">
        <f>AE63*8%</f>
        <v/>
      </c>
      <c r="AA63" s="32">
        <f>W63+X63+Y63+Z63</f>
        <v/>
      </c>
      <c r="AB63" s="31">
        <f>AA63+V63+N63</f>
        <v/>
      </c>
      <c r="AC63" s="6">
        <f>AB63*20%</f>
        <v/>
      </c>
      <c r="AD63" s="7">
        <f>AB63+AC63</f>
        <v/>
      </c>
      <c r="AE63" s="32">
        <f>D63*2.1</f>
        <v/>
      </c>
      <c r="AF63" s="7">
        <f>AD63-AE63</f>
        <v/>
      </c>
      <c r="AG63" s="7">
        <f>AF63/AD63*100</f>
        <v/>
      </c>
      <c r="AH63" s="0" t="n">
        <v>890</v>
      </c>
      <c r="AI63" s="33" t="n">
        <v>500</v>
      </c>
      <c r="AJ63" s="34">
        <f>AD63</f>
        <v/>
      </c>
      <c r="AK63" s="34">
        <f>AJ63-(AJ63*7%)</f>
        <v/>
      </c>
      <c r="AL63" s="35">
        <f>AJ63/94</f>
        <v/>
      </c>
      <c r="AM63" s="35">
        <f>AK63/94</f>
        <v/>
      </c>
      <c r="AN63" s="36">
        <f>AJ63/24</f>
        <v/>
      </c>
      <c r="AO63" s="36">
        <f>AK63/24</f>
        <v/>
      </c>
      <c r="AP63" s="37">
        <f>AJ63/125</f>
        <v/>
      </c>
      <c r="AQ63" s="37">
        <f>AK63/125</f>
        <v/>
      </c>
    </row>
    <row r="64" ht="15.75" customHeight="1" s="50">
      <c r="A64" s="32" t="n"/>
      <c r="B64" s="32" t="inlineStr">
        <is>
          <t>1L / With Brush / Blue Tranquillity</t>
        </is>
      </c>
      <c r="C64" s="32" t="inlineStr">
        <is>
          <t>CB-BM-B</t>
        </is>
      </c>
      <c r="D64" s="32" t="n">
        <v>460</v>
      </c>
      <c r="E64" s="32" t="n">
        <v>50</v>
      </c>
      <c r="G64" s="32" t="n">
        <v>0</v>
      </c>
      <c r="H64" s="32" t="n">
        <v>10</v>
      </c>
      <c r="I64" s="41" t="n">
        <v>741810</v>
      </c>
      <c r="J64" s="41" t="n">
        <v>5</v>
      </c>
      <c r="K64" s="32">
        <f>D64*J64</f>
        <v/>
      </c>
      <c r="M64" s="32">
        <f>D64*4%</f>
        <v/>
      </c>
      <c r="N64" s="49">
        <f>M64+L64+K64+H64+G64+F64+E64+D64</f>
        <v/>
      </c>
      <c r="O64" s="32">
        <f>D64*1%</f>
        <v/>
      </c>
      <c r="P64" s="7">
        <f>N64*8%</f>
        <v/>
      </c>
      <c r="Q64" s="7">
        <f>N64*10%</f>
        <v/>
      </c>
      <c r="R64" s="7">
        <f>N64*5%</f>
        <v/>
      </c>
      <c r="S64" s="7">
        <f>N64*2%</f>
        <v/>
      </c>
      <c r="T64" s="7">
        <f>AE64*0.5%</f>
        <v/>
      </c>
      <c r="U64" s="7">
        <f>N64*1%</f>
        <v/>
      </c>
      <c r="V64" s="31">
        <f>U64+S64+R64+Q64+P64+O64</f>
        <v/>
      </c>
      <c r="W64" s="32">
        <f>AE64*1%</f>
        <v/>
      </c>
      <c r="X64" s="32">
        <f>AE64*10%</f>
        <v/>
      </c>
      <c r="Y64" s="32">
        <f>AE64*1%</f>
        <v/>
      </c>
      <c r="Z64" s="32">
        <f>AE64*8%</f>
        <v/>
      </c>
      <c r="AA64" s="32">
        <f>W64+X64+Y64+Z64</f>
        <v/>
      </c>
      <c r="AB64" s="31">
        <f>AA64+V64+N64</f>
        <v/>
      </c>
      <c r="AC64" s="6">
        <f>AB64*20%</f>
        <v/>
      </c>
      <c r="AD64" s="7">
        <f>AB64+AC64</f>
        <v/>
      </c>
      <c r="AE64" s="32">
        <f>D64*2.1</f>
        <v/>
      </c>
      <c r="AF64" s="7">
        <f>AD64-AE64</f>
        <v/>
      </c>
      <c r="AG64" s="7">
        <f>AF64/AD64*100</f>
        <v/>
      </c>
      <c r="AH64" s="0" t="n">
        <v>1345</v>
      </c>
      <c r="AI64" s="33" t="n">
        <v>885</v>
      </c>
      <c r="AJ64" s="34">
        <f>AD64</f>
        <v/>
      </c>
      <c r="AK64" s="34">
        <f>AJ64-(AJ64*7%)</f>
        <v/>
      </c>
      <c r="AL64" s="35">
        <f>AJ64/94</f>
        <v/>
      </c>
      <c r="AM64" s="35">
        <f>AK64/94</f>
        <v/>
      </c>
      <c r="AN64" s="36">
        <f>AJ64/24</f>
        <v/>
      </c>
      <c r="AO64" s="36">
        <f>AK64/24</f>
        <v/>
      </c>
      <c r="AP64" s="37">
        <f>AJ64/125</f>
        <v/>
      </c>
      <c r="AQ64" s="37">
        <f>AK64/125</f>
        <v/>
      </c>
    </row>
    <row r="65" ht="15.75" customHeight="1" s="50">
      <c r="A65" s="32" t="n"/>
      <c r="B65" s="32" t="inlineStr">
        <is>
          <t>With Brush / Blue Tranquillity / 500ml</t>
        </is>
      </c>
      <c r="C65" s="32" t="inlineStr">
        <is>
          <t>CB-BM-B-.5</t>
        </is>
      </c>
      <c r="D65" s="32" t="n">
        <v>390</v>
      </c>
      <c r="E65" s="32" t="n">
        <v>50</v>
      </c>
      <c r="G65" s="32" t="n">
        <v>0</v>
      </c>
      <c r="H65" s="32" t="n">
        <v>10</v>
      </c>
      <c r="I65" s="41" t="n">
        <v>741810</v>
      </c>
      <c r="J65" s="41" t="n">
        <v>5</v>
      </c>
      <c r="K65" s="32">
        <f>D65*J65</f>
        <v/>
      </c>
      <c r="M65" s="32">
        <f>D65*4%</f>
        <v/>
      </c>
      <c r="N65" s="49">
        <f>M65+L65+K65+H65+G65+F65+E65+D65</f>
        <v/>
      </c>
      <c r="O65" s="32">
        <f>D65*1%</f>
        <v/>
      </c>
      <c r="P65" s="7">
        <f>N65*8%</f>
        <v/>
      </c>
      <c r="Q65" s="7">
        <f>N65*10%</f>
        <v/>
      </c>
      <c r="R65" s="7">
        <f>N65*5%</f>
        <v/>
      </c>
      <c r="S65" s="7">
        <f>N65*2%</f>
        <v/>
      </c>
      <c r="T65" s="7">
        <f>AE65*0.5%</f>
        <v/>
      </c>
      <c r="U65" s="7">
        <f>N65*1%</f>
        <v/>
      </c>
      <c r="V65" s="31">
        <f>U65+S65+R65+Q65+P65+O65</f>
        <v/>
      </c>
      <c r="W65" s="32">
        <f>AE65*1%</f>
        <v/>
      </c>
      <c r="X65" s="32">
        <f>AE65*10%</f>
        <v/>
      </c>
      <c r="Y65" s="32">
        <f>AE65*1%</f>
        <v/>
      </c>
      <c r="Z65" s="32">
        <f>AE65*8%</f>
        <v/>
      </c>
      <c r="AA65" s="32">
        <f>W65+X65+Y65+Z65</f>
        <v/>
      </c>
      <c r="AB65" s="31">
        <f>AA65+V65+N65</f>
        <v/>
      </c>
      <c r="AC65" s="6">
        <f>AB65*20%</f>
        <v/>
      </c>
      <c r="AD65" s="7">
        <f>AB65+AC65</f>
        <v/>
      </c>
      <c r="AE65" s="32">
        <f>D65*2.1</f>
        <v/>
      </c>
      <c r="AF65" s="7">
        <f>AD65-AE65</f>
        <v/>
      </c>
      <c r="AG65" s="7">
        <f>AF65/AD65*100</f>
        <v/>
      </c>
      <c r="AH65" s="0" t="n">
        <v>985</v>
      </c>
      <c r="AI65" s="33" t="n">
        <v>595</v>
      </c>
      <c r="AJ65" s="34">
        <f>AD65</f>
        <v/>
      </c>
      <c r="AK65" s="34">
        <f>AJ65-(AJ65*7%)</f>
        <v/>
      </c>
      <c r="AL65" s="35">
        <f>AJ65/94</f>
        <v/>
      </c>
      <c r="AM65" s="35">
        <f>AK65/94</f>
        <v/>
      </c>
      <c r="AN65" s="36">
        <f>AJ65/24</f>
        <v/>
      </c>
      <c r="AO65" s="36">
        <f>AK65/24</f>
        <v/>
      </c>
      <c r="AP65" s="37">
        <f>AJ65/125</f>
        <v/>
      </c>
      <c r="AQ65" s="37">
        <f>AK65/125</f>
        <v/>
      </c>
    </row>
    <row r="66" ht="15.75" customHeight="1" s="50">
      <c r="A66" s="32" t="n"/>
      <c r="B66" s="32" t="inlineStr">
        <is>
          <t>Without Brush / 1L / Happiness is inside</t>
        </is>
      </c>
      <c r="C66" s="32" t="inlineStr">
        <is>
          <t>CB-HW</t>
        </is>
      </c>
      <c r="D66" s="32" t="n">
        <v>460</v>
      </c>
      <c r="G66" s="32" t="n">
        <v>0</v>
      </c>
      <c r="H66" s="32" t="n">
        <v>10</v>
      </c>
      <c r="I66" s="41" t="n">
        <v>741810</v>
      </c>
      <c r="J66" s="41" t="n">
        <v>5</v>
      </c>
      <c r="K66" s="32">
        <f>D66*J66</f>
        <v/>
      </c>
      <c r="M66" s="32">
        <f>D66*4%</f>
        <v/>
      </c>
      <c r="N66" s="49">
        <f>M66+L66+K66+H66+G66+F66+E66+D66</f>
        <v/>
      </c>
      <c r="O66" s="32">
        <f>D66*1%</f>
        <v/>
      </c>
      <c r="P66" s="7">
        <f>N66*8%</f>
        <v/>
      </c>
      <c r="Q66" s="7">
        <f>N66*10%</f>
        <v/>
      </c>
      <c r="R66" s="7">
        <f>N66*5%</f>
        <v/>
      </c>
      <c r="S66" s="7">
        <f>N66*2%</f>
        <v/>
      </c>
      <c r="T66" s="7">
        <f>AE66*0.5%</f>
        <v/>
      </c>
      <c r="U66" s="7">
        <f>N66*1%</f>
        <v/>
      </c>
      <c r="V66" s="31">
        <f>U66+S66+R66+Q66+P66+O66</f>
        <v/>
      </c>
      <c r="W66" s="32">
        <f>AE66*1%</f>
        <v/>
      </c>
      <c r="X66" s="32">
        <f>AE66*10%</f>
        <v/>
      </c>
      <c r="Y66" s="32">
        <f>AE66*1%</f>
        <v/>
      </c>
      <c r="Z66" s="32">
        <f>AE66*8%</f>
        <v/>
      </c>
      <c r="AA66" s="32">
        <f>W66+X66+Y66+Z66</f>
        <v/>
      </c>
      <c r="AB66" s="31">
        <f>AA66+V66+N66</f>
        <v/>
      </c>
      <c r="AC66" s="6">
        <f>AB66*20%</f>
        <v/>
      </c>
      <c r="AD66" s="7">
        <f>AB66+AC66</f>
        <v/>
      </c>
      <c r="AE66" s="32">
        <f>D66*2.1</f>
        <v/>
      </c>
      <c r="AF66" s="7">
        <f>AD66-AE66</f>
        <v/>
      </c>
      <c r="AG66" s="7">
        <f>AF66/AD66*100</f>
        <v/>
      </c>
      <c r="AH66" s="0" t="n">
        <v>1245</v>
      </c>
      <c r="AI66" s="33" t="n">
        <v>785</v>
      </c>
      <c r="AJ66" s="34">
        <f>AD66</f>
        <v/>
      </c>
      <c r="AK66" s="34">
        <f>AJ66-(AJ66*7%)</f>
        <v/>
      </c>
      <c r="AL66" s="35">
        <f>AJ66/94</f>
        <v/>
      </c>
      <c r="AM66" s="35">
        <f>AK66/94</f>
        <v/>
      </c>
      <c r="AN66" s="36">
        <f>AJ66/24</f>
        <v/>
      </c>
      <c r="AO66" s="36">
        <f>AK66/24</f>
        <v/>
      </c>
      <c r="AP66" s="37">
        <f>AJ66/125</f>
        <v/>
      </c>
      <c r="AQ66" s="37">
        <f>AK66/125</f>
        <v/>
      </c>
    </row>
    <row r="67" ht="15.75" customHeight="1" s="50">
      <c r="A67" s="32" t="n"/>
      <c r="B67" s="32" t="inlineStr">
        <is>
          <t>Without Brush / Happiness is inside / 500ml</t>
        </is>
      </c>
      <c r="C67" s="32" t="inlineStr">
        <is>
          <t>CB-HW-.5</t>
        </is>
      </c>
      <c r="D67" s="32" t="n">
        <v>390</v>
      </c>
      <c r="G67" s="32" t="n">
        <v>0</v>
      </c>
      <c r="H67" s="32" t="n">
        <v>10</v>
      </c>
      <c r="I67" s="41" t="n">
        <v>741810</v>
      </c>
      <c r="J67" s="41" t="n">
        <v>5</v>
      </c>
      <c r="K67" s="32">
        <f>D67*J67</f>
        <v/>
      </c>
      <c r="M67" s="32">
        <f>D67*4%</f>
        <v/>
      </c>
      <c r="N67" s="49">
        <f>M67+L67+K67+H67+G67+F67+E67+D67</f>
        <v/>
      </c>
      <c r="O67" s="32">
        <f>D67*1%</f>
        <v/>
      </c>
      <c r="P67" s="7">
        <f>N67*8%</f>
        <v/>
      </c>
      <c r="Q67" s="7">
        <f>N67*10%</f>
        <v/>
      </c>
      <c r="R67" s="7">
        <f>N67*5%</f>
        <v/>
      </c>
      <c r="S67" s="7">
        <f>N67*2%</f>
        <v/>
      </c>
      <c r="T67" s="7">
        <f>AE67*0.5%</f>
        <v/>
      </c>
      <c r="U67" s="7">
        <f>N67*1%</f>
        <v/>
      </c>
      <c r="V67" s="31">
        <f>U67+S67+R67+Q67+P67+O67</f>
        <v/>
      </c>
      <c r="W67" s="32">
        <f>AE67*1%</f>
        <v/>
      </c>
      <c r="X67" s="32">
        <f>AE67*10%</f>
        <v/>
      </c>
      <c r="Y67" s="32">
        <f>AE67*1%</f>
        <v/>
      </c>
      <c r="Z67" s="32">
        <f>AE67*8%</f>
        <v/>
      </c>
      <c r="AA67" s="32">
        <f>W67+X67+Y67+Z67</f>
        <v/>
      </c>
      <c r="AB67" s="31">
        <f>AA67+V67+N67</f>
        <v/>
      </c>
      <c r="AC67" s="6">
        <f>AB67*20%</f>
        <v/>
      </c>
      <c r="AD67" s="7">
        <f>AB67+AC67</f>
        <v/>
      </c>
      <c r="AE67" s="32">
        <f>D67*2.1</f>
        <v/>
      </c>
      <c r="AF67" s="7">
        <f>AD67-AE67</f>
        <v/>
      </c>
      <c r="AG67" s="7">
        <f>AF67/AD67*100</f>
        <v/>
      </c>
      <c r="AH67" s="0" t="n">
        <v>890</v>
      </c>
      <c r="AI67" s="33" t="n">
        <v>500</v>
      </c>
      <c r="AJ67" s="34">
        <f>AD67</f>
        <v/>
      </c>
      <c r="AK67" s="34">
        <f>AJ67-(AJ67*7%)</f>
        <v/>
      </c>
      <c r="AL67" s="35">
        <f>AJ67/94</f>
        <v/>
      </c>
      <c r="AM67" s="35">
        <f>AK67/94</f>
        <v/>
      </c>
      <c r="AN67" s="36">
        <f>AJ67/24</f>
        <v/>
      </c>
      <c r="AO67" s="36">
        <f>AK67/24</f>
        <v/>
      </c>
      <c r="AP67" s="37">
        <f>AJ67/125</f>
        <v/>
      </c>
      <c r="AQ67" s="37">
        <f>AK67/125</f>
        <v/>
      </c>
    </row>
    <row r="68" ht="15.75" customHeight="1" s="50">
      <c r="A68" s="32" t="n"/>
      <c r="B68" s="32" t="inlineStr">
        <is>
          <t>1L / Happiness is inside / With Brush</t>
        </is>
      </c>
      <c r="C68" s="32" t="inlineStr">
        <is>
          <t>CB-HW-B</t>
        </is>
      </c>
      <c r="D68" s="32" t="n">
        <v>460</v>
      </c>
      <c r="E68" s="32" t="n">
        <v>50</v>
      </c>
      <c r="G68" s="32" t="n">
        <v>0</v>
      </c>
      <c r="H68" s="32" t="n">
        <v>10</v>
      </c>
      <c r="I68" s="41" t="n">
        <v>741810</v>
      </c>
      <c r="J68" s="41" t="n">
        <v>5</v>
      </c>
      <c r="K68" s="32">
        <f>D68*J68</f>
        <v/>
      </c>
      <c r="M68" s="32">
        <f>D68*4%</f>
        <v/>
      </c>
      <c r="N68" s="49">
        <f>M68+L68+K68+H68+G68+F68+E68+D68</f>
        <v/>
      </c>
      <c r="O68" s="32">
        <f>D68*1%</f>
        <v/>
      </c>
      <c r="P68" s="7">
        <f>N68*8%</f>
        <v/>
      </c>
      <c r="Q68" s="7">
        <f>N68*10%</f>
        <v/>
      </c>
      <c r="R68" s="7">
        <f>N68*5%</f>
        <v/>
      </c>
      <c r="S68" s="7">
        <f>N68*2%</f>
        <v/>
      </c>
      <c r="T68" s="7">
        <f>AE68*0.5%</f>
        <v/>
      </c>
      <c r="U68" s="7">
        <f>N68*1%</f>
        <v/>
      </c>
      <c r="V68" s="31">
        <f>U68+S68+R68+Q68+P68+O68</f>
        <v/>
      </c>
      <c r="W68" s="32">
        <f>AE68*1%</f>
        <v/>
      </c>
      <c r="X68" s="32">
        <f>AE68*10%</f>
        <v/>
      </c>
      <c r="Y68" s="32">
        <f>AE68*1%</f>
        <v/>
      </c>
      <c r="Z68" s="32">
        <f>AE68*8%</f>
        <v/>
      </c>
      <c r="AA68" s="32">
        <f>W68+X68+Y68+Z68</f>
        <v/>
      </c>
      <c r="AB68" s="31">
        <f>AA68+V68+N68</f>
        <v/>
      </c>
      <c r="AC68" s="6">
        <f>AB68*20%</f>
        <v/>
      </c>
      <c r="AD68" s="7">
        <f>AB68+AC68</f>
        <v/>
      </c>
      <c r="AE68" s="32">
        <f>D68*2.1</f>
        <v/>
      </c>
      <c r="AF68" s="7">
        <f>AD68-AE68</f>
        <v/>
      </c>
      <c r="AG68" s="7">
        <f>AF68/AD68*100</f>
        <v/>
      </c>
      <c r="AH68" s="0" t="n">
        <v>1345</v>
      </c>
      <c r="AI68" s="33" t="n">
        <v>885</v>
      </c>
      <c r="AJ68" s="34">
        <f>AD68</f>
        <v/>
      </c>
      <c r="AK68" s="34">
        <f>AJ68-(AJ68*7%)</f>
        <v/>
      </c>
      <c r="AL68" s="35">
        <f>AJ68/94</f>
        <v/>
      </c>
      <c r="AM68" s="35">
        <f>AK68/94</f>
        <v/>
      </c>
      <c r="AN68" s="36">
        <f>AJ68/24</f>
        <v/>
      </c>
      <c r="AO68" s="36">
        <f>AK68/24</f>
        <v/>
      </c>
      <c r="AP68" s="37">
        <f>AJ68/125</f>
        <v/>
      </c>
      <c r="AQ68" s="37">
        <f>AK68/125</f>
        <v/>
      </c>
    </row>
    <row r="69" ht="15.75" customHeight="1" s="50">
      <c r="A69" s="32" t="n"/>
      <c r="B69" s="32" t="inlineStr">
        <is>
          <t>Happiness is inside / With Brush / 500ml</t>
        </is>
      </c>
      <c r="C69" s="32" t="inlineStr">
        <is>
          <t>CB-HW-B.-.5</t>
        </is>
      </c>
      <c r="D69" s="32" t="n">
        <v>390</v>
      </c>
      <c r="E69" s="32" t="n">
        <v>50</v>
      </c>
      <c r="G69" s="32" t="n">
        <v>0</v>
      </c>
      <c r="H69" s="32" t="n">
        <v>10</v>
      </c>
      <c r="I69" s="41" t="n">
        <v>741810</v>
      </c>
      <c r="J69" s="41" t="n">
        <v>5</v>
      </c>
      <c r="K69" s="32">
        <f>D69*J69</f>
        <v/>
      </c>
      <c r="M69" s="32">
        <f>D69*4%</f>
        <v/>
      </c>
      <c r="N69" s="49">
        <f>M69+L69+K69+H69+G69+F69+E69+D69</f>
        <v/>
      </c>
      <c r="O69" s="32">
        <f>D69*1%</f>
        <v/>
      </c>
      <c r="P69" s="7">
        <f>N69*8%</f>
        <v/>
      </c>
      <c r="Q69" s="7">
        <f>N69*10%</f>
        <v/>
      </c>
      <c r="R69" s="7">
        <f>N69*5%</f>
        <v/>
      </c>
      <c r="S69" s="7">
        <f>N69*2%</f>
        <v/>
      </c>
      <c r="T69" s="7">
        <f>AE69*0.5%</f>
        <v/>
      </c>
      <c r="U69" s="7">
        <f>N69*1%</f>
        <v/>
      </c>
      <c r="V69" s="31">
        <f>U69+S69+R69+Q69+P69+O69</f>
        <v/>
      </c>
      <c r="W69" s="32">
        <f>AE69*1%</f>
        <v/>
      </c>
      <c r="X69" s="32">
        <f>AE69*10%</f>
        <v/>
      </c>
      <c r="Y69" s="32">
        <f>AE69*1%</f>
        <v/>
      </c>
      <c r="Z69" s="32">
        <f>AE69*8%</f>
        <v/>
      </c>
      <c r="AA69" s="32">
        <f>W69+X69+Y69+Z69</f>
        <v/>
      </c>
      <c r="AB69" s="31">
        <f>AA69+V69+N69</f>
        <v/>
      </c>
      <c r="AC69" s="6">
        <f>AB69*20%</f>
        <v/>
      </c>
      <c r="AD69" s="7">
        <f>AB69+AC69</f>
        <v/>
      </c>
      <c r="AE69" s="32">
        <f>D69*2.1</f>
        <v/>
      </c>
      <c r="AF69" s="7">
        <f>AD69-AE69</f>
        <v/>
      </c>
      <c r="AG69" s="7">
        <f>AF69/AD69*100</f>
        <v/>
      </c>
      <c r="AH69" s="0" t="n">
        <v>985</v>
      </c>
      <c r="AI69" s="33" t="n">
        <v>595</v>
      </c>
      <c r="AJ69" s="34">
        <f>AD69</f>
        <v/>
      </c>
      <c r="AK69" s="34">
        <f>AJ69-(AJ69*7%)</f>
        <v/>
      </c>
      <c r="AL69" s="35">
        <f>AJ69/94</f>
        <v/>
      </c>
      <c r="AM69" s="35">
        <f>AK69/94</f>
        <v/>
      </c>
      <c r="AN69" s="36">
        <f>AJ69/24</f>
        <v/>
      </c>
      <c r="AO69" s="36">
        <f>AK69/24</f>
        <v/>
      </c>
      <c r="AP69" s="37">
        <f>AJ69/125</f>
        <v/>
      </c>
      <c r="AQ69" s="37">
        <f>AK69/125</f>
        <v/>
      </c>
    </row>
    <row r="70" ht="15.75" customHeight="1" s="50">
      <c r="A70" s="32" t="n"/>
      <c r="B70" s="32" t="inlineStr">
        <is>
          <t>Without Brush / Sunshine within me / 1L</t>
        </is>
      </c>
      <c r="C70" s="32" t="inlineStr">
        <is>
          <t>CB-OL</t>
        </is>
      </c>
      <c r="D70" s="32" t="n">
        <v>460</v>
      </c>
      <c r="G70" s="32" t="n">
        <v>0</v>
      </c>
      <c r="H70" s="32" t="n">
        <v>10</v>
      </c>
      <c r="I70" s="41" t="n">
        <v>741810</v>
      </c>
      <c r="J70" s="41" t="n">
        <v>5</v>
      </c>
      <c r="K70" s="32">
        <f>D70*J70</f>
        <v/>
      </c>
      <c r="M70" s="32">
        <f>D70*4%</f>
        <v/>
      </c>
      <c r="N70" s="49">
        <f>M70+L70+K70+H70+G70+F70+E70+D70</f>
        <v/>
      </c>
      <c r="O70" s="32">
        <f>D70*1%</f>
        <v/>
      </c>
      <c r="P70" s="7">
        <f>N70*8%</f>
        <v/>
      </c>
      <c r="Q70" s="7">
        <f>N70*10%</f>
        <v/>
      </c>
      <c r="R70" s="7">
        <f>N70*5%</f>
        <v/>
      </c>
      <c r="S70" s="7">
        <f>N70*2%</f>
        <v/>
      </c>
      <c r="T70" s="7">
        <f>AE70*0.5%</f>
        <v/>
      </c>
      <c r="U70" s="7">
        <f>N70*1%</f>
        <v/>
      </c>
      <c r="V70" s="31">
        <f>U70+S70+R70+Q70+P70+O70</f>
        <v/>
      </c>
      <c r="W70" s="32">
        <f>AE70*1%</f>
        <v/>
      </c>
      <c r="X70" s="32">
        <f>AE70*10%</f>
        <v/>
      </c>
      <c r="Y70" s="32">
        <f>AE70*1%</f>
        <v/>
      </c>
      <c r="Z70" s="32">
        <f>AE70*8%</f>
        <v/>
      </c>
      <c r="AA70" s="32">
        <f>W70+X70+Y70+Z70</f>
        <v/>
      </c>
      <c r="AB70" s="31">
        <f>AA70+V70+N70</f>
        <v/>
      </c>
      <c r="AC70" s="6">
        <f>AB70*20%</f>
        <v/>
      </c>
      <c r="AD70" s="7">
        <f>AB70+AC70</f>
        <v/>
      </c>
      <c r="AE70" s="32">
        <f>D70*2.1</f>
        <v/>
      </c>
      <c r="AF70" s="7">
        <f>AD70-AE70</f>
        <v/>
      </c>
      <c r="AG70" s="7">
        <f>AF70/AD70*100</f>
        <v/>
      </c>
      <c r="AH70" s="0" t="n">
        <v>1245</v>
      </c>
      <c r="AI70" s="33" t="n">
        <v>785</v>
      </c>
      <c r="AJ70" s="34">
        <f>AD70</f>
        <v/>
      </c>
      <c r="AK70" s="34">
        <f>AJ70-(AJ70*7%)</f>
        <v/>
      </c>
      <c r="AL70" s="35">
        <f>AJ70/94</f>
        <v/>
      </c>
      <c r="AM70" s="35">
        <f>AK70/94</f>
        <v/>
      </c>
      <c r="AN70" s="36">
        <f>AJ70/24</f>
        <v/>
      </c>
      <c r="AO70" s="36">
        <f>AK70/24</f>
        <v/>
      </c>
      <c r="AP70" s="37">
        <f>AJ70/125</f>
        <v/>
      </c>
      <c r="AQ70" s="37">
        <f>AK70/125</f>
        <v/>
      </c>
    </row>
    <row r="71" ht="15.75" customHeight="1" s="50">
      <c r="A71" s="32" t="n"/>
      <c r="B71" s="32" t="inlineStr">
        <is>
          <t>Without Brush / Sunshine within me / 500ml</t>
        </is>
      </c>
      <c r="C71" s="32" t="inlineStr">
        <is>
          <t>CB-OL-.5</t>
        </is>
      </c>
      <c r="D71" s="32" t="n">
        <v>390</v>
      </c>
      <c r="G71" s="32" t="n">
        <v>0</v>
      </c>
      <c r="H71" s="32" t="n">
        <v>10</v>
      </c>
      <c r="I71" s="41" t="n">
        <v>741810</v>
      </c>
      <c r="J71" s="41" t="n">
        <v>5</v>
      </c>
      <c r="K71" s="32">
        <f>D71*J71</f>
        <v/>
      </c>
      <c r="M71" s="32">
        <f>D71*4%</f>
        <v/>
      </c>
      <c r="N71" s="49">
        <f>M71+L71+K71+H71+G71+F71+E71+D71</f>
        <v/>
      </c>
      <c r="O71" s="32">
        <f>D71*1%</f>
        <v/>
      </c>
      <c r="P71" s="7">
        <f>N71*8%</f>
        <v/>
      </c>
      <c r="Q71" s="7">
        <f>N71*10%</f>
        <v/>
      </c>
      <c r="R71" s="7">
        <f>N71*5%</f>
        <v/>
      </c>
      <c r="S71" s="7">
        <f>N71*2%</f>
        <v/>
      </c>
      <c r="T71" s="7">
        <f>AE71*0.5%</f>
        <v/>
      </c>
      <c r="U71" s="7">
        <f>N71*1%</f>
        <v/>
      </c>
      <c r="V71" s="31">
        <f>U71+S71+R71+Q71+P71+O71</f>
        <v/>
      </c>
      <c r="W71" s="32">
        <f>AE71*1%</f>
        <v/>
      </c>
      <c r="X71" s="32">
        <f>AE71*10%</f>
        <v/>
      </c>
      <c r="Y71" s="32">
        <f>AE71*1%</f>
        <v/>
      </c>
      <c r="Z71" s="32">
        <f>AE71*8%</f>
        <v/>
      </c>
      <c r="AA71" s="32">
        <f>W71+X71+Y71+Z71</f>
        <v/>
      </c>
      <c r="AB71" s="31">
        <f>AA71+V71+N71</f>
        <v/>
      </c>
      <c r="AC71" s="6">
        <f>AB71*20%</f>
        <v/>
      </c>
      <c r="AD71" s="7">
        <f>AB71+AC71</f>
        <v/>
      </c>
      <c r="AE71" s="32">
        <f>D71*2.1</f>
        <v/>
      </c>
      <c r="AF71" s="7">
        <f>AD71-AE71</f>
        <v/>
      </c>
      <c r="AG71" s="7">
        <f>AF71/AD71*100</f>
        <v/>
      </c>
      <c r="AH71" s="0" t="n">
        <v>845</v>
      </c>
      <c r="AI71" s="33" t="n">
        <v>455</v>
      </c>
      <c r="AJ71" s="34">
        <f>AD71</f>
        <v/>
      </c>
      <c r="AK71" s="34">
        <f>AJ71-(AJ71*7%)</f>
        <v/>
      </c>
      <c r="AL71" s="35">
        <f>AJ71/94</f>
        <v/>
      </c>
      <c r="AM71" s="35">
        <f>AK71/94</f>
        <v/>
      </c>
      <c r="AN71" s="36">
        <f>AJ71/24</f>
        <v/>
      </c>
      <c r="AO71" s="36">
        <f>AK71/24</f>
        <v/>
      </c>
      <c r="AP71" s="37">
        <f>AJ71/125</f>
        <v/>
      </c>
      <c r="AQ71" s="37">
        <f>AK71/125</f>
        <v/>
      </c>
    </row>
    <row r="72" ht="15.75" customHeight="1" s="50">
      <c r="A72" s="32" t="n"/>
      <c r="B72" s="32" t="inlineStr">
        <is>
          <t>Sunshine within me / 1L / With Brush</t>
        </is>
      </c>
      <c r="C72" s="32" t="inlineStr">
        <is>
          <t>CB-OL-B</t>
        </is>
      </c>
      <c r="D72" s="32" t="n">
        <v>460</v>
      </c>
      <c r="E72" s="32" t="n">
        <v>50</v>
      </c>
      <c r="G72" s="32" t="n">
        <v>0</v>
      </c>
      <c r="H72" s="32" t="n">
        <v>10</v>
      </c>
      <c r="I72" s="41" t="n">
        <v>741810</v>
      </c>
      <c r="J72" s="41" t="n">
        <v>5</v>
      </c>
      <c r="K72" s="32">
        <f>D72*J72</f>
        <v/>
      </c>
      <c r="M72" s="32">
        <f>D72*4%</f>
        <v/>
      </c>
      <c r="N72" s="49">
        <f>M72+L72+K72+H72+G72+F72+E72+D72</f>
        <v/>
      </c>
      <c r="O72" s="32">
        <f>D72*1%</f>
        <v/>
      </c>
      <c r="P72" s="7">
        <f>N72*8%</f>
        <v/>
      </c>
      <c r="Q72" s="7">
        <f>N72*10%</f>
        <v/>
      </c>
      <c r="R72" s="7">
        <f>N72*5%</f>
        <v/>
      </c>
      <c r="S72" s="7">
        <f>N72*2%</f>
        <v/>
      </c>
      <c r="T72" s="7">
        <f>AE72*0.5%</f>
        <v/>
      </c>
      <c r="U72" s="7">
        <f>N72*1%</f>
        <v/>
      </c>
      <c r="V72" s="31">
        <f>U72+S72+R72+Q72+P72+O72</f>
        <v/>
      </c>
      <c r="W72" s="32">
        <f>AE72*1%</f>
        <v/>
      </c>
      <c r="X72" s="32">
        <f>AE72*10%</f>
        <v/>
      </c>
      <c r="Y72" s="32">
        <f>AE72*1%</f>
        <v/>
      </c>
      <c r="Z72" s="32">
        <f>AE72*8%</f>
        <v/>
      </c>
      <c r="AA72" s="32">
        <f>W72+X72+Y72+Z72</f>
        <v/>
      </c>
      <c r="AB72" s="31">
        <f>AA72+V72+N72</f>
        <v/>
      </c>
      <c r="AC72" s="6">
        <f>AB72*20%</f>
        <v/>
      </c>
      <c r="AD72" s="7">
        <f>AB72+AC72</f>
        <v/>
      </c>
      <c r="AE72" s="32">
        <f>D72*2.1</f>
        <v/>
      </c>
      <c r="AF72" s="7">
        <f>AD72-AE72</f>
        <v/>
      </c>
      <c r="AG72" s="7">
        <f>AF72/AD72*100</f>
        <v/>
      </c>
      <c r="AH72" s="0" t="n">
        <v>1345</v>
      </c>
      <c r="AI72" s="33" t="n">
        <v>885</v>
      </c>
      <c r="AJ72" s="34">
        <f>AD72</f>
        <v/>
      </c>
      <c r="AK72" s="34">
        <f>AJ72-(AJ72*7%)</f>
        <v/>
      </c>
      <c r="AL72" s="35">
        <f>AJ72/94</f>
        <v/>
      </c>
      <c r="AM72" s="35">
        <f>AK72/94</f>
        <v/>
      </c>
      <c r="AN72" s="36">
        <f>AJ72/24</f>
        <v/>
      </c>
      <c r="AO72" s="36">
        <f>AK72/24</f>
        <v/>
      </c>
      <c r="AP72" s="37">
        <f>AJ72/125</f>
        <v/>
      </c>
      <c r="AQ72" s="37">
        <f>AK72/125</f>
        <v/>
      </c>
    </row>
    <row r="73" ht="15.75" customHeight="1" s="50">
      <c r="A73" s="32" t="n"/>
      <c r="B73" s="32" t="inlineStr">
        <is>
          <t>Sunshine within me / With Brush / 500ml</t>
        </is>
      </c>
      <c r="C73" s="32" t="inlineStr">
        <is>
          <t>CB-OL-B-.5</t>
        </is>
      </c>
      <c r="D73" s="32" t="n">
        <v>390</v>
      </c>
      <c r="E73" s="32" t="n">
        <v>50</v>
      </c>
      <c r="G73" s="32" t="n">
        <v>0</v>
      </c>
      <c r="H73" s="32" t="n">
        <v>10</v>
      </c>
      <c r="I73" s="41" t="n">
        <v>741810</v>
      </c>
      <c r="J73" s="41" t="n">
        <v>5</v>
      </c>
      <c r="K73" s="32">
        <f>D73*J73</f>
        <v/>
      </c>
      <c r="M73" s="32">
        <f>D73*4%</f>
        <v/>
      </c>
      <c r="N73" s="49">
        <f>M73+L73+K73+H73+G73+F73+E73+D73</f>
        <v/>
      </c>
      <c r="O73" s="32">
        <f>D73*1%</f>
        <v/>
      </c>
      <c r="P73" s="7">
        <f>N73*8%</f>
        <v/>
      </c>
      <c r="Q73" s="7">
        <f>N73*10%</f>
        <v/>
      </c>
      <c r="R73" s="7">
        <f>N73*5%</f>
        <v/>
      </c>
      <c r="S73" s="7">
        <f>N73*2%</f>
        <v/>
      </c>
      <c r="T73" s="7">
        <f>AE73*0.5%</f>
        <v/>
      </c>
      <c r="U73" s="7">
        <f>N73*1%</f>
        <v/>
      </c>
      <c r="V73" s="31">
        <f>U73+S73+R73+Q73+P73+O73</f>
        <v/>
      </c>
      <c r="W73" s="32">
        <f>AE73*1%</f>
        <v/>
      </c>
      <c r="X73" s="32">
        <f>AE73*10%</f>
        <v/>
      </c>
      <c r="Y73" s="32">
        <f>AE73*1%</f>
        <v/>
      </c>
      <c r="Z73" s="32">
        <f>AE73*8%</f>
        <v/>
      </c>
      <c r="AA73" s="32">
        <f>W73+X73+Y73+Z73</f>
        <v/>
      </c>
      <c r="AB73" s="31">
        <f>AA73+V73+N73</f>
        <v/>
      </c>
      <c r="AC73" s="6">
        <f>AB73*20%</f>
        <v/>
      </c>
      <c r="AD73" s="7">
        <f>AB73+AC73</f>
        <v/>
      </c>
      <c r="AE73" s="32">
        <f>D73*2.1</f>
        <v/>
      </c>
      <c r="AF73" s="7">
        <f>AD73-AE73</f>
        <v/>
      </c>
      <c r="AG73" s="7">
        <f>AF73/AD73*100</f>
        <v/>
      </c>
      <c r="AH73" s="0" t="n">
        <v>985</v>
      </c>
      <c r="AI73" s="33" t="n">
        <v>595</v>
      </c>
      <c r="AJ73" s="34">
        <f>AD73</f>
        <v/>
      </c>
      <c r="AK73" s="34">
        <f>AJ73-(AJ73*7%)</f>
        <v/>
      </c>
      <c r="AL73" s="35">
        <f>AJ73/94</f>
        <v/>
      </c>
      <c r="AM73" s="35">
        <f>AK73/94</f>
        <v/>
      </c>
      <c r="AN73" s="36">
        <f>AJ73/24</f>
        <v/>
      </c>
      <c r="AO73" s="36">
        <f>AK73/24</f>
        <v/>
      </c>
      <c r="AP73" s="37">
        <f>AJ73/125</f>
        <v/>
      </c>
      <c r="AQ73" s="37">
        <f>AK73/125</f>
        <v/>
      </c>
    </row>
    <row r="74" ht="15.75" customHeight="1" s="50">
      <c r="A74" s="32" t="n"/>
      <c r="B74" s="32" t="inlineStr">
        <is>
          <t>Without Brush / Pink &amp; Positive / 1L</t>
        </is>
      </c>
      <c r="C74" s="32" t="inlineStr">
        <is>
          <t>CB-PNT</t>
        </is>
      </c>
      <c r="D74" s="32" t="n">
        <v>460</v>
      </c>
      <c r="G74" s="32" t="n">
        <v>0</v>
      </c>
      <c r="H74" s="32" t="n">
        <v>10</v>
      </c>
      <c r="I74" s="41" t="n">
        <v>741810</v>
      </c>
      <c r="J74" s="41" t="n">
        <v>5</v>
      </c>
      <c r="K74" s="32">
        <f>D74*J74</f>
        <v/>
      </c>
      <c r="M74" s="32">
        <f>D74*4%</f>
        <v/>
      </c>
      <c r="N74" s="49">
        <f>M74+L74+K74+H74+G74+F74+E74+D74</f>
        <v/>
      </c>
      <c r="O74" s="32">
        <f>D74*1%</f>
        <v/>
      </c>
      <c r="P74" s="7">
        <f>N74*8%</f>
        <v/>
      </c>
      <c r="Q74" s="7">
        <f>N74*10%</f>
        <v/>
      </c>
      <c r="R74" s="7">
        <f>N74*5%</f>
        <v/>
      </c>
      <c r="S74" s="7">
        <f>N74*2%</f>
        <v/>
      </c>
      <c r="T74" s="7">
        <f>AE74*0.5%</f>
        <v/>
      </c>
      <c r="U74" s="7">
        <f>N74*1%</f>
        <v/>
      </c>
      <c r="V74" s="31">
        <f>U74+S74+R74+Q74+P74+O74</f>
        <v/>
      </c>
      <c r="W74" s="32">
        <f>AE74*1%</f>
        <v/>
      </c>
      <c r="X74" s="32">
        <f>AE74*10%</f>
        <v/>
      </c>
      <c r="Y74" s="32">
        <f>AE74*1%</f>
        <v/>
      </c>
      <c r="Z74" s="32">
        <f>AE74*8%</f>
        <v/>
      </c>
      <c r="AA74" s="32">
        <f>W74+X74+Y74+Z74</f>
        <v/>
      </c>
      <c r="AB74" s="31">
        <f>AA74+V74+N74</f>
        <v/>
      </c>
      <c r="AC74" s="6">
        <f>AB74*20%</f>
        <v/>
      </c>
      <c r="AD74" s="7">
        <f>AB74+AC74</f>
        <v/>
      </c>
      <c r="AE74" s="32">
        <f>D74*2.1</f>
        <v/>
      </c>
      <c r="AF74" s="7">
        <f>AD74-AE74</f>
        <v/>
      </c>
      <c r="AG74" s="7">
        <f>AF74/AD74*100</f>
        <v/>
      </c>
      <c r="AH74" s="0" t="n">
        <v>1245</v>
      </c>
      <c r="AI74" s="33" t="n">
        <v>785</v>
      </c>
      <c r="AJ74" s="34">
        <f>AD74</f>
        <v/>
      </c>
      <c r="AK74" s="34">
        <f>AJ74-(AJ74*7%)</f>
        <v/>
      </c>
      <c r="AL74" s="35">
        <f>AJ74/94</f>
        <v/>
      </c>
      <c r="AM74" s="35">
        <f>AK74/94</f>
        <v/>
      </c>
      <c r="AN74" s="36">
        <f>AJ74/24</f>
        <v/>
      </c>
      <c r="AO74" s="36">
        <f>AK74/24</f>
        <v/>
      </c>
      <c r="AP74" s="37">
        <f>AJ74/125</f>
        <v/>
      </c>
      <c r="AQ74" s="37">
        <f>AK74/125</f>
        <v/>
      </c>
    </row>
    <row r="75" ht="15.75" customHeight="1" s="50">
      <c r="A75" s="32" t="n"/>
      <c r="B75" s="32" t="inlineStr">
        <is>
          <t>Without Brush / Pink &amp; Positive / 500ml</t>
        </is>
      </c>
      <c r="C75" s="32" t="inlineStr">
        <is>
          <t>CB-PNT-.5</t>
        </is>
      </c>
      <c r="D75" s="32" t="n">
        <v>390</v>
      </c>
      <c r="G75" s="32" t="n">
        <v>0</v>
      </c>
      <c r="H75" s="32" t="n">
        <v>10</v>
      </c>
      <c r="I75" s="41" t="n">
        <v>741810</v>
      </c>
      <c r="J75" s="41" t="n">
        <v>5</v>
      </c>
      <c r="K75" s="32">
        <f>D75*J75</f>
        <v/>
      </c>
      <c r="M75" s="32">
        <f>D75*4%</f>
        <v/>
      </c>
      <c r="N75" s="49">
        <f>M75+L75+K75+H75+G75+F75+E75+D75</f>
        <v/>
      </c>
      <c r="O75" s="32">
        <f>D75*1%</f>
        <v/>
      </c>
      <c r="P75" s="7">
        <f>N75*8%</f>
        <v/>
      </c>
      <c r="Q75" s="7">
        <f>N75*10%</f>
        <v/>
      </c>
      <c r="R75" s="7">
        <f>N75*5%</f>
        <v/>
      </c>
      <c r="S75" s="7">
        <f>N75*2%</f>
        <v/>
      </c>
      <c r="T75" s="7">
        <f>AE75*0.5%</f>
        <v/>
      </c>
      <c r="U75" s="7">
        <f>N75*1%</f>
        <v/>
      </c>
      <c r="V75" s="31">
        <f>U75+S75+R75+Q75+P75+O75</f>
        <v/>
      </c>
      <c r="W75" s="32">
        <f>AE75*1%</f>
        <v/>
      </c>
      <c r="X75" s="32">
        <f>AE75*10%</f>
        <v/>
      </c>
      <c r="Y75" s="32">
        <f>AE75*1%</f>
        <v/>
      </c>
      <c r="Z75" s="32">
        <f>AE75*8%</f>
        <v/>
      </c>
      <c r="AA75" s="32">
        <f>W75+X75+Y75+Z75</f>
        <v/>
      </c>
      <c r="AB75" s="31">
        <f>AA75+V75+N75</f>
        <v/>
      </c>
      <c r="AC75" s="6">
        <f>AB75*20%</f>
        <v/>
      </c>
      <c r="AD75" s="7">
        <f>AB75+AC75</f>
        <v/>
      </c>
      <c r="AE75" s="32">
        <f>D75*2.1</f>
        <v/>
      </c>
      <c r="AF75" s="7">
        <f>AD75-AE75</f>
        <v/>
      </c>
      <c r="AG75" s="7">
        <f>AF75/AD75*100</f>
        <v/>
      </c>
      <c r="AH75" s="0" t="n">
        <v>890</v>
      </c>
      <c r="AI75" s="33" t="n">
        <v>500</v>
      </c>
      <c r="AJ75" s="34">
        <f>AD75</f>
        <v/>
      </c>
      <c r="AK75" s="34">
        <f>AJ75-(AJ75*7%)</f>
        <v/>
      </c>
      <c r="AL75" s="35">
        <f>AJ75/94</f>
        <v/>
      </c>
      <c r="AM75" s="35">
        <f>AK75/94</f>
        <v/>
      </c>
      <c r="AN75" s="36">
        <f>AJ75/24</f>
        <v/>
      </c>
      <c r="AO75" s="36">
        <f>AK75/24</f>
        <v/>
      </c>
      <c r="AP75" s="37">
        <f>AJ75/125</f>
        <v/>
      </c>
      <c r="AQ75" s="37">
        <f>AK75/125</f>
        <v/>
      </c>
    </row>
    <row r="76" ht="15.75" customHeight="1" s="50">
      <c r="A76" s="32" t="n"/>
      <c r="B76" s="32" t="inlineStr">
        <is>
          <t>Pink &amp; Positive / 1L / With Brush</t>
        </is>
      </c>
      <c r="C76" s="32" t="inlineStr">
        <is>
          <t>CB-PNT-B</t>
        </is>
      </c>
      <c r="D76" s="32" t="n">
        <v>460</v>
      </c>
      <c r="E76" s="32" t="n">
        <v>50</v>
      </c>
      <c r="G76" s="32" t="n">
        <v>0</v>
      </c>
      <c r="H76" s="32" t="n">
        <v>10</v>
      </c>
      <c r="I76" s="41" t="n">
        <v>741810</v>
      </c>
      <c r="J76" s="41" t="n">
        <v>5</v>
      </c>
      <c r="K76" s="32">
        <f>D76*J76</f>
        <v/>
      </c>
      <c r="M76" s="32">
        <f>D76*4%</f>
        <v/>
      </c>
      <c r="N76" s="49">
        <f>M76+L76+K76+H76+G76+F76+E76+D76</f>
        <v/>
      </c>
      <c r="O76" s="32">
        <f>D76*1%</f>
        <v/>
      </c>
      <c r="P76" s="7">
        <f>N76*8%</f>
        <v/>
      </c>
      <c r="Q76" s="7">
        <f>N76*10%</f>
        <v/>
      </c>
      <c r="R76" s="7">
        <f>N76*5%</f>
        <v/>
      </c>
      <c r="S76" s="7">
        <f>N76*2%</f>
        <v/>
      </c>
      <c r="T76" s="7">
        <f>AE76*0.5%</f>
        <v/>
      </c>
      <c r="U76" s="7">
        <f>N76*1%</f>
        <v/>
      </c>
      <c r="V76" s="31">
        <f>U76+S76+R76+Q76+P76+O76</f>
        <v/>
      </c>
      <c r="W76" s="32">
        <f>AE76*1%</f>
        <v/>
      </c>
      <c r="X76" s="32">
        <f>AE76*10%</f>
        <v/>
      </c>
      <c r="Y76" s="32">
        <f>AE76*1%</f>
        <v/>
      </c>
      <c r="Z76" s="32">
        <f>AE76*8%</f>
        <v/>
      </c>
      <c r="AA76" s="32">
        <f>W76+X76+Y76+Z76</f>
        <v/>
      </c>
      <c r="AB76" s="31">
        <f>AA76+V76+N76</f>
        <v/>
      </c>
      <c r="AC76" s="6">
        <f>AB76*20%</f>
        <v/>
      </c>
      <c r="AD76" s="7">
        <f>AB76+AC76</f>
        <v/>
      </c>
      <c r="AE76" s="32">
        <f>D76*2.1</f>
        <v/>
      </c>
      <c r="AF76" s="7">
        <f>AD76-AE76</f>
        <v/>
      </c>
      <c r="AG76" s="7">
        <f>AF76/AD76*100</f>
        <v/>
      </c>
      <c r="AH76" s="0" t="n">
        <v>1345</v>
      </c>
      <c r="AI76" s="33" t="n">
        <v>885</v>
      </c>
      <c r="AJ76" s="34">
        <f>AD76</f>
        <v/>
      </c>
      <c r="AK76" s="34">
        <f>AJ76-(AJ76*7%)</f>
        <v/>
      </c>
      <c r="AL76" s="35">
        <f>AJ76/94</f>
        <v/>
      </c>
      <c r="AM76" s="35">
        <f>AK76/94</f>
        <v/>
      </c>
      <c r="AN76" s="36">
        <f>AJ76/24</f>
        <v/>
      </c>
      <c r="AO76" s="36">
        <f>AK76/24</f>
        <v/>
      </c>
      <c r="AP76" s="37">
        <f>AJ76/125</f>
        <v/>
      </c>
      <c r="AQ76" s="37">
        <f>AK76/125</f>
        <v/>
      </c>
    </row>
    <row r="77" ht="15.75" customHeight="1" s="50">
      <c r="A77" s="32" t="n"/>
      <c r="B77" s="32" t="inlineStr">
        <is>
          <t>Pink &amp; Positive / With Brush / 500ml</t>
        </is>
      </c>
      <c r="C77" s="32" t="inlineStr">
        <is>
          <t>CB-PNT-B-.5</t>
        </is>
      </c>
      <c r="D77" s="32" t="n">
        <v>390</v>
      </c>
      <c r="E77" s="32" t="n">
        <v>50</v>
      </c>
      <c r="G77" s="32" t="n">
        <v>0</v>
      </c>
      <c r="H77" s="32" t="n">
        <v>10</v>
      </c>
      <c r="I77" s="41" t="n">
        <v>741810</v>
      </c>
      <c r="J77" s="41" t="n">
        <v>5</v>
      </c>
      <c r="K77" s="32">
        <f>D77*J77</f>
        <v/>
      </c>
      <c r="M77" s="32">
        <f>D77*4%</f>
        <v/>
      </c>
      <c r="N77" s="49">
        <f>M77+L77+K77+H77+G77+F77+E77+D77</f>
        <v/>
      </c>
      <c r="O77" s="32">
        <f>D77*1%</f>
        <v/>
      </c>
      <c r="P77" s="7">
        <f>N77*8%</f>
        <v/>
      </c>
      <c r="Q77" s="7">
        <f>N77*10%</f>
        <v/>
      </c>
      <c r="R77" s="7">
        <f>N77*5%</f>
        <v/>
      </c>
      <c r="S77" s="7">
        <f>N77*2%</f>
        <v/>
      </c>
      <c r="T77" s="7">
        <f>AE77*0.5%</f>
        <v/>
      </c>
      <c r="U77" s="7">
        <f>N77*1%</f>
        <v/>
      </c>
      <c r="V77" s="31">
        <f>U77+S77+R77+Q77+P77+O77</f>
        <v/>
      </c>
      <c r="W77" s="32">
        <f>AE77*1%</f>
        <v/>
      </c>
      <c r="X77" s="32">
        <f>AE77*10%</f>
        <v/>
      </c>
      <c r="Y77" s="32">
        <f>AE77*1%</f>
        <v/>
      </c>
      <c r="Z77" s="32">
        <f>AE77*8%</f>
        <v/>
      </c>
      <c r="AA77" s="32">
        <f>W77+X77+Y77+Z77</f>
        <v/>
      </c>
      <c r="AB77" s="31">
        <f>AA77+V77+N77</f>
        <v/>
      </c>
      <c r="AC77" s="6">
        <f>AB77*20%</f>
        <v/>
      </c>
      <c r="AD77" s="7">
        <f>AB77+AC77</f>
        <v/>
      </c>
      <c r="AE77" s="32">
        <f>D77*2.1</f>
        <v/>
      </c>
      <c r="AF77" s="7">
        <f>AD77-AE77</f>
        <v/>
      </c>
      <c r="AG77" s="7">
        <f>AF77/AD77*100</f>
        <v/>
      </c>
      <c r="AH77" s="0" t="n">
        <v>985</v>
      </c>
      <c r="AI77" s="33" t="n">
        <v>595</v>
      </c>
      <c r="AJ77" s="34">
        <f>AD77</f>
        <v/>
      </c>
      <c r="AK77" s="34">
        <f>AJ77-(AJ77*7%)</f>
        <v/>
      </c>
      <c r="AL77" s="35">
        <f>AJ77/94</f>
        <v/>
      </c>
      <c r="AM77" s="35">
        <f>AK77/94</f>
        <v/>
      </c>
      <c r="AN77" s="36">
        <f>AJ77/24</f>
        <v/>
      </c>
      <c r="AO77" s="36">
        <f>AK77/24</f>
        <v/>
      </c>
      <c r="AP77" s="37">
        <f>AJ77/125</f>
        <v/>
      </c>
      <c r="AQ77" s="37">
        <f>AK77/125</f>
        <v/>
      </c>
    </row>
    <row r="78" ht="15.75" customHeight="1" s="50">
      <c r="A78" s="32" t="n"/>
      <c r="B78" s="32" t="inlineStr">
        <is>
          <t>Tatvamasi - I am Infinite / Without Brush / 1L</t>
        </is>
      </c>
      <c r="C78" s="32" t="inlineStr">
        <is>
          <t>CB-T</t>
        </is>
      </c>
      <c r="D78" s="32" t="n">
        <v>460</v>
      </c>
      <c r="G78" s="32" t="n">
        <v>0</v>
      </c>
      <c r="H78" s="32" t="n">
        <v>10</v>
      </c>
      <c r="I78" s="41" t="n">
        <v>741810</v>
      </c>
      <c r="J78" s="41" t="n">
        <v>5</v>
      </c>
      <c r="K78" s="32">
        <f>D78*J78</f>
        <v/>
      </c>
      <c r="M78" s="32">
        <f>D78*4%</f>
        <v/>
      </c>
      <c r="N78" s="49">
        <f>M78+L78+K78+H78+G78+F78+E78+D78</f>
        <v/>
      </c>
      <c r="O78" s="32">
        <f>D78*1%</f>
        <v/>
      </c>
      <c r="P78" s="7">
        <f>N78*8%</f>
        <v/>
      </c>
      <c r="Q78" s="7">
        <f>N78*10%</f>
        <v/>
      </c>
      <c r="R78" s="7">
        <f>N78*5%</f>
        <v/>
      </c>
      <c r="S78" s="7">
        <f>N78*2%</f>
        <v/>
      </c>
      <c r="T78" s="7">
        <f>AE78*0.5%</f>
        <v/>
      </c>
      <c r="U78" s="7">
        <f>N78*1%</f>
        <v/>
      </c>
      <c r="V78" s="31">
        <f>U78+S78+R78+Q78+P78+O78</f>
        <v/>
      </c>
      <c r="W78" s="32">
        <f>AE78*1%</f>
        <v/>
      </c>
      <c r="X78" s="32">
        <f>AE78*10%</f>
        <v/>
      </c>
      <c r="Y78" s="32">
        <f>AE78*1%</f>
        <v/>
      </c>
      <c r="Z78" s="32">
        <f>AE78*8%</f>
        <v/>
      </c>
      <c r="AA78" s="32">
        <f>W78+X78+Y78+Z78</f>
        <v/>
      </c>
      <c r="AB78" s="31">
        <f>AA78+V78+N78</f>
        <v/>
      </c>
      <c r="AC78" s="6">
        <f>AB78*20%</f>
        <v/>
      </c>
      <c r="AD78" s="7">
        <f>AB78+AC78</f>
        <v/>
      </c>
      <c r="AE78" s="32">
        <f>D78*2.1</f>
        <v/>
      </c>
      <c r="AF78" s="7">
        <f>AD78-AE78</f>
        <v/>
      </c>
      <c r="AG78" s="7">
        <f>AF78/AD78*100</f>
        <v/>
      </c>
      <c r="AH78" s="0" t="n">
        <v>1245</v>
      </c>
      <c r="AI78" s="33" t="n">
        <v>785</v>
      </c>
      <c r="AJ78" s="34">
        <f>AD78</f>
        <v/>
      </c>
      <c r="AK78" s="34">
        <f>AJ78-(AJ78*7%)</f>
        <v/>
      </c>
      <c r="AL78" s="35">
        <f>AJ78/94</f>
        <v/>
      </c>
      <c r="AM78" s="35">
        <f>AK78/94</f>
        <v/>
      </c>
      <c r="AN78" s="36">
        <f>AJ78/24</f>
        <v/>
      </c>
      <c r="AO78" s="36">
        <f>AK78/24</f>
        <v/>
      </c>
      <c r="AP78" s="37">
        <f>AJ78/125</f>
        <v/>
      </c>
      <c r="AQ78" s="37">
        <f>AK78/125</f>
        <v/>
      </c>
    </row>
    <row r="79" ht="15.75" customHeight="1" s="50">
      <c r="A79" s="32" t="n"/>
      <c r="B79" s="32" t="inlineStr">
        <is>
          <t>Tatvamasi - I am Infinite / Without Brush / 500ml</t>
        </is>
      </c>
      <c r="C79" s="32" t="inlineStr">
        <is>
          <t>CB-T-.5</t>
        </is>
      </c>
      <c r="D79" s="32" t="n">
        <v>390</v>
      </c>
      <c r="G79" s="32" t="n">
        <v>0</v>
      </c>
      <c r="H79" s="32" t="n">
        <v>10</v>
      </c>
      <c r="I79" s="41" t="n">
        <v>741810</v>
      </c>
      <c r="J79" s="41" t="n">
        <v>5</v>
      </c>
      <c r="K79" s="32">
        <f>D79*J79</f>
        <v/>
      </c>
      <c r="M79" s="32">
        <f>D79*4%</f>
        <v/>
      </c>
      <c r="N79" s="49">
        <f>M79+L79+K79+H79+G79+F79+E79+D79</f>
        <v/>
      </c>
      <c r="O79" s="32">
        <f>D79*1%</f>
        <v/>
      </c>
      <c r="P79" s="7">
        <f>N79*8%</f>
        <v/>
      </c>
      <c r="Q79" s="7">
        <f>N79*10%</f>
        <v/>
      </c>
      <c r="R79" s="7">
        <f>N79*5%</f>
        <v/>
      </c>
      <c r="S79" s="7">
        <f>N79*2%</f>
        <v/>
      </c>
      <c r="T79" s="7">
        <f>AE79*0.5%</f>
        <v/>
      </c>
      <c r="U79" s="7">
        <f>N79*1%</f>
        <v/>
      </c>
      <c r="V79" s="31">
        <f>U79+S79+R79+Q79+P79+O79</f>
        <v/>
      </c>
      <c r="W79" s="32">
        <f>AE79*1%</f>
        <v/>
      </c>
      <c r="X79" s="32">
        <f>AE79*10%</f>
        <v/>
      </c>
      <c r="Y79" s="32">
        <f>AE79*1%</f>
        <v/>
      </c>
      <c r="Z79" s="32">
        <f>AE79*8%</f>
        <v/>
      </c>
      <c r="AA79" s="32">
        <f>W79+X79+Y79+Z79</f>
        <v/>
      </c>
      <c r="AB79" s="31">
        <f>AA79+V79+N79</f>
        <v/>
      </c>
      <c r="AC79" s="6">
        <f>AB79*20%</f>
        <v/>
      </c>
      <c r="AD79" s="7">
        <f>AB79+AC79</f>
        <v/>
      </c>
      <c r="AE79" s="32">
        <f>D79*2.1</f>
        <v/>
      </c>
      <c r="AF79" s="7">
        <f>AD79-AE79</f>
        <v/>
      </c>
      <c r="AG79" s="7">
        <f>AF79/AD79*100</f>
        <v/>
      </c>
      <c r="AH79" s="0" t="n">
        <v>890</v>
      </c>
      <c r="AI79" s="33" t="n">
        <v>500</v>
      </c>
      <c r="AJ79" s="34">
        <f>AD79</f>
        <v/>
      </c>
      <c r="AK79" s="34">
        <f>AJ79-(AJ79*7%)</f>
        <v/>
      </c>
      <c r="AL79" s="35">
        <f>AJ79/94</f>
        <v/>
      </c>
      <c r="AM79" s="35">
        <f>AK79/94</f>
        <v/>
      </c>
      <c r="AN79" s="36">
        <f>AJ79/24</f>
        <v/>
      </c>
      <c r="AO79" s="36">
        <f>AK79/24</f>
        <v/>
      </c>
      <c r="AP79" s="37">
        <f>AJ79/125</f>
        <v/>
      </c>
      <c r="AQ79" s="37">
        <f>AK79/125</f>
        <v/>
      </c>
    </row>
    <row r="80" ht="15.75" customHeight="1" s="50">
      <c r="A80" s="32" t="n"/>
      <c r="B80" s="32" t="inlineStr">
        <is>
          <t>Tatvamasi - I am Infinite / 1L / With Brush</t>
        </is>
      </c>
      <c r="C80" s="32" t="inlineStr">
        <is>
          <t>CB-T-B</t>
        </is>
      </c>
      <c r="D80" s="32" t="n">
        <v>460</v>
      </c>
      <c r="E80" s="32" t="n">
        <v>50</v>
      </c>
      <c r="G80" s="32" t="n">
        <v>0</v>
      </c>
      <c r="H80" s="32" t="n">
        <v>10</v>
      </c>
      <c r="I80" s="41" t="n">
        <v>741810</v>
      </c>
      <c r="J80" s="41" t="n">
        <v>5</v>
      </c>
      <c r="K80" s="32">
        <f>D80*J80</f>
        <v/>
      </c>
      <c r="M80" s="32">
        <f>D80*4%</f>
        <v/>
      </c>
      <c r="N80" s="49">
        <f>M80+L80+K80+H80+G80+F80+E80+D80</f>
        <v/>
      </c>
      <c r="O80" s="32">
        <f>D80*1%</f>
        <v/>
      </c>
      <c r="P80" s="7">
        <f>N80*8%</f>
        <v/>
      </c>
      <c r="Q80" s="7">
        <f>N80*10%</f>
        <v/>
      </c>
      <c r="R80" s="7">
        <f>N80*5%</f>
        <v/>
      </c>
      <c r="S80" s="7">
        <f>N80*2%</f>
        <v/>
      </c>
      <c r="T80" s="7">
        <f>AE80*0.5%</f>
        <v/>
      </c>
      <c r="U80" s="7">
        <f>N80*1%</f>
        <v/>
      </c>
      <c r="V80" s="31">
        <f>U80+S80+R80+Q80+P80+O80</f>
        <v/>
      </c>
      <c r="W80" s="32">
        <f>AE80*1%</f>
        <v/>
      </c>
      <c r="X80" s="32">
        <f>AE80*10%</f>
        <v/>
      </c>
      <c r="Y80" s="32">
        <f>AE80*1%</f>
        <v/>
      </c>
      <c r="Z80" s="32">
        <f>AE80*8%</f>
        <v/>
      </c>
      <c r="AA80" s="32">
        <f>W80+X80+Y80+Z80</f>
        <v/>
      </c>
      <c r="AB80" s="31">
        <f>AA80+V80+N80</f>
        <v/>
      </c>
      <c r="AC80" s="6">
        <f>AB80*20%</f>
        <v/>
      </c>
      <c r="AD80" s="7">
        <f>AB80+AC80</f>
        <v/>
      </c>
      <c r="AE80" s="32">
        <f>D80*2.1</f>
        <v/>
      </c>
      <c r="AF80" s="7">
        <f>AD80-AE80</f>
        <v/>
      </c>
      <c r="AG80" s="7">
        <f>AF80/AD80*100</f>
        <v/>
      </c>
      <c r="AH80" s="0" t="n">
        <v>1345</v>
      </c>
      <c r="AI80" s="33" t="n">
        <v>885</v>
      </c>
      <c r="AJ80" s="34">
        <f>AD80</f>
        <v/>
      </c>
      <c r="AK80" s="34">
        <f>AJ80-(AJ80*7%)</f>
        <v/>
      </c>
      <c r="AL80" s="35">
        <f>AJ80/94</f>
        <v/>
      </c>
      <c r="AM80" s="35">
        <f>AK80/94</f>
        <v/>
      </c>
      <c r="AN80" s="36">
        <f>AJ80/24</f>
        <v/>
      </c>
      <c r="AO80" s="36">
        <f>AK80/24</f>
        <v/>
      </c>
      <c r="AP80" s="37">
        <f>AJ80/125</f>
        <v/>
      </c>
      <c r="AQ80" s="37">
        <f>AK80/125</f>
        <v/>
      </c>
    </row>
    <row r="81" ht="15" customHeight="1" s="50">
      <c r="A81" s="32" t="inlineStr">
        <is>
          <t>Asalato/Aslatau or Kashaka Shaker</t>
        </is>
      </c>
      <c r="B81" s="32" t="inlineStr">
        <is>
          <t>Plain / Single</t>
        </is>
      </c>
      <c r="C81" s="32" t="inlineStr">
        <is>
          <t>MI-AS</t>
        </is>
      </c>
      <c r="D81" s="32" t="n">
        <v>95</v>
      </c>
      <c r="E81" s="32" t="n">
        <v>80</v>
      </c>
      <c r="G81" s="32" t="n">
        <v>0</v>
      </c>
      <c r="H81" s="32" t="n">
        <v>10</v>
      </c>
      <c r="I81" s="41" t="n">
        <v>44201900</v>
      </c>
      <c r="J81" s="30" t="n">
        <v>0.05</v>
      </c>
      <c r="K81" s="32">
        <f>D81*J81</f>
        <v/>
      </c>
      <c r="M81" s="32">
        <f>D81*4%</f>
        <v/>
      </c>
      <c r="N81" s="49">
        <f>M81+L81+K81+H81+G81+F81+E81+D81</f>
        <v/>
      </c>
      <c r="O81" s="32">
        <f>D81*1%</f>
        <v/>
      </c>
      <c r="P81" s="7">
        <f>N81*8%</f>
        <v/>
      </c>
      <c r="Q81" s="7">
        <f>N81*10%</f>
        <v/>
      </c>
      <c r="R81" s="7">
        <f>N81*5%</f>
        <v/>
      </c>
      <c r="S81" s="7">
        <f>N81*2%</f>
        <v/>
      </c>
      <c r="T81" s="7">
        <f>AE81*0.5%</f>
        <v/>
      </c>
      <c r="U81" s="7">
        <f>N81*1%</f>
        <v/>
      </c>
      <c r="V81" s="31">
        <f>U81+S81+R81+Q81+P81+O81</f>
        <v/>
      </c>
      <c r="W81" s="32">
        <f>AE81*1%</f>
        <v/>
      </c>
      <c r="X81" s="32">
        <f>AE81*10%</f>
        <v/>
      </c>
      <c r="Y81" s="32">
        <f>AE81*1%</f>
        <v/>
      </c>
      <c r="Z81" s="32">
        <f>AE81*8%</f>
        <v/>
      </c>
      <c r="AA81" s="32">
        <f>W81+X81+Y81+Z81</f>
        <v/>
      </c>
      <c r="AB81" s="31">
        <f>AA81+V81+N81</f>
        <v/>
      </c>
      <c r="AC81" s="6">
        <f>AB81*20%</f>
        <v/>
      </c>
      <c r="AD81" s="7">
        <f>AB81+AC81</f>
        <v/>
      </c>
      <c r="AE81" s="32">
        <f>D81*2.1</f>
        <v/>
      </c>
      <c r="AF81" s="7">
        <f>AD81-AE81</f>
        <v/>
      </c>
      <c r="AG81" s="7">
        <f>AF81/AD81*100</f>
        <v/>
      </c>
      <c r="AH81" s="0" t="n">
        <v>1345</v>
      </c>
      <c r="AI81" s="33" t="n">
        <v>1250</v>
      </c>
      <c r="AJ81" s="34">
        <f>AD81</f>
        <v/>
      </c>
      <c r="AK81" s="34">
        <f>AJ81-(AJ81*7%)</f>
        <v/>
      </c>
      <c r="AL81" s="35">
        <f>AJ81/94</f>
        <v/>
      </c>
      <c r="AM81" s="35">
        <f>AK81/94</f>
        <v/>
      </c>
      <c r="AN81" s="36">
        <f>AJ81/24</f>
        <v/>
      </c>
      <c r="AO81" s="36">
        <f>AK81/24</f>
        <v/>
      </c>
      <c r="AP81" s="37">
        <f>AJ81/125</f>
        <v/>
      </c>
      <c r="AQ81" s="37">
        <f>AK81/125</f>
        <v/>
      </c>
    </row>
    <row r="82" ht="15.75" customHeight="1" s="50">
      <c r="A82" s="32" t="n"/>
      <c r="B82" s="32" t="inlineStr">
        <is>
          <t>Pair / Plain</t>
        </is>
      </c>
      <c r="C82" s="32" t="inlineStr">
        <is>
          <t>MI-AS-2</t>
        </is>
      </c>
      <c r="D82" s="32" t="n">
        <v>190</v>
      </c>
      <c r="E82" s="32" t="n">
        <v>80</v>
      </c>
      <c r="G82" s="32" t="n">
        <v>0</v>
      </c>
      <c r="H82" s="32" t="n">
        <v>10</v>
      </c>
      <c r="I82" s="41" t="n">
        <v>44201900</v>
      </c>
      <c r="J82" s="30" t="n">
        <v>0.05</v>
      </c>
      <c r="K82" s="32">
        <f>D82*J82</f>
        <v/>
      </c>
      <c r="M82" s="32">
        <f>D82*4%</f>
        <v/>
      </c>
      <c r="N82" s="49">
        <f>M82+L82+K82+H82+G82+F82+E82+D82</f>
        <v/>
      </c>
      <c r="O82" s="32">
        <f>D82*1%</f>
        <v/>
      </c>
      <c r="P82" s="7">
        <f>N82*8%</f>
        <v/>
      </c>
      <c r="Q82" s="7">
        <f>N82*10%</f>
        <v/>
      </c>
      <c r="R82" s="7">
        <f>N82*5%</f>
        <v/>
      </c>
      <c r="S82" s="7">
        <f>N82*2%</f>
        <v/>
      </c>
      <c r="T82" s="7">
        <f>AE82*0.5%</f>
        <v/>
      </c>
      <c r="U82" s="7">
        <f>N82*1%</f>
        <v/>
      </c>
      <c r="V82" s="31">
        <f>U82+S82+R82+Q82+P82+O82</f>
        <v/>
      </c>
      <c r="W82" s="32">
        <f>AE82*1%</f>
        <v/>
      </c>
      <c r="X82" s="32">
        <f>AE82*10%</f>
        <v/>
      </c>
      <c r="Y82" s="32">
        <f>AE82*1%</f>
        <v/>
      </c>
      <c r="Z82" s="32">
        <f>AE82*8%</f>
        <v/>
      </c>
      <c r="AA82" s="32">
        <f>W82+X82+Y82+Z82</f>
        <v/>
      </c>
      <c r="AB82" s="31">
        <f>AA82+V82+N82</f>
        <v/>
      </c>
      <c r="AC82" s="6">
        <f>AB82*20%</f>
        <v/>
      </c>
      <c r="AD82" s="7">
        <f>AB82+AC82</f>
        <v/>
      </c>
      <c r="AE82" s="32">
        <f>D82*2.1</f>
        <v/>
      </c>
      <c r="AF82" s="7">
        <f>AD82-AE82</f>
        <v/>
      </c>
      <c r="AG82" s="7">
        <f>AF82/AD82*100</f>
        <v/>
      </c>
      <c r="AH82" s="0" t="n">
        <v>2450</v>
      </c>
      <c r="AI82" s="33" t="n">
        <v>2260</v>
      </c>
      <c r="AJ82" s="34">
        <f>AD82</f>
        <v/>
      </c>
      <c r="AK82" s="34">
        <f>AJ82-(AJ82*7%)</f>
        <v/>
      </c>
      <c r="AL82" s="35">
        <f>AJ82/94</f>
        <v/>
      </c>
      <c r="AM82" s="35">
        <f>AK82/94</f>
        <v/>
      </c>
      <c r="AN82" s="36">
        <f>AJ82/24</f>
        <v/>
      </c>
      <c r="AO82" s="36">
        <f>AK82/24</f>
        <v/>
      </c>
      <c r="AP82" s="37">
        <f>AJ82/125</f>
        <v/>
      </c>
      <c r="AQ82" s="37">
        <f>AK82/125</f>
        <v/>
      </c>
    </row>
    <row r="83" ht="15.75" customHeight="1" s="50">
      <c r="A83" s="32" t="n"/>
      <c r="B83" s="32" t="inlineStr">
        <is>
          <t>Painted / Single</t>
        </is>
      </c>
      <c r="C83" s="32" t="inlineStr">
        <is>
          <t>MI-AS-P</t>
        </is>
      </c>
      <c r="D83" s="32" t="n">
        <v>90</v>
      </c>
      <c r="E83" s="32" t="n">
        <v>80</v>
      </c>
      <c r="G83" s="32" t="n">
        <v>0</v>
      </c>
      <c r="H83" s="32" t="n">
        <v>10</v>
      </c>
      <c r="I83" s="41" t="n">
        <v>44201900</v>
      </c>
      <c r="J83" s="30" t="n">
        <v>0.05</v>
      </c>
      <c r="K83" s="32">
        <f>D83*J83</f>
        <v/>
      </c>
      <c r="M83" s="32">
        <f>D83*4%</f>
        <v/>
      </c>
      <c r="N83" s="49">
        <f>M83+L83+K83+H83+G83+F83+E83+D83</f>
        <v/>
      </c>
      <c r="O83" s="32">
        <f>D83*1%</f>
        <v/>
      </c>
      <c r="P83" s="7">
        <f>N83*8%</f>
        <v/>
      </c>
      <c r="Q83" s="7">
        <f>N83*10%</f>
        <v/>
      </c>
      <c r="R83" s="7">
        <f>N83*5%</f>
        <v/>
      </c>
      <c r="S83" s="7">
        <f>N83*2%</f>
        <v/>
      </c>
      <c r="T83" s="7">
        <f>AE83*0.5%</f>
        <v/>
      </c>
      <c r="U83" s="7">
        <f>N83*1%</f>
        <v/>
      </c>
      <c r="V83" s="31">
        <f>U83+S83+R83+Q83+P83+O83</f>
        <v/>
      </c>
      <c r="W83" s="32">
        <f>AE83*1%</f>
        <v/>
      </c>
      <c r="X83" s="32">
        <f>AE83*10%</f>
        <v/>
      </c>
      <c r="Y83" s="32">
        <f>AE83*1%</f>
        <v/>
      </c>
      <c r="Z83" s="32">
        <f>AE83*8%</f>
        <v/>
      </c>
      <c r="AA83" s="32">
        <f>W83+X83+Y83+Z83</f>
        <v/>
      </c>
      <c r="AB83" s="31">
        <f>AA83+V83+N83</f>
        <v/>
      </c>
      <c r="AC83" s="6">
        <f>AB83*20%</f>
        <v/>
      </c>
      <c r="AD83" s="7">
        <f>AB83+AC83</f>
        <v/>
      </c>
      <c r="AE83" s="32">
        <f>D83*2.1</f>
        <v/>
      </c>
      <c r="AF83" s="7">
        <f>AD83-AE83</f>
        <v/>
      </c>
      <c r="AG83" s="7">
        <f>AF83/AD83*100</f>
        <v/>
      </c>
      <c r="AH83" s="0" t="n">
        <v>1555</v>
      </c>
      <c r="AI83" s="33" t="n">
        <v>1465</v>
      </c>
      <c r="AJ83" s="34">
        <f>AD83</f>
        <v/>
      </c>
      <c r="AK83" s="34">
        <f>AJ83-(AJ83*7%)</f>
        <v/>
      </c>
      <c r="AL83" s="35">
        <f>AJ83/94</f>
        <v/>
      </c>
      <c r="AM83" s="35">
        <f>AK83/94</f>
        <v/>
      </c>
      <c r="AN83" s="36">
        <f>AJ83/24</f>
        <v/>
      </c>
      <c r="AO83" s="36">
        <f>AK83/24</f>
        <v/>
      </c>
      <c r="AP83" s="37">
        <f>AJ83/125</f>
        <v/>
      </c>
      <c r="AQ83" s="37">
        <f>AK83/125</f>
        <v/>
      </c>
    </row>
    <row r="84" ht="15.75" customHeight="1" s="50">
      <c r="A84" s="32" t="n"/>
      <c r="B84" s="32" t="inlineStr">
        <is>
          <t>Pair / Painted</t>
        </is>
      </c>
      <c r="C84" s="32" t="inlineStr">
        <is>
          <t>MI-AS-P-2</t>
        </is>
      </c>
      <c r="D84" s="32" t="n">
        <v>180</v>
      </c>
      <c r="E84" s="32" t="n">
        <v>80</v>
      </c>
      <c r="G84" s="32" t="n">
        <v>0</v>
      </c>
      <c r="H84" s="32" t="n">
        <v>10</v>
      </c>
      <c r="I84" s="41" t="n">
        <v>44201900</v>
      </c>
      <c r="J84" s="30" t="n">
        <v>0.05</v>
      </c>
      <c r="K84" s="32">
        <f>D84*J84</f>
        <v/>
      </c>
      <c r="M84" s="32">
        <f>D84*4%</f>
        <v/>
      </c>
      <c r="N84" s="49">
        <f>M84+L84+K84+H84+G84+F84+E84+D84</f>
        <v/>
      </c>
      <c r="O84" s="32">
        <f>D84*1%</f>
        <v/>
      </c>
      <c r="P84" s="7">
        <f>N84*8%</f>
        <v/>
      </c>
      <c r="Q84" s="7">
        <f>N84*10%</f>
        <v/>
      </c>
      <c r="R84" s="7">
        <f>N84*5%</f>
        <v/>
      </c>
      <c r="S84" s="7">
        <f>N84*2%</f>
        <v/>
      </c>
      <c r="T84" s="7">
        <f>AE84*0.5%</f>
        <v/>
      </c>
      <c r="U84" s="7">
        <f>N84*1%</f>
        <v/>
      </c>
      <c r="V84" s="31">
        <f>U84+S84+R84+Q84+P84+O84</f>
        <v/>
      </c>
      <c r="W84" s="32">
        <f>AE84*1%</f>
        <v/>
      </c>
      <c r="X84" s="32">
        <f>AE84*10%</f>
        <v/>
      </c>
      <c r="Y84" s="32">
        <f>AE84*1%</f>
        <v/>
      </c>
      <c r="Z84" s="32">
        <f>AE84*8%</f>
        <v/>
      </c>
      <c r="AA84" s="32">
        <f>W84+X84+Y84+Z84</f>
        <v/>
      </c>
      <c r="AB84" s="31">
        <f>AA84+V84+N84</f>
        <v/>
      </c>
      <c r="AC84" s="6">
        <f>AB84*20%</f>
        <v/>
      </c>
      <c r="AD84" s="7">
        <f>AB84+AC84</f>
        <v/>
      </c>
      <c r="AE84" s="32">
        <f>D84*2.1</f>
        <v/>
      </c>
      <c r="AF84" s="7">
        <f>AD84-AE84</f>
        <v/>
      </c>
      <c r="AG84" s="7">
        <f>AF84/AD84*100</f>
        <v/>
      </c>
      <c r="AH84" s="0" t="n">
        <v>2700</v>
      </c>
      <c r="AI84" s="33" t="n">
        <v>2520</v>
      </c>
      <c r="AJ84" s="34">
        <f>AD84</f>
        <v/>
      </c>
      <c r="AK84" s="34">
        <f>AJ84-(AJ84*7%)</f>
        <v/>
      </c>
      <c r="AL84" s="35">
        <f>AJ84/94</f>
        <v/>
      </c>
      <c r="AM84" s="35">
        <f>AK84/94</f>
        <v/>
      </c>
      <c r="AN84" s="36">
        <f>AJ84/24</f>
        <v/>
      </c>
      <c r="AO84" s="36">
        <f>AK84/24</f>
        <v/>
      </c>
      <c r="AP84" s="37">
        <f>AJ84/125</f>
        <v/>
      </c>
      <c r="AQ84" s="37">
        <f>AK84/125</f>
        <v/>
      </c>
    </row>
    <row r="85" ht="15.75" customHeight="1" s="50">
      <c r="A85" s="32" t="inlineStr">
        <is>
          <t>Ayurvedic Copper Bedroom Jar</t>
        </is>
      </c>
      <c r="B85" s="32" t="inlineStr">
        <is>
          <t>Standard</t>
        </is>
      </c>
      <c r="C85" s="32" t="inlineStr">
        <is>
          <t>CB-BJ</t>
        </is>
      </c>
      <c r="D85" s="32" t="n">
        <v>590</v>
      </c>
      <c r="G85" s="32" t="n">
        <v>0</v>
      </c>
      <c r="H85" s="32" t="n">
        <v>10</v>
      </c>
      <c r="I85" s="41" t="n">
        <v>741810</v>
      </c>
      <c r="J85" s="30" t="n">
        <v>0.05</v>
      </c>
      <c r="K85" s="32">
        <f>D85*J85</f>
        <v/>
      </c>
      <c r="M85" s="32">
        <f>D85*4%</f>
        <v/>
      </c>
      <c r="N85" s="49">
        <f>M85+L85+K85+H85+G85+F85+E85+D85</f>
        <v/>
      </c>
      <c r="O85" s="32">
        <f>D85*1%</f>
        <v/>
      </c>
      <c r="P85" s="7">
        <f>N85*8%</f>
        <v/>
      </c>
      <c r="Q85" s="7">
        <f>N85*10%</f>
        <v/>
      </c>
      <c r="R85" s="7">
        <f>N85*5%</f>
        <v/>
      </c>
      <c r="S85" s="7">
        <f>N85*2%</f>
        <v/>
      </c>
      <c r="T85" s="7">
        <f>AE85*0.5%</f>
        <v/>
      </c>
      <c r="U85" s="7">
        <f>N85*1%</f>
        <v/>
      </c>
      <c r="V85" s="31">
        <f>U85+S85+R85+Q85+P85+O85</f>
        <v/>
      </c>
      <c r="W85" s="32">
        <f>AE85*1%</f>
        <v/>
      </c>
      <c r="X85" s="32">
        <f>AE85*10%</f>
        <v/>
      </c>
      <c r="Y85" s="32">
        <f>AE85*1%</f>
        <v/>
      </c>
      <c r="Z85" s="32">
        <f>AE85*8%</f>
        <v/>
      </c>
      <c r="AA85" s="32">
        <f>W85+X85+Y85+Z85</f>
        <v/>
      </c>
      <c r="AB85" s="31">
        <f>AA85+V85+N85</f>
        <v/>
      </c>
      <c r="AC85" s="6">
        <f>AB85*20%</f>
        <v/>
      </c>
      <c r="AD85" s="7">
        <f>AB85+AC85</f>
        <v/>
      </c>
      <c r="AE85" s="32">
        <f>D85*2.1</f>
        <v/>
      </c>
      <c r="AF85" s="7">
        <f>AD85-AE85</f>
        <v/>
      </c>
      <c r="AG85" s="7">
        <f>AF85/AD85*100</f>
        <v/>
      </c>
      <c r="AH85" s="0" t="n">
        <v>1245</v>
      </c>
      <c r="AI85" s="33" t="n">
        <v>655</v>
      </c>
      <c r="AJ85" s="34">
        <f>AD85</f>
        <v/>
      </c>
      <c r="AK85" s="34">
        <f>AJ85-(AJ85*7%)</f>
        <v/>
      </c>
      <c r="AL85" s="35">
        <f>AJ85/94</f>
        <v/>
      </c>
      <c r="AM85" s="35">
        <f>AK85/94</f>
        <v/>
      </c>
      <c r="AN85" s="36">
        <f>AJ85/24</f>
        <v/>
      </c>
      <c r="AO85" s="36">
        <f>AK85/24</f>
        <v/>
      </c>
      <c r="AP85" s="37">
        <f>AJ85/125</f>
        <v/>
      </c>
      <c r="AQ85" s="37">
        <f>AK85/125</f>
        <v/>
      </c>
    </row>
    <row r="86" ht="15.75" customHeight="1" s="50">
      <c r="A86" s="32" t="inlineStr">
        <is>
          <t>Bamboo Castanet</t>
        </is>
      </c>
      <c r="B86" s="32" t="inlineStr">
        <is>
          <t>Standard</t>
        </is>
      </c>
      <c r="C86" s="32" t="inlineStr">
        <is>
          <t>MI-CN-B</t>
        </is>
      </c>
      <c r="D86" s="32" t="n">
        <v>90</v>
      </c>
      <c r="G86" s="32" t="n">
        <v>0</v>
      </c>
      <c r="H86" s="32" t="n">
        <v>10</v>
      </c>
      <c r="I86" s="41" t="n">
        <v>46021100</v>
      </c>
      <c r="J86" s="30" t="n">
        <v>0.05</v>
      </c>
      <c r="K86" s="32">
        <f>D86*J86</f>
        <v/>
      </c>
      <c r="M86" s="32">
        <f>D86*4%</f>
        <v/>
      </c>
      <c r="N86" s="49">
        <f>M86+L86+K86+H86+G86+F86+E86+D86</f>
        <v/>
      </c>
      <c r="O86" s="32">
        <f>D86*1%</f>
        <v/>
      </c>
      <c r="P86" s="7">
        <f>N86*8%</f>
        <v/>
      </c>
      <c r="Q86" s="7">
        <f>N86*10%</f>
        <v/>
      </c>
      <c r="R86" s="7">
        <f>N86*5%</f>
        <v/>
      </c>
      <c r="S86" s="7">
        <f>N86*2%</f>
        <v/>
      </c>
      <c r="T86" s="7">
        <f>AE86*0.5%</f>
        <v/>
      </c>
      <c r="U86" s="7">
        <f>N86*1%</f>
        <v/>
      </c>
      <c r="V86" s="31">
        <f>U86+S86+R86+Q86+P86+O86</f>
        <v/>
      </c>
      <c r="W86" s="32">
        <f>AE86*1%</f>
        <v/>
      </c>
      <c r="X86" s="32">
        <f>AE86*10%</f>
        <v/>
      </c>
      <c r="Y86" s="32">
        <f>AE86*1%</f>
        <v/>
      </c>
      <c r="Z86" s="32">
        <f>AE86*8%</f>
        <v/>
      </c>
      <c r="AA86" s="32">
        <f>W86+X86+Y86+Z86</f>
        <v/>
      </c>
      <c r="AB86" s="31">
        <f>AA86+V86+N86</f>
        <v/>
      </c>
      <c r="AC86" s="6">
        <f>AB86*20%</f>
        <v/>
      </c>
      <c r="AD86" s="7">
        <f>AB86+AC86</f>
        <v/>
      </c>
      <c r="AE86" s="32">
        <f>D86*2.1</f>
        <v/>
      </c>
      <c r="AF86" s="7">
        <f>AD86-AE86</f>
        <v/>
      </c>
      <c r="AG86" s="7">
        <f>AF86/AD86*100</f>
        <v/>
      </c>
      <c r="AH86" s="0" t="n">
        <v>745</v>
      </c>
      <c r="AI86" s="33" t="n">
        <v>655</v>
      </c>
      <c r="AJ86" s="34">
        <f>AD86</f>
        <v/>
      </c>
      <c r="AK86" s="34">
        <f>AJ86-(AJ86*7%)</f>
        <v/>
      </c>
      <c r="AL86" s="35">
        <f>AJ86/94</f>
        <v/>
      </c>
      <c r="AM86" s="35">
        <f>AK86/94</f>
        <v/>
      </c>
      <c r="AN86" s="36">
        <f>AJ86/24</f>
        <v/>
      </c>
      <c r="AO86" s="36">
        <f>AK86/24</f>
        <v/>
      </c>
      <c r="AP86" s="37">
        <f>AJ86/125</f>
        <v/>
      </c>
      <c r="AQ86" s="37">
        <f>AK86/125</f>
        <v/>
      </c>
    </row>
    <row r="87" ht="15.75" customHeight="1" s="50">
      <c r="A87" s="32" t="inlineStr">
        <is>
          <t>Bamboo Jaw Harp</t>
        </is>
      </c>
      <c r="B87" s="32" t="inlineStr">
        <is>
          <t>Standard</t>
        </is>
      </c>
      <c r="C87" s="32" t="inlineStr">
        <is>
          <t>MI-BJH</t>
        </is>
      </c>
      <c r="D87" s="32" t="n">
        <v>100</v>
      </c>
      <c r="G87" s="32" t="n">
        <v>0</v>
      </c>
      <c r="H87" s="32" t="n">
        <v>10</v>
      </c>
      <c r="I87" s="41" t="n">
        <v>46021100</v>
      </c>
      <c r="J87" s="30" t="n">
        <v>0.05</v>
      </c>
      <c r="K87" s="32">
        <f>D87*J87</f>
        <v/>
      </c>
      <c r="L87" s="32">
        <f>D87*5%</f>
        <v/>
      </c>
      <c r="M87" s="32">
        <f>D87*4%</f>
        <v/>
      </c>
      <c r="N87" s="49">
        <f>M87+L87+K87+H87+G87+F87+E87+D87</f>
        <v/>
      </c>
      <c r="O87" s="32">
        <f>D87*1%</f>
        <v/>
      </c>
      <c r="P87" s="7">
        <f>N87*8%</f>
        <v/>
      </c>
      <c r="Q87" s="7">
        <f>N87*10%</f>
        <v/>
      </c>
      <c r="R87" s="7">
        <f>N87*5%</f>
        <v/>
      </c>
      <c r="S87" s="7">
        <f>N87*2%</f>
        <v/>
      </c>
      <c r="T87" s="7">
        <f>AE87*0.5%</f>
        <v/>
      </c>
      <c r="U87" s="7">
        <f>N87*1%</f>
        <v/>
      </c>
      <c r="V87" s="31">
        <f>U87+S87+R87+Q87+P87+O87</f>
        <v/>
      </c>
      <c r="W87" s="32">
        <f>AE87*1%</f>
        <v/>
      </c>
      <c r="X87" s="32">
        <f>AE87*10%</f>
        <v/>
      </c>
      <c r="Y87" s="32">
        <f>AE87*1%</f>
        <v/>
      </c>
      <c r="Z87" s="32">
        <f>AE87*8%</f>
        <v/>
      </c>
      <c r="AA87" s="32">
        <f>W87+X87+Y87+Z87</f>
        <v/>
      </c>
      <c r="AB87" s="31">
        <f>AA87+V87+N87</f>
        <v/>
      </c>
      <c r="AC87" s="6">
        <f>AB87*20%</f>
        <v/>
      </c>
      <c r="AD87" s="7">
        <f>AB87+AC87</f>
        <v/>
      </c>
      <c r="AE87" s="32">
        <f>D87*2.1</f>
        <v/>
      </c>
      <c r="AF87" s="7">
        <f>AD87-AE87</f>
        <v/>
      </c>
      <c r="AG87" s="7">
        <f>AF87/AD87*100</f>
        <v/>
      </c>
      <c r="AH87" s="0" t="n">
        <v>300</v>
      </c>
      <c r="AI87" s="33" t="n">
        <v>200</v>
      </c>
      <c r="AJ87" s="34">
        <f>AD87</f>
        <v/>
      </c>
      <c r="AK87" s="34">
        <f>AJ87-(AJ87*7%)</f>
        <v/>
      </c>
      <c r="AL87" s="35">
        <f>AJ87/94</f>
        <v/>
      </c>
      <c r="AM87" s="35">
        <f>AK87/94</f>
        <v/>
      </c>
      <c r="AN87" s="36">
        <f>AJ87/24</f>
        <v/>
      </c>
      <c r="AO87" s="36">
        <f>AK87/24</f>
        <v/>
      </c>
      <c r="AP87" s="37">
        <f>AJ87/125</f>
        <v/>
      </c>
      <c r="AQ87" s="37">
        <f>AK87/125</f>
        <v/>
      </c>
    </row>
    <row r="88" ht="15.75" customHeight="1" s="50">
      <c r="A88" s="32" t="inlineStr">
        <is>
          <t>Bamboo Rainstick</t>
        </is>
      </c>
      <c r="B88" s="32" t="inlineStr">
        <is>
          <t>Standard</t>
        </is>
      </c>
      <c r="C88" s="32" t="inlineStr">
        <is>
          <t>MI-RS-N</t>
        </is>
      </c>
      <c r="D88" s="32" t="n">
        <v>1450</v>
      </c>
      <c r="E88" s="32" t="n">
        <v>150</v>
      </c>
      <c r="G88" s="32" t="n">
        <v>0</v>
      </c>
      <c r="H88" s="32" t="n">
        <v>10</v>
      </c>
      <c r="I88" s="41" t="n">
        <v>46021100</v>
      </c>
      <c r="J88" s="30" t="n">
        <v>0.05</v>
      </c>
      <c r="K88" s="32">
        <f>D88*J88</f>
        <v/>
      </c>
      <c r="M88" s="32">
        <f>D88*4%</f>
        <v/>
      </c>
      <c r="N88" s="49">
        <f>M88+L88+K88+H88+G88+F88+E88+D88</f>
        <v/>
      </c>
      <c r="O88" s="32">
        <f>D88*1%</f>
        <v/>
      </c>
      <c r="P88" s="7">
        <f>N88*8%</f>
        <v/>
      </c>
      <c r="Q88" s="7">
        <f>N88*10%</f>
        <v/>
      </c>
      <c r="R88" s="7">
        <f>N88*5%</f>
        <v/>
      </c>
      <c r="S88" s="7">
        <f>N88*2%</f>
        <v/>
      </c>
      <c r="T88" s="7">
        <f>AE88*0.5%</f>
        <v/>
      </c>
      <c r="U88" s="7">
        <f>N88*1%</f>
        <v/>
      </c>
      <c r="V88" s="31">
        <f>U88+S88+R88+Q88+P88+O88</f>
        <v/>
      </c>
      <c r="W88" s="32">
        <f>AE88*1%</f>
        <v/>
      </c>
      <c r="X88" s="32">
        <f>AE88*10%</f>
        <v/>
      </c>
      <c r="Y88" s="32">
        <f>AE88*1%</f>
        <v/>
      </c>
      <c r="Z88" s="32">
        <f>AE88*8%</f>
        <v/>
      </c>
      <c r="AA88" s="32">
        <f>W88+X88+Y88+Z88</f>
        <v/>
      </c>
      <c r="AB88" s="31">
        <f>AA88+V88+N88</f>
        <v/>
      </c>
      <c r="AC88" s="6">
        <f>AB88*20%</f>
        <v/>
      </c>
      <c r="AD88" s="7">
        <f>AB88+AC88</f>
        <v/>
      </c>
      <c r="AE88" s="32">
        <f>D88*2.1</f>
        <v/>
      </c>
      <c r="AF88" s="7">
        <f>AD88-AE88</f>
        <v/>
      </c>
      <c r="AG88" s="7">
        <f>AF88/AD88*100</f>
        <v/>
      </c>
      <c r="AH88" s="0" t="n">
        <v>2950</v>
      </c>
      <c r="AI88" s="33" t="n">
        <v>1500</v>
      </c>
      <c r="AJ88" s="34">
        <f>AD88</f>
        <v/>
      </c>
      <c r="AK88" s="34">
        <f>AJ88-(AJ88*7%)</f>
        <v/>
      </c>
      <c r="AL88" s="35">
        <f>AJ88/94</f>
        <v/>
      </c>
      <c r="AM88" s="35">
        <f>AK88/94</f>
        <v/>
      </c>
      <c r="AN88" s="36">
        <f>AJ88/24</f>
        <v/>
      </c>
      <c r="AO88" s="36">
        <f>AK88/24</f>
        <v/>
      </c>
      <c r="AP88" s="37">
        <f>AJ88/125</f>
        <v/>
      </c>
      <c r="AQ88" s="37">
        <f>AK88/125</f>
        <v/>
      </c>
    </row>
    <row r="89" ht="15.75" customHeight="1" s="50">
      <c r="A89" s="32" t="inlineStr">
        <is>
          <t>Belly Bowls</t>
        </is>
      </c>
      <c r="B89" s="32" t="inlineStr">
        <is>
          <t>Standard</t>
        </is>
      </c>
      <c r="C89" s="32" t="inlineStr">
        <is>
          <t>MI-SB-BY</t>
        </is>
      </c>
      <c r="D89" s="32" t="n">
        <v>5000</v>
      </c>
      <c r="G89" s="32" t="n">
        <v>0</v>
      </c>
      <c r="H89" s="32" t="n">
        <v>10</v>
      </c>
      <c r="I89" s="41" t="inlineStr">
        <is>
          <t>Prasonjit</t>
        </is>
      </c>
      <c r="J89" s="30" t="n">
        <v>0.05</v>
      </c>
      <c r="K89" s="32">
        <f>D89*J89</f>
        <v/>
      </c>
      <c r="M89" s="32">
        <f>D89*4%</f>
        <v/>
      </c>
      <c r="N89" s="49">
        <f>M89+L89+K89+H89+G89+F89+E89+D89</f>
        <v/>
      </c>
      <c r="O89" s="32">
        <f>D89*1%</f>
        <v/>
      </c>
      <c r="P89" s="7">
        <f>N89*8%</f>
        <v/>
      </c>
      <c r="Q89" s="7">
        <f>N89*10%</f>
        <v/>
      </c>
      <c r="R89" s="7">
        <f>N89*5%</f>
        <v/>
      </c>
      <c r="S89" s="7">
        <f>N89*2%</f>
        <v/>
      </c>
      <c r="T89" s="7">
        <f>AE89*0.5%</f>
        <v/>
      </c>
      <c r="U89" s="7">
        <f>N89*1%</f>
        <v/>
      </c>
      <c r="V89" s="31">
        <f>U89+S89+R89+Q89+P89+O89</f>
        <v/>
      </c>
      <c r="W89" s="32">
        <f>AE89*1%</f>
        <v/>
      </c>
      <c r="X89" s="32">
        <f>AE89*10%</f>
        <v/>
      </c>
      <c r="Y89" s="32">
        <f>AE89*1%</f>
        <v/>
      </c>
      <c r="Z89" s="32">
        <f>AE89*8%</f>
        <v/>
      </c>
      <c r="AA89" s="32">
        <f>W89+X89+Y89+Z89</f>
        <v/>
      </c>
      <c r="AB89" s="31">
        <f>AA89+V89+N89</f>
        <v/>
      </c>
      <c r="AC89" s="6">
        <f>AB89*20%</f>
        <v/>
      </c>
      <c r="AD89" s="7">
        <f>AB89+AC89</f>
        <v/>
      </c>
      <c r="AE89" s="32">
        <f>D89*2.1</f>
        <v/>
      </c>
      <c r="AF89" s="7">
        <f>AD89-AE89</f>
        <v/>
      </c>
      <c r="AG89" s="7">
        <f>AF89/AD89*100</f>
        <v/>
      </c>
      <c r="AH89" s="0" t="n">
        <v>9900</v>
      </c>
      <c r="AI89" s="33" t="n">
        <v>4900</v>
      </c>
      <c r="AJ89" s="34">
        <f>AD89</f>
        <v/>
      </c>
      <c r="AK89" s="34">
        <f>AJ89-(AJ89*7%)</f>
        <v/>
      </c>
      <c r="AL89" s="35">
        <f>AJ89/94</f>
        <v/>
      </c>
      <c r="AM89" s="35">
        <f>AK89/94</f>
        <v/>
      </c>
      <c r="AN89" s="36">
        <f>AJ89/24</f>
        <v/>
      </c>
      <c r="AO89" s="36">
        <f>AK89/24</f>
        <v/>
      </c>
      <c r="AP89" s="37">
        <f>AJ89/125</f>
        <v/>
      </c>
      <c r="AQ89" s="37">
        <f>AK89/125</f>
        <v/>
      </c>
    </row>
    <row r="90" ht="15.75" customHeight="1" s="50">
      <c r="A90" s="32" t="inlineStr">
        <is>
          <t>Bendo Chimes</t>
        </is>
      </c>
      <c r="B90" s="32" t="inlineStr">
        <is>
          <t>Standard</t>
        </is>
      </c>
      <c r="C90" s="32" t="inlineStr">
        <is>
          <t>MI-CH-BE</t>
        </is>
      </c>
      <c r="D90" s="32" t="n">
        <v>2500</v>
      </c>
      <c r="E90" s="32" t="n">
        <v>200</v>
      </c>
      <c r="G90" s="32" t="n">
        <v>0</v>
      </c>
      <c r="H90" s="32" t="n">
        <v>10</v>
      </c>
      <c r="I90" s="41" t="n">
        <v>44201900</v>
      </c>
      <c r="J90" s="30" t="n">
        <v>0.05</v>
      </c>
      <c r="K90" s="32">
        <f>D90*J90</f>
        <v/>
      </c>
      <c r="M90" s="32">
        <f>D90*4%</f>
        <v/>
      </c>
      <c r="N90" s="49">
        <f>M90+L90+K90+H90+G90+F90+E90+D90</f>
        <v/>
      </c>
      <c r="O90" s="32">
        <f>D90*1%</f>
        <v/>
      </c>
      <c r="P90" s="7">
        <f>N90*8%</f>
        <v/>
      </c>
      <c r="Q90" s="7">
        <f>N90*10%</f>
        <v/>
      </c>
      <c r="R90" s="7">
        <f>N90*5%</f>
        <v/>
      </c>
      <c r="S90" s="7">
        <f>N90*2%</f>
        <v/>
      </c>
      <c r="T90" s="7">
        <f>AE90*0.5%</f>
        <v/>
      </c>
      <c r="U90" s="7">
        <f>N90*1%</f>
        <v/>
      </c>
      <c r="V90" s="31">
        <f>U90+S90+R90+Q90+P90+O90</f>
        <v/>
      </c>
      <c r="W90" s="32">
        <f>AE90*1%</f>
        <v/>
      </c>
      <c r="X90" s="32">
        <f>AE90*10%</f>
        <v/>
      </c>
      <c r="Y90" s="32">
        <f>AE90*1%</f>
        <v/>
      </c>
      <c r="Z90" s="32">
        <f>AE90*8%</f>
        <v/>
      </c>
      <c r="AA90" s="32">
        <f>W90+X90+Y90+Z90</f>
        <v/>
      </c>
      <c r="AB90" s="31">
        <f>AA90+V90+N90</f>
        <v/>
      </c>
      <c r="AC90" s="6">
        <f>AB90*20%</f>
        <v/>
      </c>
      <c r="AD90" s="7">
        <f>AB90+AC90</f>
        <v/>
      </c>
      <c r="AE90" s="32">
        <f>D90*2.1</f>
        <v/>
      </c>
      <c r="AF90" s="7">
        <f>AD90-AE90</f>
        <v/>
      </c>
      <c r="AG90" s="7">
        <f>AF90/AD90*100</f>
        <v/>
      </c>
      <c r="AH90" s="0" t="n">
        <v>5950</v>
      </c>
      <c r="AI90" s="33" t="n">
        <v>3450</v>
      </c>
      <c r="AJ90" s="34">
        <f>AD90</f>
        <v/>
      </c>
      <c r="AK90" s="34">
        <f>AJ90-(AJ90*7%)</f>
        <v/>
      </c>
      <c r="AL90" s="35">
        <f>AJ90/94</f>
        <v/>
      </c>
      <c r="AM90" s="35">
        <f>AK90/94</f>
        <v/>
      </c>
      <c r="AN90" s="36">
        <f>AJ90/24</f>
        <v/>
      </c>
      <c r="AO90" s="36">
        <f>AK90/24</f>
        <v/>
      </c>
      <c r="AP90" s="37">
        <f>AJ90/125</f>
        <v/>
      </c>
      <c r="AQ90" s="37">
        <f>AK90/125</f>
        <v/>
      </c>
    </row>
    <row r="91" ht="15" customHeight="1" s="50">
      <c r="A91" s="32" t="inlineStr">
        <is>
          <t>Bendo Shaker</t>
        </is>
      </c>
      <c r="B91" s="32" t="inlineStr">
        <is>
          <t>Small</t>
        </is>
      </c>
      <c r="C91" s="32" t="inlineStr">
        <is>
          <t>MI-BR-S</t>
        </is>
      </c>
      <c r="D91" s="32" t="n">
        <v>550</v>
      </c>
      <c r="E91" s="32" t="n">
        <v>100</v>
      </c>
      <c r="G91" s="32" t="n">
        <v>0</v>
      </c>
      <c r="H91" s="32" t="n">
        <v>10</v>
      </c>
      <c r="I91" s="41" t="n">
        <v>44201900</v>
      </c>
      <c r="J91" s="30" t="n">
        <v>0.05</v>
      </c>
      <c r="K91" s="32">
        <f>D91*J91</f>
        <v/>
      </c>
      <c r="M91" s="32">
        <f>D91*4%</f>
        <v/>
      </c>
      <c r="N91" s="49">
        <f>M91+L91+K91+H91+G91+F91+E91+D91</f>
        <v/>
      </c>
      <c r="O91" s="32">
        <f>D91*1%</f>
        <v/>
      </c>
      <c r="P91" s="7">
        <f>N91*8%</f>
        <v/>
      </c>
      <c r="Q91" s="7">
        <f>N91*10%</f>
        <v/>
      </c>
      <c r="R91" s="7">
        <f>N91*5%</f>
        <v/>
      </c>
      <c r="S91" s="7">
        <f>N91*2%</f>
        <v/>
      </c>
      <c r="T91" s="7">
        <f>AE91*0.5%</f>
        <v/>
      </c>
      <c r="U91" s="7">
        <f>N91*1%</f>
        <v/>
      </c>
      <c r="V91" s="31">
        <f>U91+S91+R91+Q91+P91+O91</f>
        <v/>
      </c>
      <c r="W91" s="32">
        <f>AE91*1%</f>
        <v/>
      </c>
      <c r="X91" s="32">
        <f>AE91*10%</f>
        <v/>
      </c>
      <c r="Y91" s="32">
        <f>AE91*1%</f>
        <v/>
      </c>
      <c r="Z91" s="32">
        <f>AE91*8%</f>
        <v/>
      </c>
      <c r="AA91" s="32">
        <f>W91+X91+Y91+Z91</f>
        <v/>
      </c>
      <c r="AB91" s="31">
        <f>AA91+V91+N91</f>
        <v/>
      </c>
      <c r="AC91" s="6">
        <f>AB91*20%</f>
        <v/>
      </c>
      <c r="AD91" s="7">
        <f>AB91+AC91</f>
        <v/>
      </c>
      <c r="AE91" s="32">
        <f>D91*2.1</f>
        <v/>
      </c>
      <c r="AF91" s="7">
        <f>AD91-AE91</f>
        <v/>
      </c>
      <c r="AG91" s="7">
        <f>AF91/AD91*100</f>
        <v/>
      </c>
      <c r="AH91" s="0" t="n">
        <v>1350</v>
      </c>
      <c r="AI91" s="33" t="n">
        <v>800</v>
      </c>
      <c r="AJ91" s="34">
        <f>AD91</f>
        <v/>
      </c>
      <c r="AK91" s="34">
        <f>AJ91-(AJ91*7%)</f>
        <v/>
      </c>
      <c r="AL91" s="35">
        <f>AJ91/94</f>
        <v/>
      </c>
      <c r="AM91" s="35">
        <f>AK91/94</f>
        <v/>
      </c>
      <c r="AN91" s="36">
        <f>AJ91/24</f>
        <v/>
      </c>
      <c r="AO91" s="36">
        <f>AK91/24</f>
        <v/>
      </c>
      <c r="AP91" s="37">
        <f>AJ91/125</f>
        <v/>
      </c>
      <c r="AQ91" s="37">
        <f>AK91/125</f>
        <v/>
      </c>
    </row>
    <row r="92" ht="15.75" customHeight="1" s="50">
      <c r="A92" s="32" t="n"/>
      <c r="B92" s="32" t="inlineStr">
        <is>
          <t>Large</t>
        </is>
      </c>
      <c r="C92" s="32" t="inlineStr">
        <is>
          <t>MI-BR-L</t>
        </is>
      </c>
      <c r="D92" s="32" t="n">
        <v>900</v>
      </c>
      <c r="E92" s="32" t="n">
        <v>100</v>
      </c>
      <c r="G92" s="32" t="n">
        <v>0</v>
      </c>
      <c r="H92" s="32" t="n">
        <v>10</v>
      </c>
      <c r="I92" s="41" t="n">
        <v>44201900</v>
      </c>
      <c r="J92" s="30" t="n">
        <v>0.05</v>
      </c>
      <c r="K92" s="32">
        <f>D92*J92</f>
        <v/>
      </c>
      <c r="M92" s="32">
        <f>D92*4%</f>
        <v/>
      </c>
      <c r="N92" s="49">
        <f>M92+L92+K92+H92+G92+F92+E92+D92</f>
        <v/>
      </c>
      <c r="O92" s="32">
        <f>D92*1%</f>
        <v/>
      </c>
      <c r="P92" s="7">
        <f>N92*8%</f>
        <v/>
      </c>
      <c r="Q92" s="7">
        <f>N92*10%</f>
        <v/>
      </c>
      <c r="R92" s="7">
        <f>N92*5%</f>
        <v/>
      </c>
      <c r="S92" s="7">
        <f>N92*2%</f>
        <v/>
      </c>
      <c r="T92" s="7">
        <f>AE92*0.5%</f>
        <v/>
      </c>
      <c r="U92" s="7">
        <f>N92*1%</f>
        <v/>
      </c>
      <c r="V92" s="31">
        <f>U92+S92+R92+Q92+P92+O92</f>
        <v/>
      </c>
      <c r="W92" s="32">
        <f>AE92*1%</f>
        <v/>
      </c>
      <c r="X92" s="32">
        <f>AE92*10%</f>
        <v/>
      </c>
      <c r="Y92" s="32">
        <f>AE92*1%</f>
        <v/>
      </c>
      <c r="Z92" s="32">
        <f>AE92*8%</f>
        <v/>
      </c>
      <c r="AA92" s="32">
        <f>W92+X92+Y92+Z92</f>
        <v/>
      </c>
      <c r="AB92" s="31">
        <f>AA92+V92+N92</f>
        <v/>
      </c>
      <c r="AC92" s="6">
        <f>AB92*20%</f>
        <v/>
      </c>
      <c r="AD92" s="7">
        <f>AB92+AC92</f>
        <v/>
      </c>
      <c r="AE92" s="32">
        <f>D92*2.1</f>
        <v/>
      </c>
      <c r="AF92" s="7">
        <f>AD92-AE92</f>
        <v/>
      </c>
      <c r="AG92" s="7">
        <f>AF92/AD92*100</f>
        <v/>
      </c>
      <c r="AH92" s="0" t="n">
        <v>1850</v>
      </c>
      <c r="AI92" s="33" t="n">
        <v>950</v>
      </c>
      <c r="AJ92" s="34">
        <f>AD92</f>
        <v/>
      </c>
      <c r="AK92" s="34">
        <f>AJ92-(AJ92*7%)</f>
        <v/>
      </c>
      <c r="AL92" s="35">
        <f>AJ92/94</f>
        <v/>
      </c>
      <c r="AM92" s="35">
        <f>AK92/94</f>
        <v/>
      </c>
      <c r="AN92" s="36">
        <f>AJ92/24</f>
        <v/>
      </c>
      <c r="AO92" s="36">
        <f>AK92/24</f>
        <v/>
      </c>
      <c r="AP92" s="37">
        <f>AJ92/125</f>
        <v/>
      </c>
      <c r="AQ92" s="37">
        <f>AK92/125</f>
        <v/>
      </c>
    </row>
    <row r="93" ht="15" customHeight="1" s="50">
      <c r="A93" s="32" t="inlineStr">
        <is>
          <t>Bird Flute</t>
        </is>
      </c>
      <c r="B93" s="32" t="inlineStr">
        <is>
          <t>Brown / Single</t>
        </is>
      </c>
      <c r="C93" s="32" t="inlineStr">
        <is>
          <t>MI-BF-BN-S</t>
        </is>
      </c>
      <c r="D93" s="32" t="n">
        <v>30</v>
      </c>
      <c r="E93" s="32" t="n">
        <v>50</v>
      </c>
      <c r="G93" s="32" t="n">
        <v>0</v>
      </c>
      <c r="H93" s="32" t="n">
        <v>10</v>
      </c>
      <c r="I93" s="40" t="n">
        <v>25084010</v>
      </c>
      <c r="J93" s="30" t="n">
        <v>0.05</v>
      </c>
      <c r="K93" s="32">
        <f>D93*J93</f>
        <v/>
      </c>
      <c r="M93" s="32">
        <f>D93*4%</f>
        <v/>
      </c>
      <c r="N93" s="49">
        <f>M93+L93+K93+H93+G93+F93+E93+D93</f>
        <v/>
      </c>
      <c r="O93" s="32">
        <f>D93*1%</f>
        <v/>
      </c>
      <c r="P93" s="7">
        <f>N93*8%</f>
        <v/>
      </c>
      <c r="Q93" s="7">
        <f>N93*10%</f>
        <v/>
      </c>
      <c r="R93" s="7">
        <f>N93*5%</f>
        <v/>
      </c>
      <c r="S93" s="7">
        <f>N93*2%</f>
        <v/>
      </c>
      <c r="T93" s="7">
        <f>AE93*0.5%</f>
        <v/>
      </c>
      <c r="U93" s="7">
        <f>N93*1%</f>
        <v/>
      </c>
      <c r="V93" s="31">
        <f>U93+S93+R93+Q93+P93+O93</f>
        <v/>
      </c>
      <c r="W93" s="32">
        <f>AE93*1%</f>
        <v/>
      </c>
      <c r="X93" s="32">
        <f>AE93*10%</f>
        <v/>
      </c>
      <c r="Y93" s="32">
        <f>AE93*1%</f>
        <v/>
      </c>
      <c r="Z93" s="32">
        <f>AE93*8%</f>
        <v/>
      </c>
      <c r="AA93" s="32">
        <f>W93+X93+Y93+Z93</f>
        <v/>
      </c>
      <c r="AB93" s="31">
        <f>AA93+V93+N93</f>
        <v/>
      </c>
      <c r="AC93" s="6">
        <f>AB93*20%</f>
        <v/>
      </c>
      <c r="AD93" s="7">
        <f>AB93+AC93</f>
        <v/>
      </c>
      <c r="AE93" s="32">
        <f>D93*2.1</f>
        <v/>
      </c>
      <c r="AF93" s="7">
        <f>AD93-AE93</f>
        <v/>
      </c>
      <c r="AG93" s="7">
        <f>AF93/AD93*100</f>
        <v/>
      </c>
      <c r="AH93" s="0" t="n">
        <v>275</v>
      </c>
      <c r="AI93" s="33" t="n">
        <v>245</v>
      </c>
      <c r="AJ93" s="34">
        <f>AD93</f>
        <v/>
      </c>
      <c r="AK93" s="34">
        <f>AJ93-(AJ93*7%)</f>
        <v/>
      </c>
      <c r="AL93" s="35">
        <f>AJ93/94</f>
        <v/>
      </c>
      <c r="AM93" s="35">
        <f>AK93/94</f>
        <v/>
      </c>
      <c r="AN93" s="36">
        <f>AJ93/24</f>
        <v/>
      </c>
      <c r="AO93" s="36">
        <f>AK93/24</f>
        <v/>
      </c>
      <c r="AP93" s="37">
        <f>AJ93/125</f>
        <v/>
      </c>
      <c r="AQ93" s="37">
        <f>AK93/125</f>
        <v/>
      </c>
    </row>
    <row r="94" ht="15.75" customHeight="1" s="50">
      <c r="A94" s="32" t="n"/>
      <c r="B94" s="32" t="inlineStr">
        <is>
          <t>Brown / Pair</t>
        </is>
      </c>
      <c r="C94" s="32" t="inlineStr">
        <is>
          <t>MI-BF-BN-P</t>
        </is>
      </c>
      <c r="D94" s="32" t="n">
        <v>60</v>
      </c>
      <c r="E94" s="32" t="n">
        <v>50</v>
      </c>
      <c r="G94" s="32" t="n">
        <v>0</v>
      </c>
      <c r="H94" s="32" t="n">
        <v>10</v>
      </c>
      <c r="I94" s="40" t="n">
        <v>25084010</v>
      </c>
      <c r="J94" s="30" t="n">
        <v>0.05</v>
      </c>
      <c r="K94" s="32">
        <f>D94*J94</f>
        <v/>
      </c>
      <c r="M94" s="32">
        <f>D94*4%</f>
        <v/>
      </c>
      <c r="N94" s="49">
        <f>M94+L94+K94+H94+G94+F94+E94+D94</f>
        <v/>
      </c>
      <c r="O94" s="32">
        <f>D94*1%</f>
        <v/>
      </c>
      <c r="P94" s="7">
        <f>N94*8%</f>
        <v/>
      </c>
      <c r="Q94" s="7">
        <f>N94*10%</f>
        <v/>
      </c>
      <c r="R94" s="7">
        <f>N94*5%</f>
        <v/>
      </c>
      <c r="S94" s="7">
        <f>N94*2%</f>
        <v/>
      </c>
      <c r="T94" s="7">
        <f>AE94*0.5%</f>
        <v/>
      </c>
      <c r="U94" s="7">
        <f>N94*1%</f>
        <v/>
      </c>
      <c r="V94" s="31">
        <f>U94+S94+R94+Q94+P94+O94</f>
        <v/>
      </c>
      <c r="W94" s="32">
        <f>AE94*1%</f>
        <v/>
      </c>
      <c r="X94" s="32">
        <f>AE94*10%</f>
        <v/>
      </c>
      <c r="Y94" s="32">
        <f>AE94*1%</f>
        <v/>
      </c>
      <c r="Z94" s="32">
        <f>AE94*8%</f>
        <v/>
      </c>
      <c r="AA94" s="32">
        <f>W94+X94+Y94+Z94</f>
        <v/>
      </c>
      <c r="AB94" s="31">
        <f>AA94+V94+N94</f>
        <v/>
      </c>
      <c r="AC94" s="6">
        <f>AB94*20%</f>
        <v/>
      </c>
      <c r="AD94" s="7">
        <f>AB94+AC94</f>
        <v/>
      </c>
      <c r="AE94" s="32">
        <f>D94*2.1</f>
        <v/>
      </c>
      <c r="AF94" s="7">
        <f>AD94-AE94</f>
        <v/>
      </c>
      <c r="AG94" s="7">
        <f>AF94/AD94*100</f>
        <v/>
      </c>
      <c r="AH94" s="0" t="n">
        <v>450</v>
      </c>
      <c r="AI94" s="33" t="n">
        <v>390</v>
      </c>
      <c r="AJ94" s="34">
        <f>AD94</f>
        <v/>
      </c>
      <c r="AK94" s="34">
        <f>AJ94-(AJ94*7%)</f>
        <v/>
      </c>
      <c r="AL94" s="35">
        <f>AJ94/94</f>
        <v/>
      </c>
      <c r="AM94" s="35">
        <f>AK94/94</f>
        <v/>
      </c>
      <c r="AN94" s="36">
        <f>AJ94/24</f>
        <v/>
      </c>
      <c r="AO94" s="36">
        <f>AK94/24</f>
        <v/>
      </c>
      <c r="AP94" s="37">
        <f>AJ94/125</f>
        <v/>
      </c>
      <c r="AQ94" s="37">
        <f>AK94/125</f>
        <v/>
      </c>
    </row>
    <row r="95" ht="15.75" customHeight="1" s="50">
      <c r="A95" s="32" t="n"/>
      <c r="B95" s="32" t="inlineStr">
        <is>
          <t>Pair / Green</t>
        </is>
      </c>
      <c r="C95" s="32" t="inlineStr">
        <is>
          <t>MI-BF-GN-S</t>
        </is>
      </c>
      <c r="D95" s="32" t="n">
        <v>40</v>
      </c>
      <c r="E95" s="32" t="n">
        <v>50</v>
      </c>
      <c r="G95" s="32" t="n">
        <v>0</v>
      </c>
      <c r="H95" s="32" t="n">
        <v>10</v>
      </c>
      <c r="I95" s="40" t="n">
        <v>25084010</v>
      </c>
      <c r="J95" s="30" t="n">
        <v>0.05</v>
      </c>
      <c r="K95" s="32">
        <f>D95*J95</f>
        <v/>
      </c>
      <c r="M95" s="32">
        <f>D95*4%</f>
        <v/>
      </c>
      <c r="N95" s="49">
        <f>M95+L95+K95+H95+G95+F95+E95+D95</f>
        <v/>
      </c>
      <c r="O95" s="32">
        <f>D95*1%</f>
        <v/>
      </c>
      <c r="P95" s="7">
        <f>N95*8%</f>
        <v/>
      </c>
      <c r="Q95" s="7">
        <f>N95*10%</f>
        <v/>
      </c>
      <c r="R95" s="7">
        <f>N95*5%</f>
        <v/>
      </c>
      <c r="S95" s="7">
        <f>N95*2%</f>
        <v/>
      </c>
      <c r="T95" s="7">
        <f>AE95*0.5%</f>
        <v/>
      </c>
      <c r="U95" s="7">
        <f>N95*1%</f>
        <v/>
      </c>
      <c r="V95" s="31">
        <f>U95+S95+R95+Q95+P95+O95</f>
        <v/>
      </c>
      <c r="W95" s="32">
        <f>AE95*1%</f>
        <v/>
      </c>
      <c r="X95" s="32">
        <f>AE95*10%</f>
        <v/>
      </c>
      <c r="Y95" s="32">
        <f>AE95*1%</f>
        <v/>
      </c>
      <c r="Z95" s="32">
        <f>AE95*8%</f>
        <v/>
      </c>
      <c r="AA95" s="32">
        <f>W95+X95+Y95+Z95</f>
        <v/>
      </c>
      <c r="AB95" s="31">
        <f>AA95+V95+N95</f>
        <v/>
      </c>
      <c r="AC95" s="6">
        <f>AB95*20%</f>
        <v/>
      </c>
      <c r="AD95" s="7">
        <f>AB95+AC95</f>
        <v/>
      </c>
      <c r="AE95" s="32">
        <f>D95*2.1</f>
        <v/>
      </c>
      <c r="AF95" s="7">
        <f>AD95-AE95</f>
        <v/>
      </c>
      <c r="AG95" s="7">
        <f>AF95/AD95*100</f>
        <v/>
      </c>
      <c r="AH95" s="0" t="n">
        <v>650</v>
      </c>
      <c r="AI95" s="33" t="n">
        <v>610</v>
      </c>
      <c r="AJ95" s="34">
        <f>AD95</f>
        <v/>
      </c>
      <c r="AK95" s="34">
        <f>AJ95-(AJ95*7%)</f>
        <v/>
      </c>
      <c r="AL95" s="35">
        <f>AJ95/94</f>
        <v/>
      </c>
      <c r="AM95" s="35">
        <f>AK95/94</f>
        <v/>
      </c>
      <c r="AN95" s="36">
        <f>AJ95/24</f>
        <v/>
      </c>
      <c r="AO95" s="36">
        <f>AK95/24</f>
        <v/>
      </c>
      <c r="AP95" s="37">
        <f>AJ95/125</f>
        <v/>
      </c>
      <c r="AQ95" s="37">
        <f>AK95/125</f>
        <v/>
      </c>
    </row>
    <row r="96" ht="15.75" customHeight="1" s="50">
      <c r="A96" s="32" t="n"/>
      <c r="B96" s="32" t="inlineStr">
        <is>
          <t>Single / Green</t>
        </is>
      </c>
      <c r="C96" s="32" t="inlineStr">
        <is>
          <t>MI-BF-GN-P</t>
        </is>
      </c>
      <c r="D96" s="32" t="n">
        <v>80</v>
      </c>
      <c r="E96" s="32" t="n">
        <v>50</v>
      </c>
      <c r="G96" s="32" t="n">
        <v>0</v>
      </c>
      <c r="H96" s="32" t="n">
        <v>10</v>
      </c>
      <c r="I96" s="40" t="n">
        <v>25084010</v>
      </c>
      <c r="J96" s="30" t="n">
        <v>0.05</v>
      </c>
      <c r="K96" s="32">
        <f>D96*J96</f>
        <v/>
      </c>
      <c r="M96" s="32">
        <f>D96*4%</f>
        <v/>
      </c>
      <c r="N96" s="49">
        <f>M96+L96+K96+H96+G96+F96+E96+D96</f>
        <v/>
      </c>
      <c r="O96" s="32">
        <f>D96*1%</f>
        <v/>
      </c>
      <c r="P96" s="7">
        <f>N96*8%</f>
        <v/>
      </c>
      <c r="Q96" s="7">
        <f>N96*10%</f>
        <v/>
      </c>
      <c r="R96" s="7">
        <f>N96*5%</f>
        <v/>
      </c>
      <c r="S96" s="7">
        <f>N96*2%</f>
        <v/>
      </c>
      <c r="T96" s="7">
        <f>AE96*0.5%</f>
        <v/>
      </c>
      <c r="U96" s="7">
        <f>N96*1%</f>
        <v/>
      </c>
      <c r="V96" s="31">
        <f>U96+S96+R96+Q96+P96+O96</f>
        <v/>
      </c>
      <c r="W96" s="32">
        <f>AE96*1%</f>
        <v/>
      </c>
      <c r="X96" s="32">
        <f>AE96*10%</f>
        <v/>
      </c>
      <c r="Y96" s="32">
        <f>AE96*1%</f>
        <v/>
      </c>
      <c r="Z96" s="32">
        <f>AE96*8%</f>
        <v/>
      </c>
      <c r="AA96" s="32">
        <f>W96+X96+Y96+Z96</f>
        <v/>
      </c>
      <c r="AB96" s="31">
        <f>AA96+V96+N96</f>
        <v/>
      </c>
      <c r="AC96" s="6">
        <f>AB96*20%</f>
        <v/>
      </c>
      <c r="AD96" s="7">
        <f>AB96+AC96</f>
        <v/>
      </c>
      <c r="AE96" s="32">
        <f>D96*2.1</f>
        <v/>
      </c>
      <c r="AF96" s="7">
        <f>AD96-AE96</f>
        <v/>
      </c>
      <c r="AG96" s="7">
        <f>AF96/AD96*100</f>
        <v/>
      </c>
      <c r="AH96" s="0" t="n">
        <v>375</v>
      </c>
      <c r="AI96" s="33" t="n">
        <v>295</v>
      </c>
      <c r="AJ96" s="34">
        <f>AD96</f>
        <v/>
      </c>
      <c r="AK96" s="34">
        <f>AJ96-(AJ96*7%)</f>
        <v/>
      </c>
      <c r="AL96" s="35">
        <f>AJ96/94</f>
        <v/>
      </c>
      <c r="AM96" s="35">
        <f>AK96/94</f>
        <v/>
      </c>
      <c r="AN96" s="36">
        <f>AJ96/24</f>
        <v/>
      </c>
      <c r="AO96" s="36">
        <f>AK96/24</f>
        <v/>
      </c>
      <c r="AP96" s="37">
        <f>AJ96/125</f>
        <v/>
      </c>
      <c r="AQ96" s="37">
        <f>AK96/125</f>
        <v/>
      </c>
    </row>
    <row r="97" ht="15.75" customHeight="1" s="50">
      <c r="A97" s="32" t="n"/>
      <c r="B97" s="32" t="inlineStr">
        <is>
          <t>Pair / Mixed</t>
        </is>
      </c>
      <c r="C97" s="32" t="inlineStr">
        <is>
          <t>MI-BF-M</t>
        </is>
      </c>
      <c r="D97" s="32" t="n">
        <v>70</v>
      </c>
      <c r="E97" s="32" t="n">
        <v>50</v>
      </c>
      <c r="G97" s="32" t="n">
        <v>0</v>
      </c>
      <c r="H97" s="32" t="n">
        <v>10</v>
      </c>
      <c r="I97" s="41" t="n">
        <v>25084010</v>
      </c>
      <c r="J97" s="30" t="n">
        <v>0.05</v>
      </c>
      <c r="K97" s="32">
        <f>D97*J97</f>
        <v/>
      </c>
      <c r="M97" s="32">
        <f>D97*4%</f>
        <v/>
      </c>
      <c r="N97" s="49">
        <f>M97+L97+K97+H97+G97+F97+E97+D97</f>
        <v/>
      </c>
      <c r="O97" s="32">
        <f>D97*1%</f>
        <v/>
      </c>
      <c r="P97" s="7">
        <f>N97*8%</f>
        <v/>
      </c>
      <c r="Q97" s="7">
        <f>N97*10%</f>
        <v/>
      </c>
      <c r="R97" s="7">
        <f>N97*5%</f>
        <v/>
      </c>
      <c r="S97" s="7">
        <f>N97*2%</f>
        <v/>
      </c>
      <c r="T97" s="7">
        <f>AE97*0.5%</f>
        <v/>
      </c>
      <c r="U97" s="7">
        <f>N97*1%</f>
        <v/>
      </c>
      <c r="V97" s="31">
        <f>U97+S97+R97+Q97+P97+O97</f>
        <v/>
      </c>
      <c r="W97" s="32">
        <f>AE97*1%</f>
        <v/>
      </c>
      <c r="X97" s="32">
        <f>AE97*10%</f>
        <v/>
      </c>
      <c r="Y97" s="32">
        <f>AE97*1%</f>
        <v/>
      </c>
      <c r="Z97" s="32">
        <f>AE97*8%</f>
        <v/>
      </c>
      <c r="AA97" s="32">
        <f>W97+X97+Y97+Z97</f>
        <v/>
      </c>
      <c r="AB97" s="31">
        <f>AA97+V97+N97</f>
        <v/>
      </c>
      <c r="AC97" s="6">
        <f>AB97*20%</f>
        <v/>
      </c>
      <c r="AD97" s="7">
        <f>AB97+AC97</f>
        <v/>
      </c>
      <c r="AE97" s="32">
        <f>D97*2.1</f>
        <v/>
      </c>
      <c r="AF97" s="7">
        <f>AD97-AE97</f>
        <v/>
      </c>
      <c r="AG97" s="7">
        <f>AF97/AD97*100</f>
        <v/>
      </c>
      <c r="AH97" s="0" t="n">
        <v>600</v>
      </c>
      <c r="AI97" s="33" t="n">
        <v>530</v>
      </c>
      <c r="AJ97" s="34">
        <f>AD97</f>
        <v/>
      </c>
      <c r="AK97" s="34">
        <f>AJ97-(AJ97*7%)</f>
        <v/>
      </c>
      <c r="AL97" s="35">
        <f>AJ97/94</f>
        <v/>
      </c>
      <c r="AM97" s="35">
        <f>AK97/94</f>
        <v/>
      </c>
      <c r="AN97" s="36">
        <f>AJ97/24</f>
        <v/>
      </c>
      <c r="AO97" s="36">
        <f>AK97/24</f>
        <v/>
      </c>
      <c r="AP97" s="37">
        <f>AJ97/125</f>
        <v/>
      </c>
      <c r="AQ97" s="37">
        <f>AK97/125</f>
        <v/>
      </c>
    </row>
    <row r="98" ht="15" customHeight="1" s="50">
      <c r="A98" s="32" t="inlineStr">
        <is>
          <t>Box Tanpura</t>
        </is>
      </c>
      <c r="B98" s="32" t="inlineStr">
        <is>
          <t>Male Tanpura</t>
        </is>
      </c>
      <c r="C98" s="32" t="inlineStr">
        <is>
          <t>MI-BT-M</t>
        </is>
      </c>
      <c r="D98" s="32" t="n">
        <v>8300</v>
      </c>
      <c r="G98" s="32" t="n">
        <v>0</v>
      </c>
      <c r="H98" s="32" t="n">
        <v>10</v>
      </c>
      <c r="I98" s="41" t="n">
        <v>9203</v>
      </c>
      <c r="J98" s="30" t="n">
        <v>0</v>
      </c>
      <c r="K98" s="32">
        <f>D98*J98</f>
        <v/>
      </c>
      <c r="M98" s="32">
        <f>D98*4%</f>
        <v/>
      </c>
      <c r="N98" s="49">
        <f>M98+L98+K98+H98+G98+F98+E98+D98</f>
        <v/>
      </c>
      <c r="O98" s="32">
        <f>D98*1%</f>
        <v/>
      </c>
      <c r="P98" s="7">
        <f>N98*8%</f>
        <v/>
      </c>
      <c r="Q98" s="7">
        <f>N98*10%</f>
        <v/>
      </c>
      <c r="R98" s="7">
        <f>N98*5%</f>
        <v/>
      </c>
      <c r="S98" s="7">
        <f>N98*2%</f>
        <v/>
      </c>
      <c r="T98" s="7">
        <f>AE98*0.5%</f>
        <v/>
      </c>
      <c r="U98" s="7">
        <f>N98*1%</f>
        <v/>
      </c>
      <c r="V98" s="31">
        <f>U98+S98+R98+Q98+P98+O98</f>
        <v/>
      </c>
      <c r="W98" s="32">
        <f>AE98*1%</f>
        <v/>
      </c>
      <c r="X98" s="32">
        <f>AE98*10%</f>
        <v/>
      </c>
      <c r="Y98" s="32">
        <f>AE98*1%</f>
        <v/>
      </c>
      <c r="Z98" s="32">
        <f>AE98*8%</f>
        <v/>
      </c>
      <c r="AA98" s="32">
        <f>W98+X98+Y98+Z98</f>
        <v/>
      </c>
      <c r="AB98" s="31">
        <f>AA98+V98+N98</f>
        <v/>
      </c>
      <c r="AC98" s="6">
        <f>AB98*20%</f>
        <v/>
      </c>
      <c r="AD98" s="7">
        <f>AB98+AC98</f>
        <v/>
      </c>
      <c r="AE98" s="32">
        <f>D98*2.1</f>
        <v/>
      </c>
      <c r="AF98" s="7">
        <f>AD98-AE98</f>
        <v/>
      </c>
      <c r="AG98" s="7">
        <f>AF98/AD98*100</f>
        <v/>
      </c>
      <c r="AH98" s="0" t="n">
        <v>13500</v>
      </c>
      <c r="AI98" s="33" t="n">
        <v>5200</v>
      </c>
      <c r="AJ98" s="34">
        <f>AD98</f>
        <v/>
      </c>
      <c r="AK98" s="34">
        <f>AJ98-(AJ98*7%)</f>
        <v/>
      </c>
      <c r="AL98" s="35">
        <f>AJ98/94</f>
        <v/>
      </c>
      <c r="AM98" s="35">
        <f>AK98/94</f>
        <v/>
      </c>
      <c r="AN98" s="36">
        <f>AJ98/24</f>
        <v/>
      </c>
      <c r="AO98" s="36">
        <f>AK98/24</f>
        <v/>
      </c>
      <c r="AP98" s="37">
        <f>AJ98/125</f>
        <v/>
      </c>
      <c r="AQ98" s="37">
        <f>AK98/125</f>
        <v/>
      </c>
    </row>
    <row r="99" ht="15.75" customHeight="1" s="50">
      <c r="A99" s="32" t="n"/>
      <c r="B99" s="32" t="inlineStr">
        <is>
          <t>Female Tanpura</t>
        </is>
      </c>
      <c r="C99" s="32" t="inlineStr">
        <is>
          <t>MI-BT-F</t>
        </is>
      </c>
      <c r="D99" s="32" t="n">
        <v>8300</v>
      </c>
      <c r="G99" s="32" t="n">
        <v>0</v>
      </c>
      <c r="H99" s="32" t="n">
        <v>10</v>
      </c>
      <c r="I99" s="41" t="n">
        <v>9203</v>
      </c>
      <c r="J99" s="30" t="n">
        <v>0</v>
      </c>
      <c r="K99" s="32">
        <f>D99*J99</f>
        <v/>
      </c>
      <c r="M99" s="32">
        <f>D99*4%</f>
        <v/>
      </c>
      <c r="N99" s="49">
        <f>M99+L99+K99+H99+G99+F99+E99+D99</f>
        <v/>
      </c>
      <c r="O99" s="32">
        <f>D99*1%</f>
        <v/>
      </c>
      <c r="P99" s="7">
        <f>N99*8%</f>
        <v/>
      </c>
      <c r="Q99" s="7">
        <f>N99*10%</f>
        <v/>
      </c>
      <c r="R99" s="7">
        <f>N99*5%</f>
        <v/>
      </c>
      <c r="S99" s="7">
        <f>N99*2%</f>
        <v/>
      </c>
      <c r="T99" s="7">
        <f>AE99*0.5%</f>
        <v/>
      </c>
      <c r="U99" s="7">
        <f>N99*1%</f>
        <v/>
      </c>
      <c r="V99" s="31">
        <f>U99+S99+R99+Q99+P99+O99</f>
        <v/>
      </c>
      <c r="W99" s="32">
        <f>AE99*1%</f>
        <v/>
      </c>
      <c r="X99" s="32">
        <f>AE99*10%</f>
        <v/>
      </c>
      <c r="Y99" s="32">
        <f>AE99*1%</f>
        <v/>
      </c>
      <c r="Z99" s="32">
        <f>AE99*8%</f>
        <v/>
      </c>
      <c r="AA99" s="32">
        <f>W99+X99+Y99+Z99</f>
        <v/>
      </c>
      <c r="AB99" s="31">
        <f>AA99+V99+N99</f>
        <v/>
      </c>
      <c r="AC99" s="6">
        <f>AB99*20%</f>
        <v/>
      </c>
      <c r="AD99" s="7">
        <f>AB99+AC99</f>
        <v/>
      </c>
      <c r="AE99" s="32">
        <f>D99*2.1</f>
        <v/>
      </c>
      <c r="AF99" s="7">
        <f>AD99-AE99</f>
        <v/>
      </c>
      <c r="AG99" s="7">
        <f>AF99/AD99*100</f>
        <v/>
      </c>
      <c r="AH99" s="0" t="n">
        <v>13500</v>
      </c>
      <c r="AI99" s="33" t="n">
        <v>5200</v>
      </c>
      <c r="AJ99" s="34">
        <f>AD99</f>
        <v/>
      </c>
      <c r="AK99" s="34">
        <f>AJ99-(AJ99*7%)</f>
        <v/>
      </c>
      <c r="AL99" s="35">
        <f>AJ99/94</f>
        <v/>
      </c>
      <c r="AM99" s="35">
        <f>AK99/94</f>
        <v/>
      </c>
      <c r="AN99" s="36">
        <f>AJ99/24</f>
        <v/>
      </c>
      <c r="AO99" s="36">
        <f>AK99/24</f>
        <v/>
      </c>
      <c r="AP99" s="37">
        <f>AJ99/125</f>
        <v/>
      </c>
      <c r="AQ99" s="37">
        <f>AK99/125</f>
        <v/>
      </c>
    </row>
    <row r="100" ht="15" customHeight="1" s="50">
      <c r="A100" s="32" t="inlineStr">
        <is>
          <t>C&amp;G Tuning Forks</t>
        </is>
      </c>
      <c r="B100" s="32" t="inlineStr">
        <is>
          <t>Weighted</t>
        </is>
      </c>
      <c r="C100" s="32" t="inlineStr">
        <is>
          <t>MI-TF-CG-W</t>
        </is>
      </c>
      <c r="D100" s="32" t="n">
        <v>1160</v>
      </c>
      <c r="G100" s="32" t="n">
        <v>0</v>
      </c>
      <c r="H100" s="32" t="n">
        <v>10</v>
      </c>
      <c r="I100" s="41" t="n">
        <v>9202</v>
      </c>
      <c r="J100" s="30" t="n">
        <v>0.18</v>
      </c>
      <c r="K100" s="32">
        <f>D100*J100</f>
        <v/>
      </c>
      <c r="M100" s="32">
        <f>D100*4%</f>
        <v/>
      </c>
      <c r="N100" s="49">
        <f>M100+L100+K100+H100+G100+F100+E100+D100</f>
        <v/>
      </c>
      <c r="O100" s="32">
        <f>D100*1%</f>
        <v/>
      </c>
      <c r="P100" s="7">
        <f>N100*8%</f>
        <v/>
      </c>
      <c r="Q100" s="7">
        <f>N100*10%</f>
        <v/>
      </c>
      <c r="R100" s="7">
        <f>N100*5%</f>
        <v/>
      </c>
      <c r="S100" s="7">
        <f>N100*2%</f>
        <v/>
      </c>
      <c r="T100" s="7">
        <f>AE100*0.5%</f>
        <v/>
      </c>
      <c r="U100" s="7">
        <f>N100*1%</f>
        <v/>
      </c>
      <c r="V100" s="31">
        <f>U100+S100+R100+Q100+P100+O100</f>
        <v/>
      </c>
      <c r="W100" s="32">
        <f>AE100*1%</f>
        <v/>
      </c>
      <c r="X100" s="32">
        <f>AE100*10%</f>
        <v/>
      </c>
      <c r="Y100" s="32">
        <f>AE100*1%</f>
        <v/>
      </c>
      <c r="Z100" s="32">
        <f>AE100*8%</f>
        <v/>
      </c>
      <c r="AA100" s="32">
        <f>W100+X100+Y100+Z100</f>
        <v/>
      </c>
      <c r="AB100" s="31">
        <f>AA100+V100+N100</f>
        <v/>
      </c>
      <c r="AC100" s="6">
        <f>AB100*20%</f>
        <v/>
      </c>
      <c r="AD100" s="7">
        <f>AB100+AC100</f>
        <v/>
      </c>
      <c r="AE100" s="32">
        <f>D100*2.1</f>
        <v/>
      </c>
      <c r="AF100" s="7">
        <f>AD100-AE100</f>
        <v/>
      </c>
      <c r="AG100" s="7">
        <f>AF100/AD100*100</f>
        <v/>
      </c>
      <c r="AH100" s="0" t="n">
        <v>3380</v>
      </c>
      <c r="AI100" s="33" t="n">
        <v>2220</v>
      </c>
      <c r="AJ100" s="34">
        <f>AD100</f>
        <v/>
      </c>
      <c r="AK100" s="34">
        <f>AJ100-(AJ100*7%)</f>
        <v/>
      </c>
      <c r="AL100" s="35">
        <f>AJ100/94</f>
        <v/>
      </c>
      <c r="AM100" s="35">
        <f>AK100/94</f>
        <v/>
      </c>
      <c r="AN100" s="36">
        <f>AJ100/24</f>
        <v/>
      </c>
      <c r="AO100" s="36">
        <f>AK100/24</f>
        <v/>
      </c>
      <c r="AP100" s="37">
        <f>AJ100/125</f>
        <v/>
      </c>
      <c r="AQ100" s="37">
        <f>AK100/125</f>
        <v/>
      </c>
    </row>
    <row r="101" ht="15.75" customHeight="1" s="50">
      <c r="A101" s="32" t="n"/>
      <c r="B101" s="32" t="inlineStr">
        <is>
          <t>Unweighted</t>
        </is>
      </c>
      <c r="C101" s="32" t="inlineStr">
        <is>
          <t>MI-TF-CG-W</t>
        </is>
      </c>
      <c r="D101" s="32" t="n">
        <v>750</v>
      </c>
      <c r="G101" s="32" t="n">
        <v>0</v>
      </c>
      <c r="H101" s="32" t="n">
        <v>10</v>
      </c>
      <c r="I101" s="41" t="n">
        <v>9202</v>
      </c>
      <c r="J101" s="30" t="n">
        <v>0.18</v>
      </c>
      <c r="K101" s="32">
        <f>D101*J100</f>
        <v/>
      </c>
      <c r="M101" s="32">
        <f>D101*4%</f>
        <v/>
      </c>
      <c r="N101" s="42">
        <f>M101+L101+K101+H101+G101+J100+I100+D101</f>
        <v/>
      </c>
      <c r="O101" s="32">
        <f>D101*1%</f>
        <v/>
      </c>
      <c r="P101" s="7">
        <f>N101*8%</f>
        <v/>
      </c>
      <c r="Q101" s="7">
        <f>N101*10%</f>
        <v/>
      </c>
      <c r="R101" s="7">
        <f>N101*5%</f>
        <v/>
      </c>
      <c r="S101" s="7">
        <f>N101*2%</f>
        <v/>
      </c>
      <c r="T101" s="7">
        <f>AE101*0.5%</f>
        <v/>
      </c>
      <c r="U101" s="7">
        <f>N101*1%</f>
        <v/>
      </c>
      <c r="V101" s="31">
        <f>U101+S101+R101+Q101+P101+O101</f>
        <v/>
      </c>
      <c r="W101" s="32">
        <f>AE101*1%</f>
        <v/>
      </c>
      <c r="X101" s="32">
        <f>AE101*10%</f>
        <v/>
      </c>
      <c r="Y101" s="32">
        <f>AE101*1%</f>
        <v/>
      </c>
      <c r="Z101" s="32">
        <f>AE101*8%</f>
        <v/>
      </c>
      <c r="AA101" s="32">
        <f>W101+X101+Y101+Z101</f>
        <v/>
      </c>
      <c r="AB101" s="31">
        <f>AA101+V101+N101</f>
        <v/>
      </c>
      <c r="AC101" s="6">
        <f>AB101*20%</f>
        <v/>
      </c>
      <c r="AD101" s="7">
        <f>AB101+AC101</f>
        <v/>
      </c>
      <c r="AE101" s="32">
        <f>D101*2.1</f>
        <v/>
      </c>
      <c r="AF101" s="7">
        <f>AD101-AE101</f>
        <v/>
      </c>
      <c r="AG101" s="7">
        <f>AF101/AD101*100</f>
        <v/>
      </c>
      <c r="AH101" s="0" t="n">
        <v>3380</v>
      </c>
      <c r="AI101" s="33" t="n">
        <v>2630</v>
      </c>
      <c r="AJ101" s="34">
        <f>AD101</f>
        <v/>
      </c>
      <c r="AK101" s="34">
        <f>AJ101-(AJ101*7%)</f>
        <v/>
      </c>
      <c r="AL101" s="35">
        <f>AJ101/94</f>
        <v/>
      </c>
      <c r="AM101" s="35">
        <f>AK101/94</f>
        <v/>
      </c>
      <c r="AN101" s="36">
        <f>AJ101/24</f>
        <v/>
      </c>
      <c r="AO101" s="36">
        <f>AK101/24</f>
        <v/>
      </c>
      <c r="AP101" s="37">
        <f>AJ101/125</f>
        <v/>
      </c>
      <c r="AQ101" s="37">
        <f>AK101/125</f>
        <v/>
      </c>
    </row>
    <row r="102" ht="15.75" customHeight="1" s="50">
      <c r="A102" s="32" t="inlineStr">
        <is>
          <t>Caxixi</t>
        </is>
      </c>
      <c r="B102" s="32" t="inlineStr">
        <is>
          <t>Standard</t>
        </is>
      </c>
      <c r="C102" s="32" t="inlineStr">
        <is>
          <t>Mi-CX-M-N</t>
        </is>
      </c>
      <c r="D102" s="32" t="n">
        <v>80</v>
      </c>
      <c r="G102" s="32" t="n">
        <v>0</v>
      </c>
      <c r="H102" s="32" t="n">
        <v>10</v>
      </c>
      <c r="I102" s="41" t="n">
        <v>9202</v>
      </c>
      <c r="J102" s="30" t="n">
        <v>0.18</v>
      </c>
      <c r="K102" s="32">
        <f>D102*J101</f>
        <v/>
      </c>
      <c r="L102" s="32">
        <f>D102*5%</f>
        <v/>
      </c>
      <c r="M102" s="32">
        <f>D102*4%</f>
        <v/>
      </c>
      <c r="N102" s="42">
        <f>M102+L102+K102+H102+G102+J101+I101+D102</f>
        <v/>
      </c>
      <c r="O102" s="32">
        <f>D102*1%</f>
        <v/>
      </c>
      <c r="P102" s="7">
        <f>N102*8%</f>
        <v/>
      </c>
      <c r="Q102" s="7">
        <f>N102*10%</f>
        <v/>
      </c>
      <c r="R102" s="7">
        <f>N102*5%</f>
        <v/>
      </c>
      <c r="S102" s="7">
        <f>N102*2%</f>
        <v/>
      </c>
      <c r="T102" s="7">
        <f>AE102*0.5%</f>
        <v/>
      </c>
      <c r="U102" s="7">
        <f>N102*1%</f>
        <v/>
      </c>
      <c r="V102" s="31">
        <f>U102+S102+R102+Q102+P102+O102</f>
        <v/>
      </c>
      <c r="W102" s="32">
        <f>AE102*1%</f>
        <v/>
      </c>
      <c r="X102" s="32">
        <f>AE102*10%</f>
        <v/>
      </c>
      <c r="Y102" s="32">
        <f>AE102*1%</f>
        <v/>
      </c>
      <c r="Z102" s="32">
        <f>AE102*8%</f>
        <v/>
      </c>
      <c r="AA102" s="32">
        <f>W102+X102+Y102+Z102</f>
        <v/>
      </c>
      <c r="AB102" s="31">
        <f>AA102+V102+N102</f>
        <v/>
      </c>
      <c r="AC102" s="6">
        <f>AB102*20%</f>
        <v/>
      </c>
      <c r="AD102" s="7">
        <f>AB102+AC102</f>
        <v/>
      </c>
      <c r="AE102" s="32">
        <f>D102*2.1</f>
        <v/>
      </c>
      <c r="AF102" s="7">
        <f>AD102-AE102</f>
        <v/>
      </c>
      <c r="AG102" s="7">
        <f>AF102/AD102*100</f>
        <v/>
      </c>
      <c r="AH102" s="0" t="n">
        <v>1350</v>
      </c>
      <c r="AI102" s="33" t="n">
        <v>1270</v>
      </c>
      <c r="AJ102" s="34">
        <f>AD102</f>
        <v/>
      </c>
      <c r="AK102" s="34">
        <f>AJ102-(AJ102*7%)</f>
        <v/>
      </c>
      <c r="AL102" s="35">
        <f>AJ102/94</f>
        <v/>
      </c>
      <c r="AM102" s="35">
        <f>AK102/94</f>
        <v/>
      </c>
      <c r="AN102" s="36">
        <f>AJ102/24</f>
        <v/>
      </c>
      <c r="AO102" s="36">
        <f>AK102/24</f>
        <v/>
      </c>
      <c r="AP102" s="37">
        <f>AJ102/125</f>
        <v/>
      </c>
      <c r="AQ102" s="37">
        <f>AK102/125</f>
        <v/>
      </c>
    </row>
    <row r="103" ht="15" customHeight="1" s="50">
      <c r="A103" s="32" t="inlineStr">
        <is>
          <t xml:space="preserve">Classic Morchang </t>
        </is>
      </c>
      <c r="B103" s="32" t="inlineStr">
        <is>
          <t>Sharp</t>
        </is>
      </c>
      <c r="C103" s="32" t="inlineStr">
        <is>
          <t>MI-CM-S</t>
        </is>
      </c>
      <c r="D103" s="32" t="n">
        <v>1050</v>
      </c>
      <c r="G103" s="32" t="n">
        <v>0</v>
      </c>
      <c r="H103" s="32" t="n">
        <v>10</v>
      </c>
      <c r="I103" s="41" t="n">
        <v>93030010</v>
      </c>
      <c r="J103" s="41" t="n">
        <v>0</v>
      </c>
      <c r="K103" s="32" t="n">
        <v>0</v>
      </c>
      <c r="M103" s="32">
        <f>D103*4%</f>
        <v/>
      </c>
      <c r="N103" s="42">
        <f>M103+L103+K103+H103+G103+J102+I102+D103</f>
        <v/>
      </c>
      <c r="O103" s="32">
        <f>D103*1%</f>
        <v/>
      </c>
      <c r="P103" s="7">
        <f>N103*8%</f>
        <v/>
      </c>
      <c r="Q103" s="7">
        <f>N103*10%</f>
        <v/>
      </c>
      <c r="R103" s="7">
        <f>N103*5%</f>
        <v/>
      </c>
      <c r="S103" s="7">
        <f>N103*2%</f>
        <v/>
      </c>
      <c r="T103" s="7">
        <f>AE103*0.5%</f>
        <v/>
      </c>
      <c r="U103" s="7">
        <f>N103*1%</f>
        <v/>
      </c>
      <c r="V103" s="31">
        <f>U103+S103+R103+Q103+P103+O103</f>
        <v/>
      </c>
      <c r="W103" s="32">
        <f>AE103*1%</f>
        <v/>
      </c>
      <c r="X103" s="32">
        <f>AE103*10%</f>
        <v/>
      </c>
      <c r="Y103" s="32">
        <f>AE103*1%</f>
        <v/>
      </c>
      <c r="Z103" s="32">
        <f>AE103*8%</f>
        <v/>
      </c>
      <c r="AA103" s="32">
        <f>W103+X103+Y103+Z103</f>
        <v/>
      </c>
      <c r="AB103" s="31">
        <f>AA103+V103+N103</f>
        <v/>
      </c>
      <c r="AC103" s="6">
        <f>AB103*20%</f>
        <v/>
      </c>
      <c r="AD103" s="7">
        <f>AB103+AC103</f>
        <v/>
      </c>
      <c r="AE103" s="32">
        <f>D103*2.1</f>
        <v/>
      </c>
      <c r="AF103" s="7">
        <f>AD103-AE103</f>
        <v/>
      </c>
      <c r="AG103" s="7">
        <f>AF103/AD103*100</f>
        <v/>
      </c>
      <c r="AH103" s="0" t="n">
        <v>2350</v>
      </c>
      <c r="AI103" s="33" t="n">
        <v>1300</v>
      </c>
      <c r="AJ103" s="34">
        <f>AD103</f>
        <v/>
      </c>
      <c r="AK103" s="34">
        <f>AJ103-(AJ103*7%)</f>
        <v/>
      </c>
      <c r="AL103" s="35">
        <f>AJ103/94</f>
        <v/>
      </c>
      <c r="AM103" s="35">
        <f>AK103/94</f>
        <v/>
      </c>
      <c r="AN103" s="36">
        <f>AJ103/24</f>
        <v/>
      </c>
      <c r="AO103" s="36">
        <f>AK103/24</f>
        <v/>
      </c>
      <c r="AP103" s="37">
        <f>AJ103/125</f>
        <v/>
      </c>
      <c r="AQ103" s="37">
        <f>AK103/125</f>
        <v/>
      </c>
    </row>
    <row r="104" ht="15.75" customHeight="1" s="50">
      <c r="A104" s="32" t="n"/>
      <c r="B104" s="32" t="inlineStr">
        <is>
          <t>Middle</t>
        </is>
      </c>
      <c r="C104" s="32" t="inlineStr">
        <is>
          <t>MI-CM-M</t>
        </is>
      </c>
      <c r="D104" s="32" t="n">
        <v>1050</v>
      </c>
      <c r="G104" s="32" t="n">
        <v>0</v>
      </c>
      <c r="H104" s="32" t="n">
        <v>10</v>
      </c>
      <c r="I104" s="41" t="n">
        <v>93030010</v>
      </c>
      <c r="J104" s="41" t="n">
        <v>0</v>
      </c>
      <c r="K104" s="32">
        <f>D104*J104</f>
        <v/>
      </c>
      <c r="M104" s="32">
        <f>D104*4%</f>
        <v/>
      </c>
      <c r="N104" s="49">
        <f>M104+L104+K104+H104+G104+F104+E104+D104</f>
        <v/>
      </c>
      <c r="O104" s="32">
        <f>D104*1%</f>
        <v/>
      </c>
      <c r="P104" s="7">
        <f>N104*8%</f>
        <v/>
      </c>
      <c r="Q104" s="7">
        <f>N104*10%</f>
        <v/>
      </c>
      <c r="R104" s="7">
        <f>N104*5%</f>
        <v/>
      </c>
      <c r="S104" s="7">
        <f>N104*2%</f>
        <v/>
      </c>
      <c r="T104" s="7">
        <f>AE104*0.5%</f>
        <v/>
      </c>
      <c r="U104" s="7">
        <f>N104*1%</f>
        <v/>
      </c>
      <c r="V104" s="31">
        <f>U104+S104+R104+Q104+P104+O104</f>
        <v/>
      </c>
      <c r="W104" s="32">
        <f>AE104*1%</f>
        <v/>
      </c>
      <c r="X104" s="32">
        <f>AE104*10%</f>
        <v/>
      </c>
      <c r="Y104" s="32">
        <f>AE104*1%</f>
        <v/>
      </c>
      <c r="Z104" s="32">
        <f>AE104*8%</f>
        <v/>
      </c>
      <c r="AA104" s="32">
        <f>W104+X104+Y104+Z104</f>
        <v/>
      </c>
      <c r="AB104" s="31">
        <f>AA104+V104+N104</f>
        <v/>
      </c>
      <c r="AC104" s="6">
        <f>AB104*20%</f>
        <v/>
      </c>
      <c r="AD104" s="7">
        <f>AB104+AC104</f>
        <v/>
      </c>
      <c r="AE104" s="32">
        <f>D104*2.1</f>
        <v/>
      </c>
      <c r="AF104" s="7">
        <f>AD104-AE104</f>
        <v/>
      </c>
      <c r="AG104" s="7">
        <f>AF104/AD104*100</f>
        <v/>
      </c>
      <c r="AH104" s="0" t="n">
        <v>2350</v>
      </c>
      <c r="AI104" s="33" t="n">
        <v>1300</v>
      </c>
      <c r="AJ104" s="34">
        <f>AD104</f>
        <v/>
      </c>
      <c r="AK104" s="34">
        <f>AJ104-(AJ104*7%)</f>
        <v/>
      </c>
      <c r="AL104" s="35">
        <f>AJ104/94</f>
        <v/>
      </c>
      <c r="AM104" s="35">
        <f>AK104/94</f>
        <v/>
      </c>
      <c r="AN104" s="36">
        <f>AJ104/24</f>
        <v/>
      </c>
      <c r="AO104" s="36">
        <f>AK104/24</f>
        <v/>
      </c>
      <c r="AP104" s="37">
        <f>AJ104/125</f>
        <v/>
      </c>
      <c r="AQ104" s="37">
        <f>AK104/125</f>
        <v/>
      </c>
    </row>
    <row r="105" ht="15.75" customHeight="1" s="50">
      <c r="A105" s="32" t="n"/>
      <c r="B105" s="32" t="inlineStr">
        <is>
          <t>Bass</t>
        </is>
      </c>
      <c r="C105" s="32" t="inlineStr">
        <is>
          <t>MI-CM-B</t>
        </is>
      </c>
      <c r="D105" s="32" t="n">
        <v>1050</v>
      </c>
      <c r="G105" s="32" t="n">
        <v>0</v>
      </c>
      <c r="H105" s="32" t="n">
        <v>10</v>
      </c>
      <c r="I105" s="41" t="n">
        <v>93030010</v>
      </c>
      <c r="J105" s="41" t="n">
        <v>0</v>
      </c>
      <c r="K105" s="32">
        <f>D105*J105</f>
        <v/>
      </c>
      <c r="M105" s="32">
        <f>D105*4%</f>
        <v/>
      </c>
      <c r="N105" s="49">
        <f>M105+L105+K105+H105+G105+F105+E105+D105</f>
        <v/>
      </c>
      <c r="O105" s="32">
        <f>D105*1%</f>
        <v/>
      </c>
      <c r="P105" s="7">
        <f>N105*8%</f>
        <v/>
      </c>
      <c r="Q105" s="7">
        <f>N105*10%</f>
        <v/>
      </c>
      <c r="R105" s="7">
        <f>N105*5%</f>
        <v/>
      </c>
      <c r="S105" s="7">
        <f>N105*2%</f>
        <v/>
      </c>
      <c r="T105" s="7">
        <f>AE105*0.5%</f>
        <v/>
      </c>
      <c r="U105" s="7">
        <f>N105*1%</f>
        <v/>
      </c>
      <c r="V105" s="31">
        <f>U105+S105+R105+Q105+P105+O105</f>
        <v/>
      </c>
      <c r="W105" s="32">
        <f>AE105*1%</f>
        <v/>
      </c>
      <c r="X105" s="32">
        <f>AE105*10%</f>
        <v/>
      </c>
      <c r="Y105" s="32">
        <f>AE105*1%</f>
        <v/>
      </c>
      <c r="Z105" s="32">
        <f>AE105*8%</f>
        <v/>
      </c>
      <c r="AA105" s="32">
        <f>W105+X105+Y105+Z105</f>
        <v/>
      </c>
      <c r="AB105" s="31">
        <f>AA105+V105+N105</f>
        <v/>
      </c>
      <c r="AC105" s="6">
        <f>AB105*20%</f>
        <v/>
      </c>
      <c r="AD105" s="7">
        <f>AB105+AC105</f>
        <v/>
      </c>
      <c r="AE105" s="32">
        <f>D105*2.1</f>
        <v/>
      </c>
      <c r="AF105" s="7">
        <f>AD105-AE105</f>
        <v/>
      </c>
      <c r="AG105" s="7">
        <f>AF105/AD105*100</f>
        <v/>
      </c>
      <c r="AH105" s="0" t="n">
        <v>2350</v>
      </c>
      <c r="AI105" s="33" t="n">
        <v>1300</v>
      </c>
      <c r="AJ105" s="34">
        <f>AD105</f>
        <v/>
      </c>
      <c r="AK105" s="34">
        <f>AJ105-(AJ105*7%)</f>
        <v/>
      </c>
      <c r="AL105" s="35">
        <f>AJ105/94</f>
        <v/>
      </c>
      <c r="AM105" s="35">
        <f>AK105/94</f>
        <v/>
      </c>
      <c r="AN105" s="36">
        <f>AJ105/24</f>
        <v/>
      </c>
      <c r="AO105" s="36">
        <f>AK105/24</f>
        <v/>
      </c>
      <c r="AP105" s="37">
        <f>AJ105/125</f>
        <v/>
      </c>
      <c r="AQ105" s="37">
        <f>AK105/125</f>
        <v/>
      </c>
    </row>
    <row r="106" ht="15.75" customHeight="1" s="50">
      <c r="A106" s="32" t="n"/>
      <c r="B106" s="32" t="inlineStr">
        <is>
          <t>Full Set</t>
        </is>
      </c>
      <c r="C106" s="32" t="inlineStr">
        <is>
          <t>MI-CM-ST</t>
        </is>
      </c>
      <c r="D106" s="32" t="n">
        <v>3150</v>
      </c>
      <c r="G106" s="32" t="n">
        <v>0</v>
      </c>
      <c r="H106" s="32" t="n">
        <v>10</v>
      </c>
      <c r="I106" s="41" t="n">
        <v>93030010</v>
      </c>
      <c r="J106" s="41" t="n">
        <v>0</v>
      </c>
      <c r="K106" s="32">
        <f>D106*J106</f>
        <v/>
      </c>
      <c r="M106" s="32">
        <f>D106*4%</f>
        <v/>
      </c>
      <c r="N106" s="49">
        <f>M106+L106+K106+H106+G106+F106+E106+D106</f>
        <v/>
      </c>
      <c r="O106" s="32">
        <f>D106*1%</f>
        <v/>
      </c>
      <c r="P106" s="7">
        <f>N106*8%</f>
        <v/>
      </c>
      <c r="Q106" s="7">
        <f>N106*10%</f>
        <v/>
      </c>
      <c r="R106" s="7">
        <f>N106*5%</f>
        <v/>
      </c>
      <c r="S106" s="7">
        <f>N106*2%</f>
        <v/>
      </c>
      <c r="T106" s="7">
        <f>AE106*0.5%</f>
        <v/>
      </c>
      <c r="U106" s="7">
        <f>N106*1%</f>
        <v/>
      </c>
      <c r="V106" s="31">
        <f>U106+S106+R106+Q106+P106+O106</f>
        <v/>
      </c>
      <c r="W106" s="32">
        <f>AE106*1%</f>
        <v/>
      </c>
      <c r="X106" s="32">
        <f>AE106*10%</f>
        <v/>
      </c>
      <c r="Y106" s="32">
        <f>AE106*1%</f>
        <v/>
      </c>
      <c r="Z106" s="32">
        <f>AE106*8%</f>
        <v/>
      </c>
      <c r="AA106" s="32">
        <f>W106+X106+Y106+Z106</f>
        <v/>
      </c>
      <c r="AB106" s="31">
        <f>AA106+V106+N106</f>
        <v/>
      </c>
      <c r="AC106" s="6">
        <f>AB106*20%</f>
        <v/>
      </c>
      <c r="AD106" s="7">
        <f>AB106+AC106</f>
        <v/>
      </c>
      <c r="AE106" s="32">
        <f>D106*2.1</f>
        <v/>
      </c>
      <c r="AF106" s="7">
        <f>AD106-AE106</f>
        <v/>
      </c>
      <c r="AG106" s="7">
        <f>AF106/AD106*100</f>
        <v/>
      </c>
      <c r="AH106" s="0" t="n">
        <v>7000</v>
      </c>
      <c r="AI106" s="33" t="n">
        <v>3850</v>
      </c>
      <c r="AJ106" s="34">
        <f>AD106</f>
        <v/>
      </c>
      <c r="AK106" s="34">
        <f>AJ106-(AJ106*7%)</f>
        <v/>
      </c>
      <c r="AL106" s="35">
        <f>AJ106/94</f>
        <v/>
      </c>
      <c r="AM106" s="35">
        <f>AK106/94</f>
        <v/>
      </c>
      <c r="AN106" s="36">
        <f>AJ106/24</f>
        <v/>
      </c>
      <c r="AO106" s="36">
        <f>AK106/24</f>
        <v/>
      </c>
      <c r="AP106" s="37">
        <f>AJ106/125</f>
        <v/>
      </c>
      <c r="AQ106" s="37">
        <f>AK106/125</f>
        <v/>
      </c>
    </row>
    <row r="107" ht="15" customHeight="1" s="50">
      <c r="A107" s="32" t="inlineStr">
        <is>
          <t>Coconut Maracas Shakers</t>
        </is>
      </c>
      <c r="B107" s="32" t="inlineStr">
        <is>
          <t>Plain</t>
        </is>
      </c>
      <c r="C107" s="32" t="inlineStr">
        <is>
          <t>MI-CM</t>
        </is>
      </c>
      <c r="D107" s="32" t="n">
        <v>60</v>
      </c>
      <c r="E107" s="32" t="n">
        <v>100</v>
      </c>
      <c r="F107" s="32" t="n">
        <v>0</v>
      </c>
      <c r="G107" s="32" t="n">
        <v>0</v>
      </c>
      <c r="H107" s="32" t="n">
        <v>10</v>
      </c>
      <c r="I107" s="43" t="inlineStr">
        <is>
          <t>9503 00 90</t>
        </is>
      </c>
      <c r="J107" s="30" t="n">
        <v>0.18</v>
      </c>
      <c r="K107" s="32">
        <f>D107*J107</f>
        <v/>
      </c>
      <c r="M107" s="32">
        <f>D107*4%</f>
        <v/>
      </c>
      <c r="N107" s="49">
        <f>M107+L107+K107+H107+G107+F107+E107+D107</f>
        <v/>
      </c>
      <c r="O107" s="32">
        <f>D107*1%</f>
        <v/>
      </c>
      <c r="P107" s="7">
        <f>N107*8%</f>
        <v/>
      </c>
      <c r="Q107" s="7">
        <f>N107*10%</f>
        <v/>
      </c>
      <c r="R107" s="7">
        <f>N107*5%</f>
        <v/>
      </c>
      <c r="S107" s="7">
        <f>N107*2%</f>
        <v/>
      </c>
      <c r="T107" s="7">
        <f>AE107*0.5%</f>
        <v/>
      </c>
      <c r="U107" s="7">
        <f>N107*1%</f>
        <v/>
      </c>
      <c r="V107" s="31">
        <f>U107+S107+R107+Q107+P107+O107</f>
        <v/>
      </c>
      <c r="W107" s="32">
        <f>AE107*1%</f>
        <v/>
      </c>
      <c r="X107" s="32">
        <f>AE107*10%</f>
        <v/>
      </c>
      <c r="Y107" s="32">
        <f>AE107*1%</f>
        <v/>
      </c>
      <c r="Z107" s="32">
        <f>AE107*8%</f>
        <v/>
      </c>
      <c r="AA107" s="32">
        <f>W107+X107+Y107+Z107</f>
        <v/>
      </c>
      <c r="AB107" s="31">
        <f>AA107+V107+N107</f>
        <v/>
      </c>
      <c r="AC107" s="6">
        <f>AB107*20%</f>
        <v/>
      </c>
      <c r="AD107" s="7">
        <f>AB107+AC107</f>
        <v/>
      </c>
      <c r="AE107" s="32">
        <f>D107*2.1</f>
        <v/>
      </c>
      <c r="AF107" s="7">
        <f>AD107-AE107</f>
        <v/>
      </c>
      <c r="AG107" s="7">
        <f>AF107/AD107*100</f>
        <v/>
      </c>
      <c r="AH107" s="0" t="n">
        <v>990</v>
      </c>
      <c r="AI107" s="33" t="n">
        <v>930</v>
      </c>
      <c r="AJ107" s="34">
        <f>AD107</f>
        <v/>
      </c>
      <c r="AK107" s="34">
        <f>AJ107-(AJ107*7%)</f>
        <v/>
      </c>
      <c r="AL107" s="35">
        <f>AJ107/94</f>
        <v/>
      </c>
      <c r="AM107" s="35">
        <f>AK107/94</f>
        <v/>
      </c>
      <c r="AN107" s="36">
        <f>AJ107/24</f>
        <v/>
      </c>
      <c r="AO107" s="36">
        <f>AK107/24</f>
        <v/>
      </c>
      <c r="AP107" s="37">
        <f>AJ107/125</f>
        <v/>
      </c>
      <c r="AQ107" s="37">
        <f>AK107/125</f>
        <v/>
      </c>
    </row>
    <row r="108" ht="15.75" customHeight="1" s="50">
      <c r="A108" s="32" t="n"/>
      <c r="B108" s="32" t="inlineStr">
        <is>
          <t>Dot Painted</t>
        </is>
      </c>
      <c r="C108" s="32" t="inlineStr">
        <is>
          <t>MI-CM-DP</t>
        </is>
      </c>
      <c r="D108" s="32" t="n">
        <v>70</v>
      </c>
      <c r="E108" s="32" t="n">
        <v>100</v>
      </c>
      <c r="F108" s="32" t="n">
        <v>0</v>
      </c>
      <c r="G108" s="32" t="n">
        <v>0</v>
      </c>
      <c r="H108" s="32" t="n">
        <v>10</v>
      </c>
      <c r="I108" s="43" t="inlineStr">
        <is>
          <t>9504 00 90</t>
        </is>
      </c>
      <c r="J108" s="30" t="n">
        <v>0.18</v>
      </c>
      <c r="K108" s="32">
        <f>D108*J108</f>
        <v/>
      </c>
      <c r="M108" s="32">
        <f>D108*4%</f>
        <v/>
      </c>
      <c r="N108" s="49">
        <f>M108+L108+K108+H108+G108+F108+E108+D108</f>
        <v/>
      </c>
      <c r="O108" s="32">
        <f>D108*1%</f>
        <v/>
      </c>
      <c r="P108" s="7">
        <f>N108*8%</f>
        <v/>
      </c>
      <c r="Q108" s="7">
        <f>N108*10%</f>
        <v/>
      </c>
      <c r="R108" s="7">
        <f>N108*5%</f>
        <v/>
      </c>
      <c r="S108" s="7">
        <f>N108*2%</f>
        <v/>
      </c>
      <c r="T108" s="7">
        <f>AE108*0.5%</f>
        <v/>
      </c>
      <c r="U108" s="7">
        <f>N108*1%</f>
        <v/>
      </c>
      <c r="V108" s="31">
        <f>U108+S108+R108+Q108+P108+O108</f>
        <v/>
      </c>
      <c r="W108" s="32">
        <f>AE108*1%</f>
        <v/>
      </c>
      <c r="X108" s="32">
        <f>AE108*10%</f>
        <v/>
      </c>
      <c r="Y108" s="32">
        <f>AE108*1%</f>
        <v/>
      </c>
      <c r="Z108" s="32">
        <f>AE108*8%</f>
        <v/>
      </c>
      <c r="AA108" s="32">
        <f>W108+X108+Y108+Z108</f>
        <v/>
      </c>
      <c r="AB108" s="31">
        <f>AA108+V108+N108</f>
        <v/>
      </c>
      <c r="AC108" s="6">
        <f>AB108*20%</f>
        <v/>
      </c>
      <c r="AD108" s="7">
        <f>AB108+AC108</f>
        <v/>
      </c>
      <c r="AE108" s="32">
        <f>D108*2.1</f>
        <v/>
      </c>
      <c r="AF108" s="7">
        <f>AD108-AE108</f>
        <v/>
      </c>
      <c r="AG108" s="7">
        <f>AF108/AD108*100</f>
        <v/>
      </c>
      <c r="AH108" s="0" t="n">
        <v>1185</v>
      </c>
      <c r="AI108" s="33" t="n">
        <v>1115</v>
      </c>
      <c r="AJ108" s="34">
        <f>AD108</f>
        <v/>
      </c>
      <c r="AK108" s="34">
        <f>AJ108-(AJ108*7%)</f>
        <v/>
      </c>
      <c r="AL108" s="35">
        <f>AJ108/94</f>
        <v/>
      </c>
      <c r="AM108" s="35">
        <f>AK108/94</f>
        <v/>
      </c>
      <c r="AN108" s="36">
        <f>AJ108/24</f>
        <v/>
      </c>
      <c r="AO108" s="36">
        <f>AK108/24</f>
        <v/>
      </c>
      <c r="AP108" s="37">
        <f>AJ108/125</f>
        <v/>
      </c>
      <c r="AQ108" s="37">
        <f>AK108/125</f>
        <v/>
      </c>
    </row>
    <row r="109" ht="15.75" customHeight="1" s="50">
      <c r="A109" s="32" t="inlineStr">
        <is>
          <t>Coconut Rattle</t>
        </is>
      </c>
      <c r="B109" s="32" t="inlineStr">
        <is>
          <t>Standard</t>
        </is>
      </c>
      <c r="C109" s="32" t="inlineStr">
        <is>
          <t>MI-CR</t>
        </is>
      </c>
      <c r="D109" s="32" t="n">
        <v>60</v>
      </c>
      <c r="G109" s="32" t="n">
        <v>0</v>
      </c>
      <c r="H109" s="32" t="n">
        <v>10</v>
      </c>
      <c r="I109" s="43" t="inlineStr">
        <is>
          <t>9505 00 90</t>
        </is>
      </c>
      <c r="J109" s="30" t="n">
        <v>0.18</v>
      </c>
      <c r="K109" s="32">
        <f>D109*J109</f>
        <v/>
      </c>
      <c r="M109" s="32">
        <f>D109*4%</f>
        <v/>
      </c>
      <c r="N109" s="49">
        <f>M109+L109+K109+H109+G109+F109+E109+D109</f>
        <v/>
      </c>
      <c r="O109" s="32">
        <f>D109*1%</f>
        <v/>
      </c>
      <c r="P109" s="7">
        <f>N109*8%</f>
        <v/>
      </c>
      <c r="Q109" s="7">
        <f>N109*10%</f>
        <v/>
      </c>
      <c r="R109" s="7">
        <f>N109*5%</f>
        <v/>
      </c>
      <c r="S109" s="7">
        <f>N109*2%</f>
        <v/>
      </c>
      <c r="T109" s="7">
        <f>AE109*0.5%</f>
        <v/>
      </c>
      <c r="U109" s="7">
        <f>N109*1%</f>
        <v/>
      </c>
      <c r="V109" s="31">
        <f>U109+S109+R109+Q109+P109+O109</f>
        <v/>
      </c>
      <c r="W109" s="32">
        <f>AE109*1%</f>
        <v/>
      </c>
      <c r="X109" s="32">
        <f>AE109*10%</f>
        <v/>
      </c>
      <c r="Y109" s="32">
        <f>AE109*1%</f>
        <v/>
      </c>
      <c r="Z109" s="32">
        <f>AE109*8%</f>
        <v/>
      </c>
      <c r="AA109" s="32">
        <f>W109+X109+Y109+Z109</f>
        <v/>
      </c>
      <c r="AB109" s="31">
        <f>AA109+V109+N109</f>
        <v/>
      </c>
      <c r="AC109" s="6">
        <f>AB109*20%</f>
        <v/>
      </c>
      <c r="AD109" s="7">
        <f>AB109+AC109</f>
        <v/>
      </c>
      <c r="AE109" s="32">
        <f>D109*2.1</f>
        <v/>
      </c>
      <c r="AF109" s="7">
        <f>AD109-AE109</f>
        <v/>
      </c>
      <c r="AG109" s="7">
        <f>AF109/AD109*100</f>
        <v/>
      </c>
      <c r="AH109" s="0" t="n">
        <v>1045</v>
      </c>
      <c r="AI109" s="33" t="n">
        <v>985</v>
      </c>
      <c r="AJ109" s="34">
        <f>AD109</f>
        <v/>
      </c>
      <c r="AK109" s="34">
        <f>AJ109-(AJ109*7%)</f>
        <v/>
      </c>
      <c r="AL109" s="35">
        <f>AJ109/94</f>
        <v/>
      </c>
      <c r="AM109" s="35">
        <f>AK109/94</f>
        <v/>
      </c>
      <c r="AN109" s="36">
        <f>AJ109/24</f>
        <v/>
      </c>
      <c r="AO109" s="36">
        <f>AK109/24</f>
        <v/>
      </c>
      <c r="AP109" s="37">
        <f>AJ109/125</f>
        <v/>
      </c>
      <c r="AQ109" s="37">
        <f>AK109/125</f>
        <v/>
      </c>
    </row>
    <row r="110" ht="15.75" customHeight="1" s="50">
      <c r="A110" s="32" t="inlineStr">
        <is>
          <t>Conscious Cards</t>
        </is>
      </c>
      <c r="B110" s="32" t="inlineStr">
        <is>
          <t>Standard</t>
        </is>
      </c>
      <c r="C110" s="32" t="inlineStr">
        <is>
          <t>MS-CC</t>
        </is>
      </c>
      <c r="D110" s="32" t="n">
        <v>750</v>
      </c>
      <c r="G110" s="32" t="n">
        <v>0</v>
      </c>
      <c r="H110" s="32" t="n">
        <v>10</v>
      </c>
      <c r="I110" s="43" t="n">
        <v>95044000</v>
      </c>
      <c r="J110" s="30" t="n">
        <v>0.05</v>
      </c>
      <c r="K110" s="32">
        <f>D110*J110</f>
        <v/>
      </c>
      <c r="M110" s="32">
        <f>D110*4%</f>
        <v/>
      </c>
      <c r="N110" s="49">
        <f>M110+L110+K110+H110+G110+F110+E110+D110</f>
        <v/>
      </c>
      <c r="O110" s="32">
        <f>D110*1%</f>
        <v/>
      </c>
      <c r="P110" s="7">
        <f>N110*8%</f>
        <v/>
      </c>
      <c r="Q110" s="7">
        <f>N110*10%</f>
        <v/>
      </c>
      <c r="R110" s="7">
        <f>N110*5%</f>
        <v/>
      </c>
      <c r="S110" s="7">
        <f>N110*2%</f>
        <v/>
      </c>
      <c r="T110" s="7">
        <f>AE110*0.5%</f>
        <v/>
      </c>
      <c r="U110" s="7">
        <f>N110*1%</f>
        <v/>
      </c>
      <c r="V110" s="31">
        <f>U110+S110+R110+Q110+P110+O110</f>
        <v/>
      </c>
      <c r="W110" s="32">
        <f>AE110*1%</f>
        <v/>
      </c>
      <c r="X110" s="32">
        <f>AE110*10%</f>
        <v/>
      </c>
      <c r="Y110" s="32">
        <f>AE110*1%</f>
        <v/>
      </c>
      <c r="Z110" s="32">
        <f>AE110*8%</f>
        <v/>
      </c>
      <c r="AA110" s="32">
        <f>W110+X110+Y110+Z110</f>
        <v/>
      </c>
      <c r="AB110" s="31">
        <f>AA110+V110+N110</f>
        <v/>
      </c>
      <c r="AC110" s="6">
        <f>AB110*20%</f>
        <v/>
      </c>
      <c r="AD110" s="7">
        <f>AB110+AC110</f>
        <v/>
      </c>
      <c r="AE110" s="32">
        <f>D110*2.1</f>
        <v/>
      </c>
      <c r="AF110" s="7">
        <f>AD110-AE110</f>
        <v/>
      </c>
      <c r="AG110" s="7">
        <f>AF110/AD110*100</f>
        <v/>
      </c>
      <c r="AH110" s="0" t="n">
        <v>1499</v>
      </c>
      <c r="AI110" s="33" t="n">
        <v>749</v>
      </c>
      <c r="AJ110" s="34">
        <f>AD110</f>
        <v/>
      </c>
      <c r="AK110" s="34">
        <f>AJ110-(AJ110*7%)</f>
        <v/>
      </c>
      <c r="AL110" s="35">
        <f>AJ110/94</f>
        <v/>
      </c>
      <c r="AM110" s="35">
        <f>AK110/94</f>
        <v/>
      </c>
      <c r="AN110" s="36">
        <f>AJ110/24</f>
        <v/>
      </c>
      <c r="AO110" s="36">
        <f>AK110/24</f>
        <v/>
      </c>
      <c r="AP110" s="37">
        <f>AJ110/125</f>
        <v/>
      </c>
      <c r="AQ110" s="37">
        <f>AK110/125</f>
        <v/>
      </c>
    </row>
    <row r="111" ht="15" customHeight="1" s="50">
      <c r="A111" s="32" t="inlineStr">
        <is>
          <t>Copper Bottle Gift Set - 7 Chakra</t>
        </is>
      </c>
      <c r="B111" s="32" t="inlineStr">
        <is>
          <t>Gold</t>
        </is>
      </c>
      <c r="C111" s="32" t="inlineStr">
        <is>
          <t>GP-CB-7C-C-2G</t>
        </is>
      </c>
      <c r="D111" s="32" t="n">
        <v>690</v>
      </c>
      <c r="G111" s="32" t="n">
        <v>0</v>
      </c>
      <c r="H111" s="32" t="n">
        <v>10</v>
      </c>
      <c r="I111" s="43" t="n">
        <v>741810</v>
      </c>
      <c r="J111" s="30" t="n">
        <v>0.05</v>
      </c>
      <c r="K111" s="32">
        <f>D111*J111</f>
        <v/>
      </c>
      <c r="M111" s="32">
        <f>D111*4%</f>
        <v/>
      </c>
      <c r="N111" s="49">
        <f>M111+L111+K111+H111+G111+F111+E111+D111</f>
        <v/>
      </c>
      <c r="O111" s="32">
        <f>D111*1%</f>
        <v/>
      </c>
      <c r="P111" s="7">
        <f>N111*8%</f>
        <v/>
      </c>
      <c r="Q111" s="7">
        <f>N111*10%</f>
        <v/>
      </c>
      <c r="R111" s="7">
        <f>N111*5%</f>
        <v/>
      </c>
      <c r="S111" s="7">
        <f>N111*2%</f>
        <v/>
      </c>
      <c r="T111" s="7">
        <f>AE111*0.5%</f>
        <v/>
      </c>
      <c r="U111" s="7">
        <f>N111*1%</f>
        <v/>
      </c>
      <c r="V111" s="31">
        <f>U111+S111+R111+Q111+P111+O111</f>
        <v/>
      </c>
      <c r="W111" s="32">
        <f>AE111*1%</f>
        <v/>
      </c>
      <c r="X111" s="32">
        <f>AE111*10%</f>
        <v/>
      </c>
      <c r="Y111" s="32">
        <f>AE111*1%</f>
        <v/>
      </c>
      <c r="Z111" s="32">
        <f>AE111*8%</f>
        <v/>
      </c>
      <c r="AA111" s="32">
        <f>W111+X111+Y111+Z111</f>
        <v/>
      </c>
      <c r="AB111" s="31">
        <f>AA111+V111+N111</f>
        <v/>
      </c>
      <c r="AC111" s="6">
        <f>AB111*20%</f>
        <v/>
      </c>
      <c r="AD111" s="7">
        <f>AB111+AC111</f>
        <v/>
      </c>
      <c r="AE111" s="32">
        <f>D111*2.1</f>
        <v/>
      </c>
      <c r="AF111" s="7">
        <f>AD111-AE111</f>
        <v/>
      </c>
      <c r="AG111" s="7">
        <f>AF111/AD111*100</f>
        <v/>
      </c>
      <c r="AH111" s="0" t="n">
        <v>1750</v>
      </c>
      <c r="AI111" s="33" t="n">
        <v>1060</v>
      </c>
      <c r="AJ111" s="34">
        <f>AD111</f>
        <v/>
      </c>
      <c r="AK111" s="34">
        <f>AJ111-(AJ111*7%)</f>
        <v/>
      </c>
      <c r="AL111" s="35">
        <f>AJ111/94</f>
        <v/>
      </c>
      <c r="AM111" s="35">
        <f>AK111/94</f>
        <v/>
      </c>
      <c r="AN111" s="36">
        <f>AJ111/24</f>
        <v/>
      </c>
      <c r="AO111" s="36">
        <f>AK111/24</f>
        <v/>
      </c>
      <c r="AP111" s="37">
        <f>AJ111/125</f>
        <v/>
      </c>
      <c r="AQ111" s="37">
        <f>AK111/125</f>
        <v/>
      </c>
    </row>
    <row r="112" ht="15.75" customHeight="1" s="50">
      <c r="A112" s="32" t="n"/>
      <c r="B112" s="32" t="inlineStr">
        <is>
          <t>Vintage</t>
        </is>
      </c>
      <c r="C112" s="32" t="inlineStr">
        <is>
          <t>GP-CB-7C-V-2G</t>
        </is>
      </c>
      <c r="D112" s="32" t="n">
        <v>790</v>
      </c>
      <c r="G112" s="32" t="n">
        <v>0</v>
      </c>
      <c r="H112" s="32" t="n">
        <v>10</v>
      </c>
      <c r="I112" s="43" t="n">
        <v>741810</v>
      </c>
      <c r="J112" s="30" t="n">
        <v>0.05</v>
      </c>
      <c r="K112" s="32">
        <f>D112*J112</f>
        <v/>
      </c>
      <c r="M112" s="32">
        <f>D112*4%</f>
        <v/>
      </c>
      <c r="N112" s="49">
        <f>M112+L112+K112+H112+G112+F112+E112+D112</f>
        <v/>
      </c>
      <c r="O112" s="32">
        <f>D112*1%</f>
        <v/>
      </c>
      <c r="P112" s="7">
        <f>N112*8%</f>
        <v/>
      </c>
      <c r="Q112" s="7">
        <f>N112*10%</f>
        <v/>
      </c>
      <c r="R112" s="7">
        <f>N112*5%</f>
        <v/>
      </c>
      <c r="S112" s="7">
        <f>N112*2%</f>
        <v/>
      </c>
      <c r="T112" s="7">
        <f>AE112*0.5%</f>
        <v/>
      </c>
      <c r="U112" s="7">
        <f>N112*1%</f>
        <v/>
      </c>
      <c r="V112" s="31">
        <f>U112+S112+R112+Q112+P112+O112</f>
        <v/>
      </c>
      <c r="W112" s="32">
        <f>AE112*1%</f>
        <v/>
      </c>
      <c r="X112" s="32">
        <f>AE112*10%</f>
        <v/>
      </c>
      <c r="Y112" s="32">
        <f>AE112*1%</f>
        <v/>
      </c>
      <c r="Z112" s="32">
        <f>AE112*8%</f>
        <v/>
      </c>
      <c r="AA112" s="32">
        <f>W112+X112+Y112+Z112</f>
        <v/>
      </c>
      <c r="AB112" s="31">
        <f>AA112+V112+N112</f>
        <v/>
      </c>
      <c r="AC112" s="6">
        <f>AB112*20%</f>
        <v/>
      </c>
      <c r="AD112" s="7">
        <f>AB112+AC112</f>
        <v/>
      </c>
      <c r="AE112" s="32">
        <f>D112*2.1</f>
        <v/>
      </c>
      <c r="AF112" s="7">
        <f>AD112-AE112</f>
        <v/>
      </c>
      <c r="AG112" s="7">
        <f>AF112/AD112*100</f>
        <v/>
      </c>
      <c r="AH112" s="0" t="n">
        <v>1750</v>
      </c>
      <c r="AI112" s="33" t="n">
        <v>960</v>
      </c>
      <c r="AJ112" s="34">
        <f>AD112</f>
        <v/>
      </c>
      <c r="AK112" s="34">
        <f>AJ112-(AJ112*7%)</f>
        <v/>
      </c>
      <c r="AL112" s="35">
        <f>AJ112/94</f>
        <v/>
      </c>
      <c r="AM112" s="35">
        <f>AK112/94</f>
        <v/>
      </c>
      <c r="AN112" s="36">
        <f>AJ112/24</f>
        <v/>
      </c>
      <c r="AO112" s="36">
        <f>AK112/24</f>
        <v/>
      </c>
      <c r="AP112" s="37">
        <f>AJ112/125</f>
        <v/>
      </c>
      <c r="AQ112" s="37">
        <f>AK112/125</f>
        <v/>
      </c>
    </row>
    <row r="113" ht="15.75" customHeight="1" s="50">
      <c r="A113" s="32" t="n"/>
      <c r="B113" s="32" t="inlineStr">
        <is>
          <t>Straight / pack-of-1</t>
        </is>
      </c>
      <c r="C113" s="32" t="inlineStr">
        <is>
          <t>TC-S-1</t>
        </is>
      </c>
      <c r="D113" s="32" t="n">
        <v>49</v>
      </c>
      <c r="G113" s="32" t="n">
        <v>0</v>
      </c>
      <c r="H113" s="32" t="n">
        <v>10</v>
      </c>
      <c r="I113" s="43" t="n">
        <v>49090090</v>
      </c>
      <c r="J113" s="30" t="n">
        <v>0.05</v>
      </c>
      <c r="K113" s="32">
        <f>D113*J113</f>
        <v/>
      </c>
      <c r="M113" s="32">
        <f>D113*4%</f>
        <v/>
      </c>
      <c r="N113" s="49">
        <f>M113+L113+K113+H113+G113+F113+E113+D113</f>
        <v/>
      </c>
      <c r="O113" s="32">
        <f>D113*1%</f>
        <v/>
      </c>
      <c r="P113" s="7">
        <f>N113*8%</f>
        <v/>
      </c>
      <c r="Q113" s="7">
        <f>N113*10%</f>
        <v/>
      </c>
      <c r="R113" s="7">
        <f>N113*5%</f>
        <v/>
      </c>
      <c r="S113" s="7">
        <f>N113*2%</f>
        <v/>
      </c>
      <c r="T113" s="7">
        <f>AE113*0.5%</f>
        <v/>
      </c>
      <c r="U113" s="7">
        <f>N113*1%</f>
        <v/>
      </c>
      <c r="V113" s="31">
        <f>U113+S113+R113+Q113+P113+O113</f>
        <v/>
      </c>
      <c r="W113" s="32">
        <f>AE113*1%</f>
        <v/>
      </c>
      <c r="X113" s="32">
        <f>AE113*10%</f>
        <v/>
      </c>
      <c r="Y113" s="32">
        <f>AE113*1%</f>
        <v/>
      </c>
      <c r="Z113" s="32">
        <f>AE113*8%</f>
        <v/>
      </c>
      <c r="AA113" s="32">
        <f>W113+X113+Y113+Z113</f>
        <v/>
      </c>
      <c r="AB113" s="31">
        <f>AA113+V113+N113</f>
        <v/>
      </c>
      <c r="AC113" s="6">
        <f>AB113*20%</f>
        <v/>
      </c>
      <c r="AD113" s="7">
        <f>AB113+AC113</f>
        <v/>
      </c>
      <c r="AE113" s="32">
        <f>D113*2.1</f>
        <v/>
      </c>
      <c r="AF113" s="7">
        <f>AD113-AE113</f>
        <v/>
      </c>
      <c r="AG113" s="7">
        <f>AF113/AD113*100</f>
        <v/>
      </c>
      <c r="AH113" s="0" t="n">
        <v>165</v>
      </c>
      <c r="AI113" s="33" t="n">
        <v>116</v>
      </c>
      <c r="AJ113" s="34">
        <f>AD113</f>
        <v/>
      </c>
      <c r="AK113" s="34">
        <f>AJ113-(AJ113*7%)</f>
        <v/>
      </c>
      <c r="AL113" s="35">
        <f>AJ113/94</f>
        <v/>
      </c>
      <c r="AM113" s="35">
        <f>AK113/94</f>
        <v/>
      </c>
      <c r="AN113" s="36">
        <f>AJ113/24</f>
        <v/>
      </c>
      <c r="AO113" s="36">
        <f>AK113/24</f>
        <v/>
      </c>
      <c r="AP113" s="37">
        <f>AJ113/125</f>
        <v/>
      </c>
      <c r="AQ113" s="37">
        <f>AK113/125</f>
        <v/>
      </c>
    </row>
    <row r="114" ht="15.75" customHeight="1" s="50">
      <c r="A114" s="32" t="n"/>
      <c r="B114" s="32" t="inlineStr">
        <is>
          <t>Straight / pack-of-2</t>
        </is>
      </c>
      <c r="C114" s="32" t="inlineStr">
        <is>
          <t>TC-S-2</t>
        </is>
      </c>
      <c r="D114" s="32" t="n">
        <v>98</v>
      </c>
      <c r="G114" s="32" t="n">
        <v>0</v>
      </c>
      <c r="H114" s="32" t="n">
        <v>10</v>
      </c>
      <c r="I114" s="43" t="n">
        <v>49090090</v>
      </c>
      <c r="J114" s="30" t="n">
        <v>0.05</v>
      </c>
      <c r="K114" s="32">
        <f>D114*J114</f>
        <v/>
      </c>
      <c r="M114" s="32">
        <f>D114*4%</f>
        <v/>
      </c>
      <c r="N114" s="49">
        <f>M114+L114+K114+H114+G114+F114+E114+D114</f>
        <v/>
      </c>
      <c r="O114" s="32">
        <f>D114*1%</f>
        <v/>
      </c>
      <c r="P114" s="7">
        <f>N114*8%</f>
        <v/>
      </c>
      <c r="Q114" s="7">
        <f>N114*10%</f>
        <v/>
      </c>
      <c r="R114" s="7">
        <f>N114*5%</f>
        <v/>
      </c>
      <c r="S114" s="7">
        <f>N114*2%</f>
        <v/>
      </c>
      <c r="T114" s="7">
        <f>AE114*0.5%</f>
        <v/>
      </c>
      <c r="U114" s="7">
        <f>N114*1%</f>
        <v/>
      </c>
      <c r="V114" s="31">
        <f>U114+S114+R114+Q114+P114+O114</f>
        <v/>
      </c>
      <c r="W114" s="32">
        <f>AE114*1%</f>
        <v/>
      </c>
      <c r="X114" s="32">
        <f>AE114*10%</f>
        <v/>
      </c>
      <c r="Y114" s="32">
        <f>AE114*1%</f>
        <v/>
      </c>
      <c r="Z114" s="32">
        <f>AE114*8%</f>
        <v/>
      </c>
      <c r="AA114" s="32">
        <f>W114+X114+Y114+Z114</f>
        <v/>
      </c>
      <c r="AB114" s="31">
        <f>AA114+V114+N114</f>
        <v/>
      </c>
      <c r="AC114" s="6">
        <f>AB114*20%</f>
        <v/>
      </c>
      <c r="AD114" s="7">
        <f>AB114+AC114</f>
        <v/>
      </c>
      <c r="AE114" s="32">
        <f>D114*2.1</f>
        <v/>
      </c>
      <c r="AF114" s="7">
        <f>AD114-AE114</f>
        <v/>
      </c>
      <c r="AG114" s="7">
        <f>AF114/AD114*100</f>
        <v/>
      </c>
      <c r="AH114" s="0" t="n">
        <v>265</v>
      </c>
      <c r="AI114" s="33" t="n">
        <v>167</v>
      </c>
      <c r="AJ114" s="34">
        <f>AD114</f>
        <v/>
      </c>
      <c r="AK114" s="34">
        <f>AJ114-(AJ114*7%)</f>
        <v/>
      </c>
      <c r="AL114" s="35">
        <f>AJ114/94</f>
        <v/>
      </c>
      <c r="AM114" s="35">
        <f>AK114/94</f>
        <v/>
      </c>
      <c r="AN114" s="36">
        <f>AJ114/24</f>
        <v/>
      </c>
      <c r="AO114" s="36">
        <f>AK114/24</f>
        <v/>
      </c>
      <c r="AP114" s="37">
        <f>AJ114/125</f>
        <v/>
      </c>
      <c r="AQ114" s="37">
        <f>AK114/125</f>
        <v/>
      </c>
    </row>
    <row r="115" ht="15.75" customHeight="1" s="50">
      <c r="A115" s="32" t="n"/>
      <c r="B115" s="32" t="inlineStr">
        <is>
          <t>Straight / pack-of-4</t>
        </is>
      </c>
      <c r="C115" s="32" t="inlineStr">
        <is>
          <t>TC-S-4</t>
        </is>
      </c>
      <c r="D115" s="32" t="n">
        <v>196</v>
      </c>
      <c r="G115" s="32" t="n">
        <v>0</v>
      </c>
      <c r="H115" s="32" t="n">
        <v>10</v>
      </c>
      <c r="I115" s="43" t="n">
        <v>49090090</v>
      </c>
      <c r="J115" s="30" t="n">
        <v>0.05</v>
      </c>
      <c r="K115" s="32">
        <f>D115*J115</f>
        <v/>
      </c>
      <c r="M115" s="32">
        <f>D115*4%</f>
        <v/>
      </c>
      <c r="N115" s="49">
        <f>M115+L115+K115+H115+G115+F115+E115+D115</f>
        <v/>
      </c>
      <c r="O115" s="32">
        <f>D115*1%</f>
        <v/>
      </c>
      <c r="P115" s="7">
        <f>N115*8%</f>
        <v/>
      </c>
      <c r="Q115" s="7">
        <f>N115*10%</f>
        <v/>
      </c>
      <c r="R115" s="7">
        <f>N115*5%</f>
        <v/>
      </c>
      <c r="S115" s="7">
        <f>N115*2%</f>
        <v/>
      </c>
      <c r="T115" s="7">
        <f>AE115*0.5%</f>
        <v/>
      </c>
      <c r="U115" s="7">
        <f>N115*1%</f>
        <v/>
      </c>
      <c r="V115" s="31">
        <f>U115+S115+R115+Q115+P115+O115</f>
        <v/>
      </c>
      <c r="W115" s="32">
        <f>AE115*1%</f>
        <v/>
      </c>
      <c r="X115" s="32">
        <f>AE115*10%</f>
        <v/>
      </c>
      <c r="Y115" s="32">
        <f>AE115*1%</f>
        <v/>
      </c>
      <c r="Z115" s="32">
        <f>AE115*8%</f>
        <v/>
      </c>
      <c r="AA115" s="32">
        <f>W115+X115+Y115+Z115</f>
        <v/>
      </c>
      <c r="AB115" s="31">
        <f>AA115+V115+N115</f>
        <v/>
      </c>
      <c r="AC115" s="6">
        <f>AB115*20%</f>
        <v/>
      </c>
      <c r="AD115" s="7">
        <f>AB115+AC115</f>
        <v/>
      </c>
      <c r="AE115" s="32">
        <f>D115*2.1</f>
        <v/>
      </c>
      <c r="AF115" s="7">
        <f>AD115-AE115</f>
        <v/>
      </c>
      <c r="AG115" s="7">
        <f>AF115/AD115*100</f>
        <v/>
      </c>
      <c r="AH115" s="0" t="n">
        <v>395</v>
      </c>
      <c r="AI115" s="33" t="n">
        <v>199</v>
      </c>
      <c r="AJ115" s="34">
        <f>AD115</f>
        <v/>
      </c>
      <c r="AK115" s="34">
        <f>AJ115-(AJ115*7%)</f>
        <v/>
      </c>
      <c r="AL115" s="35">
        <f>AJ115/94</f>
        <v/>
      </c>
      <c r="AM115" s="35">
        <f>AK115/94</f>
        <v/>
      </c>
      <c r="AN115" s="36">
        <f>AJ115/24</f>
        <v/>
      </c>
      <c r="AO115" s="36">
        <f>AK115/24</f>
        <v/>
      </c>
      <c r="AP115" s="37">
        <f>AJ115/125</f>
        <v/>
      </c>
      <c r="AQ115" s="37">
        <f>AK115/125</f>
        <v/>
      </c>
    </row>
    <row r="116" ht="15" customHeight="1" s="50">
      <c r="A116" s="32" t="inlineStr">
        <is>
          <t>Crescent Zafu Cushion - Compact</t>
        </is>
      </c>
      <c r="B116" s="32" t="inlineStr">
        <is>
          <t>Dark Grey</t>
        </is>
      </c>
      <c r="C116" s="32" t="inlineStr">
        <is>
          <t>Me-CZ-C-DG</t>
        </is>
      </c>
      <c r="D116" s="32" t="n">
        <v>445</v>
      </c>
      <c r="G116" s="32" t="n">
        <v>0</v>
      </c>
      <c r="H116" s="32" t="n">
        <v>10</v>
      </c>
      <c r="I116" s="43" t="n">
        <v>94041000</v>
      </c>
      <c r="J116" s="30" t="n">
        <v>0.18</v>
      </c>
      <c r="K116" s="32">
        <f>D116*J116</f>
        <v/>
      </c>
      <c r="M116" s="32">
        <f>D116*4%</f>
        <v/>
      </c>
      <c r="N116" s="49">
        <f>M116+L116+K116+H116+G116+F116+E116+D116</f>
        <v/>
      </c>
      <c r="O116" s="32">
        <f>D116*1%</f>
        <v/>
      </c>
      <c r="P116" s="7">
        <f>N116*8%</f>
        <v/>
      </c>
      <c r="Q116" s="7">
        <f>N116*10%</f>
        <v/>
      </c>
      <c r="R116" s="7">
        <f>N116*5%</f>
        <v/>
      </c>
      <c r="S116" s="7">
        <f>N116*2%</f>
        <v/>
      </c>
      <c r="T116" s="7">
        <f>AE116*0.5%</f>
        <v/>
      </c>
      <c r="U116" s="7">
        <f>N116*1%</f>
        <v/>
      </c>
      <c r="V116" s="31">
        <f>U116+S116+R116+Q116+P116+O116</f>
        <v/>
      </c>
      <c r="W116" s="32">
        <f>AE116*1%</f>
        <v/>
      </c>
      <c r="X116" s="32">
        <f>AE116*10%</f>
        <v/>
      </c>
      <c r="Y116" s="32">
        <f>AE116*1%</f>
        <v/>
      </c>
      <c r="Z116" s="32">
        <f>AE116*8%</f>
        <v/>
      </c>
      <c r="AA116" s="32">
        <f>W116+X116+Y116+Z116</f>
        <v/>
      </c>
      <c r="AB116" s="31">
        <f>AA116+V116+N116</f>
        <v/>
      </c>
      <c r="AC116" s="6">
        <f>AB116*20%</f>
        <v/>
      </c>
      <c r="AD116" s="7">
        <f>AB116+AC116</f>
        <v/>
      </c>
      <c r="AE116" s="32">
        <f>D116*2.1</f>
        <v/>
      </c>
      <c r="AF116" s="7">
        <f>AD116-AE116</f>
        <v/>
      </c>
      <c r="AG116" s="7">
        <f>AF116/AD116*100</f>
        <v/>
      </c>
      <c r="AH116" s="0" t="n">
        <v>1085</v>
      </c>
      <c r="AI116" s="33" t="n">
        <v>640</v>
      </c>
      <c r="AJ116" s="34">
        <f>AD116</f>
        <v/>
      </c>
      <c r="AK116" s="34">
        <f>AJ116-(AJ116*7%)</f>
        <v/>
      </c>
      <c r="AL116" s="35">
        <f>AJ116/94</f>
        <v/>
      </c>
      <c r="AM116" s="35">
        <f>AK116/94</f>
        <v/>
      </c>
      <c r="AN116" s="36">
        <f>AJ116/24</f>
        <v/>
      </c>
      <c r="AO116" s="36">
        <f>AK116/24</f>
        <v/>
      </c>
      <c r="AP116" s="37">
        <f>AJ116/125</f>
        <v/>
      </c>
      <c r="AQ116" s="37">
        <f>AK116/125</f>
        <v/>
      </c>
    </row>
    <row r="117" ht="15.75" customHeight="1" s="50">
      <c r="A117" s="32" t="n"/>
      <c r="B117" s="32" t="inlineStr">
        <is>
          <t>Misty Blue</t>
        </is>
      </c>
      <c r="C117" s="32" t="inlineStr">
        <is>
          <t>Me-CZ-C-MB</t>
        </is>
      </c>
      <c r="D117" s="32" t="n">
        <v>445</v>
      </c>
      <c r="G117" s="32" t="n">
        <v>0</v>
      </c>
      <c r="H117" s="32" t="n">
        <v>10</v>
      </c>
      <c r="I117" s="43" t="n">
        <v>94041000</v>
      </c>
      <c r="J117" s="30" t="n">
        <v>0.18</v>
      </c>
      <c r="K117" s="32">
        <f>D117*J117</f>
        <v/>
      </c>
      <c r="M117" s="32">
        <f>D117*4%</f>
        <v/>
      </c>
      <c r="N117" s="49">
        <f>M117+L117+K117+H117+G117+F117+E117+D117</f>
        <v/>
      </c>
      <c r="O117" s="32">
        <f>D117*1%</f>
        <v/>
      </c>
      <c r="P117" s="7">
        <f>N117*8%</f>
        <v/>
      </c>
      <c r="Q117" s="7">
        <f>N117*10%</f>
        <v/>
      </c>
      <c r="R117" s="7">
        <f>N117*5%</f>
        <v/>
      </c>
      <c r="S117" s="7">
        <f>N117*2%</f>
        <v/>
      </c>
      <c r="T117" s="7">
        <f>AE117*0.5%</f>
        <v/>
      </c>
      <c r="U117" s="7">
        <f>N117*1%</f>
        <v/>
      </c>
      <c r="V117" s="31">
        <f>U117+S117+R117+Q117+P117+O117</f>
        <v/>
      </c>
      <c r="W117" s="32">
        <f>AE117*1%</f>
        <v/>
      </c>
      <c r="X117" s="32">
        <f>AE117*10%</f>
        <v/>
      </c>
      <c r="Y117" s="32">
        <f>AE117*1%</f>
        <v/>
      </c>
      <c r="Z117" s="32">
        <f>AE117*8%</f>
        <v/>
      </c>
      <c r="AA117" s="32">
        <f>W117+X117+Y117+Z117</f>
        <v/>
      </c>
      <c r="AB117" s="31">
        <f>AA117+V117+N117</f>
        <v/>
      </c>
      <c r="AC117" s="6">
        <f>AB117*20%</f>
        <v/>
      </c>
      <c r="AD117" s="7">
        <f>AB117+AC117</f>
        <v/>
      </c>
      <c r="AE117" s="32">
        <f>D117*2.1</f>
        <v/>
      </c>
      <c r="AF117" s="7">
        <f>AD117-AE117</f>
        <v/>
      </c>
      <c r="AG117" s="7">
        <f>AF117/AD117*100</f>
        <v/>
      </c>
      <c r="AH117" s="0" t="n">
        <v>1085</v>
      </c>
      <c r="AI117" s="33" t="n">
        <v>640</v>
      </c>
      <c r="AJ117" s="34">
        <f>AD117</f>
        <v/>
      </c>
      <c r="AK117" s="34">
        <f>AJ117-(AJ117*7%)</f>
        <v/>
      </c>
      <c r="AL117" s="35">
        <f>AJ117/94</f>
        <v/>
      </c>
      <c r="AM117" s="35">
        <f>AK117/94</f>
        <v/>
      </c>
      <c r="AN117" s="36">
        <f>AJ117/24</f>
        <v/>
      </c>
      <c r="AO117" s="36">
        <f>AK117/24</f>
        <v/>
      </c>
      <c r="AP117" s="37">
        <f>AJ117/125</f>
        <v/>
      </c>
      <c r="AQ117" s="37">
        <f>AK117/125</f>
        <v/>
      </c>
    </row>
    <row r="118" ht="15.75" customHeight="1" s="50">
      <c r="A118" s="32" t="n"/>
      <c r="B118" s="32" t="inlineStr">
        <is>
          <t>Lavender</t>
        </is>
      </c>
      <c r="C118" s="32" t="inlineStr">
        <is>
          <t>Me-CZ-C-L</t>
        </is>
      </c>
      <c r="D118" s="32" t="n">
        <v>445</v>
      </c>
      <c r="G118" s="32" t="n">
        <v>0</v>
      </c>
      <c r="H118" s="32" t="n">
        <v>10</v>
      </c>
      <c r="I118" s="41" t="n">
        <v>94041000</v>
      </c>
      <c r="J118" s="30" t="n">
        <v>0.18</v>
      </c>
      <c r="K118" s="32">
        <f>D118*J118</f>
        <v/>
      </c>
      <c r="M118" s="32">
        <f>D118*4%</f>
        <v/>
      </c>
      <c r="N118" s="49">
        <f>M118+L118+K118+H118+G118+F118+E118+D118</f>
        <v/>
      </c>
      <c r="O118" s="32">
        <f>D118*1%</f>
        <v/>
      </c>
      <c r="P118" s="7">
        <f>N118*8%</f>
        <v/>
      </c>
      <c r="Q118" s="7">
        <f>N118*10%</f>
        <v/>
      </c>
      <c r="R118" s="7">
        <f>N118*5%</f>
        <v/>
      </c>
      <c r="S118" s="7">
        <f>N118*2%</f>
        <v/>
      </c>
      <c r="T118" s="7">
        <f>AE118*0.5%</f>
        <v/>
      </c>
      <c r="U118" s="7">
        <f>N118*1%</f>
        <v/>
      </c>
      <c r="V118" s="31">
        <f>U118+S118+R118+Q118+P118+O118</f>
        <v/>
      </c>
      <c r="W118" s="32">
        <f>AE118*1%</f>
        <v/>
      </c>
      <c r="X118" s="32">
        <f>AE118*10%</f>
        <v/>
      </c>
      <c r="Y118" s="32">
        <f>AE118*1%</f>
        <v/>
      </c>
      <c r="Z118" s="32">
        <f>AE118*8%</f>
        <v/>
      </c>
      <c r="AA118" s="32">
        <f>W118+X118+Y118+Z118</f>
        <v/>
      </c>
      <c r="AB118" s="31">
        <f>AA118+V118+N118</f>
        <v/>
      </c>
      <c r="AC118" s="6">
        <f>AB118*20%</f>
        <v/>
      </c>
      <c r="AD118" s="7">
        <f>AB118+AC118</f>
        <v/>
      </c>
      <c r="AE118" s="32">
        <f>D118*2.1</f>
        <v/>
      </c>
      <c r="AF118" s="7">
        <f>AD118-AE118</f>
        <v/>
      </c>
      <c r="AG118" s="7">
        <f>AF118/AD118*100</f>
        <v/>
      </c>
      <c r="AH118" s="0" t="n">
        <v>1085</v>
      </c>
      <c r="AI118" s="33" t="n">
        <v>640</v>
      </c>
      <c r="AJ118" s="34">
        <f>AD118</f>
        <v/>
      </c>
      <c r="AK118" s="34">
        <f>AJ118-(AJ118*7%)</f>
        <v/>
      </c>
      <c r="AL118" s="35">
        <f>AJ118/94</f>
        <v/>
      </c>
      <c r="AM118" s="35">
        <f>AK118/94</f>
        <v/>
      </c>
      <c r="AN118" s="36">
        <f>AJ118/24</f>
        <v/>
      </c>
      <c r="AO118" s="36">
        <f>AK118/24</f>
        <v/>
      </c>
      <c r="AP118" s="37">
        <f>AJ118/125</f>
        <v/>
      </c>
      <c r="AQ118" s="37">
        <f>AK118/125</f>
        <v/>
      </c>
    </row>
    <row r="119" ht="15.75" customHeight="1" s="50">
      <c r="A119" s="32" t="n"/>
      <c r="B119" s="32" t="inlineStr">
        <is>
          <t>Sage</t>
        </is>
      </c>
      <c r="C119" s="32" t="inlineStr">
        <is>
          <t>Me-CZ-C-S</t>
        </is>
      </c>
      <c r="D119" s="32" t="n">
        <v>445</v>
      </c>
      <c r="G119" s="32" t="n">
        <v>0</v>
      </c>
      <c r="H119" s="32" t="n">
        <v>10</v>
      </c>
      <c r="I119" s="41" t="n">
        <v>94041000</v>
      </c>
      <c r="J119" s="30" t="n">
        <v>0.18</v>
      </c>
      <c r="K119" s="32">
        <f>D119*J119</f>
        <v/>
      </c>
      <c r="M119" s="32">
        <f>D119*4%</f>
        <v/>
      </c>
      <c r="N119" s="49">
        <f>M119+L119+K119+H119+G119+F119+E119+D119</f>
        <v/>
      </c>
      <c r="O119" s="32">
        <f>D119*1%</f>
        <v/>
      </c>
      <c r="P119" s="7">
        <f>N119*8%</f>
        <v/>
      </c>
      <c r="Q119" s="7">
        <f>N119*10%</f>
        <v/>
      </c>
      <c r="R119" s="7">
        <f>N119*5%</f>
        <v/>
      </c>
      <c r="S119" s="7">
        <f>N119*2%</f>
        <v/>
      </c>
      <c r="T119" s="7">
        <f>AE119*0.5%</f>
        <v/>
      </c>
      <c r="U119" s="7">
        <f>N119*1%</f>
        <v/>
      </c>
      <c r="V119" s="31">
        <f>U119+S119+R119+Q119+P119+O119</f>
        <v/>
      </c>
      <c r="W119" s="32">
        <f>AE119*1%</f>
        <v/>
      </c>
      <c r="X119" s="32">
        <f>AE119*10%</f>
        <v/>
      </c>
      <c r="Y119" s="32">
        <f>AE119*1%</f>
        <v/>
      </c>
      <c r="Z119" s="32">
        <f>AE119*8%</f>
        <v/>
      </c>
      <c r="AA119" s="32">
        <f>W119+X119+Y119+Z119</f>
        <v/>
      </c>
      <c r="AB119" s="31">
        <f>AA119+V119+N119</f>
        <v/>
      </c>
      <c r="AC119" s="6">
        <f>AB119*20%</f>
        <v/>
      </c>
      <c r="AD119" s="7">
        <f>AB119+AC119</f>
        <v/>
      </c>
      <c r="AE119" s="32">
        <f>D119*2.1</f>
        <v/>
      </c>
      <c r="AF119" s="7">
        <f>AD119-AE119</f>
        <v/>
      </c>
      <c r="AG119" s="7">
        <f>AF119/AD119*100</f>
        <v/>
      </c>
      <c r="AH119" s="0" t="n">
        <v>1085</v>
      </c>
      <c r="AI119" s="33" t="n">
        <v>640</v>
      </c>
      <c r="AJ119" s="34">
        <f>AD119</f>
        <v/>
      </c>
      <c r="AK119" s="34">
        <f>AJ119-(AJ119*7%)</f>
        <v/>
      </c>
      <c r="AL119" s="35">
        <f>AJ119/94</f>
        <v/>
      </c>
      <c r="AM119" s="35">
        <f>AK119/94</f>
        <v/>
      </c>
      <c r="AN119" s="36">
        <f>AJ119/24</f>
        <v/>
      </c>
      <c r="AO119" s="36">
        <f>AK119/24</f>
        <v/>
      </c>
      <c r="AP119" s="37">
        <f>AJ119/125</f>
        <v/>
      </c>
      <c r="AQ119" s="37">
        <f>AK119/125</f>
        <v/>
      </c>
    </row>
    <row r="120" ht="15.75" customHeight="1" s="50">
      <c r="A120" s="32" t="n"/>
      <c r="B120" s="32" t="inlineStr">
        <is>
          <t>Rose</t>
        </is>
      </c>
      <c r="C120" s="32" t="inlineStr">
        <is>
          <t>Me-CZ-C-RE</t>
        </is>
      </c>
      <c r="D120" s="32" t="n">
        <v>445</v>
      </c>
      <c r="G120" s="32" t="n">
        <v>0</v>
      </c>
      <c r="H120" s="32" t="n">
        <v>10</v>
      </c>
      <c r="I120" s="41" t="n">
        <v>94041000</v>
      </c>
      <c r="J120" s="30" t="n">
        <v>0.18</v>
      </c>
      <c r="K120" s="32">
        <f>D120*J120</f>
        <v/>
      </c>
      <c r="M120" s="32">
        <f>D120*4%</f>
        <v/>
      </c>
      <c r="N120" s="49">
        <f>M120+L120+K120+H120+G120+F120+E120+D120</f>
        <v/>
      </c>
      <c r="O120" s="32">
        <f>D120*1%</f>
        <v/>
      </c>
      <c r="P120" s="7">
        <f>N120*8%</f>
        <v/>
      </c>
      <c r="Q120" s="7">
        <f>N120*10%</f>
        <v/>
      </c>
      <c r="R120" s="7">
        <f>N120*5%</f>
        <v/>
      </c>
      <c r="S120" s="7">
        <f>N120*2%</f>
        <v/>
      </c>
      <c r="T120" s="7">
        <f>AE120*0.5%</f>
        <v/>
      </c>
      <c r="U120" s="7">
        <f>N120*1%</f>
        <v/>
      </c>
      <c r="V120" s="31">
        <f>U120+S120+R120+Q120+P120+O120</f>
        <v/>
      </c>
      <c r="W120" s="32">
        <f>AE120*1%</f>
        <v/>
      </c>
      <c r="X120" s="32">
        <f>AE120*10%</f>
        <v/>
      </c>
      <c r="Y120" s="32">
        <f>AE120*1%</f>
        <v/>
      </c>
      <c r="Z120" s="32">
        <f>AE120*8%</f>
        <v/>
      </c>
      <c r="AA120" s="32">
        <f>W120+X120+Y120+Z120</f>
        <v/>
      </c>
      <c r="AB120" s="31">
        <f>AA120+V120+N120</f>
        <v/>
      </c>
      <c r="AC120" s="6">
        <f>AB120*20%</f>
        <v/>
      </c>
      <c r="AD120" s="7">
        <f>AB120+AC120</f>
        <v/>
      </c>
      <c r="AE120" s="32">
        <f>D120*2.1</f>
        <v/>
      </c>
      <c r="AF120" s="7">
        <f>AD120-AE120</f>
        <v/>
      </c>
      <c r="AG120" s="7">
        <f>AF120/AD120*100</f>
        <v/>
      </c>
      <c r="AH120" s="0" t="n">
        <v>1085</v>
      </c>
      <c r="AI120" s="33" t="n">
        <v>640</v>
      </c>
      <c r="AJ120" s="34">
        <f>AD120</f>
        <v/>
      </c>
      <c r="AK120" s="34">
        <f>AJ120-(AJ120*7%)</f>
        <v/>
      </c>
      <c r="AL120" s="35">
        <f>AJ120/94</f>
        <v/>
      </c>
      <c r="AM120" s="35">
        <f>AK120/94</f>
        <v/>
      </c>
      <c r="AN120" s="36">
        <f>AJ120/24</f>
        <v/>
      </c>
      <c r="AO120" s="36">
        <f>AK120/24</f>
        <v/>
      </c>
      <c r="AP120" s="37">
        <f>AJ120/125</f>
        <v/>
      </c>
      <c r="AQ120" s="37">
        <f>AK120/125</f>
        <v/>
      </c>
    </row>
    <row r="121" ht="15" customHeight="1" s="50">
      <c r="A121" s="32" t="inlineStr">
        <is>
          <t>Crescent Zafu Cushion - Wide</t>
        </is>
      </c>
      <c r="B121" s="32" t="inlineStr">
        <is>
          <t>Large / Rouge Pink</t>
        </is>
      </c>
      <c r="C121" s="32" t="inlineStr">
        <is>
          <t>Me-CZ-W-RP</t>
        </is>
      </c>
      <c r="D121" s="32" t="n">
        <v>445</v>
      </c>
      <c r="G121" s="32" t="n">
        <v>0</v>
      </c>
      <c r="H121" s="32" t="n">
        <v>10</v>
      </c>
      <c r="I121" s="41" t="n">
        <v>94041000</v>
      </c>
      <c r="J121" s="30" t="n">
        <v>0.18</v>
      </c>
      <c r="K121" s="32">
        <f>D121*J121</f>
        <v/>
      </c>
      <c r="M121" s="32">
        <f>D121*4%</f>
        <v/>
      </c>
      <c r="N121" s="49">
        <f>M121+L121+K121+H121+G121+F121+E121+D121</f>
        <v/>
      </c>
      <c r="O121" s="32">
        <f>D121*1%</f>
        <v/>
      </c>
      <c r="P121" s="7">
        <f>N121*8%</f>
        <v/>
      </c>
      <c r="Q121" s="7">
        <f>N121*10%</f>
        <v/>
      </c>
      <c r="R121" s="7">
        <f>N121*5%</f>
        <v/>
      </c>
      <c r="S121" s="7">
        <f>N121*2%</f>
        <v/>
      </c>
      <c r="T121" s="7">
        <f>AE121*0.5%</f>
        <v/>
      </c>
      <c r="U121" s="7">
        <f>N121*1%</f>
        <v/>
      </c>
      <c r="V121" s="31">
        <f>U121+S121+R121+Q121+P121+O121</f>
        <v/>
      </c>
      <c r="W121" s="32">
        <f>AE121*1%</f>
        <v/>
      </c>
      <c r="X121" s="32">
        <f>AE121*10%</f>
        <v/>
      </c>
      <c r="Y121" s="32">
        <f>AE121*1%</f>
        <v/>
      </c>
      <c r="Z121" s="32">
        <f>AE121*8%</f>
        <v/>
      </c>
      <c r="AA121" s="32">
        <f>W121+X121+Y121+Z121</f>
        <v/>
      </c>
      <c r="AB121" s="31">
        <f>AA121+V121+N121</f>
        <v/>
      </c>
      <c r="AC121" s="6">
        <f>AB121*20%</f>
        <v/>
      </c>
      <c r="AD121" s="7">
        <f>AB121+AC121</f>
        <v/>
      </c>
      <c r="AE121" s="32">
        <f>D121*2.1</f>
        <v/>
      </c>
      <c r="AF121" s="7">
        <f>AD121-AE121</f>
        <v/>
      </c>
      <c r="AG121" s="7">
        <f>AF121/AD121*100</f>
        <v/>
      </c>
      <c r="AH121" s="0" t="n">
        <v>1145</v>
      </c>
      <c r="AI121" s="33" t="n">
        <v>700</v>
      </c>
      <c r="AJ121" s="34">
        <f>AD121</f>
        <v/>
      </c>
      <c r="AK121" s="34">
        <f>AJ121-(AJ121*7%)</f>
        <v/>
      </c>
      <c r="AL121" s="35">
        <f>AJ121/94</f>
        <v/>
      </c>
      <c r="AM121" s="35">
        <f>AK121/94</f>
        <v/>
      </c>
      <c r="AN121" s="36">
        <f>AJ121/24</f>
        <v/>
      </c>
      <c r="AO121" s="36">
        <f>AK121/24</f>
        <v/>
      </c>
      <c r="AP121" s="37">
        <f>AJ121/125</f>
        <v/>
      </c>
      <c r="AQ121" s="37">
        <f>AK121/125</f>
        <v/>
      </c>
    </row>
    <row r="122" ht="15.75" customHeight="1" s="50">
      <c r="A122" s="32" t="n"/>
      <c r="B122" s="32" t="inlineStr">
        <is>
          <t>Lavender / Large</t>
        </is>
      </c>
      <c r="C122" s="32" t="inlineStr">
        <is>
          <t>Me-CZ-W-L</t>
        </is>
      </c>
      <c r="D122" s="32" t="n">
        <v>445</v>
      </c>
      <c r="G122" s="32" t="n">
        <v>0</v>
      </c>
      <c r="H122" s="32" t="n">
        <v>10</v>
      </c>
      <c r="I122" s="41" t="n">
        <v>94041000</v>
      </c>
      <c r="J122" s="30" t="n">
        <v>0.18</v>
      </c>
      <c r="K122" s="32">
        <f>D122*J122</f>
        <v/>
      </c>
      <c r="M122" s="32">
        <f>D122*4%</f>
        <v/>
      </c>
      <c r="N122" s="49">
        <f>M122+L122+K122+H122+G122+F122+E122+D122</f>
        <v/>
      </c>
      <c r="O122" s="32">
        <f>D122*1%</f>
        <v/>
      </c>
      <c r="P122" s="7">
        <f>N122*8%</f>
        <v/>
      </c>
      <c r="Q122" s="7">
        <f>N122*10%</f>
        <v/>
      </c>
      <c r="R122" s="7">
        <f>N122*5%</f>
        <v/>
      </c>
      <c r="S122" s="7">
        <f>N122*2%</f>
        <v/>
      </c>
      <c r="T122" s="7">
        <f>AE122*0.5%</f>
        <v/>
      </c>
      <c r="U122" s="7">
        <f>N122*1%</f>
        <v/>
      </c>
      <c r="V122" s="31">
        <f>U122+S122+R122+Q122+P122+O122</f>
        <v/>
      </c>
      <c r="W122" s="32">
        <f>AE122*1%</f>
        <v/>
      </c>
      <c r="X122" s="32">
        <f>AE122*10%</f>
        <v/>
      </c>
      <c r="Y122" s="32">
        <f>AE122*1%</f>
        <v/>
      </c>
      <c r="Z122" s="32">
        <f>AE122*8%</f>
        <v/>
      </c>
      <c r="AA122" s="32">
        <f>W122+X122+Y122+Z122</f>
        <v/>
      </c>
      <c r="AB122" s="31">
        <f>AA122+V122+N122</f>
        <v/>
      </c>
      <c r="AC122" s="6">
        <f>AB122*20%</f>
        <v/>
      </c>
      <c r="AD122" s="7">
        <f>AB122+AC122</f>
        <v/>
      </c>
      <c r="AE122" s="32">
        <f>D122*2.1</f>
        <v/>
      </c>
      <c r="AF122" s="7">
        <f>AD122-AE122</f>
        <v/>
      </c>
      <c r="AG122" s="7">
        <f>AF122/AD122*100</f>
        <v/>
      </c>
      <c r="AH122" s="0" t="n">
        <v>1145</v>
      </c>
      <c r="AI122" s="33" t="n">
        <v>700</v>
      </c>
      <c r="AJ122" s="34">
        <f>AD122</f>
        <v/>
      </c>
      <c r="AK122" s="34">
        <f>AJ122-(AJ122*7%)</f>
        <v/>
      </c>
      <c r="AL122" s="35">
        <f>AJ122/94</f>
        <v/>
      </c>
      <c r="AM122" s="35">
        <f>AK122/94</f>
        <v/>
      </c>
      <c r="AN122" s="36">
        <f>AJ122/24</f>
        <v/>
      </c>
      <c r="AO122" s="36">
        <f>AK122/24</f>
        <v/>
      </c>
      <c r="AP122" s="37">
        <f>AJ122/125</f>
        <v/>
      </c>
      <c r="AQ122" s="37">
        <f>AK122/125</f>
        <v/>
      </c>
    </row>
    <row r="123" ht="15.75" customHeight="1" s="50">
      <c r="A123" s="32" t="n"/>
      <c r="B123" s="32" t="inlineStr">
        <is>
          <t>Large / Misty Blue</t>
        </is>
      </c>
      <c r="C123" s="32" t="inlineStr">
        <is>
          <t>Me-CZ-W-MB</t>
        </is>
      </c>
      <c r="D123" s="32" t="n">
        <v>445</v>
      </c>
      <c r="G123" s="32" t="n">
        <v>0</v>
      </c>
      <c r="H123" s="32" t="n">
        <v>10</v>
      </c>
      <c r="I123" s="41" t="n">
        <v>94041000</v>
      </c>
      <c r="J123" s="30" t="n">
        <v>0.18</v>
      </c>
      <c r="K123" s="32">
        <f>D123*J123</f>
        <v/>
      </c>
      <c r="M123" s="32">
        <f>D123*4%</f>
        <v/>
      </c>
      <c r="N123" s="49">
        <f>M123+L123+K123+H123+G123+F123+E123+D123</f>
        <v/>
      </c>
      <c r="O123" s="32">
        <f>D123*1%</f>
        <v/>
      </c>
      <c r="P123" s="7">
        <f>N123*8%</f>
        <v/>
      </c>
      <c r="Q123" s="7">
        <f>N123*10%</f>
        <v/>
      </c>
      <c r="R123" s="7">
        <f>N123*5%</f>
        <v/>
      </c>
      <c r="S123" s="7">
        <f>N123*2%</f>
        <v/>
      </c>
      <c r="T123" s="7">
        <f>AE123*0.5%</f>
        <v/>
      </c>
      <c r="U123" s="7">
        <f>N123*1%</f>
        <v/>
      </c>
      <c r="V123" s="31">
        <f>U123+S123+R123+Q123+P123+O123</f>
        <v/>
      </c>
      <c r="W123" s="32">
        <f>AE123*1%</f>
        <v/>
      </c>
      <c r="X123" s="32">
        <f>AE123*10%</f>
        <v/>
      </c>
      <c r="Y123" s="32">
        <f>AE123*1%</f>
        <v/>
      </c>
      <c r="Z123" s="32">
        <f>AE123*8%</f>
        <v/>
      </c>
      <c r="AA123" s="32">
        <f>W123+X123+Y123+Z123</f>
        <v/>
      </c>
      <c r="AB123" s="31">
        <f>AA123+V123+N123</f>
        <v/>
      </c>
      <c r="AC123" s="6">
        <f>AB123*20%</f>
        <v/>
      </c>
      <c r="AD123" s="7">
        <f>AB123+AC123</f>
        <v/>
      </c>
      <c r="AE123" s="32">
        <f>D123*2.1</f>
        <v/>
      </c>
      <c r="AF123" s="7">
        <f>AD123-AE123</f>
        <v/>
      </c>
      <c r="AG123" s="7">
        <f>AF123/AD123*100</f>
        <v/>
      </c>
      <c r="AH123" s="0" t="n">
        <v>1145</v>
      </c>
      <c r="AI123" s="33" t="n">
        <v>700</v>
      </c>
      <c r="AJ123" s="34">
        <f>AD123</f>
        <v/>
      </c>
      <c r="AK123" s="34">
        <f>AJ123-(AJ123*7%)</f>
        <v/>
      </c>
      <c r="AL123" s="35">
        <f>AJ123/94</f>
        <v/>
      </c>
      <c r="AM123" s="35">
        <f>AK123/94</f>
        <v/>
      </c>
      <c r="AN123" s="36">
        <f>AJ123/24</f>
        <v/>
      </c>
      <c r="AO123" s="36">
        <f>AK123/24</f>
        <v/>
      </c>
      <c r="AP123" s="37">
        <f>AJ123/125</f>
        <v/>
      </c>
      <c r="AQ123" s="37">
        <f>AK123/125</f>
        <v/>
      </c>
    </row>
    <row r="124" ht="15" customHeight="1" s="50">
      <c r="A124" s="32" t="inlineStr">
        <is>
          <t>Crystal Bowl Bag</t>
        </is>
      </c>
      <c r="B124" s="32" t="inlineStr">
        <is>
          <t>Small</t>
        </is>
      </c>
      <c r="C124" s="32" t="inlineStr">
        <is>
          <t>MI-CB-B-S</t>
        </is>
      </c>
      <c r="D124" s="32" t="inlineStr">
        <is>
          <t>Parasonjeet</t>
        </is>
      </c>
      <c r="G124" s="32" t="n">
        <v>0</v>
      </c>
      <c r="H124" s="32" t="n">
        <v>10</v>
      </c>
      <c r="I124" s="41" t="n">
        <v>42022220</v>
      </c>
      <c r="J124" s="30" t="n">
        <v>0.05</v>
      </c>
      <c r="K124" s="32">
        <f>D124*J124</f>
        <v/>
      </c>
      <c r="M124" s="32">
        <f>D124*4%</f>
        <v/>
      </c>
      <c r="N124" s="49">
        <f>M124+L124+K124+H124+G124+F124+E124+D124</f>
        <v/>
      </c>
      <c r="O124" s="32">
        <f>D124*1%</f>
        <v/>
      </c>
      <c r="P124" s="7">
        <f>N124*8%</f>
        <v/>
      </c>
      <c r="Q124" s="7">
        <f>N124*10%</f>
        <v/>
      </c>
      <c r="R124" s="7">
        <f>N124*5%</f>
        <v/>
      </c>
      <c r="S124" s="7">
        <f>N124*2%</f>
        <v/>
      </c>
      <c r="T124" s="7">
        <f>AE124*0.5%</f>
        <v/>
      </c>
      <c r="U124" s="7">
        <f>N124*1%</f>
        <v/>
      </c>
      <c r="V124" s="49">
        <f>U124+S124+R124+Q124+P124+O124</f>
        <v/>
      </c>
      <c r="W124" s="32">
        <f>AE124*1%</f>
        <v/>
      </c>
      <c r="X124" s="32">
        <f>AE124*10%</f>
        <v/>
      </c>
      <c r="Y124" s="32">
        <f>AE124*1%</f>
        <v/>
      </c>
      <c r="Z124" s="32">
        <f>AE124*8%</f>
        <v/>
      </c>
      <c r="AA124" s="32">
        <f>W124+X124+Y124+Z124</f>
        <v/>
      </c>
      <c r="AB124" s="31">
        <f>AA124+V124+N124</f>
        <v/>
      </c>
      <c r="AC124" s="6">
        <f>AB124*20%</f>
        <v/>
      </c>
      <c r="AD124" s="32">
        <f>AB124+AC124</f>
        <v/>
      </c>
      <c r="AE124" s="32">
        <f>D124*2.1</f>
        <v/>
      </c>
      <c r="AF124" s="7">
        <f>AD124-AE124</f>
        <v/>
      </c>
      <c r="AG124" s="7">
        <f>AF124/AD124*100</f>
        <v/>
      </c>
      <c r="AH124" s="0" t="n">
        <v>1450</v>
      </c>
      <c r="AI124" s="33" t="n"/>
      <c r="AJ124" s="34">
        <f>AD124</f>
        <v/>
      </c>
      <c r="AK124" s="34">
        <f>AJ124-(AJ124*7%)</f>
        <v/>
      </c>
      <c r="AL124" s="35">
        <f>AJ124/94</f>
        <v/>
      </c>
      <c r="AM124" s="35">
        <f>AK124/94</f>
        <v/>
      </c>
      <c r="AN124" s="36">
        <f>AJ124/24</f>
        <v/>
      </c>
      <c r="AO124" s="36">
        <f>AK124/24</f>
        <v/>
      </c>
      <c r="AP124" s="37">
        <f>AJ124/125</f>
        <v/>
      </c>
      <c r="AQ124" s="37">
        <f>AK124/125</f>
        <v/>
      </c>
    </row>
    <row r="125" ht="15.75" customHeight="1" s="50">
      <c r="A125" s="32" t="n"/>
      <c r="B125" s="32" t="inlineStr">
        <is>
          <t>Medium</t>
        </is>
      </c>
      <c r="C125" s="32" t="inlineStr">
        <is>
          <t>MI-CB-B-M</t>
        </is>
      </c>
      <c r="D125" s="32" t="inlineStr">
        <is>
          <t>Parasonjeet</t>
        </is>
      </c>
      <c r="G125" s="32" t="n">
        <v>0</v>
      </c>
      <c r="H125" s="32" t="n">
        <v>10</v>
      </c>
      <c r="I125" s="41" t="n">
        <v>42022220</v>
      </c>
      <c r="J125" s="30" t="n">
        <v>0.05</v>
      </c>
      <c r="K125" s="32">
        <f>D125*J125</f>
        <v/>
      </c>
      <c r="M125" s="32">
        <f>D125*4%</f>
        <v/>
      </c>
      <c r="N125" s="49">
        <f>M125+L125+K125+H125+G125+F125+E125+D125</f>
        <v/>
      </c>
      <c r="O125" s="32">
        <f>D125*1%</f>
        <v/>
      </c>
      <c r="P125" s="7">
        <f>N125*8%</f>
        <v/>
      </c>
      <c r="Q125" s="7">
        <f>N125*10%</f>
        <v/>
      </c>
      <c r="R125" s="7">
        <f>N125*5%</f>
        <v/>
      </c>
      <c r="S125" s="7">
        <f>N125*2%</f>
        <v/>
      </c>
      <c r="T125" s="7">
        <f>AE125*0.5%</f>
        <v/>
      </c>
      <c r="U125" s="7">
        <f>N125*1%</f>
        <v/>
      </c>
      <c r="V125" s="49">
        <f>U125+S125+R125+Q125+P125+O125</f>
        <v/>
      </c>
      <c r="W125" s="32">
        <f>AE125*1%</f>
        <v/>
      </c>
      <c r="X125" s="32">
        <f>AE125*10%</f>
        <v/>
      </c>
      <c r="Y125" s="32">
        <f>AE125*1%</f>
        <v/>
      </c>
      <c r="Z125" s="32">
        <f>AE125*8%</f>
        <v/>
      </c>
      <c r="AA125" s="32">
        <f>W125+X125+Y125+Z125</f>
        <v/>
      </c>
      <c r="AB125" s="31">
        <f>AA125+V125+N125</f>
        <v/>
      </c>
      <c r="AC125" s="6">
        <f>AB125*20%</f>
        <v/>
      </c>
      <c r="AD125" s="32">
        <f>AB125+AC125</f>
        <v/>
      </c>
      <c r="AE125" s="32">
        <f>D125*2.1</f>
        <v/>
      </c>
      <c r="AF125" s="7">
        <f>AD125-AE125</f>
        <v/>
      </c>
      <c r="AG125" s="7">
        <f>AF125/AD125*100</f>
        <v/>
      </c>
      <c r="AH125" s="0" t="n">
        <v>1650</v>
      </c>
      <c r="AI125" s="33" t="n"/>
      <c r="AJ125" s="34">
        <f>AD125</f>
        <v/>
      </c>
      <c r="AK125" s="34">
        <f>AJ125-(AJ125*7%)</f>
        <v/>
      </c>
      <c r="AL125" s="35">
        <f>AJ125/94</f>
        <v/>
      </c>
      <c r="AM125" s="35">
        <f>AK125/94</f>
        <v/>
      </c>
      <c r="AN125" s="36">
        <f>AJ125/24</f>
        <v/>
      </c>
      <c r="AO125" s="36">
        <f>AK125/24</f>
        <v/>
      </c>
      <c r="AP125" s="37">
        <f>AJ125/125</f>
        <v/>
      </c>
      <c r="AQ125" s="37">
        <f>AK125/125</f>
        <v/>
      </c>
    </row>
    <row r="126" ht="15.75" customHeight="1" s="50">
      <c r="A126" s="32" t="n"/>
      <c r="B126" s="32" t="inlineStr">
        <is>
          <t>Large</t>
        </is>
      </c>
      <c r="C126" s="32" t="inlineStr">
        <is>
          <t>MI-CB-B-L</t>
        </is>
      </c>
      <c r="D126" s="32" t="inlineStr">
        <is>
          <t>Parasonjeet</t>
        </is>
      </c>
      <c r="G126" s="32" t="n">
        <v>0</v>
      </c>
      <c r="H126" s="32" t="n">
        <v>10</v>
      </c>
      <c r="I126" s="41" t="n">
        <v>42022220</v>
      </c>
      <c r="J126" s="30" t="n">
        <v>0.05</v>
      </c>
      <c r="K126" s="32">
        <f>D126*J126</f>
        <v/>
      </c>
      <c r="M126" s="32">
        <f>D126*4%</f>
        <v/>
      </c>
      <c r="N126" s="49">
        <f>M126+L126+K126+H126+G126+F126+E126+D126</f>
        <v/>
      </c>
      <c r="O126" s="32">
        <f>D126*1%</f>
        <v/>
      </c>
      <c r="P126" s="7">
        <f>N126*8%</f>
        <v/>
      </c>
      <c r="Q126" s="7">
        <f>N126*10%</f>
        <v/>
      </c>
      <c r="R126" s="7">
        <f>N126*5%</f>
        <v/>
      </c>
      <c r="S126" s="7">
        <f>N126*2%</f>
        <v/>
      </c>
      <c r="T126" s="7">
        <f>AE126*0.5%</f>
        <v/>
      </c>
      <c r="U126" s="7">
        <f>N126*1%</f>
        <v/>
      </c>
      <c r="V126" s="49">
        <f>U126+S126+R126+Q126+P126+O126</f>
        <v/>
      </c>
      <c r="W126" s="32">
        <f>AE126*1%</f>
        <v/>
      </c>
      <c r="X126" s="32">
        <f>AE126*10%</f>
        <v/>
      </c>
      <c r="Y126" s="32">
        <f>AE126*1%</f>
        <v/>
      </c>
      <c r="Z126" s="32">
        <f>AE126*8%</f>
        <v/>
      </c>
      <c r="AA126" s="32">
        <f>W126+X126+Y126+Z126</f>
        <v/>
      </c>
      <c r="AB126" s="31">
        <f>AA126+V126+N126</f>
        <v/>
      </c>
      <c r="AC126" s="6">
        <f>AB126*20%</f>
        <v/>
      </c>
      <c r="AD126" s="32">
        <f>AB126+AC126</f>
        <v/>
      </c>
      <c r="AE126" s="32">
        <f>D126*2.1</f>
        <v/>
      </c>
      <c r="AF126" s="7">
        <f>AD126-AE126</f>
        <v/>
      </c>
      <c r="AG126" s="7">
        <f>AF126/AD126*100</f>
        <v/>
      </c>
      <c r="AH126" s="0" t="n">
        <v>1850</v>
      </c>
      <c r="AI126" s="33" t="n"/>
      <c r="AJ126" s="34">
        <f>AD126</f>
        <v/>
      </c>
      <c r="AK126" s="34">
        <f>AJ126-(AJ126*7%)</f>
        <v/>
      </c>
      <c r="AL126" s="35">
        <f>AJ126/94</f>
        <v/>
      </c>
      <c r="AM126" s="35">
        <f>AK126/94</f>
        <v/>
      </c>
      <c r="AN126" s="36">
        <f>AJ126/24</f>
        <v/>
      </c>
      <c r="AO126" s="36">
        <f>AK126/24</f>
        <v/>
      </c>
      <c r="AP126" s="37">
        <f>AJ126/125</f>
        <v/>
      </c>
      <c r="AQ126" s="37">
        <f>AK126/125</f>
        <v/>
      </c>
    </row>
    <row r="127" ht="15.75" customHeight="1" s="50">
      <c r="A127" s="32" t="inlineStr">
        <is>
          <t>Crystal Bowl with Handle</t>
        </is>
      </c>
      <c r="B127" s="32" t="inlineStr">
        <is>
          <t>Standard</t>
        </is>
      </c>
      <c r="C127" s="32" t="inlineStr">
        <is>
          <t>MI-CBH</t>
        </is>
      </c>
      <c r="D127" s="32" t="inlineStr">
        <is>
          <t>Parasonjeet</t>
        </is>
      </c>
      <c r="G127" s="32" t="n">
        <v>0</v>
      </c>
      <c r="H127" s="32" t="n">
        <v>10</v>
      </c>
      <c r="I127" s="41" t="n">
        <v>70139900</v>
      </c>
      <c r="J127" s="30" t="n">
        <v>0.18</v>
      </c>
      <c r="K127" s="32">
        <f>D127*J127</f>
        <v/>
      </c>
      <c r="M127" s="32">
        <f>D127*4%</f>
        <v/>
      </c>
      <c r="N127" s="49">
        <f>M127+L127+K127+H127+G127+F127+E127+D127</f>
        <v/>
      </c>
      <c r="O127" s="32">
        <f>D127*1%</f>
        <v/>
      </c>
      <c r="P127" s="7">
        <f>N127*8%</f>
        <v/>
      </c>
      <c r="Q127" s="7">
        <f>N127*10%</f>
        <v/>
      </c>
      <c r="R127" s="7">
        <f>N127*5%</f>
        <v/>
      </c>
      <c r="S127" s="7">
        <f>N127*2%</f>
        <v/>
      </c>
      <c r="T127" s="7">
        <f>AE127*0.5%</f>
        <v/>
      </c>
      <c r="U127" s="7">
        <f>N127*1%</f>
        <v/>
      </c>
      <c r="V127" s="49">
        <f>U127+S127+R127+Q127+P127+O127</f>
        <v/>
      </c>
      <c r="W127" s="32">
        <f>AE127*1%</f>
        <v/>
      </c>
      <c r="X127" s="32">
        <f>AE127*10%</f>
        <v/>
      </c>
      <c r="Y127" s="32">
        <f>AE127*1%</f>
        <v/>
      </c>
      <c r="Z127" s="32">
        <f>AE127*8%</f>
        <v/>
      </c>
      <c r="AA127" s="32">
        <f>W127+X127+Y127+Z127</f>
        <v/>
      </c>
      <c r="AB127" s="31">
        <f>AA127+V127+N127</f>
        <v/>
      </c>
      <c r="AC127" s="6">
        <f>AB127*20%</f>
        <v/>
      </c>
      <c r="AD127" s="32">
        <f>AB127+AC127</f>
        <v/>
      </c>
      <c r="AE127" s="32">
        <f>D127*2.1</f>
        <v/>
      </c>
      <c r="AF127" s="7">
        <f>AD127-AE127</f>
        <v/>
      </c>
      <c r="AG127" s="7">
        <f>AF127/AD127*100</f>
        <v/>
      </c>
      <c r="AH127" s="0" t="n">
        <v>19500</v>
      </c>
      <c r="AI127" s="33" t="n"/>
      <c r="AJ127" s="34">
        <f>AD127</f>
        <v/>
      </c>
      <c r="AK127" s="34">
        <f>AJ127-(AJ127*7%)</f>
        <v/>
      </c>
      <c r="AL127" s="35">
        <f>AJ127/94</f>
        <v/>
      </c>
      <c r="AM127" s="35">
        <f>AK127/94</f>
        <v/>
      </c>
      <c r="AN127" s="36">
        <f>AJ127/24</f>
        <v/>
      </c>
      <c r="AO127" s="36">
        <f>AK127/24</f>
        <v/>
      </c>
      <c r="AP127" s="37">
        <f>AJ127/125</f>
        <v/>
      </c>
      <c r="AQ127" s="37">
        <f>AK127/125</f>
        <v/>
      </c>
    </row>
    <row r="128" ht="15" customHeight="1" s="50">
      <c r="A128" s="32" t="inlineStr">
        <is>
          <t>Crystal Bowls</t>
        </is>
      </c>
      <c r="B128" s="32" t="inlineStr">
        <is>
          <t>6 in</t>
        </is>
      </c>
      <c r="C128" s="32" t="inlineStr">
        <is>
          <t>MI-CB-W-6</t>
        </is>
      </c>
      <c r="D128" s="32" t="inlineStr">
        <is>
          <t>Parasonjeet</t>
        </is>
      </c>
      <c r="G128" s="32" t="n">
        <v>0</v>
      </c>
      <c r="H128" s="32" t="n">
        <v>10</v>
      </c>
      <c r="I128" s="41" t="n">
        <v>70139900</v>
      </c>
      <c r="J128" s="30" t="n">
        <v>0.18</v>
      </c>
      <c r="K128" s="32">
        <f>D128*J128</f>
        <v/>
      </c>
      <c r="M128" s="32">
        <f>D128*4%</f>
        <v/>
      </c>
      <c r="N128" s="49">
        <f>M128+L128+K128+H128+G128+F128+E128+D128</f>
        <v/>
      </c>
      <c r="O128" s="32">
        <f>D128*1%</f>
        <v/>
      </c>
      <c r="P128" s="7">
        <f>N128*8%</f>
        <v/>
      </c>
      <c r="Q128" s="7">
        <f>N128*10%</f>
        <v/>
      </c>
      <c r="R128" s="7">
        <f>N128*5%</f>
        <v/>
      </c>
      <c r="S128" s="7">
        <f>N128*2%</f>
        <v/>
      </c>
      <c r="T128" s="7">
        <f>AE128*0.5%</f>
        <v/>
      </c>
      <c r="U128" s="7">
        <f>N128*1%</f>
        <v/>
      </c>
      <c r="V128" s="49">
        <f>U128+S128+R128+Q128+P128+O128</f>
        <v/>
      </c>
      <c r="W128" s="32">
        <f>AE128*1%</f>
        <v/>
      </c>
      <c r="X128" s="32">
        <f>AE128*10%</f>
        <v/>
      </c>
      <c r="Y128" s="32">
        <f>AE128*1%</f>
        <v/>
      </c>
      <c r="Z128" s="32">
        <f>AE128*8%</f>
        <v/>
      </c>
      <c r="AA128" s="32">
        <f>W128+X128+Y128+Z128</f>
        <v/>
      </c>
      <c r="AB128" s="31">
        <f>AA128+V128+N128</f>
        <v/>
      </c>
      <c r="AC128" s="6">
        <f>AB128*20%</f>
        <v/>
      </c>
      <c r="AD128" s="32">
        <f>AB128+AC128</f>
        <v/>
      </c>
      <c r="AE128" s="32">
        <f>D128*2.1</f>
        <v/>
      </c>
      <c r="AF128" s="7">
        <f>AD128-AE128</f>
        <v/>
      </c>
      <c r="AG128" s="7">
        <f>AF128/AD128*100</f>
        <v/>
      </c>
      <c r="AH128" s="0" t="n">
        <v>8950</v>
      </c>
      <c r="AI128" s="33" t="n"/>
      <c r="AJ128" s="34">
        <f>AD128</f>
        <v/>
      </c>
      <c r="AK128" s="34">
        <f>AJ128-(AJ128*7%)</f>
        <v/>
      </c>
      <c r="AL128" s="35">
        <f>AJ128/94</f>
        <v/>
      </c>
      <c r="AM128" s="35">
        <f>AK128/94</f>
        <v/>
      </c>
      <c r="AN128" s="36">
        <f>AJ128/24</f>
        <v/>
      </c>
      <c r="AO128" s="36">
        <f>AK128/24</f>
        <v/>
      </c>
      <c r="AP128" s="37">
        <f>AJ128/125</f>
        <v/>
      </c>
      <c r="AQ128" s="37">
        <f>AK128/125</f>
        <v/>
      </c>
    </row>
    <row r="129" ht="15.75" customHeight="1" s="50">
      <c r="A129" s="32" t="n"/>
      <c r="B129" s="32" t="inlineStr">
        <is>
          <t>10 in</t>
        </is>
      </c>
      <c r="C129" s="32" t="inlineStr">
        <is>
          <t>MI-CB-W-10</t>
        </is>
      </c>
      <c r="D129" s="32" t="inlineStr">
        <is>
          <t>Parasonjeet</t>
        </is>
      </c>
      <c r="G129" s="32" t="n">
        <v>0</v>
      </c>
      <c r="H129" s="32" t="n">
        <v>10</v>
      </c>
      <c r="I129" s="41" t="n">
        <v>70139900</v>
      </c>
      <c r="J129" s="30" t="n">
        <v>0.18</v>
      </c>
      <c r="K129" s="32">
        <f>D129*J129</f>
        <v/>
      </c>
      <c r="M129" s="32">
        <f>D129*4%</f>
        <v/>
      </c>
      <c r="N129" s="49">
        <f>M129+L129+K129+H129+G129+F129+E129+D129</f>
        <v/>
      </c>
      <c r="O129" s="32">
        <f>D129*1%</f>
        <v/>
      </c>
      <c r="P129" s="7">
        <f>N129*8%</f>
        <v/>
      </c>
      <c r="Q129" s="7">
        <f>N129*10%</f>
        <v/>
      </c>
      <c r="R129" s="7">
        <f>N129*5%</f>
        <v/>
      </c>
      <c r="S129" s="7">
        <f>N129*2%</f>
        <v/>
      </c>
      <c r="T129" s="7">
        <f>AE129*0.5%</f>
        <v/>
      </c>
      <c r="U129" s="7">
        <f>N129*1%</f>
        <v/>
      </c>
      <c r="V129" s="49">
        <f>U129+S129+R129+Q129+P129+O129</f>
        <v/>
      </c>
      <c r="W129" s="32">
        <f>AE129*1%</f>
        <v/>
      </c>
      <c r="X129" s="32">
        <f>AE129*10%</f>
        <v/>
      </c>
      <c r="Y129" s="32">
        <f>AE129*1%</f>
        <v/>
      </c>
      <c r="Z129" s="32">
        <f>AE129*8%</f>
        <v/>
      </c>
      <c r="AA129" s="32">
        <f>W129+X129+Y129+Z129</f>
        <v/>
      </c>
      <c r="AB129" s="31">
        <f>AA129+V129+N129</f>
        <v/>
      </c>
      <c r="AC129" s="6">
        <f>AB129*20%</f>
        <v/>
      </c>
      <c r="AD129" s="32">
        <f>AB129+AC129</f>
        <v/>
      </c>
      <c r="AE129" s="32">
        <f>D129*2.1</f>
        <v/>
      </c>
      <c r="AF129" s="7">
        <f>AD129-AE129</f>
        <v/>
      </c>
      <c r="AG129" s="7">
        <f>AF129/AD129*100</f>
        <v/>
      </c>
      <c r="AH129" s="0" t="n">
        <v>12250</v>
      </c>
      <c r="AI129" s="33" t="n"/>
      <c r="AJ129" s="34">
        <f>AD129</f>
        <v/>
      </c>
      <c r="AK129" s="34">
        <f>AJ129-(AJ129*7%)</f>
        <v/>
      </c>
      <c r="AL129" s="35">
        <f>AJ129/94</f>
        <v/>
      </c>
      <c r="AM129" s="35">
        <f>AK129/94</f>
        <v/>
      </c>
      <c r="AN129" s="36">
        <f>AJ129/24</f>
        <v/>
      </c>
      <c r="AO129" s="36">
        <f>AK129/24</f>
        <v/>
      </c>
      <c r="AP129" s="37">
        <f>AJ129/125</f>
        <v/>
      </c>
      <c r="AQ129" s="37">
        <f>AK129/125</f>
        <v/>
      </c>
    </row>
    <row r="130" ht="15.75" customHeight="1" s="50">
      <c r="A130" s="32" t="n"/>
      <c r="B130" s="32" t="inlineStr">
        <is>
          <t>11 in</t>
        </is>
      </c>
      <c r="C130" s="32" t="inlineStr">
        <is>
          <t>MI-CB-W-11</t>
        </is>
      </c>
      <c r="D130" s="32" t="inlineStr">
        <is>
          <t>Parasonjeet</t>
        </is>
      </c>
      <c r="G130" s="32" t="n">
        <v>0</v>
      </c>
      <c r="H130" s="32" t="n">
        <v>10</v>
      </c>
      <c r="I130" s="41" t="n">
        <v>70139900</v>
      </c>
      <c r="J130" s="30" t="n">
        <v>0.18</v>
      </c>
      <c r="K130" s="32">
        <f>D130*J130</f>
        <v/>
      </c>
      <c r="M130" s="32">
        <f>D130*4%</f>
        <v/>
      </c>
      <c r="N130" s="49">
        <f>M130+L130+K130+H130+G130+F130+E130+D130</f>
        <v/>
      </c>
      <c r="O130" s="32">
        <f>D130*1%</f>
        <v/>
      </c>
      <c r="P130" s="7">
        <f>N130*8%</f>
        <v/>
      </c>
      <c r="Q130" s="7">
        <f>N130*10%</f>
        <v/>
      </c>
      <c r="R130" s="7">
        <f>N130*5%</f>
        <v/>
      </c>
      <c r="S130" s="7">
        <f>N130*2%</f>
        <v/>
      </c>
      <c r="T130" s="7">
        <f>AE130*0.5%</f>
        <v/>
      </c>
      <c r="U130" s="7">
        <f>N130*1%</f>
        <v/>
      </c>
      <c r="V130" s="49">
        <f>U130+S130+R130+Q130+P130+O130</f>
        <v/>
      </c>
      <c r="W130" s="32">
        <f>AE130*1%</f>
        <v/>
      </c>
      <c r="X130" s="32">
        <f>AE130*10%</f>
        <v/>
      </c>
      <c r="Y130" s="32">
        <f>AE130*1%</f>
        <v/>
      </c>
      <c r="Z130" s="32">
        <f>AE130*8%</f>
        <v/>
      </c>
      <c r="AA130" s="32">
        <f>W130+X130+Y130+Z130</f>
        <v/>
      </c>
      <c r="AB130" s="31">
        <f>AA130+V130+N130</f>
        <v/>
      </c>
      <c r="AC130" s="6">
        <f>AB130*20%</f>
        <v/>
      </c>
      <c r="AD130" s="32">
        <f>AB130+AC130</f>
        <v/>
      </c>
      <c r="AE130" s="32">
        <f>D130*2.1</f>
        <v/>
      </c>
      <c r="AF130" s="7">
        <f>AD130-AE130</f>
        <v/>
      </c>
      <c r="AG130" s="7">
        <f>AF130/AD130*100</f>
        <v/>
      </c>
      <c r="AH130" s="0" t="n">
        <v>13250</v>
      </c>
      <c r="AI130" s="33" t="n"/>
      <c r="AJ130" s="34">
        <f>AD130</f>
        <v/>
      </c>
      <c r="AK130" s="34">
        <f>AJ130-(AJ130*7%)</f>
        <v/>
      </c>
      <c r="AL130" s="35">
        <f>AJ130/94</f>
        <v/>
      </c>
      <c r="AM130" s="35">
        <f>AK130/94</f>
        <v/>
      </c>
      <c r="AN130" s="36">
        <f>AJ130/24</f>
        <v/>
      </c>
      <c r="AO130" s="36">
        <f>AK130/24</f>
        <v/>
      </c>
      <c r="AP130" s="37">
        <f>AJ130/125</f>
        <v/>
      </c>
      <c r="AQ130" s="37">
        <f>AK130/125</f>
        <v/>
      </c>
    </row>
    <row r="131" ht="15.75" customHeight="1" s="50">
      <c r="A131" s="32" t="n"/>
      <c r="B131" s="32" t="inlineStr">
        <is>
          <t>12 in</t>
        </is>
      </c>
      <c r="C131" s="32" t="inlineStr">
        <is>
          <t>MI-CB-W-12</t>
        </is>
      </c>
      <c r="D131" s="32" t="inlineStr">
        <is>
          <t>Parasonjeet</t>
        </is>
      </c>
      <c r="G131" s="32" t="n">
        <v>0</v>
      </c>
      <c r="H131" s="32" t="n">
        <v>10</v>
      </c>
      <c r="I131" s="41" t="n">
        <v>70139900</v>
      </c>
      <c r="J131" s="30" t="n">
        <v>0.18</v>
      </c>
      <c r="K131" s="32">
        <f>D131*J131</f>
        <v/>
      </c>
      <c r="M131" s="32">
        <f>D131*4%</f>
        <v/>
      </c>
      <c r="N131" s="49">
        <f>M131+L131+K131+H131+G131+F131+E131+D131</f>
        <v/>
      </c>
      <c r="O131" s="32">
        <f>D131*1%</f>
        <v/>
      </c>
      <c r="P131" s="7">
        <f>N131*8%</f>
        <v/>
      </c>
      <c r="Q131" s="7">
        <f>N131*10%</f>
        <v/>
      </c>
      <c r="R131" s="7">
        <f>N131*5%</f>
        <v/>
      </c>
      <c r="S131" s="7">
        <f>N131*2%</f>
        <v/>
      </c>
      <c r="T131" s="7">
        <f>AE131*0.5%</f>
        <v/>
      </c>
      <c r="U131" s="7">
        <f>N131*1%</f>
        <v/>
      </c>
      <c r="V131" s="49">
        <f>U131+S131+R131+Q131+P131+O131</f>
        <v/>
      </c>
      <c r="W131" s="32">
        <f>AE131*1%</f>
        <v/>
      </c>
      <c r="X131" s="32">
        <f>AE131*10%</f>
        <v/>
      </c>
      <c r="Y131" s="32">
        <f>AE131*1%</f>
        <v/>
      </c>
      <c r="Z131" s="32">
        <f>AE131*8%</f>
        <v/>
      </c>
      <c r="AA131" s="32">
        <f>W131+X131+Y131+Z131</f>
        <v/>
      </c>
      <c r="AB131" s="31">
        <f>AA131+V131+N131</f>
        <v/>
      </c>
      <c r="AC131" s="6">
        <f>AB131*20%</f>
        <v/>
      </c>
      <c r="AD131" s="32">
        <f>AB131+AC131</f>
        <v/>
      </c>
      <c r="AE131" s="32">
        <f>D131*2.1</f>
        <v/>
      </c>
      <c r="AF131" s="7">
        <f>AD131-AE131</f>
        <v/>
      </c>
      <c r="AG131" s="7">
        <f>AF131/AD131*100</f>
        <v/>
      </c>
      <c r="AH131" s="0" t="n">
        <v>14650</v>
      </c>
      <c r="AI131" s="33" t="n"/>
      <c r="AJ131" s="34">
        <f>AD131</f>
        <v/>
      </c>
      <c r="AK131" s="34">
        <f>AJ131-(AJ131*7%)</f>
        <v/>
      </c>
      <c r="AL131" s="35">
        <f>AJ131/94</f>
        <v/>
      </c>
      <c r="AM131" s="35">
        <f>AK131/94</f>
        <v/>
      </c>
      <c r="AN131" s="36">
        <f>AJ131/24</f>
        <v/>
      </c>
      <c r="AO131" s="36">
        <f>AK131/24</f>
        <v/>
      </c>
      <c r="AP131" s="37">
        <f>AJ131/125</f>
        <v/>
      </c>
      <c r="AQ131" s="37">
        <f>AK131/125</f>
        <v/>
      </c>
    </row>
    <row r="132" ht="15.75" customHeight="1" s="50">
      <c r="A132" s="32" t="n"/>
      <c r="B132" s="32" t="inlineStr">
        <is>
          <t>13 in</t>
        </is>
      </c>
      <c r="C132" s="32" t="inlineStr">
        <is>
          <t>MI-CB-W-13</t>
        </is>
      </c>
      <c r="D132" s="32" t="inlineStr">
        <is>
          <t>Parasonjeet</t>
        </is>
      </c>
      <c r="G132" s="32" t="n">
        <v>0</v>
      </c>
      <c r="H132" s="32" t="n">
        <v>10</v>
      </c>
      <c r="I132" s="41" t="n">
        <v>70139900</v>
      </c>
      <c r="J132" s="30" t="n">
        <v>0.18</v>
      </c>
      <c r="K132" s="32">
        <f>D132*J132</f>
        <v/>
      </c>
      <c r="M132" s="32">
        <f>D132*4%</f>
        <v/>
      </c>
      <c r="N132" s="49">
        <f>M132+L132+K132+H132+G132+F132+E132+D132</f>
        <v/>
      </c>
      <c r="O132" s="32">
        <f>D132*1%</f>
        <v/>
      </c>
      <c r="P132" s="7">
        <f>N132*8%</f>
        <v/>
      </c>
      <c r="Q132" s="7">
        <f>N132*10%</f>
        <v/>
      </c>
      <c r="R132" s="7">
        <f>N132*5%</f>
        <v/>
      </c>
      <c r="S132" s="7">
        <f>N132*2%</f>
        <v/>
      </c>
      <c r="T132" s="7">
        <f>AE132*0.5%</f>
        <v/>
      </c>
      <c r="U132" s="7">
        <f>N132*1%</f>
        <v/>
      </c>
      <c r="V132" s="49">
        <f>U132+S132+R132+Q132+P132+O132</f>
        <v/>
      </c>
      <c r="W132" s="32">
        <f>AE132*1%</f>
        <v/>
      </c>
      <c r="X132" s="32">
        <f>AE132*10%</f>
        <v/>
      </c>
      <c r="Y132" s="32">
        <f>AE132*1%</f>
        <v/>
      </c>
      <c r="Z132" s="32">
        <f>AE132*8%</f>
        <v/>
      </c>
      <c r="AA132" s="32">
        <f>W132+X132+Y132+Z132</f>
        <v/>
      </c>
      <c r="AB132" s="31">
        <f>AA132+V132+N132</f>
        <v/>
      </c>
      <c r="AC132" s="6">
        <f>AB132*20%</f>
        <v/>
      </c>
      <c r="AD132" s="32">
        <f>AB132+AC132</f>
        <v/>
      </c>
      <c r="AE132" s="32">
        <f>D132*2.1</f>
        <v/>
      </c>
      <c r="AF132" s="7">
        <f>AD132-AE132</f>
        <v/>
      </c>
      <c r="AG132" s="7">
        <f>AF132/AD132*100</f>
        <v/>
      </c>
      <c r="AH132" s="0" t="n">
        <v>17750</v>
      </c>
      <c r="AI132" s="33" t="n"/>
      <c r="AJ132" s="34">
        <f>AD132</f>
        <v/>
      </c>
      <c r="AK132" s="34">
        <f>AJ132-(AJ132*7%)</f>
        <v/>
      </c>
      <c r="AL132" s="35">
        <f>AJ132/94</f>
        <v/>
      </c>
      <c r="AM132" s="35">
        <f>AK132/94</f>
        <v/>
      </c>
      <c r="AN132" s="36">
        <f>AJ132/24</f>
        <v/>
      </c>
      <c r="AO132" s="36">
        <f>AK132/24</f>
        <v/>
      </c>
      <c r="AP132" s="37">
        <f>AJ132/125</f>
        <v/>
      </c>
      <c r="AQ132" s="37">
        <f>AK132/125</f>
        <v/>
      </c>
    </row>
    <row r="133" ht="15.75" customHeight="1" s="50">
      <c r="A133" s="32" t="n"/>
      <c r="B133" s="32" t="inlineStr">
        <is>
          <t>14 in</t>
        </is>
      </c>
      <c r="C133" s="32" t="inlineStr">
        <is>
          <t>MI-CB-W-14</t>
        </is>
      </c>
      <c r="D133" s="32" t="inlineStr">
        <is>
          <t>Parasonjeet</t>
        </is>
      </c>
      <c r="G133" s="32" t="n">
        <v>0</v>
      </c>
      <c r="H133" s="32" t="n">
        <v>10</v>
      </c>
      <c r="I133" s="41" t="n">
        <v>70139900</v>
      </c>
      <c r="J133" s="30" t="n">
        <v>0.18</v>
      </c>
      <c r="K133" s="32">
        <f>D133*J133</f>
        <v/>
      </c>
      <c r="M133" s="32">
        <f>D133*4%</f>
        <v/>
      </c>
      <c r="N133" s="49">
        <f>M133+L133+K133+H133+G133+F133+E133+D133</f>
        <v/>
      </c>
      <c r="O133" s="32">
        <f>D133*1%</f>
        <v/>
      </c>
      <c r="P133" s="7">
        <f>N133*8%</f>
        <v/>
      </c>
      <c r="Q133" s="7">
        <f>N133*10%</f>
        <v/>
      </c>
      <c r="R133" s="7">
        <f>N133*5%</f>
        <v/>
      </c>
      <c r="S133" s="7">
        <f>N133*2%</f>
        <v/>
      </c>
      <c r="T133" s="7">
        <f>AE133*0.5%</f>
        <v/>
      </c>
      <c r="U133" s="7">
        <f>N133*1%</f>
        <v/>
      </c>
      <c r="V133" s="49">
        <f>U133+S133+R133+Q133+P133+O133</f>
        <v/>
      </c>
      <c r="W133" s="32">
        <f>AE133*1%</f>
        <v/>
      </c>
      <c r="X133" s="32">
        <f>AE133*10%</f>
        <v/>
      </c>
      <c r="Y133" s="32">
        <f>AE133*1%</f>
        <v/>
      </c>
      <c r="Z133" s="32">
        <f>AE133*8%</f>
        <v/>
      </c>
      <c r="AA133" s="32">
        <f>W133+X133+Y133+Z133</f>
        <v/>
      </c>
      <c r="AB133" s="31">
        <f>AA133+V133+N133</f>
        <v/>
      </c>
      <c r="AC133" s="6">
        <f>AB133*20%</f>
        <v/>
      </c>
      <c r="AD133" s="32">
        <f>AB133+AC133</f>
        <v/>
      </c>
      <c r="AE133" s="32">
        <f>D133*2.1</f>
        <v/>
      </c>
      <c r="AF133" s="7">
        <f>AD133-AE133</f>
        <v/>
      </c>
      <c r="AG133" s="7">
        <f>AF133/AD133*100</f>
        <v/>
      </c>
      <c r="AH133" s="0" t="n">
        <v>19750</v>
      </c>
      <c r="AI133" s="33" t="n"/>
      <c r="AJ133" s="34">
        <f>AD133</f>
        <v/>
      </c>
      <c r="AK133" s="34">
        <f>AJ133-(AJ133*7%)</f>
        <v/>
      </c>
      <c r="AL133" s="35">
        <f>AJ133/94</f>
        <v/>
      </c>
      <c r="AM133" s="35">
        <f>AK133/94</f>
        <v/>
      </c>
      <c r="AN133" s="36">
        <f>AJ133/24</f>
        <v/>
      </c>
      <c r="AO133" s="36">
        <f>AK133/24</f>
        <v/>
      </c>
      <c r="AP133" s="37">
        <f>AJ133/125</f>
        <v/>
      </c>
      <c r="AQ133" s="37">
        <f>AK133/125</f>
        <v/>
      </c>
    </row>
    <row r="134" ht="15.75" customHeight="1" s="50">
      <c r="A134" s="32" t="n"/>
      <c r="B134" s="32" t="inlineStr">
        <is>
          <t>7 in</t>
        </is>
      </c>
      <c r="C134" s="32" t="inlineStr">
        <is>
          <t>MI-CB-W-7</t>
        </is>
      </c>
      <c r="D134" s="32" t="inlineStr">
        <is>
          <t>Parasonjeet</t>
        </is>
      </c>
      <c r="G134" s="32" t="n">
        <v>0</v>
      </c>
      <c r="H134" s="32" t="n">
        <v>10</v>
      </c>
      <c r="I134" s="41" t="n">
        <v>70139900</v>
      </c>
      <c r="J134" s="30" t="n">
        <v>0.18</v>
      </c>
      <c r="K134" s="32">
        <f>D134*J134</f>
        <v/>
      </c>
      <c r="M134" s="32">
        <f>D134*4%</f>
        <v/>
      </c>
      <c r="N134" s="49">
        <f>M134+L134+K134+H134+G134+F134+E134+D134</f>
        <v/>
      </c>
      <c r="O134" s="32">
        <f>D134*1%</f>
        <v/>
      </c>
      <c r="P134" s="7">
        <f>N134*8%</f>
        <v/>
      </c>
      <c r="Q134" s="7">
        <f>N134*10%</f>
        <v/>
      </c>
      <c r="R134" s="7">
        <f>N134*5%</f>
        <v/>
      </c>
      <c r="S134" s="7">
        <f>N134*2%</f>
        <v/>
      </c>
      <c r="T134" s="7">
        <f>AE134*0.5%</f>
        <v/>
      </c>
      <c r="U134" s="7">
        <f>N134*1%</f>
        <v/>
      </c>
      <c r="V134" s="49">
        <f>U134+S134+R134+Q134+P134+O134</f>
        <v/>
      </c>
      <c r="W134" s="32">
        <f>AE134*1%</f>
        <v/>
      </c>
      <c r="X134" s="32">
        <f>AE134*10%</f>
        <v/>
      </c>
      <c r="Y134" s="32">
        <f>AE134*1%</f>
        <v/>
      </c>
      <c r="Z134" s="32">
        <f>AE134*8%</f>
        <v/>
      </c>
      <c r="AA134" s="32">
        <f>W134+X134+Y134+Z134</f>
        <v/>
      </c>
      <c r="AB134" s="31">
        <f>AA134+V134+N134</f>
        <v/>
      </c>
      <c r="AC134" s="6">
        <f>AB134*20%</f>
        <v/>
      </c>
      <c r="AD134" s="32">
        <f>AB134+AC134</f>
        <v/>
      </c>
      <c r="AE134" s="32">
        <f>D134*2.1</f>
        <v/>
      </c>
      <c r="AF134" s="7">
        <f>AD134-AE134</f>
        <v/>
      </c>
      <c r="AG134" s="7">
        <f>AF134/AD134*100</f>
        <v/>
      </c>
      <c r="AH134" s="0" t="n">
        <v>9650</v>
      </c>
      <c r="AI134" s="33" t="n"/>
      <c r="AJ134" s="34">
        <f>AD134</f>
        <v/>
      </c>
      <c r="AK134" s="34">
        <f>AJ134-(AJ134*7%)</f>
        <v/>
      </c>
      <c r="AL134" s="35">
        <f>AJ134/94</f>
        <v/>
      </c>
      <c r="AM134" s="35">
        <f>AK134/94</f>
        <v/>
      </c>
      <c r="AN134" s="36">
        <f>AJ134/24</f>
        <v/>
      </c>
      <c r="AO134" s="36">
        <f>AK134/24</f>
        <v/>
      </c>
      <c r="AP134" s="37">
        <f>AJ134/125</f>
        <v/>
      </c>
      <c r="AQ134" s="37">
        <f>AK134/125</f>
        <v/>
      </c>
    </row>
    <row r="135" ht="15.75" customHeight="1" s="50">
      <c r="A135" s="32" t="n"/>
      <c r="B135" s="32" t="inlineStr">
        <is>
          <t>8 in</t>
        </is>
      </c>
      <c r="C135" s="32" t="inlineStr">
        <is>
          <t>MI-CB-W-8</t>
        </is>
      </c>
      <c r="D135" s="32" t="inlineStr">
        <is>
          <t>Parasonjeet</t>
        </is>
      </c>
      <c r="G135" s="32" t="n">
        <v>0</v>
      </c>
      <c r="H135" s="32" t="n">
        <v>10</v>
      </c>
      <c r="I135" s="41" t="n">
        <v>70139900</v>
      </c>
      <c r="J135" s="30" t="n">
        <v>0.18</v>
      </c>
      <c r="K135" s="32">
        <f>D135*J135</f>
        <v/>
      </c>
      <c r="M135" s="32">
        <f>D135*4%</f>
        <v/>
      </c>
      <c r="N135" s="49">
        <f>M135+L135+K135+H135+G135+F135+E135+D135</f>
        <v/>
      </c>
      <c r="O135" s="32">
        <f>D135*1%</f>
        <v/>
      </c>
      <c r="P135" s="7">
        <f>N135*8%</f>
        <v/>
      </c>
      <c r="Q135" s="7">
        <f>N135*10%</f>
        <v/>
      </c>
      <c r="R135" s="7">
        <f>N135*5%</f>
        <v/>
      </c>
      <c r="S135" s="7">
        <f>N135*2%</f>
        <v/>
      </c>
      <c r="T135" s="7">
        <f>AE135*0.5%</f>
        <v/>
      </c>
      <c r="U135" s="7">
        <f>N135*1%</f>
        <v/>
      </c>
      <c r="V135" s="49">
        <f>U135+S135+R135+Q135+P135+O135</f>
        <v/>
      </c>
      <c r="W135" s="32">
        <f>AE135*1%</f>
        <v/>
      </c>
      <c r="X135" s="32">
        <f>AE135*10%</f>
        <v/>
      </c>
      <c r="Y135" s="32">
        <f>AE135*1%</f>
        <v/>
      </c>
      <c r="Z135" s="32">
        <f>AE135*8%</f>
        <v/>
      </c>
      <c r="AA135" s="32">
        <f>W135+X135+Y135+Z135</f>
        <v/>
      </c>
      <c r="AB135" s="31">
        <f>AA135+V135+N135</f>
        <v/>
      </c>
      <c r="AC135" s="6">
        <f>AB135*20%</f>
        <v/>
      </c>
      <c r="AD135" s="32">
        <f>AB135+AC135</f>
        <v/>
      </c>
      <c r="AE135" s="32">
        <f>D135*2.1</f>
        <v/>
      </c>
      <c r="AF135" s="7">
        <f>AD135-AE135</f>
        <v/>
      </c>
      <c r="AG135" s="7">
        <f>AF135/AD135*100</f>
        <v/>
      </c>
      <c r="AH135" s="0" t="n">
        <v>10450</v>
      </c>
      <c r="AI135" s="33" t="n"/>
      <c r="AJ135" s="34">
        <f>AD135</f>
        <v/>
      </c>
      <c r="AK135" s="34">
        <f>AJ135-(AJ135*7%)</f>
        <v/>
      </c>
      <c r="AL135" s="35">
        <f>AJ135/94</f>
        <v/>
      </c>
      <c r="AM135" s="35">
        <f>AK135/94</f>
        <v/>
      </c>
      <c r="AN135" s="36">
        <f>AJ135/24</f>
        <v/>
      </c>
      <c r="AO135" s="36">
        <f>AK135/24</f>
        <v/>
      </c>
      <c r="AP135" s="37">
        <f>AJ135/125</f>
        <v/>
      </c>
      <c r="AQ135" s="37">
        <f>AK135/125</f>
        <v/>
      </c>
    </row>
    <row r="136" ht="15.75" customHeight="1" s="50">
      <c r="A136" s="32" t="n"/>
      <c r="B136" s="32" t="inlineStr">
        <is>
          <t>9 in</t>
        </is>
      </c>
      <c r="C136" s="32" t="inlineStr">
        <is>
          <t>MI-CB-W-9</t>
        </is>
      </c>
      <c r="D136" s="32" t="inlineStr">
        <is>
          <t>Parasonjeet</t>
        </is>
      </c>
      <c r="G136" s="32" t="n">
        <v>0</v>
      </c>
      <c r="H136" s="32" t="n">
        <v>10</v>
      </c>
      <c r="I136" s="41" t="n">
        <v>70139900</v>
      </c>
      <c r="J136" s="30" t="n">
        <v>0.18</v>
      </c>
      <c r="K136" s="32">
        <f>D136*J136</f>
        <v/>
      </c>
      <c r="M136" s="32">
        <f>D136*4%</f>
        <v/>
      </c>
      <c r="N136" s="49">
        <f>M136+L136+K136+H136+G136+F136+E136+D136</f>
        <v/>
      </c>
      <c r="O136" s="32">
        <f>D136*1%</f>
        <v/>
      </c>
      <c r="P136" s="7">
        <f>N136*8%</f>
        <v/>
      </c>
      <c r="Q136" s="7">
        <f>N136*10%</f>
        <v/>
      </c>
      <c r="R136" s="7">
        <f>N136*5%</f>
        <v/>
      </c>
      <c r="S136" s="7">
        <f>N136*2%</f>
        <v/>
      </c>
      <c r="T136" s="7">
        <f>AE136*0.5%</f>
        <v/>
      </c>
      <c r="U136" s="7">
        <f>N136*1%</f>
        <v/>
      </c>
      <c r="V136" s="49">
        <f>U136+S136+R136+Q136+P136+O136</f>
        <v/>
      </c>
      <c r="W136" s="32">
        <f>AE136*1%</f>
        <v/>
      </c>
      <c r="X136" s="32">
        <f>AE136*10%</f>
        <v/>
      </c>
      <c r="Y136" s="32">
        <f>AE136*1%</f>
        <v/>
      </c>
      <c r="Z136" s="32">
        <f>AE136*8%</f>
        <v/>
      </c>
      <c r="AA136" s="32">
        <f>W136+X136+Y136+Z136</f>
        <v/>
      </c>
      <c r="AB136" s="31">
        <f>AA136+V136+N136</f>
        <v/>
      </c>
      <c r="AC136" s="6">
        <f>AB136*20%</f>
        <v/>
      </c>
      <c r="AD136" s="32">
        <f>AB136+AC136</f>
        <v/>
      </c>
      <c r="AE136" s="32">
        <f>D136*2.1</f>
        <v/>
      </c>
      <c r="AF136" s="7">
        <f>AD136-AE136</f>
        <v/>
      </c>
      <c r="AG136" s="7">
        <f>AF136/AD136*100</f>
        <v/>
      </c>
      <c r="AH136" s="0" t="n">
        <v>11450</v>
      </c>
      <c r="AI136" s="33" t="n"/>
      <c r="AJ136" s="34">
        <f>AD136</f>
        <v/>
      </c>
      <c r="AK136" s="34">
        <f>AJ136-(AJ136*7%)</f>
        <v/>
      </c>
      <c r="AL136" s="35">
        <f>AJ136/94</f>
        <v/>
      </c>
      <c r="AM136" s="35">
        <f>AK136/94</f>
        <v/>
      </c>
      <c r="AN136" s="36">
        <f>AJ136/24</f>
        <v/>
      </c>
      <c r="AO136" s="36">
        <f>AK136/24</f>
        <v/>
      </c>
      <c r="AP136" s="37">
        <f>AJ136/125</f>
        <v/>
      </c>
      <c r="AQ136" s="37">
        <f>AK136/125</f>
        <v/>
      </c>
    </row>
    <row r="137" ht="15" customHeight="1" s="50">
      <c r="A137" s="32" t="inlineStr">
        <is>
          <t>Crystal Bowls - Set of 7</t>
        </is>
      </c>
      <c r="B137" s="32" t="inlineStr">
        <is>
          <t>6-12-in-set / Frosted White</t>
        </is>
      </c>
      <c r="C137" s="32" t="inlineStr">
        <is>
          <t>MI-CB-W-6-12-SET</t>
        </is>
      </c>
      <c r="D137" s="32" t="n">
        <v>45000</v>
      </c>
      <c r="G137" s="32" t="n">
        <v>0</v>
      </c>
      <c r="H137" s="32" t="n">
        <v>10</v>
      </c>
      <c r="I137" s="44" t="n">
        <v>70139900</v>
      </c>
      <c r="J137" s="45" t="n">
        <v>0.18</v>
      </c>
      <c r="K137" s="32">
        <f>D137*J137</f>
        <v/>
      </c>
      <c r="M137" s="32">
        <f>D137*4%</f>
        <v/>
      </c>
      <c r="N137" s="49">
        <f>M137+L137+K137+H137+G137+F137+E137+D137</f>
        <v/>
      </c>
      <c r="O137" s="32">
        <f>D137*1%</f>
        <v/>
      </c>
      <c r="P137" s="7">
        <f>N137*8%</f>
        <v/>
      </c>
      <c r="Q137" s="7">
        <f>N137*10%</f>
        <v/>
      </c>
      <c r="R137" s="7">
        <f>N137*5%</f>
        <v/>
      </c>
      <c r="S137" s="7">
        <f>N137*2%</f>
        <v/>
      </c>
      <c r="T137" s="7">
        <f>AE137*0.5%</f>
        <v/>
      </c>
      <c r="U137" s="7">
        <f>N137*1%</f>
        <v/>
      </c>
      <c r="V137" s="31">
        <f>U137+S137+R137+Q137+P137+O137</f>
        <v/>
      </c>
      <c r="W137" s="32">
        <f>AE137*1%</f>
        <v/>
      </c>
      <c r="X137" s="32">
        <f>AE137*10%</f>
        <v/>
      </c>
      <c r="Y137" s="32">
        <f>AE137*1%</f>
        <v/>
      </c>
      <c r="Z137" s="32">
        <f>AE137*8%</f>
        <v/>
      </c>
      <c r="AA137" s="32">
        <f>W137+X137+Y137+Z137</f>
        <v/>
      </c>
      <c r="AB137" s="31">
        <f>AA137+V137+N137</f>
        <v/>
      </c>
      <c r="AC137" s="6">
        <f>AB137*20%</f>
        <v/>
      </c>
      <c r="AD137" s="7">
        <f>AB137+AC137</f>
        <v/>
      </c>
      <c r="AE137" s="32">
        <f>D137*2.1</f>
        <v/>
      </c>
      <c r="AF137" s="7">
        <f>AD137-AE137</f>
        <v/>
      </c>
      <c r="AG137" s="7">
        <f>AF137/AD137*100</f>
        <v/>
      </c>
      <c r="AH137" s="0" t="n">
        <v>78500</v>
      </c>
      <c r="AI137" s="33" t="n">
        <v>33500</v>
      </c>
      <c r="AJ137" s="34">
        <f>AD137</f>
        <v/>
      </c>
      <c r="AK137" s="34">
        <f>AJ137-(AJ137*7%)</f>
        <v/>
      </c>
      <c r="AL137" s="35">
        <f>AJ137/94</f>
        <v/>
      </c>
      <c r="AM137" s="35">
        <f>AK137/94</f>
        <v/>
      </c>
      <c r="AN137" s="36">
        <f>AJ137/24</f>
        <v/>
      </c>
      <c r="AO137" s="36">
        <f>AK137/24</f>
        <v/>
      </c>
      <c r="AP137" s="37">
        <f>AJ137/125</f>
        <v/>
      </c>
      <c r="AQ137" s="37">
        <f>AK137/125</f>
        <v/>
      </c>
    </row>
    <row r="138" ht="15.75" customHeight="1" s="50">
      <c r="A138" s="32" t="n"/>
      <c r="B138" s="32" t="inlineStr">
        <is>
          <t>8-14-in-set / Frosted White</t>
        </is>
      </c>
      <c r="C138" s="32" t="inlineStr">
        <is>
          <t>MI-CB-W-8-14-SET</t>
        </is>
      </c>
      <c r="D138" s="32" t="n">
        <v>55000</v>
      </c>
      <c r="G138" s="32" t="n">
        <v>0</v>
      </c>
      <c r="H138" s="32" t="n">
        <v>10</v>
      </c>
      <c r="I138" s="44" t="n">
        <v>70139900</v>
      </c>
      <c r="J138" s="45" t="n">
        <v>0.18</v>
      </c>
      <c r="K138" s="32">
        <f>D138*J138</f>
        <v/>
      </c>
      <c r="M138" s="32">
        <f>D138*4%</f>
        <v/>
      </c>
      <c r="N138" s="49">
        <f>M138+L138+K138+H138+G138+F138+E138+D138</f>
        <v/>
      </c>
      <c r="O138" s="32">
        <f>D138*1%</f>
        <v/>
      </c>
      <c r="P138" s="7">
        <f>N138*8%</f>
        <v/>
      </c>
      <c r="Q138" s="7">
        <f>N138*10%</f>
        <v/>
      </c>
      <c r="R138" s="7">
        <f>N138*5%</f>
        <v/>
      </c>
      <c r="S138" s="7">
        <f>N138*2%</f>
        <v/>
      </c>
      <c r="T138" s="7">
        <f>AE138*0.5%</f>
        <v/>
      </c>
      <c r="U138" s="7">
        <f>N138*1%</f>
        <v/>
      </c>
      <c r="V138" s="31">
        <f>U138+S138+R138+Q138+P138+O138</f>
        <v/>
      </c>
      <c r="W138" s="32">
        <f>AE138*1%</f>
        <v/>
      </c>
      <c r="X138" s="32">
        <f>AE138*10%</f>
        <v/>
      </c>
      <c r="Y138" s="32">
        <f>AE138*1%</f>
        <v/>
      </c>
      <c r="Z138" s="32">
        <f>AE138*8%</f>
        <v/>
      </c>
      <c r="AA138" s="32">
        <f>W138+X138+Y138+Z138</f>
        <v/>
      </c>
      <c r="AB138" s="31">
        <f>AA138+V138+N138</f>
        <v/>
      </c>
      <c r="AC138" s="6">
        <f>AB138*20%</f>
        <v/>
      </c>
      <c r="AD138" s="7">
        <f>AB138+AC138</f>
        <v/>
      </c>
      <c r="AE138" s="32">
        <f>D138*2.1</f>
        <v/>
      </c>
      <c r="AF138" s="7">
        <f>AD138-AE138</f>
        <v/>
      </c>
      <c r="AG138" s="7">
        <f>AF138/AD138*100</f>
        <v/>
      </c>
      <c r="AH138" s="0" t="n">
        <v>89500</v>
      </c>
      <c r="AI138" s="33" t="n">
        <v>34500</v>
      </c>
      <c r="AJ138" s="34">
        <f>AD138</f>
        <v/>
      </c>
      <c r="AK138" s="34">
        <f>AJ138-(AJ138*7%)</f>
        <v/>
      </c>
      <c r="AL138" s="35">
        <f>AJ138/94</f>
        <v/>
      </c>
      <c r="AM138" s="35">
        <f>AK138/94</f>
        <v/>
      </c>
      <c r="AN138" s="36">
        <f>AJ138/24</f>
        <v/>
      </c>
      <c r="AO138" s="36">
        <f>AK138/24</f>
        <v/>
      </c>
      <c r="AP138" s="37">
        <f>AJ138/125</f>
        <v/>
      </c>
      <c r="AQ138" s="37">
        <f>AK138/125</f>
        <v/>
      </c>
    </row>
    <row r="139" ht="15.75" customHeight="1" s="50">
      <c r="A139" s="32" t="n"/>
      <c r="B139" s="32" t="inlineStr">
        <is>
          <t>8-14-in-set / Chakra Coloured</t>
        </is>
      </c>
      <c r="C139" s="32" t="inlineStr">
        <is>
          <t>MI-CB-CL-8-14-SET</t>
        </is>
      </c>
      <c r="D139" s="32" t="n">
        <v>55000</v>
      </c>
      <c r="G139" s="32" t="n">
        <v>0</v>
      </c>
      <c r="H139" s="32" t="n">
        <v>10</v>
      </c>
      <c r="I139" s="44" t="n">
        <v>70139900</v>
      </c>
      <c r="J139" s="45" t="n">
        <v>0.18</v>
      </c>
      <c r="K139" s="32">
        <f>D139*J139</f>
        <v/>
      </c>
      <c r="M139" s="32">
        <f>D139*4%</f>
        <v/>
      </c>
      <c r="N139" s="49">
        <f>M139+L139+K139+H139+G139+F139+E139+D139</f>
        <v/>
      </c>
      <c r="O139" s="32">
        <f>D139*1%</f>
        <v/>
      </c>
      <c r="P139" s="7">
        <f>N139*8%</f>
        <v/>
      </c>
      <c r="Q139" s="7">
        <f>N139*10%</f>
        <v/>
      </c>
      <c r="R139" s="7">
        <f>N139*5%</f>
        <v/>
      </c>
      <c r="S139" s="7">
        <f>N139*2%</f>
        <v/>
      </c>
      <c r="T139" s="7">
        <f>AE139*0.5%</f>
        <v/>
      </c>
      <c r="U139" s="7">
        <f>N139*1%</f>
        <v/>
      </c>
      <c r="V139" s="31">
        <f>U139+S139+R139+Q139+P139+O139</f>
        <v/>
      </c>
      <c r="W139" s="32">
        <f>AE139*1%</f>
        <v/>
      </c>
      <c r="X139" s="32">
        <f>AE139*10%</f>
        <v/>
      </c>
      <c r="Y139" s="32">
        <f>AE139*1%</f>
        <v/>
      </c>
      <c r="Z139" s="32">
        <f>AE139*8%</f>
        <v/>
      </c>
      <c r="AA139" s="32">
        <f>W139+X139+Y139+Z139</f>
        <v/>
      </c>
      <c r="AB139" s="31">
        <f>AA139+V139+N139</f>
        <v/>
      </c>
      <c r="AC139" s="6">
        <f>AB139*20%</f>
        <v/>
      </c>
      <c r="AD139" s="7">
        <f>AB139+AC139</f>
        <v/>
      </c>
      <c r="AE139" s="32">
        <f>D139*2.1</f>
        <v/>
      </c>
      <c r="AF139" s="7">
        <f>AD139-AE139</f>
        <v/>
      </c>
      <c r="AG139" s="7">
        <f>AF139/AD139*100</f>
        <v/>
      </c>
      <c r="AH139" s="0" t="n">
        <v>99500</v>
      </c>
      <c r="AI139" s="33" t="n">
        <v>44500</v>
      </c>
      <c r="AJ139" s="34">
        <f>AD139</f>
        <v/>
      </c>
      <c r="AK139" s="34">
        <f>AJ139-(AJ139*7%)</f>
        <v/>
      </c>
      <c r="AL139" s="35">
        <f>AJ139/94</f>
        <v/>
      </c>
      <c r="AM139" s="35">
        <f>AK139/94</f>
        <v/>
      </c>
      <c r="AN139" s="36">
        <f>AJ139/24</f>
        <v/>
      </c>
      <c r="AO139" s="36">
        <f>AK139/24</f>
        <v/>
      </c>
      <c r="AP139" s="37">
        <f>AJ139/125</f>
        <v/>
      </c>
      <c r="AQ139" s="37">
        <f>AK139/125</f>
        <v/>
      </c>
    </row>
    <row r="140" ht="15.75" customHeight="1" s="50">
      <c r="A140" s="32" t="n"/>
      <c r="B140" s="32" t="inlineStr">
        <is>
          <t>6-12-in-set / Chakra Coloured</t>
        </is>
      </c>
      <c r="C140" s="32" t="inlineStr">
        <is>
          <t>MI-CB-CL-6-12-SET</t>
        </is>
      </c>
      <c r="D140" s="32" t="n">
        <v>50000</v>
      </c>
      <c r="G140" s="32" t="n">
        <v>0</v>
      </c>
      <c r="H140" s="32" t="n">
        <v>10</v>
      </c>
      <c r="I140" s="44" t="n">
        <v>70139900</v>
      </c>
      <c r="J140" s="45" t="n">
        <v>0.18</v>
      </c>
      <c r="K140" s="32">
        <f>D140*J140</f>
        <v/>
      </c>
      <c r="M140" s="32">
        <f>D140*4%</f>
        <v/>
      </c>
      <c r="N140" s="49">
        <f>M140+L140+K140+H140+G140+F140+E140+D140</f>
        <v/>
      </c>
      <c r="O140" s="32">
        <f>D140*1%</f>
        <v/>
      </c>
      <c r="P140" s="7">
        <f>N140*8%</f>
        <v/>
      </c>
      <c r="Q140" s="7">
        <f>N140*10%</f>
        <v/>
      </c>
      <c r="R140" s="7">
        <f>N140*5%</f>
        <v/>
      </c>
      <c r="S140" s="7">
        <f>N140*2%</f>
        <v/>
      </c>
      <c r="T140" s="7">
        <f>AE140*0.5%</f>
        <v/>
      </c>
      <c r="U140" s="7">
        <f>N140*1%</f>
        <v/>
      </c>
      <c r="V140" s="31">
        <f>U140+S140+R140+Q140+P140+O140</f>
        <v/>
      </c>
      <c r="W140" s="32">
        <f>AE140*1%</f>
        <v/>
      </c>
      <c r="X140" s="32">
        <f>AE140*10%</f>
        <v/>
      </c>
      <c r="Y140" s="32">
        <f>AE140*1%</f>
        <v/>
      </c>
      <c r="Z140" s="32">
        <f>AE140*8%</f>
        <v/>
      </c>
      <c r="AA140" s="32">
        <f>W140+X140+Y140+Z140</f>
        <v/>
      </c>
      <c r="AB140" s="31">
        <f>AA140+V140+N140</f>
        <v/>
      </c>
      <c r="AC140" s="6">
        <f>AB140*20%</f>
        <v/>
      </c>
      <c r="AD140" s="7">
        <f>AB140+AC140</f>
        <v/>
      </c>
      <c r="AE140" s="32">
        <f>D140*2.1</f>
        <v/>
      </c>
      <c r="AF140" s="7">
        <f>AD140-AE140</f>
        <v/>
      </c>
      <c r="AG140" s="7">
        <f>AF140/AD140*100</f>
        <v/>
      </c>
      <c r="AH140" s="0" t="n">
        <v>88500</v>
      </c>
      <c r="AI140" s="33" t="n">
        <v>38500</v>
      </c>
      <c r="AJ140" s="34">
        <f>AD140</f>
        <v/>
      </c>
      <c r="AK140" s="34">
        <f>AJ140-(AJ140*7%)</f>
        <v/>
      </c>
      <c r="AL140" s="35">
        <f>AJ140/94</f>
        <v/>
      </c>
      <c r="AM140" s="35">
        <f>AK140/94</f>
        <v/>
      </c>
      <c r="AN140" s="36">
        <f>AJ140/24</f>
        <v/>
      </c>
      <c r="AO140" s="36">
        <f>AK140/24</f>
        <v/>
      </c>
      <c r="AP140" s="37">
        <f>AJ140/125</f>
        <v/>
      </c>
      <c r="AQ140" s="37">
        <f>AK140/125</f>
        <v/>
      </c>
    </row>
    <row r="141" ht="15" customHeight="1" s="50">
      <c r="A141" s="32" t="inlineStr">
        <is>
          <t>Crystal Pyramid</t>
        </is>
      </c>
      <c r="B141" s="32" t="inlineStr">
        <is>
          <t>6 in</t>
        </is>
      </c>
      <c r="C141" s="32" t="inlineStr">
        <is>
          <t>MI-CP-6</t>
        </is>
      </c>
      <c r="D141" s="32" t="inlineStr">
        <is>
          <t>Parasonjeet</t>
        </is>
      </c>
      <c r="G141" s="32" t="n">
        <v>0</v>
      </c>
      <c r="H141" s="32" t="n">
        <v>10</v>
      </c>
      <c r="I141" s="41" t="n">
        <v>70139900</v>
      </c>
      <c r="J141" s="30" t="n">
        <v>0.18</v>
      </c>
      <c r="K141" s="32">
        <f>D141*J141</f>
        <v/>
      </c>
      <c r="M141" s="32">
        <f>D141*4%</f>
        <v/>
      </c>
      <c r="N141" s="49">
        <f>M141+L141+K141+H141+G141+F141+E141+D141</f>
        <v/>
      </c>
      <c r="O141" s="32">
        <f>D141*1%</f>
        <v/>
      </c>
      <c r="P141" s="7">
        <f>N141*8%</f>
        <v/>
      </c>
      <c r="Q141" s="7">
        <f>N141*10%</f>
        <v/>
      </c>
      <c r="R141" s="7">
        <f>N141*5%</f>
        <v/>
      </c>
      <c r="S141" s="7">
        <f>N141*2%</f>
        <v/>
      </c>
      <c r="T141" s="7">
        <f>AE141*0.5%</f>
        <v/>
      </c>
      <c r="U141" s="7">
        <f>N141*1%</f>
        <v/>
      </c>
      <c r="V141" s="49">
        <f>U141+S141+R141+Q141+P141+O141</f>
        <v/>
      </c>
      <c r="W141" s="32">
        <f>AE141*1%</f>
        <v/>
      </c>
      <c r="X141" s="32">
        <f>AE141*10%</f>
        <v/>
      </c>
      <c r="Y141" s="32">
        <f>AE141*1%</f>
        <v/>
      </c>
      <c r="Z141" s="32">
        <f>AE141*8%</f>
        <v/>
      </c>
      <c r="AA141" s="32">
        <f>W141+X141+Y141+Z141</f>
        <v/>
      </c>
      <c r="AB141" s="31">
        <f>AA141+V141+N141</f>
        <v/>
      </c>
      <c r="AC141" s="6">
        <f>AB141*20%</f>
        <v/>
      </c>
      <c r="AD141" s="32">
        <f>AB141+AC141</f>
        <v/>
      </c>
      <c r="AE141" s="32">
        <f>D141*2.1</f>
        <v/>
      </c>
      <c r="AF141" s="7">
        <f>AD141-AE141</f>
        <v/>
      </c>
      <c r="AG141" s="7">
        <f>AF141/AD141*100</f>
        <v/>
      </c>
      <c r="AH141" s="0" t="n">
        <v>8950</v>
      </c>
      <c r="AI141" s="33" t="n"/>
      <c r="AJ141" s="34">
        <f>AD141</f>
        <v/>
      </c>
      <c r="AK141" s="34">
        <f>AJ141-(AJ141*7%)</f>
        <v/>
      </c>
      <c r="AL141" s="35">
        <f>AJ141/94</f>
        <v/>
      </c>
      <c r="AM141" s="35">
        <f>AK141/94</f>
        <v/>
      </c>
      <c r="AN141" s="36">
        <f>AJ141/24</f>
        <v/>
      </c>
      <c r="AO141" s="36">
        <f>AK141/24</f>
        <v/>
      </c>
      <c r="AP141" s="37">
        <f>AJ141/125</f>
        <v/>
      </c>
      <c r="AQ141" s="37">
        <f>AK141/125</f>
        <v/>
      </c>
    </row>
    <row r="142" ht="15.75" customHeight="1" s="50">
      <c r="A142" s="32" t="n"/>
      <c r="B142" s="32" t="inlineStr">
        <is>
          <t>8 in</t>
        </is>
      </c>
      <c r="C142" s="32" t="inlineStr">
        <is>
          <t>MI-CP-8</t>
        </is>
      </c>
      <c r="D142" s="32" t="inlineStr">
        <is>
          <t>Parasonjeet</t>
        </is>
      </c>
      <c r="G142" s="32" t="n">
        <v>0</v>
      </c>
      <c r="H142" s="32" t="n">
        <v>10</v>
      </c>
      <c r="I142" s="41" t="n">
        <v>70139900</v>
      </c>
      <c r="J142" s="30" t="n">
        <v>0.18</v>
      </c>
      <c r="K142" s="32">
        <f>D142*J142</f>
        <v/>
      </c>
      <c r="M142" s="32">
        <f>D142*4%</f>
        <v/>
      </c>
      <c r="N142" s="49">
        <f>M142+L142+K142+H142+G142+F142+E142+D142</f>
        <v/>
      </c>
      <c r="O142" s="32">
        <f>D142*1%</f>
        <v/>
      </c>
      <c r="P142" s="7">
        <f>N142*8%</f>
        <v/>
      </c>
      <c r="Q142" s="7">
        <f>N142*10%</f>
        <v/>
      </c>
      <c r="R142" s="7">
        <f>N142*5%</f>
        <v/>
      </c>
      <c r="S142" s="7">
        <f>N142*2%</f>
        <v/>
      </c>
      <c r="T142" s="7">
        <f>AE142*0.5%</f>
        <v/>
      </c>
      <c r="U142" s="7">
        <f>N142*1%</f>
        <v/>
      </c>
      <c r="V142" s="49">
        <f>U142+S142+R142+Q142+P142+O142</f>
        <v/>
      </c>
      <c r="W142" s="32">
        <f>AE142*1%</f>
        <v/>
      </c>
      <c r="X142" s="32">
        <f>AE142*10%</f>
        <v/>
      </c>
      <c r="Y142" s="32">
        <f>AE142*1%</f>
        <v/>
      </c>
      <c r="Z142" s="32">
        <f>AE142*8%</f>
        <v/>
      </c>
      <c r="AA142" s="32">
        <f>W142+X142+Y142+Z142</f>
        <v/>
      </c>
      <c r="AB142" s="31">
        <f>AA142+V142+N142</f>
        <v/>
      </c>
      <c r="AC142" s="6">
        <f>AB142*20%</f>
        <v/>
      </c>
      <c r="AD142" s="32">
        <f>AB142+AC142</f>
        <v/>
      </c>
      <c r="AE142" s="32">
        <f>D142*2.1</f>
        <v/>
      </c>
      <c r="AF142" s="7">
        <f>AD142-AE142</f>
        <v/>
      </c>
      <c r="AG142" s="7">
        <f>AF142/AD142*100</f>
        <v/>
      </c>
      <c r="AH142" s="0" t="n">
        <v>10950</v>
      </c>
      <c r="AI142" s="33" t="n"/>
      <c r="AJ142" s="34">
        <f>AD142</f>
        <v/>
      </c>
      <c r="AK142" s="34">
        <f>AJ142-(AJ142*7%)</f>
        <v/>
      </c>
      <c r="AL142" s="35">
        <f>AJ142/94</f>
        <v/>
      </c>
      <c r="AM142" s="35">
        <f>AK142/94</f>
        <v/>
      </c>
      <c r="AN142" s="36">
        <f>AJ142/24</f>
        <v/>
      </c>
      <c r="AO142" s="36">
        <f>AK142/24</f>
        <v/>
      </c>
      <c r="AP142" s="37">
        <f>AJ142/125</f>
        <v/>
      </c>
      <c r="AQ142" s="37">
        <f>AK142/125</f>
        <v/>
      </c>
    </row>
    <row r="143" ht="15" customHeight="1" s="50">
      <c r="A143" s="32" t="inlineStr">
        <is>
          <t>Curved Copper Bottles</t>
        </is>
      </c>
      <c r="B143" s="32" t="inlineStr">
        <is>
          <t>With Brush / gold</t>
        </is>
      </c>
      <c r="C143" s="32" t="inlineStr">
        <is>
          <t>CB-CP-B</t>
        </is>
      </c>
      <c r="D143" s="32" t="n">
        <v>600</v>
      </c>
      <c r="E143" s="32" t="n">
        <v>50</v>
      </c>
      <c r="G143" s="32" t="n">
        <v>0</v>
      </c>
      <c r="H143" s="32" t="n">
        <v>10</v>
      </c>
      <c r="I143" s="41" t="n">
        <v>741810</v>
      </c>
      <c r="J143" s="30" t="n">
        <v>0.05</v>
      </c>
      <c r="K143" s="32">
        <f>D143*J143</f>
        <v/>
      </c>
      <c r="M143" s="32">
        <f>D143*4%</f>
        <v/>
      </c>
      <c r="N143" s="49">
        <f>M143+L143+K143+H143+G143+F143+E143+D143</f>
        <v/>
      </c>
      <c r="O143" s="32">
        <f>D143*1%</f>
        <v/>
      </c>
      <c r="P143" s="7">
        <f>N143*8%</f>
        <v/>
      </c>
      <c r="Q143" s="7">
        <f>N143*10%</f>
        <v/>
      </c>
      <c r="R143" s="7">
        <f>N143*5%</f>
        <v/>
      </c>
      <c r="S143" s="7">
        <f>N143*2%</f>
        <v/>
      </c>
      <c r="T143" s="7">
        <f>AE143*0.5%</f>
        <v/>
      </c>
      <c r="U143" s="7">
        <f>N143*1%</f>
        <v/>
      </c>
      <c r="V143" s="31">
        <f>U143+S143+R143+Q143+P143+O143</f>
        <v/>
      </c>
      <c r="W143" s="32">
        <f>AE143*1%</f>
        <v/>
      </c>
      <c r="X143" s="32">
        <f>AE143*10%</f>
        <v/>
      </c>
      <c r="Y143" s="32">
        <f>AE143*1%</f>
        <v/>
      </c>
      <c r="Z143" s="32">
        <f>AE143*8%</f>
        <v/>
      </c>
      <c r="AA143" s="32">
        <f>W143+X143+Y143+Z143</f>
        <v/>
      </c>
      <c r="AB143" s="31">
        <f>AA143+V143+N143</f>
        <v/>
      </c>
      <c r="AC143" s="6">
        <f>AB143*20%</f>
        <v/>
      </c>
      <c r="AD143" s="7">
        <f>AB143+AC143</f>
        <v/>
      </c>
      <c r="AE143" s="32">
        <f>D143*2.1</f>
        <v/>
      </c>
      <c r="AF143" s="7">
        <f>AD143-AE143</f>
        <v/>
      </c>
      <c r="AG143" s="7">
        <f>AF143/AD143*100</f>
        <v/>
      </c>
      <c r="AH143" s="0" t="n">
        <v>1199</v>
      </c>
      <c r="AI143" s="33" t="n">
        <v>599</v>
      </c>
      <c r="AJ143" s="34">
        <f>AD143</f>
        <v/>
      </c>
      <c r="AK143" s="34">
        <f>AJ143-(AJ143*7%)</f>
        <v/>
      </c>
      <c r="AL143" s="35">
        <f>AJ143/94</f>
        <v/>
      </c>
      <c r="AM143" s="35">
        <f>AK143/94</f>
        <v/>
      </c>
      <c r="AN143" s="36">
        <f>AJ143/24</f>
        <v/>
      </c>
      <c r="AO143" s="36">
        <f>AK143/24</f>
        <v/>
      </c>
      <c r="AP143" s="37">
        <f>AJ143/125</f>
        <v/>
      </c>
      <c r="AQ143" s="37">
        <f>AK143/125</f>
        <v/>
      </c>
    </row>
    <row r="144" ht="15.75" customHeight="1" s="50">
      <c r="A144" s="32" t="n"/>
      <c r="B144" s="32" t="inlineStr">
        <is>
          <t>Without Brush / gold</t>
        </is>
      </c>
      <c r="C144" s="32" t="inlineStr">
        <is>
          <t>CB-CP</t>
        </is>
      </c>
      <c r="D144" s="32" t="n">
        <v>600</v>
      </c>
      <c r="G144" s="32" t="n">
        <v>0</v>
      </c>
      <c r="H144" s="32" t="n">
        <v>10</v>
      </c>
      <c r="I144" s="41" t="n">
        <v>741810</v>
      </c>
      <c r="J144" s="30" t="n">
        <v>0.05</v>
      </c>
      <c r="K144" s="32">
        <f>D144*J144</f>
        <v/>
      </c>
      <c r="M144" s="32">
        <f>D144*4%</f>
        <v/>
      </c>
      <c r="N144" s="49">
        <f>M144+L144+K144+H144+G144+F144+E144+D144</f>
        <v/>
      </c>
      <c r="O144" s="32">
        <f>D144*1%</f>
        <v/>
      </c>
      <c r="P144" s="7">
        <f>N144*8%</f>
        <v/>
      </c>
      <c r="Q144" s="7">
        <f>N144*10%</f>
        <v/>
      </c>
      <c r="R144" s="7">
        <f>N144*5%</f>
        <v/>
      </c>
      <c r="S144" s="7">
        <f>N144*2%</f>
        <v/>
      </c>
      <c r="T144" s="7">
        <f>AE144*0.5%</f>
        <v/>
      </c>
      <c r="U144" s="7">
        <f>N144*1%</f>
        <v/>
      </c>
      <c r="V144" s="31">
        <f>U144+S144+R144+Q144+P144+O144</f>
        <v/>
      </c>
      <c r="W144" s="32">
        <f>AE144*1%</f>
        <v/>
      </c>
      <c r="X144" s="32">
        <f>AE144*10%</f>
        <v/>
      </c>
      <c r="Y144" s="32">
        <f>AE144*1%</f>
        <v/>
      </c>
      <c r="Z144" s="32">
        <f>AE144*8%</f>
        <v/>
      </c>
      <c r="AA144" s="32">
        <f>W144+X144+Y144+Z144</f>
        <v/>
      </c>
      <c r="AB144" s="31">
        <f>AA144+V144+N144</f>
        <v/>
      </c>
      <c r="AC144" s="6">
        <f>AB144*20%</f>
        <v/>
      </c>
      <c r="AD144" s="7">
        <f>AB144+AC144</f>
        <v/>
      </c>
      <c r="AE144" s="32">
        <f>D144*2.1</f>
        <v/>
      </c>
      <c r="AF144" s="7">
        <f>AD144-AE144</f>
        <v/>
      </c>
      <c r="AG144" s="7">
        <f>AF144/AD144*100</f>
        <v/>
      </c>
      <c r="AH144" s="0" t="n">
        <v>1099</v>
      </c>
      <c r="AI144" s="33" t="n">
        <v>499</v>
      </c>
      <c r="AJ144" s="34">
        <f>AD144</f>
        <v/>
      </c>
      <c r="AK144" s="34">
        <f>AJ144-(AJ144*7%)</f>
        <v/>
      </c>
      <c r="AL144" s="35">
        <f>AJ144/94</f>
        <v/>
      </c>
      <c r="AM144" s="35">
        <f>AK144/94</f>
        <v/>
      </c>
      <c r="AN144" s="36">
        <f>AJ144/24</f>
        <v/>
      </c>
      <c r="AO144" s="36">
        <f>AK144/24</f>
        <v/>
      </c>
      <c r="AP144" s="37">
        <f>AJ144/125</f>
        <v/>
      </c>
      <c r="AQ144" s="37">
        <f>AK144/125</f>
        <v/>
      </c>
    </row>
    <row r="145" ht="15.75" customHeight="1" s="50">
      <c r="A145" s="32" t="n"/>
      <c r="B145" s="32" t="inlineStr">
        <is>
          <t>vintage / With Brush</t>
        </is>
      </c>
      <c r="C145" s="32" t="inlineStr">
        <is>
          <t>CB-CV-B</t>
        </is>
      </c>
      <c r="D145" s="32" t="n">
        <v>600</v>
      </c>
      <c r="E145" s="32" t="n">
        <v>50</v>
      </c>
      <c r="G145" s="32" t="n">
        <v>0</v>
      </c>
      <c r="H145" s="32" t="n">
        <v>10</v>
      </c>
      <c r="I145" s="41" t="n">
        <v>741810</v>
      </c>
      <c r="J145" s="30" t="n">
        <v>0.05</v>
      </c>
      <c r="K145" s="32">
        <f>D145*J145</f>
        <v/>
      </c>
      <c r="M145" s="32">
        <f>D145*4%</f>
        <v/>
      </c>
      <c r="N145" s="49">
        <f>M145+L145+K145+H145+G145+F145+E145+D145</f>
        <v/>
      </c>
      <c r="O145" s="32">
        <f>D145*1%</f>
        <v/>
      </c>
      <c r="P145" s="7">
        <f>N145*8%</f>
        <v/>
      </c>
      <c r="Q145" s="7">
        <f>N145*10%</f>
        <v/>
      </c>
      <c r="R145" s="7">
        <f>N145*5%</f>
        <v/>
      </c>
      <c r="S145" s="7">
        <f>N145*2%</f>
        <v/>
      </c>
      <c r="T145" s="7">
        <f>AE145*0.5%</f>
        <v/>
      </c>
      <c r="U145" s="7">
        <f>N145*1%</f>
        <v/>
      </c>
      <c r="V145" s="31">
        <f>U145+S145+R145+Q145+P145+O145</f>
        <v/>
      </c>
      <c r="W145" s="32">
        <f>AE145*1%</f>
        <v/>
      </c>
      <c r="X145" s="32">
        <f>AE145*10%</f>
        <v/>
      </c>
      <c r="Y145" s="32">
        <f>AE145*1%</f>
        <v/>
      </c>
      <c r="Z145" s="32">
        <f>AE145*8%</f>
        <v/>
      </c>
      <c r="AA145" s="32">
        <f>W145+X145+Y145+Z145</f>
        <v/>
      </c>
      <c r="AB145" s="31">
        <f>AA145+V145+N145</f>
        <v/>
      </c>
      <c r="AC145" s="6">
        <f>AB145*20%</f>
        <v/>
      </c>
      <c r="AD145" s="7">
        <f>AB145+AC145</f>
        <v/>
      </c>
      <c r="AE145" s="32">
        <f>D145*2.1</f>
        <v/>
      </c>
      <c r="AF145" s="7">
        <f>AD145-AE145</f>
        <v/>
      </c>
      <c r="AG145" s="7">
        <f>AF145/AD145*100</f>
        <v/>
      </c>
      <c r="AH145" s="0" t="n">
        <v>1199</v>
      </c>
      <c r="AI145" s="33" t="n">
        <v>599</v>
      </c>
      <c r="AJ145" s="34">
        <f>AD145</f>
        <v/>
      </c>
      <c r="AK145" s="34">
        <f>AJ145-(AJ145*7%)</f>
        <v/>
      </c>
      <c r="AL145" s="35">
        <f>AJ145/94</f>
        <v/>
      </c>
      <c r="AM145" s="35">
        <f>AK145/94</f>
        <v/>
      </c>
      <c r="AN145" s="36">
        <f>AJ145/24</f>
        <v/>
      </c>
      <c r="AO145" s="36">
        <f>AK145/24</f>
        <v/>
      </c>
      <c r="AP145" s="37">
        <f>AJ145/125</f>
        <v/>
      </c>
      <c r="AQ145" s="37">
        <f>AK145/125</f>
        <v/>
      </c>
    </row>
    <row r="146" ht="15.75" customHeight="1" s="50">
      <c r="A146" s="32" t="n"/>
      <c r="B146" s="32" t="inlineStr">
        <is>
          <t>vintage / Without Brush</t>
        </is>
      </c>
      <c r="C146" s="32" t="inlineStr">
        <is>
          <t>CB-CV</t>
        </is>
      </c>
      <c r="D146" s="32" t="n">
        <v>600</v>
      </c>
      <c r="G146" s="32" t="n">
        <v>0</v>
      </c>
      <c r="H146" s="32" t="n">
        <v>10</v>
      </c>
      <c r="I146" s="41" t="n">
        <v>741810</v>
      </c>
      <c r="J146" s="30" t="n">
        <v>0.05</v>
      </c>
      <c r="K146" s="32">
        <f>D146*J146</f>
        <v/>
      </c>
      <c r="M146" s="32">
        <f>D146*4%</f>
        <v/>
      </c>
      <c r="N146" s="49">
        <f>M146+L146+K146+H146+G146+F146+E146+D146</f>
        <v/>
      </c>
      <c r="O146" s="32">
        <f>D146*1%</f>
        <v/>
      </c>
      <c r="P146" s="7">
        <f>N146*8%</f>
        <v/>
      </c>
      <c r="Q146" s="7">
        <f>N146*10%</f>
        <v/>
      </c>
      <c r="R146" s="7">
        <f>N146*5%</f>
        <v/>
      </c>
      <c r="S146" s="7">
        <f>N146*2%</f>
        <v/>
      </c>
      <c r="T146" s="7">
        <f>AE146*0.5%</f>
        <v/>
      </c>
      <c r="U146" s="7">
        <f>N146*1%</f>
        <v/>
      </c>
      <c r="V146" s="31">
        <f>U146+S146+R146+Q146+P146+O146</f>
        <v/>
      </c>
      <c r="W146" s="32">
        <f>AE146*1%</f>
        <v/>
      </c>
      <c r="X146" s="32">
        <f>AE146*10%</f>
        <v/>
      </c>
      <c r="Y146" s="32">
        <f>AE146*1%</f>
        <v/>
      </c>
      <c r="Z146" s="32">
        <f>AE146*8%</f>
        <v/>
      </c>
      <c r="AA146" s="32">
        <f>W146+X146+Y146+Z146</f>
        <v/>
      </c>
      <c r="AB146" s="31">
        <f>AA146+V146+N146</f>
        <v/>
      </c>
      <c r="AC146" s="6">
        <f>AB146*20%</f>
        <v/>
      </c>
      <c r="AD146" s="7">
        <f>AB146+AC146</f>
        <v/>
      </c>
      <c r="AE146" s="32">
        <f>D146*2.1</f>
        <v/>
      </c>
      <c r="AF146" s="7">
        <f>AD146-AE146</f>
        <v/>
      </c>
      <c r="AG146" s="7">
        <f>AF146/AD146*100</f>
        <v/>
      </c>
      <c r="AH146" s="0" t="n">
        <v>1099</v>
      </c>
      <c r="AI146" s="33" t="n">
        <v>499</v>
      </c>
      <c r="AJ146" s="34">
        <f>AD146</f>
        <v/>
      </c>
      <c r="AK146" s="34">
        <f>AJ146-(AJ146*7%)</f>
        <v/>
      </c>
      <c r="AL146" s="35">
        <f>AJ146/94</f>
        <v/>
      </c>
      <c r="AM146" s="35">
        <f>AK146/94</f>
        <v/>
      </c>
      <c r="AN146" s="36">
        <f>AJ146/24</f>
        <v/>
      </c>
      <c r="AO146" s="36">
        <f>AK146/24</f>
        <v/>
      </c>
      <c r="AP146" s="37">
        <f>AJ146/125</f>
        <v/>
      </c>
      <c r="AQ146" s="37">
        <f>AK146/125</f>
        <v/>
      </c>
    </row>
    <row r="147" ht="15.75" customHeight="1" s="50">
      <c r="A147" s="32" t="inlineStr">
        <is>
          <t>Curved Diamond Groove Copper Bottle</t>
        </is>
      </c>
      <c r="B147" s="32" t="inlineStr">
        <is>
          <t>copper / 1L / without-brush</t>
        </is>
      </c>
      <c r="C147" s="32" t="inlineStr">
        <is>
          <t>CB-CDG</t>
        </is>
      </c>
      <c r="D147" s="32" t="n">
        <v>600</v>
      </c>
      <c r="G147" s="32" t="n">
        <v>0</v>
      </c>
      <c r="H147" s="32" t="n">
        <v>10</v>
      </c>
      <c r="I147" s="41" t="n">
        <v>741810</v>
      </c>
      <c r="J147" s="30" t="n">
        <v>0.05</v>
      </c>
      <c r="K147" s="32">
        <f>D147*J147</f>
        <v/>
      </c>
      <c r="M147" s="32">
        <f>D147*4%</f>
        <v/>
      </c>
      <c r="N147" s="49">
        <f>M147+L147+K147+H147+G147+F147+E147+D147</f>
        <v/>
      </c>
      <c r="O147" s="32">
        <f>D147*1%</f>
        <v/>
      </c>
      <c r="P147" s="7">
        <f>N147*8%</f>
        <v/>
      </c>
      <c r="Q147" s="7">
        <f>N147*10%</f>
        <v/>
      </c>
      <c r="R147" s="7">
        <f>N147*5%</f>
        <v/>
      </c>
      <c r="S147" s="7">
        <f>N147*2%</f>
        <v/>
      </c>
      <c r="T147" s="7">
        <f>AE147*0.5%</f>
        <v/>
      </c>
      <c r="U147" s="7">
        <f>N147*1%</f>
        <v/>
      </c>
      <c r="V147" s="31">
        <f>U147+S147+R147+Q147+P147+O147</f>
        <v/>
      </c>
      <c r="W147" s="32">
        <f>AE147*1%</f>
        <v/>
      </c>
      <c r="X147" s="32">
        <f>AE147*10%</f>
        <v/>
      </c>
      <c r="Y147" s="32">
        <f>AE147*1%</f>
        <v/>
      </c>
      <c r="Z147" s="32">
        <f>AE147*8%</f>
        <v/>
      </c>
      <c r="AA147" s="32">
        <f>W147+X147+Y147+Z147</f>
        <v/>
      </c>
      <c r="AB147" s="31">
        <f>AA147+V147+N147</f>
        <v/>
      </c>
      <c r="AC147" s="6">
        <f>AB147*20%</f>
        <v/>
      </c>
      <c r="AD147" s="7">
        <f>AB147+AC147</f>
        <v/>
      </c>
      <c r="AE147" s="32">
        <f>D147*2.1</f>
        <v/>
      </c>
      <c r="AF147" s="7">
        <f>AD147-AE147</f>
        <v/>
      </c>
      <c r="AG147" s="7">
        <f>AF147/AD147*100</f>
        <v/>
      </c>
      <c r="AH147" s="0" t="n">
        <v>1099</v>
      </c>
      <c r="AI147" s="33" t="n">
        <v>499</v>
      </c>
      <c r="AJ147" s="34">
        <f>AD147</f>
        <v/>
      </c>
      <c r="AK147" s="34">
        <f>AJ147-(AJ147*7%)</f>
        <v/>
      </c>
      <c r="AL147" s="35">
        <f>AJ147/94</f>
        <v/>
      </c>
      <c r="AM147" s="35">
        <f>AK147/94</f>
        <v/>
      </c>
      <c r="AN147" s="36">
        <f>AJ147/24</f>
        <v/>
      </c>
      <c r="AO147" s="36">
        <f>AK147/24</f>
        <v/>
      </c>
      <c r="AP147" s="37">
        <f>AJ147/125</f>
        <v/>
      </c>
      <c r="AQ147" s="37">
        <f>AK147/125</f>
        <v/>
      </c>
    </row>
    <row r="148" ht="15.75" customHeight="1" s="50">
      <c r="A148" s="32" t="n"/>
      <c r="B148" s="32" t="inlineStr">
        <is>
          <t>vintage / 1L / without-brush</t>
        </is>
      </c>
      <c r="C148" s="32" t="inlineStr">
        <is>
          <t>CB-CVDG</t>
        </is>
      </c>
      <c r="D148" s="32" t="n">
        <v>600</v>
      </c>
      <c r="G148" s="32" t="n">
        <v>0</v>
      </c>
      <c r="H148" s="32" t="n">
        <v>10</v>
      </c>
      <c r="I148" s="41" t="n">
        <v>741810</v>
      </c>
      <c r="J148" s="30" t="n">
        <v>0.05</v>
      </c>
      <c r="K148" s="32">
        <f>D148*J148</f>
        <v/>
      </c>
      <c r="M148" s="32">
        <f>D148*4%</f>
        <v/>
      </c>
      <c r="N148" s="49">
        <f>M148+L148+K148+H148+G148+F148+E148+D148</f>
        <v/>
      </c>
      <c r="O148" s="32">
        <f>D148*1%</f>
        <v/>
      </c>
      <c r="P148" s="7">
        <f>N148*8%</f>
        <v/>
      </c>
      <c r="Q148" s="7">
        <f>N148*10%</f>
        <v/>
      </c>
      <c r="R148" s="7">
        <f>N148*5%</f>
        <v/>
      </c>
      <c r="S148" s="7">
        <f>N148*2%</f>
        <v/>
      </c>
      <c r="T148" s="7">
        <f>AE148*0.5%</f>
        <v/>
      </c>
      <c r="U148" s="7">
        <f>N148*1%</f>
        <v/>
      </c>
      <c r="V148" s="31">
        <f>U148+S148+R148+Q148+P148+O148</f>
        <v/>
      </c>
      <c r="W148" s="32">
        <f>AE148*1%</f>
        <v/>
      </c>
      <c r="X148" s="32">
        <f>AE148*10%</f>
        <v/>
      </c>
      <c r="Y148" s="32">
        <f>AE148*1%</f>
        <v/>
      </c>
      <c r="Z148" s="32">
        <f>AE148*8%</f>
        <v/>
      </c>
      <c r="AA148" s="32">
        <f>W148+X148+Y148+Z148</f>
        <v/>
      </c>
      <c r="AB148" s="31">
        <f>AA148+V148+N148</f>
        <v/>
      </c>
      <c r="AC148" s="6">
        <f>AB148*20%</f>
        <v/>
      </c>
      <c r="AD148" s="7">
        <f>AB148+AC148</f>
        <v/>
      </c>
      <c r="AE148" s="32">
        <f>D148*2.1</f>
        <v/>
      </c>
      <c r="AF148" s="7">
        <f>AD148-AE148</f>
        <v/>
      </c>
      <c r="AG148" s="7">
        <f>AF148/AD148*100</f>
        <v/>
      </c>
      <c r="AH148" s="0" t="n">
        <v>1099</v>
      </c>
      <c r="AI148" s="33" t="n">
        <v>499</v>
      </c>
      <c r="AJ148" s="34">
        <f>AD148</f>
        <v/>
      </c>
      <c r="AK148" s="34">
        <f>AJ148-(AJ148*7%)</f>
        <v/>
      </c>
      <c r="AL148" s="35">
        <f>AJ148/94</f>
        <v/>
      </c>
      <c r="AM148" s="35">
        <f>AK148/94</f>
        <v/>
      </c>
      <c r="AN148" s="36">
        <f>AJ148/24</f>
        <v/>
      </c>
      <c r="AO148" s="36">
        <f>AK148/24</f>
        <v/>
      </c>
      <c r="AP148" s="37">
        <f>AJ148/125</f>
        <v/>
      </c>
      <c r="AQ148" s="37">
        <f>AK148/125</f>
        <v/>
      </c>
    </row>
    <row r="149" ht="15" customHeight="1" s="50">
      <c r="A149" s="32" t="inlineStr">
        <is>
          <t>Curved Hammered Copper Bottles</t>
        </is>
      </c>
      <c r="B149" s="32" t="inlineStr">
        <is>
          <t>with-brush / vintage</t>
        </is>
      </c>
      <c r="C149" s="32" t="inlineStr">
        <is>
          <t>CB-CVH-B</t>
        </is>
      </c>
      <c r="D149" s="32" t="n">
        <v>600</v>
      </c>
      <c r="E149" s="32" t="n">
        <v>50</v>
      </c>
      <c r="G149" s="32" t="n">
        <v>0</v>
      </c>
      <c r="H149" s="32" t="n">
        <v>10</v>
      </c>
      <c r="I149" s="41" t="n">
        <v>741810</v>
      </c>
      <c r="J149" s="30" t="n">
        <v>0.05</v>
      </c>
      <c r="K149" s="32">
        <f>D149*J149</f>
        <v/>
      </c>
      <c r="M149" s="32">
        <f>D149*4%</f>
        <v/>
      </c>
      <c r="N149" s="49">
        <f>M149+L149+K149+H149+G149+F149+E149+D149</f>
        <v/>
      </c>
      <c r="O149" s="32">
        <f>D149*1%</f>
        <v/>
      </c>
      <c r="P149" s="7">
        <f>N149*8%</f>
        <v/>
      </c>
      <c r="Q149" s="7">
        <f>N149*10%</f>
        <v/>
      </c>
      <c r="R149" s="7">
        <f>N149*5%</f>
        <v/>
      </c>
      <c r="S149" s="7">
        <f>N149*2%</f>
        <v/>
      </c>
      <c r="T149" s="7">
        <f>AE149*0.5%</f>
        <v/>
      </c>
      <c r="U149" s="7">
        <f>N149*1%</f>
        <v/>
      </c>
      <c r="V149" s="31">
        <f>U149+S149+R149+Q149+P149+O149</f>
        <v/>
      </c>
      <c r="W149" s="32">
        <f>AE149*1%</f>
        <v/>
      </c>
      <c r="X149" s="32">
        <f>AE149*10%</f>
        <v/>
      </c>
      <c r="Y149" s="32">
        <f>AE149*1%</f>
        <v/>
      </c>
      <c r="Z149" s="32">
        <f>AE149*8%</f>
        <v/>
      </c>
      <c r="AA149" s="32">
        <f>W149+X149+Y149+Z149</f>
        <v/>
      </c>
      <c r="AB149" s="31">
        <f>AA149+V149+N149</f>
        <v/>
      </c>
      <c r="AC149" s="6">
        <f>AB149*20%</f>
        <v/>
      </c>
      <c r="AD149" s="7">
        <f>AB149+AC149</f>
        <v/>
      </c>
      <c r="AE149" s="32">
        <f>D149*2.1</f>
        <v/>
      </c>
      <c r="AF149" s="7">
        <f>AD149-AE149</f>
        <v/>
      </c>
      <c r="AG149" s="7">
        <f>AF149/AD149*100</f>
        <v/>
      </c>
      <c r="AH149" s="0" t="n">
        <v>1199</v>
      </c>
      <c r="AI149" s="33" t="n">
        <v>599</v>
      </c>
      <c r="AJ149" s="34">
        <f>AD149</f>
        <v/>
      </c>
      <c r="AK149" s="34">
        <f>AJ149-(AJ149*7%)</f>
        <v/>
      </c>
      <c r="AL149" s="35">
        <f>AJ149/94</f>
        <v/>
      </c>
      <c r="AM149" s="35">
        <f>AK149/94</f>
        <v/>
      </c>
      <c r="AN149" s="36">
        <f>AJ149/24</f>
        <v/>
      </c>
      <c r="AO149" s="36">
        <f>AK149/24</f>
        <v/>
      </c>
      <c r="AP149" s="37">
        <f>AJ149/125</f>
        <v/>
      </c>
      <c r="AQ149" s="37">
        <f>AK149/125</f>
        <v/>
      </c>
    </row>
    <row r="150" ht="15.75" customHeight="1" s="50">
      <c r="A150" s="32" t="n"/>
      <c r="B150" s="32" t="inlineStr">
        <is>
          <t>vintage / without-brush</t>
        </is>
      </c>
      <c r="C150" s="32" t="inlineStr">
        <is>
          <t>CB-CVH</t>
        </is>
      </c>
      <c r="D150" s="32" t="n">
        <v>600</v>
      </c>
      <c r="G150" s="32" t="n">
        <v>0</v>
      </c>
      <c r="H150" s="32" t="n">
        <v>10</v>
      </c>
      <c r="I150" s="41" t="n">
        <v>741810</v>
      </c>
      <c r="J150" s="30" t="n">
        <v>0.05</v>
      </c>
      <c r="K150" s="32">
        <f>D150*J150</f>
        <v/>
      </c>
      <c r="M150" s="32">
        <f>D150*4%</f>
        <v/>
      </c>
      <c r="N150" s="49">
        <f>M150+L150+K150+H150+G150+F150+E150+D150</f>
        <v/>
      </c>
      <c r="O150" s="32">
        <f>D150*1%</f>
        <v/>
      </c>
      <c r="P150" s="7">
        <f>N150*8%</f>
        <v/>
      </c>
      <c r="Q150" s="7">
        <f>N150*10%</f>
        <v/>
      </c>
      <c r="R150" s="7">
        <f>N150*5%</f>
        <v/>
      </c>
      <c r="S150" s="7">
        <f>N150*2%</f>
        <v/>
      </c>
      <c r="T150" s="7">
        <f>AE150*0.5%</f>
        <v/>
      </c>
      <c r="U150" s="7">
        <f>N150*1%</f>
        <v/>
      </c>
      <c r="V150" s="31">
        <f>U150+S150+R150+Q150+P150+O150</f>
        <v/>
      </c>
      <c r="W150" s="32">
        <f>AE150*1%</f>
        <v/>
      </c>
      <c r="X150" s="32">
        <f>AE150*10%</f>
        <v/>
      </c>
      <c r="Y150" s="32">
        <f>AE150*1%</f>
        <v/>
      </c>
      <c r="Z150" s="32">
        <f>AE150*8%</f>
        <v/>
      </c>
      <c r="AA150" s="32">
        <f>W150+X150+Y150+Z150</f>
        <v/>
      </c>
      <c r="AB150" s="31">
        <f>AA150+V150+N150</f>
        <v/>
      </c>
      <c r="AC150" s="6">
        <f>AB150*20%</f>
        <v/>
      </c>
      <c r="AD150" s="7">
        <f>AB150+AC150</f>
        <v/>
      </c>
      <c r="AE150" s="32">
        <f>D150*2.1</f>
        <v/>
      </c>
      <c r="AF150" s="7">
        <f>AD150-AE150</f>
        <v/>
      </c>
      <c r="AG150" s="7">
        <f>AF150/AD150*100</f>
        <v/>
      </c>
      <c r="AH150" s="0" t="n">
        <v>1099</v>
      </c>
      <c r="AI150" s="33" t="n">
        <v>499</v>
      </c>
      <c r="AJ150" s="34">
        <f>AD150</f>
        <v/>
      </c>
      <c r="AK150" s="34">
        <f>AJ150-(AJ150*7%)</f>
        <v/>
      </c>
      <c r="AL150" s="35">
        <f>AJ150/94</f>
        <v/>
      </c>
      <c r="AM150" s="35">
        <f>AK150/94</f>
        <v/>
      </c>
      <c r="AN150" s="36">
        <f>AJ150/24</f>
        <v/>
      </c>
      <c r="AO150" s="36">
        <f>AK150/24</f>
        <v/>
      </c>
      <c r="AP150" s="37">
        <f>AJ150/125</f>
        <v/>
      </c>
      <c r="AQ150" s="37">
        <f>AK150/125</f>
        <v/>
      </c>
    </row>
    <row r="151" ht="15" customHeight="1" s="50">
      <c r="A151" s="32" t="inlineStr">
        <is>
          <t>Djembe Drums</t>
        </is>
      </c>
      <c r="B151" s="32" t="inlineStr">
        <is>
          <t>8in / Ivory</t>
        </is>
      </c>
      <c r="C151" s="32" t="inlineStr">
        <is>
          <t>MI-DJB-I-8</t>
        </is>
      </c>
      <c r="D151" s="32" t="n">
        <v>2050</v>
      </c>
      <c r="G151" s="32" t="n">
        <v>0</v>
      </c>
      <c r="H151" s="32" t="n">
        <v>10</v>
      </c>
      <c r="I151" s="41" t="n">
        <v>92060000</v>
      </c>
      <c r="J151" s="30" t="n">
        <v>0.18</v>
      </c>
      <c r="K151" s="32">
        <f>D151*J151</f>
        <v/>
      </c>
      <c r="M151" s="32">
        <f>D151*4%</f>
        <v/>
      </c>
      <c r="N151" s="49">
        <f>M151+L151+K151+H151+G151+F151+E151+D151</f>
        <v/>
      </c>
      <c r="O151" s="32">
        <f>D151*1%</f>
        <v/>
      </c>
      <c r="P151" s="7">
        <f>N151*8%</f>
        <v/>
      </c>
      <c r="Q151" s="7">
        <f>N151*10%</f>
        <v/>
      </c>
      <c r="R151" s="7">
        <f>N151*5%</f>
        <v/>
      </c>
      <c r="S151" s="7">
        <f>N151*2%</f>
        <v/>
      </c>
      <c r="T151" s="7">
        <f>AE151*0.5%</f>
        <v/>
      </c>
      <c r="U151" s="7">
        <f>N151*1%</f>
        <v/>
      </c>
      <c r="V151" s="31">
        <f>U151+S151+R151+Q151+P151+O151</f>
        <v/>
      </c>
      <c r="W151" s="32">
        <f>AE151*1%</f>
        <v/>
      </c>
      <c r="X151" s="32">
        <f>AE151*10%</f>
        <v/>
      </c>
      <c r="Y151" s="32">
        <f>AE151*1%</f>
        <v/>
      </c>
      <c r="Z151" s="32">
        <f>AE151*8%</f>
        <v/>
      </c>
      <c r="AA151" s="32">
        <f>W151+X151+Y151+Z151</f>
        <v/>
      </c>
      <c r="AB151" s="31">
        <f>AA151+V151+N151</f>
        <v/>
      </c>
      <c r="AC151" s="6">
        <f>AB151*20%</f>
        <v/>
      </c>
      <c r="AD151" s="7">
        <f>AB151+AC151</f>
        <v/>
      </c>
      <c r="AE151" s="32">
        <f>D151*2.1</f>
        <v/>
      </c>
      <c r="AF151" s="7">
        <f>AD151-AE151</f>
        <v/>
      </c>
      <c r="AG151" s="7">
        <f>AF151/AD151*100</f>
        <v/>
      </c>
      <c r="AH151" s="0" t="n">
        <v>3950</v>
      </c>
      <c r="AI151" s="33" t="n">
        <v>1900</v>
      </c>
      <c r="AJ151" s="34">
        <f>AD151</f>
        <v/>
      </c>
      <c r="AK151" s="34">
        <f>AJ151-(AJ151*7%)</f>
        <v/>
      </c>
      <c r="AL151" s="35">
        <f>AJ151/94</f>
        <v/>
      </c>
      <c r="AM151" s="35">
        <f>AK151/94</f>
        <v/>
      </c>
      <c r="AN151" s="36">
        <f>AJ151/24</f>
        <v/>
      </c>
      <c r="AO151" s="36">
        <f>AK151/24</f>
        <v/>
      </c>
      <c r="AP151" s="37">
        <f>AJ151/125</f>
        <v/>
      </c>
      <c r="AQ151" s="37">
        <f>AK151/125</f>
        <v/>
      </c>
    </row>
    <row r="152" ht="15.75" customHeight="1" s="50">
      <c r="A152" s="32" t="n"/>
      <c r="B152" s="32" t="inlineStr">
        <is>
          <t>8in / Mahogany</t>
        </is>
      </c>
      <c r="C152" s="32" t="inlineStr">
        <is>
          <t>MI-DJB-M-8</t>
        </is>
      </c>
      <c r="D152" s="32" t="n">
        <v>2050</v>
      </c>
      <c r="G152" s="32" t="n">
        <v>0</v>
      </c>
      <c r="H152" s="32" t="n">
        <v>10</v>
      </c>
      <c r="I152" s="41" t="n">
        <v>92060000</v>
      </c>
      <c r="J152" s="30" t="n">
        <v>0.18</v>
      </c>
      <c r="K152" s="32">
        <f>D152*J152</f>
        <v/>
      </c>
      <c r="M152" s="32">
        <f>D152*4%</f>
        <v/>
      </c>
      <c r="N152" s="49">
        <f>M152+L152+K152+H152+G152+F152+E152+D152</f>
        <v/>
      </c>
      <c r="O152" s="32">
        <f>D152*1%</f>
        <v/>
      </c>
      <c r="P152" s="7">
        <f>N152*8%</f>
        <v/>
      </c>
      <c r="Q152" s="7">
        <f>N152*10%</f>
        <v/>
      </c>
      <c r="R152" s="7">
        <f>N152*5%</f>
        <v/>
      </c>
      <c r="S152" s="7">
        <f>N152*2%</f>
        <v/>
      </c>
      <c r="T152" s="7">
        <f>AE152*0.5%</f>
        <v/>
      </c>
      <c r="U152" s="7">
        <f>N152*1%</f>
        <v/>
      </c>
      <c r="V152" s="31">
        <f>U152+S152+R152+Q152+P152+O152</f>
        <v/>
      </c>
      <c r="W152" s="32">
        <f>AE152*1%</f>
        <v/>
      </c>
      <c r="X152" s="32">
        <f>AE152*10%</f>
        <v/>
      </c>
      <c r="Y152" s="32">
        <f>AE152*1%</f>
        <v/>
      </c>
      <c r="Z152" s="32">
        <f>AE152*8%</f>
        <v/>
      </c>
      <c r="AA152" s="32">
        <f>W152+X152+Y152+Z152</f>
        <v/>
      </c>
      <c r="AB152" s="31">
        <f>AA152+V152+N152</f>
        <v/>
      </c>
      <c r="AC152" s="6">
        <f>AB152*20%</f>
        <v/>
      </c>
      <c r="AD152" s="7">
        <f>AB152+AC152</f>
        <v/>
      </c>
      <c r="AE152" s="32">
        <f>D152*2.1</f>
        <v/>
      </c>
      <c r="AF152" s="7">
        <f>AD152-AE152</f>
        <v/>
      </c>
      <c r="AG152" s="7">
        <f>AF152/AD152*100</f>
        <v/>
      </c>
      <c r="AH152" s="0" t="n">
        <v>3950</v>
      </c>
      <c r="AI152" s="33" t="n">
        <v>1900</v>
      </c>
      <c r="AJ152" s="34">
        <f>AD152</f>
        <v/>
      </c>
      <c r="AK152" s="34">
        <f>AJ152-(AJ152*7%)</f>
        <v/>
      </c>
      <c r="AL152" s="35">
        <f>AJ152/94</f>
        <v/>
      </c>
      <c r="AM152" s="35">
        <f>AK152/94</f>
        <v/>
      </c>
      <c r="AN152" s="36">
        <f>AJ152/24</f>
        <v/>
      </c>
      <c r="AO152" s="36">
        <f>AK152/24</f>
        <v/>
      </c>
      <c r="AP152" s="37">
        <f>AJ152/125</f>
        <v/>
      </c>
      <c r="AQ152" s="37">
        <f>AK152/125</f>
        <v/>
      </c>
    </row>
    <row r="153" ht="15.75" customHeight="1" s="50">
      <c r="A153" s="32" t="n"/>
      <c r="B153" s="32" t="inlineStr">
        <is>
          <t>10in / Ivory</t>
        </is>
      </c>
      <c r="C153" s="32" t="inlineStr">
        <is>
          <t>MI-DJB-I-10</t>
        </is>
      </c>
      <c r="D153" s="32" t="n">
        <v>3150</v>
      </c>
      <c r="G153" s="32" t="n">
        <v>0</v>
      </c>
      <c r="H153" s="32" t="n">
        <v>10</v>
      </c>
      <c r="I153" s="41" t="n">
        <v>92060000</v>
      </c>
      <c r="J153" s="30" t="n">
        <v>0.18</v>
      </c>
      <c r="K153" s="32">
        <f>D153*J153</f>
        <v/>
      </c>
      <c r="M153" s="32">
        <f>D153*4%</f>
        <v/>
      </c>
      <c r="N153" s="49">
        <f>M153+L153+K153+H153+G153+F153+E153+D153</f>
        <v/>
      </c>
      <c r="O153" s="32">
        <f>D153*1%</f>
        <v/>
      </c>
      <c r="P153" s="7">
        <f>N153*8%</f>
        <v/>
      </c>
      <c r="Q153" s="7">
        <f>N153*10%</f>
        <v/>
      </c>
      <c r="R153" s="7">
        <f>N153*5%</f>
        <v/>
      </c>
      <c r="S153" s="7">
        <f>N153*2%</f>
        <v/>
      </c>
      <c r="T153" s="7">
        <f>AE153*0.5%</f>
        <v/>
      </c>
      <c r="U153" s="7">
        <f>N153*1%</f>
        <v/>
      </c>
      <c r="V153" s="31">
        <f>U153+S153+R153+Q153+P153+O153</f>
        <v/>
      </c>
      <c r="W153" s="32">
        <f>AE153*1%</f>
        <v/>
      </c>
      <c r="X153" s="32">
        <f>AE153*10%</f>
        <v/>
      </c>
      <c r="Y153" s="32">
        <f>AE153*1%</f>
        <v/>
      </c>
      <c r="Z153" s="32">
        <f>AE153*8%</f>
        <v/>
      </c>
      <c r="AA153" s="32">
        <f>W153+X153+Y153+Z153</f>
        <v/>
      </c>
      <c r="AB153" s="31">
        <f>AA153+V153+N153</f>
        <v/>
      </c>
      <c r="AC153" s="6">
        <f>AB153*20%</f>
        <v/>
      </c>
      <c r="AD153" s="7">
        <f>AB153+AC153</f>
        <v/>
      </c>
      <c r="AE153" s="32">
        <f>D153*2.1</f>
        <v/>
      </c>
      <c r="AF153" s="7">
        <f>AD153-AE153</f>
        <v/>
      </c>
      <c r="AG153" s="7">
        <f>AF153/AD153*100</f>
        <v/>
      </c>
      <c r="AH153" s="0" t="n">
        <v>5350</v>
      </c>
      <c r="AI153" s="33" t="n">
        <v>2200</v>
      </c>
      <c r="AJ153" s="34">
        <f>AD153</f>
        <v/>
      </c>
      <c r="AK153" s="34">
        <f>AJ153-(AJ153*7%)</f>
        <v/>
      </c>
      <c r="AL153" s="35">
        <f>AJ153/94</f>
        <v/>
      </c>
      <c r="AM153" s="35">
        <f>AK153/94</f>
        <v/>
      </c>
      <c r="AN153" s="36">
        <f>AJ153/24</f>
        <v/>
      </c>
      <c r="AO153" s="36">
        <f>AK153/24</f>
        <v/>
      </c>
      <c r="AP153" s="37">
        <f>AJ153/125</f>
        <v/>
      </c>
      <c r="AQ153" s="37">
        <f>AK153/125</f>
        <v/>
      </c>
    </row>
    <row r="154" ht="15.75" customHeight="1" s="50">
      <c r="A154" s="32" t="n"/>
      <c r="B154" s="32" t="inlineStr">
        <is>
          <t>10in / Mahogany</t>
        </is>
      </c>
      <c r="C154" s="32" t="inlineStr">
        <is>
          <t>MI-DJB-M-10</t>
        </is>
      </c>
      <c r="D154" s="32" t="n">
        <v>3150</v>
      </c>
      <c r="G154" s="32" t="n">
        <v>0</v>
      </c>
      <c r="H154" s="32" t="n">
        <v>10</v>
      </c>
      <c r="I154" s="41" t="n">
        <v>92060000</v>
      </c>
      <c r="J154" s="30" t="n">
        <v>0.18</v>
      </c>
      <c r="K154" s="32">
        <f>D154*J154</f>
        <v/>
      </c>
      <c r="M154" s="32">
        <f>D154*4%</f>
        <v/>
      </c>
      <c r="N154" s="49">
        <f>M154+L154+K154+H154+G154+F154+E154+D154</f>
        <v/>
      </c>
      <c r="O154" s="32">
        <f>D154*1%</f>
        <v/>
      </c>
      <c r="P154" s="7">
        <f>N154*8%</f>
        <v/>
      </c>
      <c r="Q154" s="7">
        <f>N154*10%</f>
        <v/>
      </c>
      <c r="R154" s="7">
        <f>N154*5%</f>
        <v/>
      </c>
      <c r="S154" s="7">
        <f>N154*2%</f>
        <v/>
      </c>
      <c r="T154" s="7">
        <f>AE154*0.5%</f>
        <v/>
      </c>
      <c r="U154" s="7">
        <f>N154*1%</f>
        <v/>
      </c>
      <c r="V154" s="31">
        <f>U154+S154+R154+Q154+P154+O154</f>
        <v/>
      </c>
      <c r="W154" s="32">
        <f>AE154*1%</f>
        <v/>
      </c>
      <c r="X154" s="32">
        <f>AE154*10%</f>
        <v/>
      </c>
      <c r="Y154" s="32">
        <f>AE154*1%</f>
        <v/>
      </c>
      <c r="Z154" s="32">
        <f>AE154*8%</f>
        <v/>
      </c>
      <c r="AA154" s="32">
        <f>W154+X154+Y154+Z154</f>
        <v/>
      </c>
      <c r="AB154" s="31">
        <f>AA154+V154+N154</f>
        <v/>
      </c>
      <c r="AC154" s="6">
        <f>AB154*20%</f>
        <v/>
      </c>
      <c r="AD154" s="7">
        <f>AB154+AC154</f>
        <v/>
      </c>
      <c r="AE154" s="32">
        <f>D154*2.1</f>
        <v/>
      </c>
      <c r="AF154" s="7">
        <f>AD154-AE154</f>
        <v/>
      </c>
      <c r="AG154" s="7">
        <f>AF154/AD154*100</f>
        <v/>
      </c>
      <c r="AH154" s="0" t="n">
        <v>5350</v>
      </c>
      <c r="AI154" s="33" t="n">
        <v>2200</v>
      </c>
      <c r="AJ154" s="34">
        <f>AD154</f>
        <v/>
      </c>
      <c r="AK154" s="34">
        <f>AJ154-(AJ154*7%)</f>
        <v/>
      </c>
      <c r="AL154" s="35">
        <f>AJ154/94</f>
        <v/>
      </c>
      <c r="AM154" s="35">
        <f>AK154/94</f>
        <v/>
      </c>
      <c r="AN154" s="36">
        <f>AJ154/24</f>
        <v/>
      </c>
      <c r="AO154" s="36">
        <f>AK154/24</f>
        <v/>
      </c>
      <c r="AP154" s="37">
        <f>AJ154/125</f>
        <v/>
      </c>
      <c r="AQ154" s="37">
        <f>AK154/125</f>
        <v/>
      </c>
    </row>
    <row r="155" ht="15.75" customHeight="1" s="50">
      <c r="A155" s="32" t="n"/>
      <c r="B155" s="32" t="inlineStr">
        <is>
          <t>12in / Ivory</t>
        </is>
      </c>
      <c r="C155" s="32" t="inlineStr">
        <is>
          <t>MI-DJB-I-12</t>
        </is>
      </c>
      <c r="D155" s="32" t="n">
        <v>3780</v>
      </c>
      <c r="G155" s="32" t="n">
        <v>0</v>
      </c>
      <c r="H155" s="32" t="n">
        <v>10</v>
      </c>
      <c r="I155" s="41" t="n">
        <v>92060000</v>
      </c>
      <c r="J155" s="30" t="n">
        <v>0.18</v>
      </c>
      <c r="K155" s="32">
        <f>D155*J155</f>
        <v/>
      </c>
      <c r="M155" s="32">
        <f>D155*4%</f>
        <v/>
      </c>
      <c r="N155" s="49">
        <f>M155+L155+K155+H155+G155+F155+E155+D155</f>
        <v/>
      </c>
      <c r="O155" s="32">
        <f>D155*1%</f>
        <v/>
      </c>
      <c r="P155" s="7">
        <f>N155*8%</f>
        <v/>
      </c>
      <c r="Q155" s="7">
        <f>N155*10%</f>
        <v/>
      </c>
      <c r="R155" s="7">
        <f>N155*5%</f>
        <v/>
      </c>
      <c r="S155" s="7">
        <f>N155*2%</f>
        <v/>
      </c>
      <c r="T155" s="7">
        <f>AE155*0.5%</f>
        <v/>
      </c>
      <c r="U155" s="7">
        <f>N155*1%</f>
        <v/>
      </c>
      <c r="V155" s="31">
        <f>U155+S155+R155+Q155+P155+O155</f>
        <v/>
      </c>
      <c r="W155" s="32">
        <f>AE155*1%</f>
        <v/>
      </c>
      <c r="X155" s="32">
        <f>AE155*10%</f>
        <v/>
      </c>
      <c r="Y155" s="32">
        <f>AE155*1%</f>
        <v/>
      </c>
      <c r="Z155" s="32">
        <f>AE155*8%</f>
        <v/>
      </c>
      <c r="AA155" s="32">
        <f>W155+X155+Y155+Z155</f>
        <v/>
      </c>
      <c r="AB155" s="31">
        <f>AA155+V155+N155</f>
        <v/>
      </c>
      <c r="AC155" s="6">
        <f>AB155*20%</f>
        <v/>
      </c>
      <c r="AD155" s="7">
        <f>AB155+AC155</f>
        <v/>
      </c>
      <c r="AE155" s="32">
        <f>D155*2.1</f>
        <v/>
      </c>
      <c r="AF155" s="7">
        <f>AD155-AE155</f>
        <v/>
      </c>
      <c r="AG155" s="7">
        <f>AF155/AD155*100</f>
        <v/>
      </c>
      <c r="AH155" s="0" t="n">
        <v>6350</v>
      </c>
      <c r="AI155" s="33" t="n">
        <v>2570</v>
      </c>
      <c r="AJ155" s="34">
        <f>AD155</f>
        <v/>
      </c>
      <c r="AK155" s="34">
        <f>AJ155-(AJ155*7%)</f>
        <v/>
      </c>
      <c r="AL155" s="35">
        <f>AJ155/94</f>
        <v/>
      </c>
      <c r="AM155" s="35">
        <f>AK155/94</f>
        <v/>
      </c>
      <c r="AN155" s="36">
        <f>AJ155/24</f>
        <v/>
      </c>
      <c r="AO155" s="36">
        <f>AK155/24</f>
        <v/>
      </c>
      <c r="AP155" s="37">
        <f>AJ155/125</f>
        <v/>
      </c>
      <c r="AQ155" s="37">
        <f>AK155/125</f>
        <v/>
      </c>
    </row>
    <row r="156" ht="15.75" customHeight="1" s="50">
      <c r="A156" s="32" t="n"/>
      <c r="B156" s="32" t="inlineStr">
        <is>
          <t>12in / Mahogany</t>
        </is>
      </c>
      <c r="C156" s="32" t="inlineStr">
        <is>
          <t>MI-DJB-M-12</t>
        </is>
      </c>
      <c r="D156" s="32" t="n">
        <v>3780</v>
      </c>
      <c r="G156" s="32" t="n">
        <v>0</v>
      </c>
      <c r="H156" s="32" t="n">
        <v>10</v>
      </c>
      <c r="I156" s="41" t="n">
        <v>92060000</v>
      </c>
      <c r="J156" s="30" t="n">
        <v>0.18</v>
      </c>
      <c r="K156" s="32">
        <f>D156*J156</f>
        <v/>
      </c>
      <c r="M156" s="32">
        <f>D156*4%</f>
        <v/>
      </c>
      <c r="N156" s="49">
        <f>M156+L156+K156+H156+G156+F156+E156+D156</f>
        <v/>
      </c>
      <c r="O156" s="32">
        <f>D156*1%</f>
        <v/>
      </c>
      <c r="P156" s="7">
        <f>N156*8%</f>
        <v/>
      </c>
      <c r="Q156" s="7">
        <f>N156*10%</f>
        <v/>
      </c>
      <c r="R156" s="7">
        <f>N156*5%</f>
        <v/>
      </c>
      <c r="S156" s="7">
        <f>N156*2%</f>
        <v/>
      </c>
      <c r="T156" s="7">
        <f>AE156*0.5%</f>
        <v/>
      </c>
      <c r="U156" s="7">
        <f>N156*1%</f>
        <v/>
      </c>
      <c r="V156" s="31">
        <f>U156+S156+R156+Q156+P156+O156</f>
        <v/>
      </c>
      <c r="W156" s="32">
        <f>AE156*1%</f>
        <v/>
      </c>
      <c r="X156" s="32">
        <f>AE156*10%</f>
        <v/>
      </c>
      <c r="Y156" s="32">
        <f>AE156*1%</f>
        <v/>
      </c>
      <c r="Z156" s="32">
        <f>AE156*8%</f>
        <v/>
      </c>
      <c r="AA156" s="32">
        <f>W156+X156+Y156+Z156</f>
        <v/>
      </c>
      <c r="AB156" s="31">
        <f>AA156+V156+N156</f>
        <v/>
      </c>
      <c r="AC156" s="6">
        <f>AB156*20%</f>
        <v/>
      </c>
      <c r="AD156" s="7">
        <f>AB156+AC156</f>
        <v/>
      </c>
      <c r="AE156" s="32">
        <f>D156*2.1</f>
        <v/>
      </c>
      <c r="AF156" s="7">
        <f>AD156-AE156</f>
        <v/>
      </c>
      <c r="AG156" s="7">
        <f>AF156/AD156*100</f>
        <v/>
      </c>
      <c r="AH156" s="0" t="n">
        <v>6350</v>
      </c>
      <c r="AI156" s="33" t="n">
        <v>2570</v>
      </c>
      <c r="AJ156" s="34">
        <f>AD156</f>
        <v/>
      </c>
      <c r="AK156" s="34">
        <f>AJ156-(AJ156*7%)</f>
        <v/>
      </c>
      <c r="AL156" s="35">
        <f>AJ156/94</f>
        <v/>
      </c>
      <c r="AM156" s="35">
        <f>AK156/94</f>
        <v/>
      </c>
      <c r="AN156" s="36">
        <f>AJ156/24</f>
        <v/>
      </c>
      <c r="AO156" s="36">
        <f>AK156/24</f>
        <v/>
      </c>
      <c r="AP156" s="37">
        <f>AJ156/125</f>
        <v/>
      </c>
      <c r="AQ156" s="37">
        <f>AK156/125</f>
        <v/>
      </c>
    </row>
    <row r="157" ht="15.75" customHeight="1" s="50">
      <c r="A157" s="32" t="n"/>
      <c r="B157" s="32" t="inlineStr">
        <is>
          <t>14in / Mahogany</t>
        </is>
      </c>
      <c r="C157" s="32" t="inlineStr">
        <is>
          <t>MI-DJB-M-14</t>
        </is>
      </c>
      <c r="D157" s="32" t="n">
        <v>4300</v>
      </c>
      <c r="G157" s="32" t="n">
        <v>0</v>
      </c>
      <c r="H157" s="32" t="n">
        <v>10</v>
      </c>
      <c r="I157" s="41" t="n">
        <v>92060000</v>
      </c>
      <c r="J157" s="30" t="n">
        <v>0.18</v>
      </c>
      <c r="K157" s="32">
        <f>D157*J157</f>
        <v/>
      </c>
      <c r="M157" s="32">
        <f>D157*4%</f>
        <v/>
      </c>
      <c r="N157" s="49">
        <f>M157+L157+K157+H157+G157+F157+E157+D157</f>
        <v/>
      </c>
      <c r="O157" s="32">
        <f>D157*1%</f>
        <v/>
      </c>
      <c r="P157" s="7">
        <f>N157*8%</f>
        <v/>
      </c>
      <c r="Q157" s="7">
        <f>N157*10%</f>
        <v/>
      </c>
      <c r="R157" s="7">
        <f>N157*5%</f>
        <v/>
      </c>
      <c r="S157" s="7">
        <f>N157*2%</f>
        <v/>
      </c>
      <c r="T157" s="7">
        <f>AE157*0.5%</f>
        <v/>
      </c>
      <c r="U157" s="7">
        <f>N157*1%</f>
        <v/>
      </c>
      <c r="V157" s="31">
        <f>U157+S157+R157+Q157+P157+O157</f>
        <v/>
      </c>
      <c r="W157" s="32">
        <f>AE157*1%</f>
        <v/>
      </c>
      <c r="X157" s="32">
        <f>AE157*10%</f>
        <v/>
      </c>
      <c r="Y157" s="32">
        <f>AE157*1%</f>
        <v/>
      </c>
      <c r="Z157" s="32">
        <f>AE157*8%</f>
        <v/>
      </c>
      <c r="AA157" s="32">
        <f>W157+X157+Y157+Z157</f>
        <v/>
      </c>
      <c r="AB157" s="31">
        <f>AA157+V157+N157</f>
        <v/>
      </c>
      <c r="AC157" s="6">
        <f>AB157*20%</f>
        <v/>
      </c>
      <c r="AD157" s="7">
        <f>AB157+AC157</f>
        <v/>
      </c>
      <c r="AE157" s="32">
        <f>D157*2.1</f>
        <v/>
      </c>
      <c r="AF157" s="7">
        <f>AD157-AE157</f>
        <v/>
      </c>
      <c r="AG157" s="7">
        <f>AF157/AD157*100</f>
        <v/>
      </c>
      <c r="AH157" s="0" t="n">
        <v>7450</v>
      </c>
      <c r="AI157" s="33" t="n">
        <v>3150</v>
      </c>
      <c r="AJ157" s="34">
        <f>AD157</f>
        <v/>
      </c>
      <c r="AK157" s="34">
        <f>AJ157-(AJ157*7%)</f>
        <v/>
      </c>
      <c r="AL157" s="35">
        <f>AJ157/94</f>
        <v/>
      </c>
      <c r="AM157" s="35">
        <f>AK157/94</f>
        <v/>
      </c>
      <c r="AN157" s="36">
        <f>AJ157/24</f>
        <v/>
      </c>
      <c r="AO157" s="36">
        <f>AK157/24</f>
        <v/>
      </c>
      <c r="AP157" s="37">
        <f>AJ157/125</f>
        <v/>
      </c>
      <c r="AQ157" s="37">
        <f>AK157/125</f>
        <v/>
      </c>
    </row>
    <row r="158" ht="15.75" customHeight="1" s="50">
      <c r="A158" s="32" t="n"/>
      <c r="B158" s="32" t="inlineStr">
        <is>
          <t>14in / Ivory</t>
        </is>
      </c>
      <c r="C158" s="32" t="inlineStr">
        <is>
          <t>MI-DJB-I-14</t>
        </is>
      </c>
      <c r="D158" s="32" t="n">
        <v>4300</v>
      </c>
      <c r="G158" s="32" t="n">
        <v>0</v>
      </c>
      <c r="H158" s="32" t="n">
        <v>10</v>
      </c>
      <c r="I158" s="41" t="n">
        <v>92060000</v>
      </c>
      <c r="J158" s="30" t="n">
        <v>0.18</v>
      </c>
      <c r="K158" s="32">
        <f>D158*J158</f>
        <v/>
      </c>
      <c r="M158" s="32">
        <f>D158*4%</f>
        <v/>
      </c>
      <c r="N158" s="49">
        <f>M158+L158+#REF!+H158+G158+F158+E158+D158</f>
        <v/>
      </c>
      <c r="O158" s="32">
        <f>D158*1%</f>
        <v/>
      </c>
      <c r="P158" s="7">
        <f>N158*8%</f>
        <v/>
      </c>
      <c r="Q158" s="7">
        <f>N158*10%</f>
        <v/>
      </c>
      <c r="R158" s="7">
        <f>N158*5%</f>
        <v/>
      </c>
      <c r="S158" s="7">
        <f>N158*2%</f>
        <v/>
      </c>
      <c r="T158" s="7">
        <f>AE158*0.5%</f>
        <v/>
      </c>
      <c r="U158" s="7">
        <f>N158*1%</f>
        <v/>
      </c>
      <c r="V158" s="49">
        <f>U158+S158+R158+Q158+P158+O158</f>
        <v/>
      </c>
      <c r="W158" s="32">
        <f>AE158*1%</f>
        <v/>
      </c>
      <c r="X158" s="32">
        <f>AE158*10%</f>
        <v/>
      </c>
      <c r="Y158" s="32">
        <f>AE158*1%</f>
        <v/>
      </c>
      <c r="Z158" s="32">
        <f>AE158*8%</f>
        <v/>
      </c>
      <c r="AA158" s="32">
        <f>W158+X158+Y158+Z158</f>
        <v/>
      </c>
      <c r="AB158" s="31">
        <f>AA158+V158+N158</f>
        <v/>
      </c>
      <c r="AC158" s="6">
        <f>AB158*20%</f>
        <v/>
      </c>
      <c r="AD158" s="32">
        <f>AB158+AC158</f>
        <v/>
      </c>
      <c r="AE158" s="32">
        <f>D158*2.1</f>
        <v/>
      </c>
      <c r="AF158" s="7">
        <f>AD158-AE158</f>
        <v/>
      </c>
      <c r="AG158" s="7">
        <f>AF158/AD158*100</f>
        <v/>
      </c>
      <c r="AH158" s="0" t="n">
        <v>7450</v>
      </c>
      <c r="AI158" s="33" t="n">
        <v>3150</v>
      </c>
      <c r="AJ158" s="34">
        <f>AD158</f>
        <v/>
      </c>
      <c r="AK158" s="34">
        <f>AJ158-(AJ158*7%)</f>
        <v/>
      </c>
      <c r="AL158" s="35">
        <f>AJ158/94</f>
        <v/>
      </c>
      <c r="AM158" s="35">
        <f>AK158/94</f>
        <v/>
      </c>
      <c r="AN158" s="36">
        <f>AJ158/24</f>
        <v/>
      </c>
      <c r="AO158" s="36">
        <f>AK158/24</f>
        <v/>
      </c>
      <c r="AP158" s="37">
        <f>AJ158/125</f>
        <v/>
      </c>
      <c r="AQ158" s="37">
        <f>AK158/125</f>
        <v/>
      </c>
    </row>
    <row r="159" ht="15" customHeight="1" s="50">
      <c r="A159" s="32" t="inlineStr">
        <is>
          <t>Dotted Singing Bowl</t>
        </is>
      </c>
      <c r="B159" s="32" t="inlineStr">
        <is>
          <t>4 inch Hand Made</t>
        </is>
      </c>
      <c r="C159" s="32" t="inlineStr">
        <is>
          <t>MI-SB-HH-4</t>
        </is>
      </c>
      <c r="D159" s="32" t="n">
        <v>575</v>
      </c>
      <c r="G159" s="32" t="n">
        <v>0</v>
      </c>
      <c r="H159" s="32" t="n">
        <v>10</v>
      </c>
      <c r="I159" s="41" t="n">
        <v>83061000</v>
      </c>
      <c r="J159" s="30" t="n">
        <v>0.05</v>
      </c>
      <c r="K159" s="32">
        <f>D159*J159</f>
        <v/>
      </c>
      <c r="M159" s="32">
        <f>D159*4%</f>
        <v/>
      </c>
      <c r="N159" s="49">
        <f>M159+L159+K158+H159+G159+F159+E159+D159</f>
        <v/>
      </c>
      <c r="O159" s="32">
        <f>D159*1%</f>
        <v/>
      </c>
      <c r="P159" s="7">
        <f>N159*8%</f>
        <v/>
      </c>
      <c r="Q159" s="7">
        <f>N159*10%</f>
        <v/>
      </c>
      <c r="R159" s="7">
        <f>N159*5%</f>
        <v/>
      </c>
      <c r="S159" s="7">
        <f>N159*2%</f>
        <v/>
      </c>
      <c r="T159" s="7">
        <f>AE159*0.5%</f>
        <v/>
      </c>
      <c r="U159" s="7">
        <f>N159*1%</f>
        <v/>
      </c>
      <c r="V159" s="31">
        <f>U159+S159+R159+Q159+P159+O159</f>
        <v/>
      </c>
      <c r="W159" s="32">
        <f>AE159*1%</f>
        <v/>
      </c>
      <c r="X159" s="32">
        <f>AE159*10%</f>
        <v/>
      </c>
      <c r="Y159" s="32">
        <f>AE159*1%</f>
        <v/>
      </c>
      <c r="Z159" s="32">
        <f>AE159*8%</f>
        <v/>
      </c>
      <c r="AA159" s="32">
        <f>W159+X159+Y159+Z159</f>
        <v/>
      </c>
      <c r="AB159" s="31">
        <f>AA159+V159+N159</f>
        <v/>
      </c>
      <c r="AC159" s="6">
        <f>AB159*20%</f>
        <v/>
      </c>
      <c r="AD159" s="7">
        <f>AB159+AC159</f>
        <v/>
      </c>
      <c r="AE159" s="32">
        <f>D159*2.1</f>
        <v/>
      </c>
      <c r="AF159" s="7">
        <f>AD159-AE159</f>
        <v/>
      </c>
      <c r="AG159" s="7">
        <f>AF159/AD159*100</f>
        <v/>
      </c>
      <c r="AI159" s="33" t="n"/>
      <c r="AJ159" s="34">
        <f>AD159</f>
        <v/>
      </c>
      <c r="AK159" s="34">
        <f>AJ159-(AJ159*7%)</f>
        <v/>
      </c>
      <c r="AL159" s="35">
        <f>AJ159/94</f>
        <v/>
      </c>
      <c r="AM159" s="35">
        <f>AK159/94</f>
        <v/>
      </c>
      <c r="AN159" s="36">
        <f>AJ159/24</f>
        <v/>
      </c>
      <c r="AO159" s="36">
        <f>AK159/24</f>
        <v/>
      </c>
      <c r="AP159" s="37">
        <f>AJ159/125</f>
        <v/>
      </c>
      <c r="AQ159" s="37">
        <f>AK159/125</f>
        <v/>
      </c>
    </row>
    <row r="160" ht="15.75" customHeight="1" s="50">
      <c r="A160" s="32" t="n"/>
      <c r="B160" s="32" t="inlineStr">
        <is>
          <t xml:space="preserve">Deep 5.5 Inch </t>
        </is>
      </c>
      <c r="C160" s="32" t="inlineStr">
        <is>
          <t>MI-SB-HH-D-5.5</t>
        </is>
      </c>
      <c r="D160" s="32" t="n">
        <v>1265</v>
      </c>
      <c r="G160" s="32" t="n">
        <v>0</v>
      </c>
      <c r="H160" s="32" t="n">
        <v>10</v>
      </c>
      <c r="I160" s="41" t="n">
        <v>83061001</v>
      </c>
      <c r="J160" s="30" t="n">
        <v>0.05</v>
      </c>
      <c r="K160" s="32">
        <f>D160*J160</f>
        <v/>
      </c>
      <c r="M160" s="32">
        <f>D160*4%</f>
        <v/>
      </c>
      <c r="N160" s="49">
        <f>M160+L160+K160+H160+G160+F160+E160+D160</f>
        <v/>
      </c>
      <c r="O160" s="32">
        <f>D160*1%</f>
        <v/>
      </c>
      <c r="P160" s="7">
        <f>N160*8%</f>
        <v/>
      </c>
      <c r="Q160" s="7">
        <f>N160*10%</f>
        <v/>
      </c>
      <c r="R160" s="7">
        <f>N160*5%</f>
        <v/>
      </c>
      <c r="S160" s="7">
        <f>N160*2%</f>
        <v/>
      </c>
      <c r="T160" s="7">
        <f>AE160*0.5%</f>
        <v/>
      </c>
      <c r="U160" s="7">
        <f>N160*1%</f>
        <v/>
      </c>
      <c r="V160" s="31">
        <f>U160+S160+R160+Q160+P160+O160</f>
        <v/>
      </c>
      <c r="W160" s="32">
        <f>AE160*1%</f>
        <v/>
      </c>
      <c r="X160" s="32">
        <f>AE160*10%</f>
        <v/>
      </c>
      <c r="Y160" s="32">
        <f>AE160*1%</f>
        <v/>
      </c>
      <c r="Z160" s="32">
        <f>AE160*8%</f>
        <v/>
      </c>
      <c r="AA160" s="32">
        <f>W160+X160+Y160+Z160</f>
        <v/>
      </c>
      <c r="AB160" s="31">
        <f>AA160+V160+N160</f>
        <v/>
      </c>
      <c r="AC160" s="6">
        <f>AB160*20%</f>
        <v/>
      </c>
      <c r="AD160" s="7">
        <f>AB160+AC160</f>
        <v/>
      </c>
      <c r="AE160" s="32">
        <f>D160*2.1</f>
        <v/>
      </c>
      <c r="AF160" s="7">
        <f>AD160-AE160</f>
        <v/>
      </c>
      <c r="AG160" s="7">
        <f>AF160/AD160*100</f>
        <v/>
      </c>
      <c r="AI160" s="33" t="n"/>
      <c r="AJ160" s="34">
        <f>AD160</f>
        <v/>
      </c>
      <c r="AK160" s="34">
        <f>AJ160-(AJ160*7%)</f>
        <v/>
      </c>
      <c r="AL160" s="35">
        <f>AJ160/94</f>
        <v/>
      </c>
      <c r="AM160" s="35">
        <f>AK160/94</f>
        <v/>
      </c>
      <c r="AN160" s="36">
        <f>AJ160/24</f>
        <v/>
      </c>
      <c r="AO160" s="36">
        <f>AK160/24</f>
        <v/>
      </c>
      <c r="AP160" s="37">
        <f>AJ160/125</f>
        <v/>
      </c>
      <c r="AQ160" s="37">
        <f>AK160/125</f>
        <v/>
      </c>
    </row>
    <row r="161" ht="15.75" customHeight="1" s="50">
      <c r="A161" s="32" t="n"/>
      <c r="B161" s="32" t="inlineStr">
        <is>
          <t>5.5 inch Hand Made</t>
        </is>
      </c>
      <c r="C161" s="32" t="inlineStr">
        <is>
          <t>MI-SB-HH-5.5</t>
        </is>
      </c>
      <c r="D161" s="32" t="n">
        <v>1150</v>
      </c>
      <c r="G161" s="32" t="n">
        <v>0</v>
      </c>
      <c r="H161" s="32" t="n">
        <v>10</v>
      </c>
      <c r="I161" s="41" t="n">
        <v>83061001</v>
      </c>
      <c r="J161" s="30" t="n">
        <v>0.05</v>
      </c>
      <c r="K161" s="32">
        <f>D161*J161</f>
        <v/>
      </c>
      <c r="M161" s="32">
        <f>D161*4%</f>
        <v/>
      </c>
      <c r="N161" s="49">
        <f>M161+L161+K161+H161+G161+F161+E161+D161</f>
        <v/>
      </c>
      <c r="O161" s="32">
        <f>D161*1%</f>
        <v/>
      </c>
      <c r="P161" s="7">
        <f>N161*8%</f>
        <v/>
      </c>
      <c r="Q161" s="7">
        <f>N161*10%</f>
        <v/>
      </c>
      <c r="R161" s="7">
        <f>N161*5%</f>
        <v/>
      </c>
      <c r="S161" s="7">
        <f>N161*2%</f>
        <v/>
      </c>
      <c r="T161" s="7">
        <f>AE161*0.5%</f>
        <v/>
      </c>
      <c r="U161" s="7">
        <f>N161*1%</f>
        <v/>
      </c>
      <c r="V161" s="31">
        <f>U161+S161+R161+Q161+P161+O161</f>
        <v/>
      </c>
      <c r="W161" s="32">
        <f>AE161*1%</f>
        <v/>
      </c>
      <c r="X161" s="32">
        <f>AE161*10%</f>
        <v/>
      </c>
      <c r="Y161" s="32">
        <f>AE161*1%</f>
        <v/>
      </c>
      <c r="Z161" s="32">
        <f>AE161*8%</f>
        <v/>
      </c>
      <c r="AA161" s="32">
        <f>W161+X161+Y161+Z161</f>
        <v/>
      </c>
      <c r="AB161" s="31">
        <f>AA161+V161+N161</f>
        <v/>
      </c>
      <c r="AC161" s="6">
        <f>AB161*20%</f>
        <v/>
      </c>
      <c r="AD161" s="7">
        <f>AB161+AC161</f>
        <v/>
      </c>
      <c r="AE161" s="32">
        <f>D161*2.1</f>
        <v/>
      </c>
      <c r="AF161" s="7">
        <f>AD161-AE161</f>
        <v/>
      </c>
      <c r="AG161" s="7">
        <f>AF161/AD161*100</f>
        <v/>
      </c>
      <c r="AI161" s="33" t="n"/>
      <c r="AJ161" s="34">
        <f>AD161</f>
        <v/>
      </c>
      <c r="AK161" s="34">
        <f>AJ161-(AJ161*7%)</f>
        <v/>
      </c>
      <c r="AL161" s="35">
        <f>AJ161/94</f>
        <v/>
      </c>
      <c r="AM161" s="35">
        <f>AK161/94</f>
        <v/>
      </c>
      <c r="AN161" s="36">
        <f>AJ161/24</f>
        <v/>
      </c>
      <c r="AO161" s="36">
        <f>AK161/24</f>
        <v/>
      </c>
      <c r="AP161" s="37">
        <f>AJ161/125</f>
        <v/>
      </c>
      <c r="AQ161" s="37">
        <f>AK161/125</f>
        <v/>
      </c>
    </row>
    <row r="162" ht="15" customHeight="1" s="50">
      <c r="A162" s="32" t="inlineStr">
        <is>
          <t>Dumru/Dumroo Indian Handmade Percussion Instrument</t>
        </is>
      </c>
      <c r="B162" s="32" t="inlineStr">
        <is>
          <t>Plain</t>
        </is>
      </c>
      <c r="C162" s="32" t="inlineStr">
        <is>
          <t>MI-D-P</t>
        </is>
      </c>
      <c r="D162" s="32" t="n">
        <v>60</v>
      </c>
      <c r="G162" s="32" t="n">
        <v>0</v>
      </c>
      <c r="H162" s="32" t="n">
        <v>10</v>
      </c>
      <c r="I162" s="41" t="n">
        <v>92060000</v>
      </c>
      <c r="J162" s="30" t="n">
        <v>0.18</v>
      </c>
      <c r="K162" s="32">
        <f>D162*J162</f>
        <v/>
      </c>
      <c r="M162" s="32">
        <f>D162*4%</f>
        <v/>
      </c>
      <c r="N162" s="49">
        <f>M162+L162+K162+H162+G162+F162+E162+D162</f>
        <v/>
      </c>
      <c r="O162" s="32">
        <f>D162*1%</f>
        <v/>
      </c>
      <c r="P162" s="7">
        <f>N162*8%</f>
        <v/>
      </c>
      <c r="Q162" s="7">
        <f>N162*10%</f>
        <v/>
      </c>
      <c r="R162" s="7">
        <f>N162*5%</f>
        <v/>
      </c>
      <c r="S162" s="7">
        <f>N162*2%</f>
        <v/>
      </c>
      <c r="T162" s="7">
        <f>AE162*0.5%</f>
        <v/>
      </c>
      <c r="U162" s="7">
        <f>N162*1%</f>
        <v/>
      </c>
      <c r="V162" s="31">
        <f>U162+S162+R162+Q162+P162+O162</f>
        <v/>
      </c>
      <c r="W162" s="32">
        <f>AE162*1%</f>
        <v/>
      </c>
      <c r="X162" s="32">
        <f>AE162*10%</f>
        <v/>
      </c>
      <c r="Y162" s="32">
        <f>AE162*1%</f>
        <v/>
      </c>
      <c r="Z162" s="32">
        <f>AE162*8%</f>
        <v/>
      </c>
      <c r="AA162" s="32">
        <f>W162+X162+Y162+Z162</f>
        <v/>
      </c>
      <c r="AB162" s="31">
        <f>AA162+V162+N162</f>
        <v/>
      </c>
      <c r="AC162" s="6">
        <f>AB162*20%</f>
        <v/>
      </c>
      <c r="AD162" s="7">
        <f>AB162+AC162</f>
        <v/>
      </c>
      <c r="AE162" s="32">
        <f>D162*2.1</f>
        <v/>
      </c>
      <c r="AF162" s="7">
        <f>AD162-AE162</f>
        <v/>
      </c>
      <c r="AG162" s="7">
        <f>AF162/AD162*100</f>
        <v/>
      </c>
      <c r="AH162" s="0" t="n">
        <v>275</v>
      </c>
      <c r="AI162" s="33" t="n">
        <v>215</v>
      </c>
      <c r="AJ162" s="34">
        <f>AD162</f>
        <v/>
      </c>
      <c r="AK162" s="34">
        <f>AJ162-(AJ162*7%)</f>
        <v/>
      </c>
      <c r="AL162" s="35">
        <f>AJ162/94</f>
        <v/>
      </c>
      <c r="AM162" s="35">
        <f>AK162/94</f>
        <v/>
      </c>
      <c r="AN162" s="36">
        <f>AJ162/24</f>
        <v/>
      </c>
      <c r="AO162" s="36">
        <f>AK162/24</f>
        <v/>
      </c>
      <c r="AP162" s="37">
        <f>AJ162/125</f>
        <v/>
      </c>
      <c r="AQ162" s="37">
        <f>AK162/125</f>
        <v/>
      </c>
    </row>
    <row r="163" ht="15.75" customHeight="1" s="50">
      <c r="A163" s="32" t="n"/>
      <c r="B163" s="32" t="inlineStr">
        <is>
          <t>Dot Painted</t>
        </is>
      </c>
      <c r="C163" s="32" t="inlineStr">
        <is>
          <t>MI-D-DP</t>
        </is>
      </c>
      <c r="D163" s="32" t="n">
        <v>85</v>
      </c>
      <c r="G163" s="32" t="n">
        <v>0</v>
      </c>
      <c r="H163" s="32" t="n">
        <v>10</v>
      </c>
      <c r="I163" s="41" t="n">
        <v>92060000</v>
      </c>
      <c r="J163" s="30" t="n">
        <v>0.18</v>
      </c>
      <c r="K163" s="32">
        <f>D163*J163</f>
        <v/>
      </c>
      <c r="M163" s="32">
        <f>D163*4%</f>
        <v/>
      </c>
      <c r="N163" s="49">
        <f>M163+L163+K163+H163+G163+F163+E163+D163</f>
        <v/>
      </c>
      <c r="O163" s="32">
        <f>D163*1%</f>
        <v/>
      </c>
      <c r="P163" s="7">
        <f>N163*8%</f>
        <v/>
      </c>
      <c r="Q163" s="7">
        <f>N163*10%</f>
        <v/>
      </c>
      <c r="R163" s="7">
        <f>N163*5%</f>
        <v/>
      </c>
      <c r="S163" s="7">
        <f>N163*2%</f>
        <v/>
      </c>
      <c r="T163" s="7">
        <f>AE163*0.5%</f>
        <v/>
      </c>
      <c r="U163" s="7">
        <f>N163*1%</f>
        <v/>
      </c>
      <c r="V163" s="31">
        <f>U163+S163+R163+Q163+P163+O163</f>
        <v/>
      </c>
      <c r="W163" s="32">
        <f>AE163*1%</f>
        <v/>
      </c>
      <c r="X163" s="32">
        <f>AE163*10%</f>
        <v/>
      </c>
      <c r="Y163" s="32">
        <f>AE163*1%</f>
        <v/>
      </c>
      <c r="Z163" s="32">
        <f>AE163*8%</f>
        <v/>
      </c>
      <c r="AA163" s="32">
        <f>W163+X163+Y163+Z163</f>
        <v/>
      </c>
      <c r="AB163" s="31">
        <f>AA163+V163+N163</f>
        <v/>
      </c>
      <c r="AC163" s="6">
        <f>AB163*20%</f>
        <v/>
      </c>
      <c r="AD163" s="7">
        <f>AB163+AC163</f>
        <v/>
      </c>
      <c r="AE163" s="32">
        <f>D163*2.1</f>
        <v/>
      </c>
      <c r="AF163" s="7">
        <f>AD163-AE163</f>
        <v/>
      </c>
      <c r="AG163" s="7">
        <f>AF163/AD163*100</f>
        <v/>
      </c>
      <c r="AH163" s="0" t="n">
        <v>325</v>
      </c>
      <c r="AI163" s="33" t="n">
        <v>240</v>
      </c>
      <c r="AJ163" s="34">
        <f>AD163</f>
        <v/>
      </c>
      <c r="AK163" s="34">
        <f>AJ163-(AJ163*7%)</f>
        <v/>
      </c>
      <c r="AL163" s="35">
        <f>AJ163/94</f>
        <v/>
      </c>
      <c r="AM163" s="35">
        <f>AK163/94</f>
        <v/>
      </c>
      <c r="AN163" s="36">
        <f>AJ163/24</f>
        <v/>
      </c>
      <c r="AO163" s="36">
        <f>AK163/24</f>
        <v/>
      </c>
      <c r="AP163" s="37">
        <f>AJ163/125</f>
        <v/>
      </c>
      <c r="AQ163" s="37">
        <f>AK163/125</f>
        <v/>
      </c>
    </row>
    <row r="164" ht="15" customHeight="1" s="50">
      <c r="A164" s="32" t="inlineStr">
        <is>
          <t>Eco-Friendly Neem Wood Toothbrush</t>
        </is>
      </c>
      <c r="B164" s="32" t="inlineStr">
        <is>
          <t>pack-of-2</t>
        </is>
      </c>
      <c r="C164" s="32" t="inlineStr">
        <is>
          <t>NTB-2</t>
        </is>
      </c>
      <c r="D164" s="32" t="n">
        <v>70</v>
      </c>
      <c r="G164" s="32" t="n">
        <v>0</v>
      </c>
      <c r="H164" s="32" t="n">
        <v>10</v>
      </c>
      <c r="I164" s="41" t="n">
        <v>9603</v>
      </c>
      <c r="J164" s="30" t="n">
        <v>0.18</v>
      </c>
      <c r="K164" s="32">
        <f>D164*J164</f>
        <v/>
      </c>
      <c r="M164" s="32">
        <f>D164*4%</f>
        <v/>
      </c>
      <c r="N164" s="49">
        <f>M164+L164+K164+H164+G164+F164+E164+D164</f>
        <v/>
      </c>
      <c r="O164" s="32">
        <f>D164*1%</f>
        <v/>
      </c>
      <c r="P164" s="7">
        <f>N164*8%</f>
        <v/>
      </c>
      <c r="Q164" s="7">
        <f>N164*10%</f>
        <v/>
      </c>
      <c r="R164" s="7">
        <f>N164*5%</f>
        <v/>
      </c>
      <c r="S164" s="7">
        <f>N164*2%</f>
        <v/>
      </c>
      <c r="T164" s="7">
        <f>AE164*0.5%</f>
        <v/>
      </c>
      <c r="U164" s="7">
        <f>N164*1%</f>
        <v/>
      </c>
      <c r="V164" s="31">
        <f>U164+S164+R164+Q164+P164+O164</f>
        <v/>
      </c>
      <c r="W164" s="32">
        <f>AE164*1%</f>
        <v/>
      </c>
      <c r="X164" s="32">
        <f>AE164*10%</f>
        <v/>
      </c>
      <c r="Y164" s="32">
        <f>AE164*1%</f>
        <v/>
      </c>
      <c r="Z164" s="32">
        <f>AE164*8%</f>
        <v/>
      </c>
      <c r="AA164" s="32">
        <f>W164+X164+Y164+Z164</f>
        <v/>
      </c>
      <c r="AB164" s="31">
        <f>AA164+V164+N164</f>
        <v/>
      </c>
      <c r="AC164" s="6">
        <f>AB164*20%</f>
        <v/>
      </c>
      <c r="AD164" s="7">
        <f>AB164+AC164</f>
        <v/>
      </c>
      <c r="AE164" s="32">
        <f>D164*2.1</f>
        <v/>
      </c>
      <c r="AF164" s="7">
        <f>AD164-AE164</f>
        <v/>
      </c>
      <c r="AG164" s="7">
        <f>AF164/AD164*100</f>
        <v/>
      </c>
      <c r="AH164" s="0" t="n">
        <v>225</v>
      </c>
      <c r="AI164" s="33" t="n">
        <v>155</v>
      </c>
      <c r="AJ164" s="34">
        <f>AD164</f>
        <v/>
      </c>
      <c r="AK164" s="34">
        <f>AJ164-(AJ164*7%)</f>
        <v/>
      </c>
      <c r="AL164" s="35">
        <f>AJ164/94</f>
        <v/>
      </c>
      <c r="AM164" s="35">
        <f>AK164/94</f>
        <v/>
      </c>
      <c r="AN164" s="36">
        <f>AJ164/24</f>
        <v/>
      </c>
      <c r="AO164" s="36">
        <f>AK164/24</f>
        <v/>
      </c>
      <c r="AP164" s="37">
        <f>AJ164/125</f>
        <v/>
      </c>
      <c r="AQ164" s="37">
        <f>AK164/125</f>
        <v/>
      </c>
    </row>
    <row r="165" ht="15.75" customHeight="1" s="50">
      <c r="A165" s="32" t="n"/>
      <c r="B165" s="32" t="inlineStr">
        <is>
          <t>pack-of-4</t>
        </is>
      </c>
      <c r="C165" s="32" t="inlineStr">
        <is>
          <t>NTB-4</t>
        </is>
      </c>
      <c r="D165" s="32" t="n">
        <v>140</v>
      </c>
      <c r="G165" s="32" t="n">
        <v>0</v>
      </c>
      <c r="H165" s="32" t="n">
        <v>10</v>
      </c>
      <c r="I165" s="41" t="n">
        <v>9603</v>
      </c>
      <c r="J165" s="30" t="n">
        <v>0.18</v>
      </c>
      <c r="K165" s="32">
        <f>D165*J165</f>
        <v/>
      </c>
      <c r="M165" s="32">
        <f>D165*4%</f>
        <v/>
      </c>
      <c r="N165" s="49">
        <f>M165+L165+K165+H165+G165+F165+E165+D165</f>
        <v/>
      </c>
      <c r="O165" s="32">
        <f>D165*1%</f>
        <v/>
      </c>
      <c r="P165" s="7">
        <f>N165*8%</f>
        <v/>
      </c>
      <c r="Q165" s="7">
        <f>N165*10%</f>
        <v/>
      </c>
      <c r="R165" s="7">
        <f>N165*5%</f>
        <v/>
      </c>
      <c r="S165" s="7">
        <f>N165*2%</f>
        <v/>
      </c>
      <c r="T165" s="7">
        <f>AE165*0.5%</f>
        <v/>
      </c>
      <c r="U165" s="7">
        <f>N165*1%</f>
        <v/>
      </c>
      <c r="V165" s="31">
        <f>U165+S165+R165+Q165+P165+O165</f>
        <v/>
      </c>
      <c r="W165" s="32">
        <f>AE165*1%</f>
        <v/>
      </c>
      <c r="X165" s="32">
        <f>AE165*10%</f>
        <v/>
      </c>
      <c r="Y165" s="32">
        <f>AE165*1%</f>
        <v/>
      </c>
      <c r="Z165" s="32">
        <f>AE165*8%</f>
        <v/>
      </c>
      <c r="AA165" s="32">
        <f>W165+X165+Y165+Z165</f>
        <v/>
      </c>
      <c r="AB165" s="31">
        <f>AA165+V165+N165</f>
        <v/>
      </c>
      <c r="AC165" s="6">
        <f>AB165*20%</f>
        <v/>
      </c>
      <c r="AD165" s="7">
        <f>AB165+AC165</f>
        <v/>
      </c>
      <c r="AE165" s="32">
        <f>D165*2.1</f>
        <v/>
      </c>
      <c r="AF165" s="7">
        <f>AD165-AE165</f>
        <v/>
      </c>
      <c r="AG165" s="7">
        <f>AF165/AD165*100</f>
        <v/>
      </c>
      <c r="AH165" s="0" t="n">
        <v>365</v>
      </c>
      <c r="AI165" s="33" t="n">
        <v>225</v>
      </c>
      <c r="AJ165" s="34">
        <f>AD165</f>
        <v/>
      </c>
      <c r="AK165" s="34">
        <f>AJ165-(AJ165*7%)</f>
        <v/>
      </c>
      <c r="AL165" s="35">
        <f>AJ165/94</f>
        <v/>
      </c>
      <c r="AM165" s="35">
        <f>AK165/94</f>
        <v/>
      </c>
      <c r="AN165" s="36">
        <f>AJ165/24</f>
        <v/>
      </c>
      <c r="AO165" s="36">
        <f>AK165/24</f>
        <v/>
      </c>
      <c r="AP165" s="37">
        <f>AJ165/125</f>
        <v/>
      </c>
      <c r="AQ165" s="37">
        <f>AK165/125</f>
        <v/>
      </c>
    </row>
    <row r="166" ht="15.75" customHeight="1" s="50">
      <c r="A166" s="32" t="inlineStr">
        <is>
          <t>Egg Shaker with Handle</t>
        </is>
      </c>
      <c r="B166" s="32" t="inlineStr">
        <is>
          <t>Standard</t>
        </is>
      </c>
      <c r="C166" s="32" t="inlineStr">
        <is>
          <t>MI-ES-H</t>
        </is>
      </c>
      <c r="D166" s="32" t="n">
        <v>75</v>
      </c>
      <c r="E166" s="32" t="n">
        <v>50</v>
      </c>
      <c r="G166" s="32" t="n">
        <v>0</v>
      </c>
      <c r="H166" s="32" t="n">
        <v>10</v>
      </c>
      <c r="I166" s="41" t="n">
        <v>44201900</v>
      </c>
      <c r="J166" s="30" t="n">
        <v>0.05</v>
      </c>
      <c r="K166" s="32">
        <f>D166*J166</f>
        <v/>
      </c>
      <c r="M166" s="32">
        <f>D166*4%</f>
        <v/>
      </c>
      <c r="N166" s="49">
        <f>M166+L166+K166+H166+G166+F166+E166+D166</f>
        <v/>
      </c>
      <c r="O166" s="32">
        <f>D166*1%</f>
        <v/>
      </c>
      <c r="P166" s="7">
        <f>N166*8%</f>
        <v/>
      </c>
      <c r="Q166" s="7">
        <f>N166*10%</f>
        <v/>
      </c>
      <c r="R166" s="7">
        <f>N166*5%</f>
        <v/>
      </c>
      <c r="S166" s="7">
        <f>N166*2%</f>
        <v/>
      </c>
      <c r="T166" s="7">
        <f>AE166*0.5%</f>
        <v/>
      </c>
      <c r="U166" s="7">
        <f>N166*1%</f>
        <v/>
      </c>
      <c r="V166" s="31">
        <f>U166+S166+R166+Q166+P166+O166</f>
        <v/>
      </c>
      <c r="W166" s="32">
        <f>AE166*1%</f>
        <v/>
      </c>
      <c r="X166" s="32">
        <f>AE166*10%</f>
        <v/>
      </c>
      <c r="Y166" s="32">
        <f>AE166*1%</f>
        <v/>
      </c>
      <c r="Z166" s="32">
        <f>AE166*8%</f>
        <v/>
      </c>
      <c r="AA166" s="32">
        <f>W166+X166+Y166+Z166</f>
        <v/>
      </c>
      <c r="AB166" s="31">
        <f>AA166+V166+N166</f>
        <v/>
      </c>
      <c r="AC166" s="6">
        <f>AB166*20%</f>
        <v/>
      </c>
      <c r="AD166" s="7">
        <f>AB166+AC166</f>
        <v/>
      </c>
      <c r="AE166" s="32">
        <f>D166*2.1</f>
        <v/>
      </c>
      <c r="AF166" s="7">
        <f>AD166-AE166</f>
        <v/>
      </c>
      <c r="AG166" s="7">
        <f>AF166/AD166*100</f>
        <v/>
      </c>
      <c r="AH166" s="0" t="n">
        <v>895</v>
      </c>
      <c r="AI166" s="33" t="n">
        <v>820</v>
      </c>
      <c r="AJ166" s="34">
        <f>AD166</f>
        <v/>
      </c>
      <c r="AK166" s="34">
        <f>AJ166-(AJ166*7%)</f>
        <v/>
      </c>
      <c r="AL166" s="35">
        <f>AJ166/94</f>
        <v/>
      </c>
      <c r="AM166" s="35">
        <f>AK166/94</f>
        <v/>
      </c>
      <c r="AN166" s="36">
        <f>AJ166/24</f>
        <v/>
      </c>
      <c r="AO166" s="36">
        <f>AK166/24</f>
        <v/>
      </c>
      <c r="AP166" s="37">
        <f>AJ166/125</f>
        <v/>
      </c>
      <c r="AQ166" s="37">
        <f>AK166/125</f>
        <v/>
      </c>
    </row>
    <row r="167" ht="15.75" customHeight="1" s="50">
      <c r="A167" s="32" t="inlineStr">
        <is>
          <t>Elemental Chimes</t>
        </is>
      </c>
      <c r="B167" s="32" t="inlineStr">
        <is>
          <t>Standard</t>
        </is>
      </c>
      <c r="C167" s="32" t="inlineStr">
        <is>
          <t>MI-Ch-KS</t>
        </is>
      </c>
      <c r="D167" s="32" t="n">
        <v>2000</v>
      </c>
      <c r="E167" s="32" t="n">
        <v>100</v>
      </c>
      <c r="G167" s="32" t="n">
        <v>0</v>
      </c>
      <c r="H167" s="32" t="n">
        <v>10</v>
      </c>
      <c r="I167" s="41" t="n">
        <v>83061000</v>
      </c>
      <c r="J167" s="30" t="n">
        <v>0.05</v>
      </c>
      <c r="K167" s="32">
        <f>D167*J167</f>
        <v/>
      </c>
      <c r="M167" s="32">
        <f>D167*4%</f>
        <v/>
      </c>
      <c r="N167" s="49">
        <f>M167+L167+K167+H167+G167+F167+E167+D167</f>
        <v/>
      </c>
      <c r="O167" s="32">
        <f>D167*1%</f>
        <v/>
      </c>
      <c r="P167" s="7">
        <f>N167*8%</f>
        <v/>
      </c>
      <c r="Q167" s="7">
        <f>N167*10%</f>
        <v/>
      </c>
      <c r="R167" s="7">
        <f>N167*5%</f>
        <v/>
      </c>
      <c r="S167" s="7">
        <f>N167*2%</f>
        <v/>
      </c>
      <c r="T167" s="7">
        <f>AE167*0.5%</f>
        <v/>
      </c>
      <c r="U167" s="7">
        <f>N167*1%</f>
        <v/>
      </c>
      <c r="V167" s="31">
        <f>U167+S167+R167+Q167+P167+O167</f>
        <v/>
      </c>
      <c r="W167" s="32">
        <f>AE167*1%</f>
        <v/>
      </c>
      <c r="X167" s="32">
        <f>AE167*10%</f>
        <v/>
      </c>
      <c r="Y167" s="32">
        <f>AE167*1%</f>
        <v/>
      </c>
      <c r="Z167" s="32">
        <f>AE167*8%</f>
        <v/>
      </c>
      <c r="AA167" s="32">
        <f>W167+X167+Y167+Z167</f>
        <v/>
      </c>
      <c r="AB167" s="31">
        <f>AA167+V167+N167</f>
        <v/>
      </c>
      <c r="AC167" s="6">
        <f>AB167*20%</f>
        <v/>
      </c>
      <c r="AD167" s="7">
        <f>AB167+AC167</f>
        <v/>
      </c>
      <c r="AE167" s="32">
        <f>D167*2.1</f>
        <v/>
      </c>
      <c r="AF167" s="7">
        <f>AD167-AE167</f>
        <v/>
      </c>
      <c r="AG167" s="7">
        <f>AF167/AD167*100</f>
        <v/>
      </c>
      <c r="AH167" s="0" t="n">
        <v>3850</v>
      </c>
      <c r="AI167" s="33" t="n">
        <v>1850</v>
      </c>
      <c r="AJ167" s="34">
        <f>AD167</f>
        <v/>
      </c>
      <c r="AK167" s="34">
        <f>AJ167-(AJ167*7%)</f>
        <v/>
      </c>
      <c r="AL167" s="35">
        <f>AJ167/94</f>
        <v/>
      </c>
      <c r="AM167" s="35">
        <f>AK167/94</f>
        <v/>
      </c>
      <c r="AN167" s="36">
        <f>AJ167/24</f>
        <v/>
      </c>
      <c r="AO167" s="36">
        <f>AK167/24</f>
        <v/>
      </c>
      <c r="AP167" s="37">
        <f>AJ167/125</f>
        <v/>
      </c>
      <c r="AQ167" s="37">
        <f>AK167/125</f>
        <v/>
      </c>
    </row>
    <row r="168" ht="15" customHeight="1" s="50">
      <c r="A168" s="32" t="inlineStr">
        <is>
          <t>Etched Gongs</t>
        </is>
      </c>
      <c r="B168" s="32" t="inlineStr">
        <is>
          <t>18 in / Chakra</t>
        </is>
      </c>
      <c r="C168" s="32" t="inlineStr">
        <is>
          <t>MI-G-ET-7C-18</t>
        </is>
      </c>
      <c r="D168" s="32" t="inlineStr">
        <is>
          <t>Parasonjeet</t>
        </is>
      </c>
      <c r="E168" s="32" t="n">
        <v>190</v>
      </c>
      <c r="G168" s="32" t="n">
        <v>0</v>
      </c>
      <c r="H168" s="32" t="n">
        <v>10</v>
      </c>
      <c r="I168" s="41" t="n">
        <v>83061000</v>
      </c>
      <c r="J168" s="30" t="n">
        <v>0.05</v>
      </c>
      <c r="K168" s="32">
        <f>D168*J168</f>
        <v/>
      </c>
      <c r="M168" s="32">
        <f>D168*4%</f>
        <v/>
      </c>
      <c r="N168" s="49">
        <f>M168+L168+K168+H168+G168+F168+E168+D168</f>
        <v/>
      </c>
      <c r="O168" s="32">
        <f>D168*1%</f>
        <v/>
      </c>
      <c r="P168" s="7">
        <f>N168*8%</f>
        <v/>
      </c>
      <c r="Q168" s="7">
        <f>N168*10%</f>
        <v/>
      </c>
      <c r="R168" s="7">
        <f>N168*5%</f>
        <v/>
      </c>
      <c r="S168" s="7">
        <f>N168*2%</f>
        <v/>
      </c>
      <c r="T168" s="7">
        <f>AE168*0.5%</f>
        <v/>
      </c>
      <c r="U168" s="7">
        <f>N168*1%</f>
        <v/>
      </c>
      <c r="V168" s="49">
        <f>U168+S168+R168+Q168+P168+O168</f>
        <v/>
      </c>
      <c r="W168" s="32">
        <f>AE168*1%</f>
        <v/>
      </c>
      <c r="X168" s="32">
        <f>AE168*10%</f>
        <v/>
      </c>
      <c r="Y168" s="32">
        <f>AE168*1%</f>
        <v/>
      </c>
      <c r="Z168" s="32">
        <f>AE168*8%</f>
        <v/>
      </c>
      <c r="AA168" s="32">
        <f>W168+X168+Y168+Z168</f>
        <v/>
      </c>
      <c r="AB168" s="31">
        <f>AA168+V168+N168</f>
        <v/>
      </c>
      <c r="AC168" s="6">
        <f>AB168*20%</f>
        <v/>
      </c>
      <c r="AD168" s="32">
        <f>AB168+AC168</f>
        <v/>
      </c>
      <c r="AE168" s="32">
        <f>D168*2.1</f>
        <v/>
      </c>
      <c r="AF168" s="7">
        <f>AD168-AE168</f>
        <v/>
      </c>
      <c r="AG168" s="7">
        <f>AF168/AD168*100</f>
        <v/>
      </c>
      <c r="AH168" s="0" t="n">
        <v>18950</v>
      </c>
      <c r="AI168" s="33" t="n"/>
      <c r="AJ168" s="34">
        <f>AD168</f>
        <v/>
      </c>
      <c r="AK168" s="34">
        <f>AJ168-(AJ168*7%)</f>
        <v/>
      </c>
      <c r="AL168" s="35">
        <f>AJ168/94</f>
        <v/>
      </c>
      <c r="AM168" s="35">
        <f>AK168/94</f>
        <v/>
      </c>
      <c r="AN168" s="36">
        <f>AJ168/24</f>
        <v/>
      </c>
      <c r="AO168" s="36">
        <f>AK168/24</f>
        <v/>
      </c>
      <c r="AP168" s="37">
        <f>AJ168/125</f>
        <v/>
      </c>
      <c r="AQ168" s="37">
        <f>AK168/125</f>
        <v/>
      </c>
    </row>
    <row r="169" ht="15.75" customHeight="1" s="50">
      <c r="A169" s="32" t="n"/>
      <c r="B169" s="32" t="inlineStr">
        <is>
          <t>Chakra / 20 in</t>
        </is>
      </c>
      <c r="C169" s="32" t="inlineStr">
        <is>
          <t>MI-G-ET-7C-20</t>
        </is>
      </c>
      <c r="D169" s="32" t="inlineStr">
        <is>
          <t>Parasonjeet</t>
        </is>
      </c>
      <c r="E169" s="32" t="n">
        <v>190</v>
      </c>
      <c r="G169" s="32" t="n">
        <v>0</v>
      </c>
      <c r="H169" s="32" t="n">
        <v>10</v>
      </c>
      <c r="I169" s="41" t="n">
        <v>83061000</v>
      </c>
      <c r="J169" s="30" t="n">
        <v>0.05</v>
      </c>
      <c r="K169" s="32">
        <f>D169*J169</f>
        <v/>
      </c>
      <c r="M169" s="32">
        <f>D169*4%</f>
        <v/>
      </c>
      <c r="N169" s="49">
        <f>M169+L169+K169+H169+G169+F169+E169+D169</f>
        <v/>
      </c>
      <c r="O169" s="32">
        <f>D169*1%</f>
        <v/>
      </c>
      <c r="P169" s="7">
        <f>N169*8%</f>
        <v/>
      </c>
      <c r="Q169" s="7">
        <f>N169*10%</f>
        <v/>
      </c>
      <c r="R169" s="7">
        <f>N169*5%</f>
        <v/>
      </c>
      <c r="S169" s="7">
        <f>N169*2%</f>
        <v/>
      </c>
      <c r="T169" s="7">
        <f>AE169*0.5%</f>
        <v/>
      </c>
      <c r="U169" s="7">
        <f>N169*1%</f>
        <v/>
      </c>
      <c r="V169" s="49">
        <f>U169+S169+R169+Q169+P169+O169</f>
        <v/>
      </c>
      <c r="W169" s="32">
        <f>AE169*1%</f>
        <v/>
      </c>
      <c r="X169" s="32">
        <f>AE169*10%</f>
        <v/>
      </c>
      <c r="Y169" s="32">
        <f>AE169*1%</f>
        <v/>
      </c>
      <c r="Z169" s="32">
        <f>AE169*8%</f>
        <v/>
      </c>
      <c r="AA169" s="32">
        <f>W169+X169+Y169+Z169</f>
        <v/>
      </c>
      <c r="AB169" s="31">
        <f>AA169+V169+N169</f>
        <v/>
      </c>
      <c r="AC169" s="6">
        <f>AB169*20%</f>
        <v/>
      </c>
      <c r="AD169" s="32">
        <f>AB169+AC169</f>
        <v/>
      </c>
      <c r="AE169" s="32">
        <f>D169*2.1</f>
        <v/>
      </c>
      <c r="AF169" s="7">
        <f>AD169-AE169</f>
        <v/>
      </c>
      <c r="AG169" s="7">
        <f>AF169/AD169*100</f>
        <v/>
      </c>
      <c r="AH169" s="0" t="n">
        <v>23250</v>
      </c>
      <c r="AI169" s="33" t="n"/>
      <c r="AJ169" s="34">
        <f>AD169</f>
        <v/>
      </c>
      <c r="AK169" s="34">
        <f>AJ169-(AJ169*7%)</f>
        <v/>
      </c>
      <c r="AL169" s="35">
        <f>AJ169/94</f>
        <v/>
      </c>
      <c r="AM169" s="35">
        <f>AK169/94</f>
        <v/>
      </c>
      <c r="AN169" s="36">
        <f>AJ169/24</f>
        <v/>
      </c>
      <c r="AO169" s="36">
        <f>AK169/24</f>
        <v/>
      </c>
      <c r="AP169" s="37">
        <f>AJ169/125</f>
        <v/>
      </c>
      <c r="AQ169" s="37">
        <f>AK169/125</f>
        <v/>
      </c>
    </row>
    <row r="170" ht="15.75" customHeight="1" s="50">
      <c r="A170" s="32" t="n"/>
      <c r="B170" s="32" t="inlineStr">
        <is>
          <t>Chakra / 22 in</t>
        </is>
      </c>
      <c r="C170" s="32" t="inlineStr">
        <is>
          <t>MI-G-ET-7C-22</t>
        </is>
      </c>
      <c r="D170" s="32" t="inlineStr">
        <is>
          <t>Parasonjeet</t>
        </is>
      </c>
      <c r="E170" s="32" t="n">
        <v>190</v>
      </c>
      <c r="G170" s="32" t="n">
        <v>0</v>
      </c>
      <c r="H170" s="32" t="n">
        <v>10</v>
      </c>
      <c r="I170" s="41" t="n">
        <v>83061000</v>
      </c>
      <c r="J170" s="30" t="n">
        <v>0.05</v>
      </c>
      <c r="K170" s="32">
        <f>D170*J170</f>
        <v/>
      </c>
      <c r="M170" s="32">
        <f>D170*4%</f>
        <v/>
      </c>
      <c r="N170" s="49">
        <f>M170+L170+K170+H170+G170+F170+E170+D170</f>
        <v/>
      </c>
      <c r="O170" s="32">
        <f>D170*1%</f>
        <v/>
      </c>
      <c r="P170" s="7">
        <f>N170*8%</f>
        <v/>
      </c>
      <c r="Q170" s="7">
        <f>N170*10%</f>
        <v/>
      </c>
      <c r="R170" s="7">
        <f>N170*5%</f>
        <v/>
      </c>
      <c r="S170" s="7">
        <f>N170*2%</f>
        <v/>
      </c>
      <c r="T170" s="7">
        <f>AE170*0.5%</f>
        <v/>
      </c>
      <c r="U170" s="7">
        <f>N170*1%</f>
        <v/>
      </c>
      <c r="V170" s="49">
        <f>U170+S170+R170+Q170+P170+O170</f>
        <v/>
      </c>
      <c r="W170" s="32">
        <f>AE170*1%</f>
        <v/>
      </c>
      <c r="X170" s="32">
        <f>AE170*10%</f>
        <v/>
      </c>
      <c r="Y170" s="32">
        <f>AE170*1%</f>
        <v/>
      </c>
      <c r="Z170" s="32">
        <f>AE170*8%</f>
        <v/>
      </c>
      <c r="AA170" s="32">
        <f>W170+X170+Y170+Z170</f>
        <v/>
      </c>
      <c r="AB170" s="31">
        <f>AA170+V170+N170</f>
        <v/>
      </c>
      <c r="AC170" s="6">
        <f>AB170*20%</f>
        <v/>
      </c>
      <c r="AD170" s="32">
        <f>AB170+AC170</f>
        <v/>
      </c>
      <c r="AE170" s="32">
        <f>D170*2.1</f>
        <v/>
      </c>
      <c r="AF170" s="7">
        <f>AD170-AE170</f>
        <v/>
      </c>
      <c r="AG170" s="7">
        <f>AF170/AD170*100</f>
        <v/>
      </c>
      <c r="AH170" s="0" t="n">
        <v>27690</v>
      </c>
      <c r="AI170" s="33" t="n"/>
      <c r="AJ170" s="34">
        <f>AD170</f>
        <v/>
      </c>
      <c r="AK170" s="34">
        <f>AJ170-(AJ170*7%)</f>
        <v/>
      </c>
      <c r="AL170" s="35">
        <f>AJ170/94</f>
        <v/>
      </c>
      <c r="AM170" s="35">
        <f>AK170/94</f>
        <v/>
      </c>
      <c r="AN170" s="36">
        <f>AJ170/24</f>
        <v/>
      </c>
      <c r="AO170" s="36">
        <f>AK170/24</f>
        <v/>
      </c>
      <c r="AP170" s="37">
        <f>AJ170/125</f>
        <v/>
      </c>
      <c r="AQ170" s="37">
        <f>AK170/125</f>
        <v/>
      </c>
    </row>
    <row r="171" ht="15.75" customHeight="1" s="50">
      <c r="A171" s="32" t="n"/>
      <c r="B171" s="32" t="inlineStr">
        <is>
          <t>Chakra / 24 in</t>
        </is>
      </c>
      <c r="C171" s="32" t="inlineStr">
        <is>
          <t>MI-G-ET-7C-24</t>
        </is>
      </c>
      <c r="D171" s="32" t="inlineStr">
        <is>
          <t>Parasonjeet</t>
        </is>
      </c>
      <c r="E171" s="32" t="n">
        <v>190</v>
      </c>
      <c r="G171" s="32" t="n">
        <v>0</v>
      </c>
      <c r="H171" s="32" t="n">
        <v>10</v>
      </c>
      <c r="I171" s="41" t="n">
        <v>83061000</v>
      </c>
      <c r="J171" s="30" t="n">
        <v>0.05</v>
      </c>
      <c r="K171" s="32">
        <f>D171*J171</f>
        <v/>
      </c>
      <c r="M171" s="32">
        <f>D171*4%</f>
        <v/>
      </c>
      <c r="N171" s="49">
        <f>M171+L171+K171+H171+G171+F171+E171+D171</f>
        <v/>
      </c>
      <c r="O171" s="32">
        <f>D171*1%</f>
        <v/>
      </c>
      <c r="P171" s="7">
        <f>N171*8%</f>
        <v/>
      </c>
      <c r="Q171" s="7">
        <f>N171*10%</f>
        <v/>
      </c>
      <c r="R171" s="7">
        <f>N171*5%</f>
        <v/>
      </c>
      <c r="S171" s="7">
        <f>N171*2%</f>
        <v/>
      </c>
      <c r="T171" s="7">
        <f>AE171*0.5%</f>
        <v/>
      </c>
      <c r="U171" s="7">
        <f>N171*1%</f>
        <v/>
      </c>
      <c r="V171" s="49">
        <f>U171+S171+R171+Q171+P171+O171</f>
        <v/>
      </c>
      <c r="W171" s="32">
        <f>AE171*1%</f>
        <v/>
      </c>
      <c r="X171" s="32">
        <f>AE171*10%</f>
        <v/>
      </c>
      <c r="Y171" s="32">
        <f>AE171*1%</f>
        <v/>
      </c>
      <c r="Z171" s="32">
        <f>AE171*8%</f>
        <v/>
      </c>
      <c r="AA171" s="32">
        <f>W171+X171+Y171+Z171</f>
        <v/>
      </c>
      <c r="AB171" s="31">
        <f>AA171+V171+N171</f>
        <v/>
      </c>
      <c r="AC171" s="6">
        <f>AB171*20%</f>
        <v/>
      </c>
      <c r="AD171" s="32">
        <f>AB171+AC171</f>
        <v/>
      </c>
      <c r="AE171" s="32">
        <f>D171*2.1</f>
        <v/>
      </c>
      <c r="AF171" s="7">
        <f>AD171-AE171</f>
        <v/>
      </c>
      <c r="AG171" s="7">
        <f>AF171/AD171*100</f>
        <v/>
      </c>
      <c r="AH171" s="0" t="n">
        <v>32950</v>
      </c>
      <c r="AI171" s="33" t="n"/>
      <c r="AJ171" s="34">
        <f>AD171</f>
        <v/>
      </c>
      <c r="AK171" s="34">
        <f>AJ171-(AJ171*7%)</f>
        <v/>
      </c>
      <c r="AL171" s="35">
        <f>AJ171/94</f>
        <v/>
      </c>
      <c r="AM171" s="35">
        <f>AK171/94</f>
        <v/>
      </c>
      <c r="AN171" s="36">
        <f>AJ171/24</f>
        <v/>
      </c>
      <c r="AO171" s="36">
        <f>AK171/24</f>
        <v/>
      </c>
      <c r="AP171" s="37">
        <f>AJ171/125</f>
        <v/>
      </c>
      <c r="AQ171" s="37">
        <f>AK171/125</f>
        <v/>
      </c>
    </row>
    <row r="172" ht="15.75" customHeight="1" s="50">
      <c r="A172" s="32" t="n"/>
      <c r="B172" s="32" t="inlineStr">
        <is>
          <t>Chakra / 28 in</t>
        </is>
      </c>
      <c r="C172" s="32" t="inlineStr">
        <is>
          <t>MI-G-ET-7C-28</t>
        </is>
      </c>
      <c r="D172" s="32" t="inlineStr">
        <is>
          <t>Parasonjeet</t>
        </is>
      </c>
      <c r="E172" s="32" t="n">
        <v>350</v>
      </c>
      <c r="G172" s="32" t="n">
        <v>0</v>
      </c>
      <c r="H172" s="32" t="n">
        <v>10</v>
      </c>
      <c r="I172" s="41" t="n">
        <v>83061000</v>
      </c>
      <c r="J172" s="30" t="n">
        <v>0.05</v>
      </c>
      <c r="K172" s="32">
        <f>D172*J172</f>
        <v/>
      </c>
      <c r="M172" s="32">
        <f>D172*4%</f>
        <v/>
      </c>
      <c r="N172" s="49">
        <f>M172+L172+K172+H172+G172+F172+E172+D172</f>
        <v/>
      </c>
      <c r="O172" s="32">
        <f>D172*1%</f>
        <v/>
      </c>
      <c r="P172" s="7">
        <f>N172*8%</f>
        <v/>
      </c>
      <c r="Q172" s="7">
        <f>N172*10%</f>
        <v/>
      </c>
      <c r="R172" s="7">
        <f>N172*5%</f>
        <v/>
      </c>
      <c r="S172" s="7">
        <f>N172*2%</f>
        <v/>
      </c>
      <c r="T172" s="7">
        <f>AE172*0.5%</f>
        <v/>
      </c>
      <c r="U172" s="7">
        <f>N172*1%</f>
        <v/>
      </c>
      <c r="V172" s="49">
        <f>U172+S172+R172+Q172+P172+O172</f>
        <v/>
      </c>
      <c r="W172" s="32">
        <f>AE172*1%</f>
        <v/>
      </c>
      <c r="X172" s="32">
        <f>AE172*10%</f>
        <v/>
      </c>
      <c r="Y172" s="32">
        <f>AE172*1%</f>
        <v/>
      </c>
      <c r="Z172" s="32">
        <f>AE172*8%</f>
        <v/>
      </c>
      <c r="AA172" s="32">
        <f>W172+X172+Y172+Z172</f>
        <v/>
      </c>
      <c r="AB172" s="31">
        <f>AA172+V172+N172</f>
        <v/>
      </c>
      <c r="AC172" s="6">
        <f>AB172*20%</f>
        <v/>
      </c>
      <c r="AD172" s="32">
        <f>AB172+AC172</f>
        <v/>
      </c>
      <c r="AE172" s="32">
        <f>D172*2.1</f>
        <v/>
      </c>
      <c r="AF172" s="7">
        <f>AD172-AE172</f>
        <v/>
      </c>
      <c r="AG172" s="7">
        <f>AF172/AD172*100</f>
        <v/>
      </c>
      <c r="AH172" s="0" t="n">
        <v>42950</v>
      </c>
      <c r="AI172" s="33" t="n"/>
      <c r="AJ172" s="34">
        <f>AD172</f>
        <v/>
      </c>
      <c r="AK172" s="34">
        <f>AJ172-(AJ172*7%)</f>
        <v/>
      </c>
      <c r="AL172" s="35">
        <f>AJ172/94</f>
        <v/>
      </c>
      <c r="AM172" s="35">
        <f>AK172/94</f>
        <v/>
      </c>
      <c r="AN172" s="36">
        <f>AJ172/24</f>
        <v/>
      </c>
      <c r="AO172" s="36">
        <f>AK172/24</f>
        <v/>
      </c>
      <c r="AP172" s="37">
        <f>AJ172/125</f>
        <v/>
      </c>
      <c r="AQ172" s="37">
        <f>AK172/125</f>
        <v/>
      </c>
    </row>
    <row r="173" ht="15.75" customHeight="1" s="50">
      <c r="A173" s="32" t="n"/>
      <c r="B173" s="32" t="inlineStr">
        <is>
          <t>Chakra / 32 in</t>
        </is>
      </c>
      <c r="C173" s="32" t="inlineStr">
        <is>
          <t>MI-G-ET-7C-32</t>
        </is>
      </c>
      <c r="D173" s="32" t="inlineStr">
        <is>
          <t>Parasonjeet</t>
        </is>
      </c>
      <c r="E173" s="32" t="n">
        <v>350</v>
      </c>
      <c r="G173" s="32" t="n">
        <v>0</v>
      </c>
      <c r="H173" s="32" t="n">
        <v>10</v>
      </c>
      <c r="I173" s="41" t="n">
        <v>83061000</v>
      </c>
      <c r="J173" s="30" t="n">
        <v>0.05</v>
      </c>
      <c r="K173" s="32">
        <f>D173*J173</f>
        <v/>
      </c>
      <c r="M173" s="32">
        <f>D173*4%</f>
        <v/>
      </c>
      <c r="N173" s="49">
        <f>M173+L173+K173+H173+G173+F173+E173+D173</f>
        <v/>
      </c>
      <c r="O173" s="32">
        <f>D173*1%</f>
        <v/>
      </c>
      <c r="P173" s="7">
        <f>N173*8%</f>
        <v/>
      </c>
      <c r="Q173" s="7">
        <f>N173*10%</f>
        <v/>
      </c>
      <c r="R173" s="7">
        <f>N173*5%</f>
        <v/>
      </c>
      <c r="S173" s="7">
        <f>N173*2%</f>
        <v/>
      </c>
      <c r="T173" s="7">
        <f>AE173*0.5%</f>
        <v/>
      </c>
      <c r="U173" s="7">
        <f>N173*1%</f>
        <v/>
      </c>
      <c r="V173" s="49">
        <f>U173+S173+R173+Q173+P173+O173</f>
        <v/>
      </c>
      <c r="W173" s="32">
        <f>AE173*1%</f>
        <v/>
      </c>
      <c r="X173" s="32">
        <f>AE173*10%</f>
        <v/>
      </c>
      <c r="Y173" s="32">
        <f>AE173*1%</f>
        <v/>
      </c>
      <c r="Z173" s="32">
        <f>AE173*8%</f>
        <v/>
      </c>
      <c r="AA173" s="32">
        <f>W173+X173+Y173+Z173</f>
        <v/>
      </c>
      <c r="AB173" s="31">
        <f>AA173+V173+N173</f>
        <v/>
      </c>
      <c r="AC173" s="6">
        <f>AB173*20%</f>
        <v/>
      </c>
      <c r="AD173" s="32">
        <f>AB173+AC173</f>
        <v/>
      </c>
      <c r="AE173" s="32">
        <f>D173*2.1</f>
        <v/>
      </c>
      <c r="AF173" s="7">
        <f>AD173-AE173</f>
        <v/>
      </c>
      <c r="AG173" s="7">
        <f>AF173/AD173*100</f>
        <v/>
      </c>
      <c r="AI173" s="33" t="n"/>
      <c r="AJ173" s="34">
        <f>AD173</f>
        <v/>
      </c>
      <c r="AK173" s="34">
        <f>AJ173-(AJ173*7%)</f>
        <v/>
      </c>
      <c r="AL173" s="35">
        <f>AJ173/94</f>
        <v/>
      </c>
      <c r="AM173" s="35">
        <f>AK173/94</f>
        <v/>
      </c>
      <c r="AN173" s="36">
        <f>AJ173/24</f>
        <v/>
      </c>
      <c r="AO173" s="36">
        <f>AK173/24</f>
        <v/>
      </c>
      <c r="AP173" s="37">
        <f>AJ173/125</f>
        <v/>
      </c>
      <c r="AQ173" s="37">
        <f>AK173/125</f>
        <v/>
      </c>
    </row>
    <row r="174" ht="15.75" customHeight="1" s="50">
      <c r="A174" s="32" t="n"/>
      <c r="B174" s="32" t="inlineStr">
        <is>
          <t>Chakra / 40 in</t>
        </is>
      </c>
      <c r="C174" s="32" t="inlineStr">
        <is>
          <t>MI-G-ET-7C-40</t>
        </is>
      </c>
      <c r="D174" s="32" t="inlineStr">
        <is>
          <t>Parasonjeet</t>
        </is>
      </c>
      <c r="E174" s="32" t="n">
        <v>350</v>
      </c>
      <c r="G174" s="32" t="n">
        <v>0</v>
      </c>
      <c r="H174" s="32" t="n">
        <v>10</v>
      </c>
      <c r="I174" s="41" t="n">
        <v>83061000</v>
      </c>
      <c r="J174" s="30" t="n">
        <v>0.05</v>
      </c>
      <c r="K174" s="32">
        <f>D174*J174</f>
        <v/>
      </c>
      <c r="M174" s="32">
        <f>D174*4%</f>
        <v/>
      </c>
      <c r="N174" s="49">
        <f>M174+L174+K174+H174+G174+F174+E174+D174</f>
        <v/>
      </c>
      <c r="O174" s="32">
        <f>D174*1%</f>
        <v/>
      </c>
      <c r="P174" s="7">
        <f>N174*8%</f>
        <v/>
      </c>
      <c r="Q174" s="7">
        <f>N174*10%</f>
        <v/>
      </c>
      <c r="R174" s="7">
        <f>N174*5%</f>
        <v/>
      </c>
      <c r="S174" s="7">
        <f>N174*2%</f>
        <v/>
      </c>
      <c r="T174" s="7">
        <f>AE174*0.5%</f>
        <v/>
      </c>
      <c r="U174" s="7">
        <f>N174*1%</f>
        <v/>
      </c>
      <c r="V174" s="49">
        <f>U174+S174+R174+Q174+P174+O174</f>
        <v/>
      </c>
      <c r="W174" s="32">
        <f>AE174*1%</f>
        <v/>
      </c>
      <c r="X174" s="32">
        <f>AE174*10%</f>
        <v/>
      </c>
      <c r="Y174" s="32">
        <f>AE174*1%</f>
        <v/>
      </c>
      <c r="Z174" s="32">
        <f>AE174*8%</f>
        <v/>
      </c>
      <c r="AA174" s="32">
        <f>W174+X174+Y174+Z174</f>
        <v/>
      </c>
      <c r="AB174" s="31">
        <f>AA174+V174+N174</f>
        <v/>
      </c>
      <c r="AC174" s="6">
        <f>AB174*20%</f>
        <v/>
      </c>
      <c r="AD174" s="32">
        <f>AB174+AC174</f>
        <v/>
      </c>
      <c r="AE174" s="32">
        <f>D174*2.1</f>
        <v/>
      </c>
      <c r="AF174" s="7">
        <f>AD174-AE174</f>
        <v/>
      </c>
      <c r="AG174" s="7">
        <f>AF174/AD174*100</f>
        <v/>
      </c>
      <c r="AI174" s="33" t="n"/>
      <c r="AJ174" s="34">
        <f>AD174</f>
        <v/>
      </c>
      <c r="AK174" s="34">
        <f>AJ174-(AJ174*7%)</f>
        <v/>
      </c>
      <c r="AL174" s="35">
        <f>AJ174/94</f>
        <v/>
      </c>
      <c r="AM174" s="35">
        <f>AK174/94</f>
        <v/>
      </c>
      <c r="AN174" s="36">
        <f>AJ174/24</f>
        <v/>
      </c>
      <c r="AO174" s="36">
        <f>AK174/24</f>
        <v/>
      </c>
      <c r="AP174" s="37">
        <f>AJ174/125</f>
        <v/>
      </c>
      <c r="AQ174" s="37">
        <f>AK174/125</f>
        <v/>
      </c>
    </row>
    <row r="175" ht="15.75" customHeight="1" s="50">
      <c r="A175" s="32" t="n"/>
      <c r="B175" s="32" t="inlineStr">
        <is>
          <t>18 in / Mantra</t>
        </is>
      </c>
      <c r="C175" s="32" t="inlineStr">
        <is>
          <t>MI-G-ET-MT-18</t>
        </is>
      </c>
      <c r="D175" s="32" t="inlineStr">
        <is>
          <t>Parasonjeet</t>
        </is>
      </c>
      <c r="E175" s="32" t="n">
        <v>190</v>
      </c>
      <c r="G175" s="32" t="n">
        <v>0</v>
      </c>
      <c r="H175" s="32" t="n">
        <v>10</v>
      </c>
      <c r="I175" s="41" t="n">
        <v>83061000</v>
      </c>
      <c r="J175" s="30" t="n">
        <v>0.05</v>
      </c>
      <c r="K175" s="32">
        <f>D175*J175</f>
        <v/>
      </c>
      <c r="M175" s="32">
        <f>D175*4%</f>
        <v/>
      </c>
      <c r="N175" s="49">
        <f>M175+L175+K175+H175+G175+F175+E175+D175</f>
        <v/>
      </c>
      <c r="O175" s="32">
        <f>D175*1%</f>
        <v/>
      </c>
      <c r="P175" s="7">
        <f>N175*8%</f>
        <v/>
      </c>
      <c r="Q175" s="7">
        <f>N175*10%</f>
        <v/>
      </c>
      <c r="R175" s="7">
        <f>N175*5%</f>
        <v/>
      </c>
      <c r="S175" s="7">
        <f>N175*2%</f>
        <v/>
      </c>
      <c r="T175" s="7">
        <f>AE175*0.5%</f>
        <v/>
      </c>
      <c r="U175" s="7">
        <f>N175*1%</f>
        <v/>
      </c>
      <c r="V175" s="49">
        <f>U175+S175+R175+Q175+P175+O175</f>
        <v/>
      </c>
      <c r="W175" s="32">
        <f>AE175*1%</f>
        <v/>
      </c>
      <c r="X175" s="32">
        <f>AE175*10%</f>
        <v/>
      </c>
      <c r="Y175" s="32">
        <f>AE175*1%</f>
        <v/>
      </c>
      <c r="Z175" s="32">
        <f>AE175*8%</f>
        <v/>
      </c>
      <c r="AA175" s="32">
        <f>W175+X175+Y175+Z175</f>
        <v/>
      </c>
      <c r="AB175" s="31">
        <f>AA175+V175+N175</f>
        <v/>
      </c>
      <c r="AC175" s="6">
        <f>AB175*20%</f>
        <v/>
      </c>
      <c r="AD175" s="32">
        <f>AB175+AC175</f>
        <v/>
      </c>
      <c r="AE175" s="32">
        <f>D175*2.1</f>
        <v/>
      </c>
      <c r="AF175" s="7">
        <f>AD175-AE175</f>
        <v/>
      </c>
      <c r="AG175" s="7">
        <f>AF175/AD175*100</f>
        <v/>
      </c>
      <c r="AI175" s="33" t="n"/>
      <c r="AJ175" s="34">
        <f>AD175</f>
        <v/>
      </c>
      <c r="AK175" s="34">
        <f>AJ175-(AJ175*7%)</f>
        <v/>
      </c>
      <c r="AL175" s="35">
        <f>AJ175/94</f>
        <v/>
      </c>
      <c r="AM175" s="35">
        <f>AK175/94</f>
        <v/>
      </c>
      <c r="AN175" s="36">
        <f>AJ175/24</f>
        <v/>
      </c>
      <c r="AO175" s="36">
        <f>AK175/24</f>
        <v/>
      </c>
      <c r="AP175" s="37">
        <f>AJ175/125</f>
        <v/>
      </c>
      <c r="AQ175" s="37">
        <f>AK175/125</f>
        <v/>
      </c>
    </row>
    <row r="176" ht="15.75" customHeight="1" s="50">
      <c r="A176" s="32" t="n"/>
      <c r="B176" s="32" t="inlineStr">
        <is>
          <t>20 in / Mantra</t>
        </is>
      </c>
      <c r="C176" s="32" t="inlineStr">
        <is>
          <t>MI-G-ET-MT-20</t>
        </is>
      </c>
      <c r="D176" s="32" t="inlineStr">
        <is>
          <t>Parasonjeet</t>
        </is>
      </c>
      <c r="E176" s="32" t="n">
        <v>190</v>
      </c>
      <c r="G176" s="32" t="n">
        <v>0</v>
      </c>
      <c r="H176" s="32" t="n">
        <v>10</v>
      </c>
      <c r="I176" s="41" t="n">
        <v>83061000</v>
      </c>
      <c r="J176" s="30" t="n">
        <v>0.05</v>
      </c>
      <c r="K176" s="32">
        <f>D176*J176</f>
        <v/>
      </c>
      <c r="M176" s="32">
        <f>D176*4%</f>
        <v/>
      </c>
      <c r="N176" s="49">
        <f>M176+L176+K176+H176+G176+F176+E176+D176</f>
        <v/>
      </c>
      <c r="O176" s="32">
        <f>D176*1%</f>
        <v/>
      </c>
      <c r="P176" s="7">
        <f>N176*8%</f>
        <v/>
      </c>
      <c r="Q176" s="7">
        <f>N176*10%</f>
        <v/>
      </c>
      <c r="R176" s="7">
        <f>N176*5%</f>
        <v/>
      </c>
      <c r="S176" s="7">
        <f>N176*2%</f>
        <v/>
      </c>
      <c r="T176" s="7">
        <f>AE176*0.5%</f>
        <v/>
      </c>
      <c r="U176" s="7">
        <f>N176*1%</f>
        <v/>
      </c>
      <c r="V176" s="49">
        <f>U176+S176+R176+Q176+P176+O176</f>
        <v/>
      </c>
      <c r="W176" s="32">
        <f>AE176*1%</f>
        <v/>
      </c>
      <c r="X176" s="32">
        <f>AE176*10%</f>
        <v/>
      </c>
      <c r="Y176" s="32">
        <f>AE176*1%</f>
        <v/>
      </c>
      <c r="Z176" s="32">
        <f>AE176*8%</f>
        <v/>
      </c>
      <c r="AA176" s="32">
        <f>W176+X176+Y176+Z176</f>
        <v/>
      </c>
      <c r="AB176" s="31">
        <f>AA176+V176+N176</f>
        <v/>
      </c>
      <c r="AC176" s="6">
        <f>AB176*20%</f>
        <v/>
      </c>
      <c r="AD176" s="32">
        <f>AB176+AC176</f>
        <v/>
      </c>
      <c r="AE176" s="32">
        <f>D176*2.1</f>
        <v/>
      </c>
      <c r="AF176" s="7">
        <f>AD176-AE176</f>
        <v/>
      </c>
      <c r="AG176" s="7">
        <f>AF176/AD176*100</f>
        <v/>
      </c>
      <c r="AI176" s="33" t="n"/>
      <c r="AJ176" s="34">
        <f>AD176</f>
        <v/>
      </c>
      <c r="AK176" s="34">
        <f>AJ176-(AJ176*7%)</f>
        <v/>
      </c>
      <c r="AL176" s="35">
        <f>AJ176/94</f>
        <v/>
      </c>
      <c r="AM176" s="35">
        <f>AK176/94</f>
        <v/>
      </c>
      <c r="AN176" s="36">
        <f>AJ176/24</f>
        <v/>
      </c>
      <c r="AO176" s="36">
        <f>AK176/24</f>
        <v/>
      </c>
      <c r="AP176" s="37">
        <f>AJ176/125</f>
        <v/>
      </c>
      <c r="AQ176" s="37">
        <f>AK176/125</f>
        <v/>
      </c>
    </row>
    <row r="177" ht="15.75" customHeight="1" s="50">
      <c r="A177" s="32" t="n"/>
      <c r="B177" s="32" t="inlineStr">
        <is>
          <t>22 in / Mantra</t>
        </is>
      </c>
      <c r="C177" s="32" t="inlineStr">
        <is>
          <t>MI-G-ET-MT-22</t>
        </is>
      </c>
      <c r="D177" s="32" t="inlineStr">
        <is>
          <t>Parasonjeet</t>
        </is>
      </c>
      <c r="E177" s="32" t="n">
        <v>190</v>
      </c>
      <c r="G177" s="32" t="n">
        <v>0</v>
      </c>
      <c r="H177" s="32" t="n">
        <v>10</v>
      </c>
      <c r="I177" s="41" t="n">
        <v>83061000</v>
      </c>
      <c r="J177" s="30" t="n">
        <v>0.05</v>
      </c>
      <c r="K177" s="32">
        <f>D177*J177</f>
        <v/>
      </c>
      <c r="M177" s="32">
        <f>D177*4%</f>
        <v/>
      </c>
      <c r="N177" s="49">
        <f>M177+L177+K177+H177+G177+F177+E177+D177</f>
        <v/>
      </c>
      <c r="O177" s="32">
        <f>D177*1%</f>
        <v/>
      </c>
      <c r="P177" s="7">
        <f>N177*8%</f>
        <v/>
      </c>
      <c r="Q177" s="7">
        <f>N177*10%</f>
        <v/>
      </c>
      <c r="R177" s="7">
        <f>N177*5%</f>
        <v/>
      </c>
      <c r="S177" s="7">
        <f>N177*2%</f>
        <v/>
      </c>
      <c r="T177" s="7">
        <f>AE177*0.5%</f>
        <v/>
      </c>
      <c r="U177" s="7">
        <f>N177*1%</f>
        <v/>
      </c>
      <c r="V177" s="49">
        <f>U177+S177+R177+Q177+P177+O177</f>
        <v/>
      </c>
      <c r="W177" s="32">
        <f>AE177*1%</f>
        <v/>
      </c>
      <c r="X177" s="32">
        <f>AE177*10%</f>
        <v/>
      </c>
      <c r="Y177" s="32">
        <f>AE177*1%</f>
        <v/>
      </c>
      <c r="Z177" s="32">
        <f>AE177*8%</f>
        <v/>
      </c>
      <c r="AA177" s="32">
        <f>W177+X177+Y177+Z177</f>
        <v/>
      </c>
      <c r="AB177" s="31">
        <f>AA177+V177+N177</f>
        <v/>
      </c>
      <c r="AC177" s="6">
        <f>AB177*20%</f>
        <v/>
      </c>
      <c r="AD177" s="32">
        <f>AB177+AC177</f>
        <v/>
      </c>
      <c r="AE177" s="32">
        <f>D177*2.1</f>
        <v/>
      </c>
      <c r="AF177" s="7">
        <f>AD177-AE177</f>
        <v/>
      </c>
      <c r="AG177" s="7">
        <f>AF177/AD177*100</f>
        <v/>
      </c>
      <c r="AI177" s="33" t="n"/>
      <c r="AJ177" s="34">
        <f>AD177</f>
        <v/>
      </c>
      <c r="AK177" s="34">
        <f>AJ177-(AJ177*7%)</f>
        <v/>
      </c>
      <c r="AL177" s="35">
        <f>AJ177/94</f>
        <v/>
      </c>
      <c r="AM177" s="35">
        <f>AK177/94</f>
        <v/>
      </c>
      <c r="AN177" s="36">
        <f>AJ177/24</f>
        <v/>
      </c>
      <c r="AO177" s="36">
        <f>AK177/24</f>
        <v/>
      </c>
      <c r="AP177" s="37">
        <f>AJ177/125</f>
        <v/>
      </c>
      <c r="AQ177" s="37">
        <f>AK177/125</f>
        <v/>
      </c>
    </row>
    <row r="178" ht="15.75" customHeight="1" s="50">
      <c r="A178" s="32" t="n"/>
      <c r="B178" s="32" t="inlineStr">
        <is>
          <t>24 in / Mantra</t>
        </is>
      </c>
      <c r="C178" s="32" t="inlineStr">
        <is>
          <t>MI-G-ET-MT-24</t>
        </is>
      </c>
      <c r="D178" s="32" t="inlineStr">
        <is>
          <t>Parasonjeet</t>
        </is>
      </c>
      <c r="E178" s="32" t="n">
        <v>190</v>
      </c>
      <c r="G178" s="32" t="n">
        <v>0</v>
      </c>
      <c r="H178" s="32" t="n">
        <v>10</v>
      </c>
      <c r="I178" s="41" t="n">
        <v>83061000</v>
      </c>
      <c r="J178" s="30" t="n">
        <v>0.05</v>
      </c>
      <c r="K178" s="32">
        <f>D178*J178</f>
        <v/>
      </c>
      <c r="M178" s="32">
        <f>D178*4%</f>
        <v/>
      </c>
      <c r="N178" s="49">
        <f>M178+L178+K178+H178+G178+F178+E178+D178</f>
        <v/>
      </c>
      <c r="O178" s="32">
        <f>D178*1%</f>
        <v/>
      </c>
      <c r="P178" s="7">
        <f>N178*8%</f>
        <v/>
      </c>
      <c r="Q178" s="7">
        <f>N178*10%</f>
        <v/>
      </c>
      <c r="R178" s="7">
        <f>N178*5%</f>
        <v/>
      </c>
      <c r="S178" s="7">
        <f>N178*2%</f>
        <v/>
      </c>
      <c r="T178" s="7">
        <f>AE178*0.5%</f>
        <v/>
      </c>
      <c r="U178" s="7">
        <f>N178*1%</f>
        <v/>
      </c>
      <c r="V178" s="49">
        <f>U178+S178+R178+Q178+P178+O178</f>
        <v/>
      </c>
      <c r="W178" s="32">
        <f>AE178*1%</f>
        <v/>
      </c>
      <c r="X178" s="32">
        <f>AE178*10%</f>
        <v/>
      </c>
      <c r="Y178" s="32">
        <f>AE178*1%</f>
        <v/>
      </c>
      <c r="Z178" s="32">
        <f>AE178*8%</f>
        <v/>
      </c>
      <c r="AA178" s="32">
        <f>W178+X178+Y178+Z178</f>
        <v/>
      </c>
      <c r="AB178" s="31">
        <f>AA178+V178+N178</f>
        <v/>
      </c>
      <c r="AC178" s="6">
        <f>AB178*20%</f>
        <v/>
      </c>
      <c r="AD178" s="32">
        <f>AB178+AC178</f>
        <v/>
      </c>
      <c r="AE178" s="32">
        <f>D178*2.1</f>
        <v/>
      </c>
      <c r="AF178" s="7">
        <f>AD178-AE178</f>
        <v/>
      </c>
      <c r="AG178" s="7">
        <f>AF178/AD178*100</f>
        <v/>
      </c>
      <c r="AI178" s="33" t="n"/>
      <c r="AJ178" s="34">
        <f>AD178</f>
        <v/>
      </c>
      <c r="AK178" s="34">
        <f>AJ178-(AJ178*7%)</f>
        <v/>
      </c>
      <c r="AL178" s="35">
        <f>AJ178/94</f>
        <v/>
      </c>
      <c r="AM178" s="35">
        <f>AK178/94</f>
        <v/>
      </c>
      <c r="AN178" s="36">
        <f>AJ178/24</f>
        <v/>
      </c>
      <c r="AO178" s="36">
        <f>AK178/24</f>
        <v/>
      </c>
      <c r="AP178" s="37">
        <f>AJ178/125</f>
        <v/>
      </c>
      <c r="AQ178" s="37">
        <f>AK178/125</f>
        <v/>
      </c>
    </row>
    <row r="179" ht="15.75" customHeight="1" s="50">
      <c r="A179" s="32" t="n"/>
      <c r="B179" s="32" t="inlineStr">
        <is>
          <t>28 in / Mantra</t>
        </is>
      </c>
      <c r="C179" s="32" t="inlineStr">
        <is>
          <t>MI-G-ET-MT-28</t>
        </is>
      </c>
      <c r="D179" s="32" t="inlineStr">
        <is>
          <t>Parasonjeet</t>
        </is>
      </c>
      <c r="E179" s="32" t="n">
        <v>350</v>
      </c>
      <c r="G179" s="32" t="n">
        <v>0</v>
      </c>
      <c r="H179" s="32" t="n">
        <v>10</v>
      </c>
      <c r="I179" s="41" t="n">
        <v>83061000</v>
      </c>
      <c r="J179" s="30" t="n">
        <v>0.05</v>
      </c>
      <c r="K179" s="32">
        <f>D179*J179</f>
        <v/>
      </c>
      <c r="M179" s="32">
        <f>D179*4%</f>
        <v/>
      </c>
      <c r="N179" s="49">
        <f>M179+L179+K179+H179+G179+F179+E179+D179</f>
        <v/>
      </c>
      <c r="O179" s="32">
        <f>D179*1%</f>
        <v/>
      </c>
      <c r="P179" s="7">
        <f>N179*8%</f>
        <v/>
      </c>
      <c r="Q179" s="7">
        <f>N179*10%</f>
        <v/>
      </c>
      <c r="R179" s="7">
        <f>N179*5%</f>
        <v/>
      </c>
      <c r="S179" s="7">
        <f>N179*2%</f>
        <v/>
      </c>
      <c r="T179" s="7">
        <f>AE179*0.5%</f>
        <v/>
      </c>
      <c r="U179" s="7">
        <f>N179*1%</f>
        <v/>
      </c>
      <c r="V179" s="49">
        <f>U179+S179+R179+Q179+P179+O179</f>
        <v/>
      </c>
      <c r="W179" s="32">
        <f>AE179*1%</f>
        <v/>
      </c>
      <c r="X179" s="32">
        <f>AE179*10%</f>
        <v/>
      </c>
      <c r="Y179" s="32">
        <f>AE179*1%</f>
        <v/>
      </c>
      <c r="Z179" s="32">
        <f>AE179*8%</f>
        <v/>
      </c>
      <c r="AA179" s="32">
        <f>W179+X179+Y179+Z179</f>
        <v/>
      </c>
      <c r="AB179" s="31">
        <f>AA179+V179+N179</f>
        <v/>
      </c>
      <c r="AC179" s="6">
        <f>AB179*20%</f>
        <v/>
      </c>
      <c r="AD179" s="32">
        <f>AB179+AC179</f>
        <v/>
      </c>
      <c r="AE179" s="32">
        <f>D179*2.1</f>
        <v/>
      </c>
      <c r="AF179" s="7">
        <f>AD179-AE179</f>
        <v/>
      </c>
      <c r="AG179" s="7">
        <f>AF179/AD179*100</f>
        <v/>
      </c>
      <c r="AI179" s="33" t="n"/>
      <c r="AJ179" s="34">
        <f>AD179</f>
        <v/>
      </c>
      <c r="AK179" s="34">
        <f>AJ179-(AJ179*7%)</f>
        <v/>
      </c>
      <c r="AL179" s="35">
        <f>AJ179/94</f>
        <v/>
      </c>
      <c r="AM179" s="35">
        <f>AK179/94</f>
        <v/>
      </c>
      <c r="AN179" s="36">
        <f>AJ179/24</f>
        <v/>
      </c>
      <c r="AO179" s="36">
        <f>AK179/24</f>
        <v/>
      </c>
      <c r="AP179" s="37">
        <f>AJ179/125</f>
        <v/>
      </c>
      <c r="AQ179" s="37">
        <f>AK179/125</f>
        <v/>
      </c>
    </row>
    <row r="180" ht="15.75" customHeight="1" s="50">
      <c r="A180" s="32" t="n"/>
      <c r="B180" s="32" t="inlineStr">
        <is>
          <t>32 in / Mantra</t>
        </is>
      </c>
      <c r="C180" s="32" t="inlineStr">
        <is>
          <t>MI-G-ET-MT-32</t>
        </is>
      </c>
      <c r="D180" s="32" t="inlineStr">
        <is>
          <t>Parasonjeet</t>
        </is>
      </c>
      <c r="E180" s="32" t="n">
        <v>350</v>
      </c>
      <c r="G180" s="32" t="n">
        <v>0</v>
      </c>
      <c r="H180" s="32" t="n">
        <v>10</v>
      </c>
      <c r="I180" s="41" t="n">
        <v>83061000</v>
      </c>
      <c r="J180" s="30" t="n">
        <v>0.05</v>
      </c>
      <c r="K180" s="32">
        <f>D180*J180</f>
        <v/>
      </c>
      <c r="M180" s="32">
        <f>D180*4%</f>
        <v/>
      </c>
      <c r="N180" s="49">
        <f>M180+L180+K180+H180+G180+F180+E180+D180</f>
        <v/>
      </c>
      <c r="O180" s="32">
        <f>D180*1%</f>
        <v/>
      </c>
      <c r="P180" s="7">
        <f>N180*8%</f>
        <v/>
      </c>
      <c r="Q180" s="7">
        <f>N180*10%</f>
        <v/>
      </c>
      <c r="R180" s="7">
        <f>N180*5%</f>
        <v/>
      </c>
      <c r="S180" s="7">
        <f>N180*2%</f>
        <v/>
      </c>
      <c r="T180" s="7">
        <f>AE180*0.5%</f>
        <v/>
      </c>
      <c r="U180" s="7">
        <f>N180*1%</f>
        <v/>
      </c>
      <c r="V180" s="49">
        <f>U180+S180+R180+Q180+P180+O180</f>
        <v/>
      </c>
      <c r="W180" s="32">
        <f>AE180*1%</f>
        <v/>
      </c>
      <c r="X180" s="32">
        <f>AE180*10%</f>
        <v/>
      </c>
      <c r="Y180" s="32">
        <f>AE180*1%</f>
        <v/>
      </c>
      <c r="Z180" s="32">
        <f>AE180*8%</f>
        <v/>
      </c>
      <c r="AA180" s="32">
        <f>W180+X180+Y180+Z180</f>
        <v/>
      </c>
      <c r="AB180" s="31">
        <f>AA180+V180+N180</f>
        <v/>
      </c>
      <c r="AC180" s="6">
        <f>AB180*20%</f>
        <v/>
      </c>
      <c r="AD180" s="32">
        <f>AB180+AC180</f>
        <v/>
      </c>
      <c r="AE180" s="32">
        <f>D180*2.1</f>
        <v/>
      </c>
      <c r="AF180" s="7">
        <f>AD180-AE180</f>
        <v/>
      </c>
      <c r="AG180" s="7">
        <f>AF180/AD180*100</f>
        <v/>
      </c>
      <c r="AI180" s="33" t="n"/>
      <c r="AJ180" s="34">
        <f>AD180</f>
        <v/>
      </c>
      <c r="AK180" s="34">
        <f>AJ180-(AJ180*7%)</f>
        <v/>
      </c>
      <c r="AL180" s="35">
        <f>AJ180/94</f>
        <v/>
      </c>
      <c r="AM180" s="35">
        <f>AK180/94</f>
        <v/>
      </c>
      <c r="AN180" s="36">
        <f>AJ180/24</f>
        <v/>
      </c>
      <c r="AO180" s="36">
        <f>AK180/24</f>
        <v/>
      </c>
      <c r="AP180" s="37">
        <f>AJ180/125</f>
        <v/>
      </c>
      <c r="AQ180" s="37">
        <f>AK180/125</f>
        <v/>
      </c>
    </row>
    <row r="181" ht="15.75" customHeight="1" s="50">
      <c r="A181" s="32" t="n"/>
      <c r="B181" s="32" t="inlineStr">
        <is>
          <t>40 in / Mantra</t>
        </is>
      </c>
      <c r="C181" s="32" t="inlineStr">
        <is>
          <t>MI-G-ET-MT-40</t>
        </is>
      </c>
      <c r="D181" s="32" t="inlineStr">
        <is>
          <t>Parasonjeet</t>
        </is>
      </c>
      <c r="E181" s="32" t="n">
        <v>350</v>
      </c>
      <c r="G181" s="32" t="n">
        <v>0</v>
      </c>
      <c r="H181" s="32" t="n">
        <v>10</v>
      </c>
      <c r="I181" s="41" t="n">
        <v>83061000</v>
      </c>
      <c r="J181" s="30" t="n">
        <v>0.05</v>
      </c>
      <c r="K181" s="32">
        <f>D181*J181</f>
        <v/>
      </c>
      <c r="M181" s="32">
        <f>D181*4%</f>
        <v/>
      </c>
      <c r="N181" s="49">
        <f>M181+L181+K181+H181+G181+F181+E181+D181</f>
        <v/>
      </c>
      <c r="O181" s="32">
        <f>D181*1%</f>
        <v/>
      </c>
      <c r="P181" s="7">
        <f>N181*8%</f>
        <v/>
      </c>
      <c r="Q181" s="7">
        <f>N181*10%</f>
        <v/>
      </c>
      <c r="R181" s="7">
        <f>N181*5%</f>
        <v/>
      </c>
      <c r="S181" s="7">
        <f>N181*2%</f>
        <v/>
      </c>
      <c r="T181" s="7">
        <f>AE181*0.5%</f>
        <v/>
      </c>
      <c r="U181" s="7">
        <f>N181*1%</f>
        <v/>
      </c>
      <c r="V181" s="49">
        <f>U181+S181+R181+Q181+P181+O181</f>
        <v/>
      </c>
      <c r="W181" s="32">
        <f>AE181*1%</f>
        <v/>
      </c>
      <c r="X181" s="32">
        <f>AE181*10%</f>
        <v/>
      </c>
      <c r="Y181" s="32">
        <f>AE181*1%</f>
        <v/>
      </c>
      <c r="Z181" s="32">
        <f>AE181*8%</f>
        <v/>
      </c>
      <c r="AA181" s="32">
        <f>W181+X181+Y181+Z181</f>
        <v/>
      </c>
      <c r="AB181" s="31">
        <f>AA181+V181+N181</f>
        <v/>
      </c>
      <c r="AC181" s="6">
        <f>AB181*20%</f>
        <v/>
      </c>
      <c r="AD181" s="32">
        <f>AB181+AC181</f>
        <v/>
      </c>
      <c r="AE181" s="32">
        <f>D181*2.1</f>
        <v/>
      </c>
      <c r="AF181" s="7">
        <f>AD181-AE181</f>
        <v/>
      </c>
      <c r="AG181" s="7">
        <f>AF181/AD181*100</f>
        <v/>
      </c>
      <c r="AI181" s="33" t="n"/>
      <c r="AJ181" s="34">
        <f>AD181</f>
        <v/>
      </c>
      <c r="AK181" s="34">
        <f>AJ181-(AJ181*7%)</f>
        <v/>
      </c>
      <c r="AL181" s="35">
        <f>AJ181/94</f>
        <v/>
      </c>
      <c r="AM181" s="35">
        <f>AK181/94</f>
        <v/>
      </c>
      <c r="AN181" s="36">
        <f>AJ181/24</f>
        <v/>
      </c>
      <c r="AO181" s="36">
        <f>AK181/24</f>
        <v/>
      </c>
      <c r="AP181" s="37">
        <f>AJ181/125</f>
        <v/>
      </c>
      <c r="AQ181" s="37">
        <f>AK181/125</f>
        <v/>
      </c>
    </row>
    <row r="182" ht="15.75" customHeight="1" s="50">
      <c r="A182" s="32" t="n"/>
      <c r="B182" s="32" t="inlineStr">
        <is>
          <t>18 in / Buddhist Om</t>
        </is>
      </c>
      <c r="C182" s="32" t="inlineStr">
        <is>
          <t>MI-G-ET-BM-18</t>
        </is>
      </c>
      <c r="D182" s="32" t="inlineStr">
        <is>
          <t>Parasonjeet</t>
        </is>
      </c>
      <c r="E182" s="32" t="n">
        <v>190</v>
      </c>
      <c r="G182" s="32" t="n">
        <v>0</v>
      </c>
      <c r="H182" s="32" t="n">
        <v>10</v>
      </c>
      <c r="I182" s="41" t="n">
        <v>83061000</v>
      </c>
      <c r="J182" s="30" t="n">
        <v>0.05</v>
      </c>
      <c r="K182" s="32">
        <f>D182*J182</f>
        <v/>
      </c>
      <c r="M182" s="32">
        <f>D182*4%</f>
        <v/>
      </c>
      <c r="N182" s="49">
        <f>M182+L182+K182+H182+G182+F182+E182+D182</f>
        <v/>
      </c>
      <c r="O182" s="32">
        <f>D182*1%</f>
        <v/>
      </c>
      <c r="P182" s="7">
        <f>N182*8%</f>
        <v/>
      </c>
      <c r="Q182" s="7">
        <f>N182*10%</f>
        <v/>
      </c>
      <c r="R182" s="7">
        <f>N182*5%</f>
        <v/>
      </c>
      <c r="S182" s="7">
        <f>N182*2%</f>
        <v/>
      </c>
      <c r="T182" s="7">
        <f>AE182*0.5%</f>
        <v/>
      </c>
      <c r="U182" s="7">
        <f>N182*1%</f>
        <v/>
      </c>
      <c r="V182" s="49">
        <f>U182+S182+R182+Q182+P182+O182</f>
        <v/>
      </c>
      <c r="W182" s="32">
        <f>AE182*1%</f>
        <v/>
      </c>
      <c r="X182" s="32">
        <f>AE182*10%</f>
        <v/>
      </c>
      <c r="Y182" s="32">
        <f>AE182*1%</f>
        <v/>
      </c>
      <c r="Z182" s="32">
        <f>AE182*8%</f>
        <v/>
      </c>
      <c r="AA182" s="32">
        <f>W182+X182+Y182+Z182</f>
        <v/>
      </c>
      <c r="AB182" s="31">
        <f>AA182+V182+N182</f>
        <v/>
      </c>
      <c r="AC182" s="6">
        <f>AB182*20%</f>
        <v/>
      </c>
      <c r="AD182" s="32">
        <f>AB182+AC182</f>
        <v/>
      </c>
      <c r="AE182" s="32">
        <f>D182*2.1</f>
        <v/>
      </c>
      <c r="AF182" s="7">
        <f>AD182-AE182</f>
        <v/>
      </c>
      <c r="AG182" s="7">
        <f>AF182/AD182*100</f>
        <v/>
      </c>
      <c r="AI182" s="33" t="n"/>
      <c r="AJ182" s="34">
        <f>AD182</f>
        <v/>
      </c>
      <c r="AK182" s="34">
        <f>AJ182-(AJ182*7%)</f>
        <v/>
      </c>
      <c r="AL182" s="35">
        <f>AJ182/94</f>
        <v/>
      </c>
      <c r="AM182" s="35">
        <f>AK182/94</f>
        <v/>
      </c>
      <c r="AN182" s="36">
        <f>AJ182/24</f>
        <v/>
      </c>
      <c r="AO182" s="36">
        <f>AK182/24</f>
        <v/>
      </c>
      <c r="AP182" s="37">
        <f>AJ182/125</f>
        <v/>
      </c>
      <c r="AQ182" s="37">
        <f>AK182/125</f>
        <v/>
      </c>
    </row>
    <row r="183" ht="15.75" customHeight="1" s="50">
      <c r="A183" s="32" t="n"/>
      <c r="B183" s="32" t="inlineStr">
        <is>
          <t>Buddhist Om / 20 in</t>
        </is>
      </c>
      <c r="C183" s="32" t="inlineStr">
        <is>
          <t>MI-G-ET-BM-20</t>
        </is>
      </c>
      <c r="D183" s="32" t="inlineStr">
        <is>
          <t>Parasonjeet</t>
        </is>
      </c>
      <c r="E183" s="32" t="n">
        <v>190</v>
      </c>
      <c r="G183" s="32" t="n">
        <v>0</v>
      </c>
      <c r="H183" s="32" t="n">
        <v>10</v>
      </c>
      <c r="I183" s="41" t="n">
        <v>83061000</v>
      </c>
      <c r="J183" s="30" t="n">
        <v>0.05</v>
      </c>
      <c r="K183" s="32">
        <f>D183*J183</f>
        <v/>
      </c>
      <c r="M183" s="32">
        <f>D183*4%</f>
        <v/>
      </c>
      <c r="N183" s="49">
        <f>M183+L183+K183+H183+G183+F183+E183+D183</f>
        <v/>
      </c>
      <c r="O183" s="32">
        <f>D183*1%</f>
        <v/>
      </c>
      <c r="P183" s="7">
        <f>N183*8%</f>
        <v/>
      </c>
      <c r="Q183" s="7">
        <f>N183*10%</f>
        <v/>
      </c>
      <c r="R183" s="7">
        <f>N183*5%</f>
        <v/>
      </c>
      <c r="S183" s="7">
        <f>N183*2%</f>
        <v/>
      </c>
      <c r="T183" s="7">
        <f>AE183*0.5%</f>
        <v/>
      </c>
      <c r="U183" s="7">
        <f>N183*1%</f>
        <v/>
      </c>
      <c r="V183" s="49">
        <f>U183+S183+R183+Q183+P183+O183</f>
        <v/>
      </c>
      <c r="W183" s="32">
        <f>AE183*1%</f>
        <v/>
      </c>
      <c r="X183" s="32">
        <f>AE183*10%</f>
        <v/>
      </c>
      <c r="Y183" s="32">
        <f>AE183*1%</f>
        <v/>
      </c>
      <c r="Z183" s="32">
        <f>AE183*8%</f>
        <v/>
      </c>
      <c r="AA183" s="32">
        <f>W183+X183+Y183+Z183</f>
        <v/>
      </c>
      <c r="AB183" s="31">
        <f>AA183+V183+N183</f>
        <v/>
      </c>
      <c r="AC183" s="6">
        <f>AB183*20%</f>
        <v/>
      </c>
      <c r="AD183" s="32">
        <f>AB183+AC183</f>
        <v/>
      </c>
      <c r="AE183" s="32">
        <f>D183*2.1</f>
        <v/>
      </c>
      <c r="AF183" s="7">
        <f>AD183-AE183</f>
        <v/>
      </c>
      <c r="AG183" s="7">
        <f>AF183/AD183*100</f>
        <v/>
      </c>
      <c r="AI183" s="33" t="n"/>
      <c r="AJ183" s="34">
        <f>AD183</f>
        <v/>
      </c>
      <c r="AK183" s="34">
        <f>AJ183-(AJ183*7%)</f>
        <v/>
      </c>
      <c r="AL183" s="35">
        <f>AJ183/94</f>
        <v/>
      </c>
      <c r="AM183" s="35">
        <f>AK183/94</f>
        <v/>
      </c>
      <c r="AN183" s="36">
        <f>AJ183/24</f>
        <v/>
      </c>
      <c r="AO183" s="36">
        <f>AK183/24</f>
        <v/>
      </c>
      <c r="AP183" s="37">
        <f>AJ183/125</f>
        <v/>
      </c>
      <c r="AQ183" s="37">
        <f>AK183/125</f>
        <v/>
      </c>
    </row>
    <row r="184" ht="15.75" customHeight="1" s="50">
      <c r="A184" s="32" t="n"/>
      <c r="B184" s="32" t="inlineStr">
        <is>
          <t>22 in / Buddhist Om</t>
        </is>
      </c>
      <c r="C184" s="32" t="inlineStr">
        <is>
          <t>MI-G-ET-BM-22</t>
        </is>
      </c>
      <c r="D184" s="32" t="inlineStr">
        <is>
          <t>Parasonjeet</t>
        </is>
      </c>
      <c r="E184" s="32" t="n">
        <v>190</v>
      </c>
      <c r="G184" s="32" t="n">
        <v>0</v>
      </c>
      <c r="H184" s="32" t="n">
        <v>10</v>
      </c>
      <c r="I184" s="41" t="n">
        <v>83061000</v>
      </c>
      <c r="J184" s="30" t="n">
        <v>0.05</v>
      </c>
      <c r="K184" s="32">
        <f>D184*J184</f>
        <v/>
      </c>
      <c r="M184" s="32">
        <f>D184*4%</f>
        <v/>
      </c>
      <c r="N184" s="49">
        <f>M184+L184+K184+H184+G184+F184+E184+D184</f>
        <v/>
      </c>
      <c r="O184" s="32">
        <f>D184*1%</f>
        <v/>
      </c>
      <c r="P184" s="7">
        <f>N184*8%</f>
        <v/>
      </c>
      <c r="Q184" s="7">
        <f>N184*10%</f>
        <v/>
      </c>
      <c r="R184" s="7">
        <f>N184*5%</f>
        <v/>
      </c>
      <c r="S184" s="7">
        <f>N184*2%</f>
        <v/>
      </c>
      <c r="T184" s="7">
        <f>AE184*0.5%</f>
        <v/>
      </c>
      <c r="U184" s="7">
        <f>N184*1%</f>
        <v/>
      </c>
      <c r="V184" s="49">
        <f>U184+S184+R184+Q184+P184+O184</f>
        <v/>
      </c>
      <c r="W184" s="32">
        <f>AE184*1%</f>
        <v/>
      </c>
      <c r="X184" s="32">
        <f>AE184*10%</f>
        <v/>
      </c>
      <c r="Y184" s="32">
        <f>AE184*1%</f>
        <v/>
      </c>
      <c r="Z184" s="32">
        <f>AE184*8%</f>
        <v/>
      </c>
      <c r="AA184" s="32">
        <f>W184+X184+Y184+Z184</f>
        <v/>
      </c>
      <c r="AB184" s="31">
        <f>AA184+V184+N184</f>
        <v/>
      </c>
      <c r="AC184" s="6">
        <f>AB184*20%</f>
        <v/>
      </c>
      <c r="AD184" s="32">
        <f>AB184+AC184</f>
        <v/>
      </c>
      <c r="AE184" s="32">
        <f>D184*2.1</f>
        <v/>
      </c>
      <c r="AF184" s="7">
        <f>AD184-AE184</f>
        <v/>
      </c>
      <c r="AG184" s="7">
        <f>AF184/AD184*100</f>
        <v/>
      </c>
      <c r="AI184" s="33" t="n"/>
      <c r="AJ184" s="34">
        <f>AD184</f>
        <v/>
      </c>
      <c r="AK184" s="34">
        <f>AJ184-(AJ184*7%)</f>
        <v/>
      </c>
      <c r="AL184" s="35">
        <f>AJ184/94</f>
        <v/>
      </c>
      <c r="AM184" s="35">
        <f>AK184/94</f>
        <v/>
      </c>
      <c r="AN184" s="36">
        <f>AJ184/24</f>
        <v/>
      </c>
      <c r="AO184" s="36">
        <f>AK184/24</f>
        <v/>
      </c>
      <c r="AP184" s="37">
        <f>AJ184/125</f>
        <v/>
      </c>
      <c r="AQ184" s="37">
        <f>AK184/125</f>
        <v/>
      </c>
    </row>
    <row r="185" ht="15.75" customHeight="1" s="50">
      <c r="A185" s="32" t="n"/>
      <c r="B185" s="32" t="inlineStr">
        <is>
          <t>24 in / Buddhist Om</t>
        </is>
      </c>
      <c r="C185" s="32" t="inlineStr">
        <is>
          <t>MI-G-ET-BM-24</t>
        </is>
      </c>
      <c r="D185" s="32" t="inlineStr">
        <is>
          <t>Parasonjeet</t>
        </is>
      </c>
      <c r="E185" s="32" t="n">
        <v>190</v>
      </c>
      <c r="G185" s="32" t="n">
        <v>0</v>
      </c>
      <c r="H185" s="32" t="n">
        <v>10</v>
      </c>
      <c r="I185" s="41" t="n">
        <v>83061000</v>
      </c>
      <c r="J185" s="30" t="n">
        <v>0.05</v>
      </c>
      <c r="K185" s="32">
        <f>D185*J185</f>
        <v/>
      </c>
      <c r="M185" s="32">
        <f>D185*4%</f>
        <v/>
      </c>
      <c r="N185" s="49">
        <f>M185+L185+K185+H185+G185+F185+E185+D185</f>
        <v/>
      </c>
      <c r="O185" s="32">
        <f>D185*1%</f>
        <v/>
      </c>
      <c r="P185" s="7">
        <f>N185*8%</f>
        <v/>
      </c>
      <c r="Q185" s="7">
        <f>N185*10%</f>
        <v/>
      </c>
      <c r="R185" s="7">
        <f>N185*5%</f>
        <v/>
      </c>
      <c r="S185" s="7">
        <f>N185*2%</f>
        <v/>
      </c>
      <c r="T185" s="7">
        <f>AE185*0.5%</f>
        <v/>
      </c>
      <c r="U185" s="7">
        <f>N185*1%</f>
        <v/>
      </c>
      <c r="V185" s="49">
        <f>U185+S185+R185+Q185+P185+O185</f>
        <v/>
      </c>
      <c r="W185" s="32">
        <f>AE185*1%</f>
        <v/>
      </c>
      <c r="X185" s="32">
        <f>AE185*10%</f>
        <v/>
      </c>
      <c r="Y185" s="32">
        <f>AE185*1%</f>
        <v/>
      </c>
      <c r="Z185" s="32">
        <f>AE185*8%</f>
        <v/>
      </c>
      <c r="AA185" s="32">
        <f>W185+X185+Y185+Z185</f>
        <v/>
      </c>
      <c r="AB185" s="31">
        <f>AA185+V185+N185</f>
        <v/>
      </c>
      <c r="AC185" s="6">
        <f>AB185*20%</f>
        <v/>
      </c>
      <c r="AD185" s="32">
        <f>AB185+AC185</f>
        <v/>
      </c>
      <c r="AE185" s="32">
        <f>D185*2.1</f>
        <v/>
      </c>
      <c r="AF185" s="7">
        <f>AD185-AE185</f>
        <v/>
      </c>
      <c r="AG185" s="7">
        <f>AF185/AD185*100</f>
        <v/>
      </c>
      <c r="AI185" s="33" t="n"/>
      <c r="AJ185" s="34">
        <f>AD185</f>
        <v/>
      </c>
      <c r="AK185" s="34">
        <f>AJ185-(AJ185*7%)</f>
        <v/>
      </c>
      <c r="AL185" s="35">
        <f>AJ185/94</f>
        <v/>
      </c>
      <c r="AM185" s="35">
        <f>AK185/94</f>
        <v/>
      </c>
      <c r="AN185" s="36">
        <f>AJ185/24</f>
        <v/>
      </c>
      <c r="AO185" s="36">
        <f>AK185/24</f>
        <v/>
      </c>
      <c r="AP185" s="37">
        <f>AJ185/125</f>
        <v/>
      </c>
      <c r="AQ185" s="37">
        <f>AK185/125</f>
        <v/>
      </c>
    </row>
    <row r="186" ht="15.75" customHeight="1" s="50">
      <c r="A186" s="32" t="n"/>
      <c r="B186" s="32" t="inlineStr">
        <is>
          <t>Buddhist Om / 28 in</t>
        </is>
      </c>
      <c r="C186" s="32" t="inlineStr">
        <is>
          <t>MI-G-ET-BM-28</t>
        </is>
      </c>
      <c r="D186" s="32" t="inlineStr">
        <is>
          <t>Parasonjeet</t>
        </is>
      </c>
      <c r="E186" s="32" t="n">
        <v>350</v>
      </c>
      <c r="G186" s="32" t="n">
        <v>0</v>
      </c>
      <c r="H186" s="32" t="n">
        <v>10</v>
      </c>
      <c r="I186" s="41" t="n">
        <v>83061000</v>
      </c>
      <c r="J186" s="30" t="n">
        <v>0.05</v>
      </c>
      <c r="K186" s="32">
        <f>D186*J186</f>
        <v/>
      </c>
      <c r="M186" s="32">
        <f>D186*4%</f>
        <v/>
      </c>
      <c r="N186" s="49">
        <f>M186+L186+K186+H186+G186+F186+E186+D186</f>
        <v/>
      </c>
      <c r="O186" s="32">
        <f>D186*1%</f>
        <v/>
      </c>
      <c r="P186" s="7">
        <f>N186*8%</f>
        <v/>
      </c>
      <c r="Q186" s="7">
        <f>N186*10%</f>
        <v/>
      </c>
      <c r="R186" s="7">
        <f>N186*5%</f>
        <v/>
      </c>
      <c r="S186" s="7">
        <f>N186*2%</f>
        <v/>
      </c>
      <c r="T186" s="7">
        <f>AE186*0.5%</f>
        <v/>
      </c>
      <c r="U186" s="7">
        <f>N186*1%</f>
        <v/>
      </c>
      <c r="V186" s="49">
        <f>U186+S186+R186+Q186+P186+O186</f>
        <v/>
      </c>
      <c r="W186" s="32">
        <f>AE186*1%</f>
        <v/>
      </c>
      <c r="X186" s="32">
        <f>AE186*10%</f>
        <v/>
      </c>
      <c r="Y186" s="32">
        <f>AE186*1%</f>
        <v/>
      </c>
      <c r="Z186" s="32">
        <f>AE186*8%</f>
        <v/>
      </c>
      <c r="AA186" s="32">
        <f>W186+X186+Y186+Z186</f>
        <v/>
      </c>
      <c r="AB186" s="31">
        <f>AA186+V186+N186</f>
        <v/>
      </c>
      <c r="AC186" s="6">
        <f>AB186*20%</f>
        <v/>
      </c>
      <c r="AD186" s="32">
        <f>AB186+AC186</f>
        <v/>
      </c>
      <c r="AE186" s="32">
        <f>D186*2.1</f>
        <v/>
      </c>
      <c r="AF186" s="7">
        <f>AD186-AE186</f>
        <v/>
      </c>
      <c r="AG186" s="7">
        <f>AF186/AD186*100</f>
        <v/>
      </c>
      <c r="AI186" s="33" t="n"/>
      <c r="AJ186" s="34">
        <f>AD186</f>
        <v/>
      </c>
      <c r="AK186" s="34">
        <f>AJ186-(AJ186*7%)</f>
        <v/>
      </c>
      <c r="AL186" s="35">
        <f>AJ186/94</f>
        <v/>
      </c>
      <c r="AM186" s="35">
        <f>AK186/94</f>
        <v/>
      </c>
      <c r="AN186" s="36">
        <f>AJ186/24</f>
        <v/>
      </c>
      <c r="AO186" s="36">
        <f>AK186/24</f>
        <v/>
      </c>
      <c r="AP186" s="37">
        <f>AJ186/125</f>
        <v/>
      </c>
      <c r="AQ186" s="37">
        <f>AK186/125</f>
        <v/>
      </c>
    </row>
    <row r="187" ht="15.75" customHeight="1" s="50">
      <c r="A187" s="32" t="n"/>
      <c r="B187" s="32" t="inlineStr">
        <is>
          <t>Buddhist Om / 32 in</t>
        </is>
      </c>
      <c r="C187" s="32" t="inlineStr">
        <is>
          <t>MI-G-ET-BM-32</t>
        </is>
      </c>
      <c r="D187" s="32" t="inlineStr">
        <is>
          <t>Parasonjeet</t>
        </is>
      </c>
      <c r="E187" s="32" t="n">
        <v>350</v>
      </c>
      <c r="G187" s="32" t="n">
        <v>0</v>
      </c>
      <c r="H187" s="32" t="n">
        <v>10</v>
      </c>
      <c r="I187" s="41" t="n">
        <v>83061000</v>
      </c>
      <c r="J187" s="30" t="n">
        <v>0.05</v>
      </c>
      <c r="K187" s="32">
        <f>D187*J187</f>
        <v/>
      </c>
      <c r="M187" s="32">
        <f>D187*4%</f>
        <v/>
      </c>
      <c r="N187" s="49">
        <f>M187+L187+K187+H187+G187+F187+E187+D187</f>
        <v/>
      </c>
      <c r="O187" s="32">
        <f>D187*1%</f>
        <v/>
      </c>
      <c r="P187" s="7">
        <f>N187*8%</f>
        <v/>
      </c>
      <c r="Q187" s="7">
        <f>N187*10%</f>
        <v/>
      </c>
      <c r="R187" s="7">
        <f>N187*5%</f>
        <v/>
      </c>
      <c r="S187" s="7">
        <f>N187*2%</f>
        <v/>
      </c>
      <c r="T187" s="7">
        <f>AE187*0.5%</f>
        <v/>
      </c>
      <c r="U187" s="7">
        <f>N187*1%</f>
        <v/>
      </c>
      <c r="V187" s="49">
        <f>U187+S187+R187+Q187+P187+O187</f>
        <v/>
      </c>
      <c r="W187" s="32">
        <f>AE187*1%</f>
        <v/>
      </c>
      <c r="X187" s="32">
        <f>AE187*10%</f>
        <v/>
      </c>
      <c r="Y187" s="32">
        <f>AE187*1%</f>
        <v/>
      </c>
      <c r="Z187" s="32">
        <f>AE187*8%</f>
        <v/>
      </c>
      <c r="AA187" s="32">
        <f>W187+X187+Y187+Z187</f>
        <v/>
      </c>
      <c r="AB187" s="31">
        <f>AA187+V187+N187</f>
        <v/>
      </c>
      <c r="AC187" s="6">
        <f>AB187*20%</f>
        <v/>
      </c>
      <c r="AD187" s="32">
        <f>AB187+AC187</f>
        <v/>
      </c>
      <c r="AE187" s="32">
        <f>D187*2.1</f>
        <v/>
      </c>
      <c r="AF187" s="7">
        <f>AD187-AE187</f>
        <v/>
      </c>
      <c r="AG187" s="7">
        <f>AF187/AD187*100</f>
        <v/>
      </c>
      <c r="AI187" s="33" t="n"/>
      <c r="AJ187" s="34">
        <f>AD187</f>
        <v/>
      </c>
      <c r="AK187" s="34">
        <f>AJ187-(AJ187*7%)</f>
        <v/>
      </c>
      <c r="AL187" s="35">
        <f>AJ187/94</f>
        <v/>
      </c>
      <c r="AM187" s="35">
        <f>AK187/94</f>
        <v/>
      </c>
      <c r="AN187" s="36">
        <f>AJ187/24</f>
        <v/>
      </c>
      <c r="AO187" s="36">
        <f>AK187/24</f>
        <v/>
      </c>
      <c r="AP187" s="37">
        <f>AJ187/125</f>
        <v/>
      </c>
      <c r="AQ187" s="37">
        <f>AK187/125</f>
        <v/>
      </c>
    </row>
    <row r="188" ht="15.75" customHeight="1" s="50">
      <c r="A188" s="32" t="n"/>
      <c r="B188" s="32" t="inlineStr">
        <is>
          <t>Buddhist Om / 40 in</t>
        </is>
      </c>
      <c r="C188" s="32" t="inlineStr">
        <is>
          <t>MI-G-ET-BM-40</t>
        </is>
      </c>
      <c r="D188" s="32" t="inlineStr">
        <is>
          <t>Parasonjeet</t>
        </is>
      </c>
      <c r="E188" s="32" t="n">
        <v>350</v>
      </c>
      <c r="G188" s="32" t="n">
        <v>0</v>
      </c>
      <c r="H188" s="32" t="n">
        <v>10</v>
      </c>
      <c r="I188" s="41" t="n">
        <v>83061000</v>
      </c>
      <c r="J188" s="30" t="n">
        <v>0.05</v>
      </c>
      <c r="K188" s="32">
        <f>D188*J188</f>
        <v/>
      </c>
      <c r="M188" s="32">
        <f>D188*4%</f>
        <v/>
      </c>
      <c r="N188" s="49">
        <f>M188+L188+K188+H188+G188+F188+E188+D188</f>
        <v/>
      </c>
      <c r="O188" s="32">
        <f>D188*1%</f>
        <v/>
      </c>
      <c r="P188" s="7">
        <f>N188*8%</f>
        <v/>
      </c>
      <c r="Q188" s="7">
        <f>N188*10%</f>
        <v/>
      </c>
      <c r="R188" s="7">
        <f>N188*5%</f>
        <v/>
      </c>
      <c r="S188" s="7">
        <f>N188*2%</f>
        <v/>
      </c>
      <c r="T188" s="7">
        <f>AE188*0.5%</f>
        <v/>
      </c>
      <c r="U188" s="7">
        <f>N188*1%</f>
        <v/>
      </c>
      <c r="V188" s="49">
        <f>U188+S188+R188+Q188+P188+O188</f>
        <v/>
      </c>
      <c r="W188" s="32">
        <f>AE188*1%</f>
        <v/>
      </c>
      <c r="X188" s="32">
        <f>AE188*10%</f>
        <v/>
      </c>
      <c r="Y188" s="32">
        <f>AE188*1%</f>
        <v/>
      </c>
      <c r="Z188" s="32">
        <f>AE188*8%</f>
        <v/>
      </c>
      <c r="AA188" s="32">
        <f>W188+X188+Y188+Z188</f>
        <v/>
      </c>
      <c r="AB188" s="31">
        <f>AA188+V188+N188</f>
        <v/>
      </c>
      <c r="AC188" s="6">
        <f>AB188*20%</f>
        <v/>
      </c>
      <c r="AD188" s="32">
        <f>AB188+AC188</f>
        <v/>
      </c>
      <c r="AE188" s="32">
        <f>D188*2.1</f>
        <v/>
      </c>
      <c r="AF188" s="7">
        <f>AD188-AE188</f>
        <v/>
      </c>
      <c r="AG188" s="7">
        <f>AF188/AD188*100</f>
        <v/>
      </c>
      <c r="AI188" s="33" t="n"/>
      <c r="AJ188" s="34">
        <f>AD188</f>
        <v/>
      </c>
      <c r="AK188" s="34">
        <f>AJ188-(AJ188*7%)</f>
        <v/>
      </c>
      <c r="AL188" s="35">
        <f>AJ188/94</f>
        <v/>
      </c>
      <c r="AM188" s="35">
        <f>AK188/94</f>
        <v/>
      </c>
      <c r="AN188" s="36">
        <f>AJ188/24</f>
        <v/>
      </c>
      <c r="AO188" s="36">
        <f>AK188/24</f>
        <v/>
      </c>
      <c r="AP188" s="37">
        <f>AJ188/125</f>
        <v/>
      </c>
      <c r="AQ188" s="37">
        <f>AK188/125</f>
        <v/>
      </c>
    </row>
    <row r="189" ht="15" customHeight="1" s="50">
      <c r="A189" s="32" t="inlineStr">
        <is>
          <t>Etched Handmade Singing Bowls</t>
        </is>
      </c>
      <c r="B189" s="32" t="inlineStr">
        <is>
          <t>Buddha / 6 in</t>
        </is>
      </c>
      <c r="C189" s="32" t="inlineStr">
        <is>
          <t>MI-SB-H-ET-B-6</t>
        </is>
      </c>
      <c r="D189" s="32" t="inlineStr">
        <is>
          <t>Parasonjeet</t>
        </is>
      </c>
      <c r="E189" s="32" t="n">
        <v>125</v>
      </c>
      <c r="F189" s="32" t="n">
        <v>55</v>
      </c>
      <c r="G189" s="32" t="n">
        <v>0</v>
      </c>
      <c r="H189" s="32" t="n">
        <v>10</v>
      </c>
      <c r="I189" s="41" t="n">
        <v>83061000</v>
      </c>
      <c r="J189" s="30" t="n">
        <v>0.05</v>
      </c>
      <c r="K189" s="32">
        <f>D189*J189</f>
        <v/>
      </c>
      <c r="M189" s="32">
        <f>D189*4%</f>
        <v/>
      </c>
      <c r="N189" s="49">
        <f>M189+L189+K189+H189+G189+F189+E189+D189</f>
        <v/>
      </c>
      <c r="O189" s="32">
        <f>D189*1%</f>
        <v/>
      </c>
      <c r="P189" s="7">
        <f>N189*8%</f>
        <v/>
      </c>
      <c r="Q189" s="7">
        <f>N189*10%</f>
        <v/>
      </c>
      <c r="R189" s="7">
        <f>N189*5%</f>
        <v/>
      </c>
      <c r="S189" s="7">
        <f>N189*2%</f>
        <v/>
      </c>
      <c r="T189" s="7">
        <f>AE189*0.5%</f>
        <v/>
      </c>
      <c r="U189" s="7">
        <f>N189*1%</f>
        <v/>
      </c>
      <c r="V189" s="49">
        <f>U189+S189+R189+Q189+P189+O189</f>
        <v/>
      </c>
      <c r="W189" s="32">
        <f>AE189*1%</f>
        <v/>
      </c>
      <c r="X189" s="32">
        <f>AE189*10%</f>
        <v/>
      </c>
      <c r="Y189" s="32">
        <f>AE189*1%</f>
        <v/>
      </c>
      <c r="Z189" s="32">
        <f>AE189*8%</f>
        <v/>
      </c>
      <c r="AA189" s="32">
        <f>W189+X189+Y189+Z189</f>
        <v/>
      </c>
      <c r="AB189" s="31">
        <f>AA189+V189+N189</f>
        <v/>
      </c>
      <c r="AC189" s="6">
        <f>AB189*20%</f>
        <v/>
      </c>
      <c r="AD189" s="32">
        <f>AB189+AC189</f>
        <v/>
      </c>
      <c r="AE189" s="32">
        <f>D189*2.1</f>
        <v/>
      </c>
      <c r="AF189" s="7">
        <f>AD189-AE189</f>
        <v/>
      </c>
      <c r="AG189" s="7">
        <f>AF189/AD189*100</f>
        <v/>
      </c>
      <c r="AH189" s="0" t="n">
        <v>10500</v>
      </c>
      <c r="AI189" s="33" t="n"/>
      <c r="AJ189" s="34">
        <f>AD189</f>
        <v/>
      </c>
      <c r="AK189" s="34">
        <f>AJ189-(AJ189*7%)</f>
        <v/>
      </c>
      <c r="AL189" s="35">
        <f>AJ189/94</f>
        <v/>
      </c>
      <c r="AM189" s="35">
        <f>AK189/94</f>
        <v/>
      </c>
      <c r="AN189" s="36">
        <f>AJ189/24</f>
        <v/>
      </c>
      <c r="AO189" s="36">
        <f>AK189/24</f>
        <v/>
      </c>
      <c r="AP189" s="37">
        <f>AJ189/125</f>
        <v/>
      </c>
      <c r="AQ189" s="37">
        <f>AK189/125</f>
        <v/>
      </c>
    </row>
    <row r="190" ht="15.75" customHeight="1" s="50">
      <c r="A190" s="32" t="n"/>
      <c r="B190" s="32" t="inlineStr">
        <is>
          <t>Sacred Geometry / 10 in</t>
        </is>
      </c>
      <c r="C190" s="32" t="inlineStr">
        <is>
          <t>MI-SB-GE-10</t>
        </is>
      </c>
      <c r="D190" s="32" t="inlineStr">
        <is>
          <t>Parasonjeet</t>
        </is>
      </c>
      <c r="E190" s="32" t="n">
        <v>145</v>
      </c>
      <c r="F190" s="32" t="n">
        <v>80</v>
      </c>
      <c r="G190" s="32" t="n">
        <v>0</v>
      </c>
      <c r="H190" s="32" t="n">
        <v>10</v>
      </c>
      <c r="I190" s="41" t="n">
        <v>83061000</v>
      </c>
      <c r="J190" s="30" t="n">
        <v>0.05</v>
      </c>
      <c r="K190" s="32">
        <f>D190*J190</f>
        <v/>
      </c>
      <c r="M190" s="32">
        <f>D190*4%</f>
        <v/>
      </c>
      <c r="N190" s="49">
        <f>M190+L190+K190+H190+G190+F190+E190+D190</f>
        <v/>
      </c>
      <c r="O190" s="32">
        <f>D190*1%</f>
        <v/>
      </c>
      <c r="P190" s="7">
        <f>N190*8%</f>
        <v/>
      </c>
      <c r="Q190" s="7">
        <f>N190*10%</f>
        <v/>
      </c>
      <c r="R190" s="7">
        <f>N190*5%</f>
        <v/>
      </c>
      <c r="S190" s="7">
        <f>N190*2%</f>
        <v/>
      </c>
      <c r="T190" s="7">
        <f>AE190*0.5%</f>
        <v/>
      </c>
      <c r="U190" s="7">
        <f>N190*1%</f>
        <v/>
      </c>
      <c r="V190" s="49">
        <f>U190+S190+R190+Q190+P190+O190</f>
        <v/>
      </c>
      <c r="W190" s="32">
        <f>AE190*1%</f>
        <v/>
      </c>
      <c r="X190" s="32">
        <f>AE190*10%</f>
        <v/>
      </c>
      <c r="Y190" s="32">
        <f>AE190*1%</f>
        <v/>
      </c>
      <c r="Z190" s="32">
        <f>AE190*8%</f>
        <v/>
      </c>
      <c r="AA190" s="32">
        <f>W190+X190+Y190+Z190</f>
        <v/>
      </c>
      <c r="AB190" s="31">
        <f>AA190+V190+N190</f>
        <v/>
      </c>
      <c r="AC190" s="6">
        <f>AB190*20%</f>
        <v/>
      </c>
      <c r="AD190" s="32">
        <f>AB190+AC190</f>
        <v/>
      </c>
      <c r="AE190" s="32">
        <f>D190*2.1</f>
        <v/>
      </c>
      <c r="AF190" s="7">
        <f>AD190-AE190</f>
        <v/>
      </c>
      <c r="AG190" s="7">
        <f>AF190/AD190*100</f>
        <v/>
      </c>
      <c r="AH190" s="0" t="n">
        <v>16500</v>
      </c>
      <c r="AI190" s="33" t="n"/>
      <c r="AJ190" s="34">
        <f>AD190</f>
        <v/>
      </c>
      <c r="AK190" s="34">
        <f>AJ190-(AJ190*7%)</f>
        <v/>
      </c>
      <c r="AL190" s="35">
        <f>AJ190/94</f>
        <v/>
      </c>
      <c r="AM190" s="35">
        <f>AK190/94</f>
        <v/>
      </c>
      <c r="AN190" s="36">
        <f>AJ190/24</f>
        <v/>
      </c>
      <c r="AO190" s="36">
        <f>AK190/24</f>
        <v/>
      </c>
      <c r="AP190" s="37">
        <f>AJ190/125</f>
        <v/>
      </c>
      <c r="AQ190" s="37">
        <f>AK190/125</f>
        <v/>
      </c>
    </row>
    <row r="191" ht="15.75" customHeight="1" s="50">
      <c r="A191" s="32" t="n"/>
      <c r="B191" s="32" t="inlineStr">
        <is>
          <t>Sacred Geometry / 11 in</t>
        </is>
      </c>
      <c r="C191" s="32" t="inlineStr">
        <is>
          <t>MI-SB-GE-11</t>
        </is>
      </c>
      <c r="D191" s="32" t="inlineStr">
        <is>
          <t>Parasonjeet</t>
        </is>
      </c>
      <c r="E191" s="32" t="n">
        <v>145</v>
      </c>
      <c r="F191" s="32" t="n">
        <v>80</v>
      </c>
      <c r="G191" s="32" t="n">
        <v>0</v>
      </c>
      <c r="H191" s="32" t="n">
        <v>10</v>
      </c>
      <c r="I191" s="41" t="n">
        <v>83061000</v>
      </c>
      <c r="J191" s="30" t="n">
        <v>0.05</v>
      </c>
      <c r="K191" s="32">
        <f>D191*J191</f>
        <v/>
      </c>
      <c r="M191" s="32">
        <f>D191*4%</f>
        <v/>
      </c>
      <c r="N191" s="49">
        <f>M191+L191+K191+H191+G191+F191+E191+D191</f>
        <v/>
      </c>
      <c r="O191" s="32">
        <f>D191*1%</f>
        <v/>
      </c>
      <c r="P191" s="7">
        <f>N191*8%</f>
        <v/>
      </c>
      <c r="Q191" s="7">
        <f>N191*10%</f>
        <v/>
      </c>
      <c r="R191" s="7">
        <f>N191*5%</f>
        <v/>
      </c>
      <c r="S191" s="7">
        <f>N191*2%</f>
        <v/>
      </c>
      <c r="T191" s="7">
        <f>AE191*0.5%</f>
        <v/>
      </c>
      <c r="U191" s="7">
        <f>N191*1%</f>
        <v/>
      </c>
      <c r="V191" s="49">
        <f>U191+S191+R191+Q191+P191+O191</f>
        <v/>
      </c>
      <c r="W191" s="32">
        <f>AE191*1%</f>
        <v/>
      </c>
      <c r="X191" s="32">
        <f>AE191*10%</f>
        <v/>
      </c>
      <c r="Y191" s="32">
        <f>AE191*1%</f>
        <v/>
      </c>
      <c r="Z191" s="32">
        <f>AE191*8%</f>
        <v/>
      </c>
      <c r="AA191" s="32">
        <f>W191+X191+Y191+Z191</f>
        <v/>
      </c>
      <c r="AB191" s="31">
        <f>AA191+V191+N191</f>
        <v/>
      </c>
      <c r="AC191" s="6">
        <f>AB191*20%</f>
        <v/>
      </c>
      <c r="AD191" s="32">
        <f>AB191+AC191</f>
        <v/>
      </c>
      <c r="AE191" s="32">
        <f>D191*2.1</f>
        <v/>
      </c>
      <c r="AF191" s="7">
        <f>AD191-AE191</f>
        <v/>
      </c>
      <c r="AG191" s="7">
        <f>AF191/AD191*100</f>
        <v/>
      </c>
      <c r="AH191" s="0" t="n">
        <v>19500</v>
      </c>
      <c r="AI191" s="33" t="n"/>
      <c r="AJ191" s="34">
        <f>AD191</f>
        <v/>
      </c>
      <c r="AK191" s="34">
        <f>AJ191-(AJ191*7%)</f>
        <v/>
      </c>
      <c r="AL191" s="35">
        <f>AJ191/94</f>
        <v/>
      </c>
      <c r="AM191" s="35">
        <f>AK191/94</f>
        <v/>
      </c>
      <c r="AN191" s="36">
        <f>AJ191/24</f>
        <v/>
      </c>
      <c r="AO191" s="36">
        <f>AK191/24</f>
        <v/>
      </c>
      <c r="AP191" s="37">
        <f>AJ191/125</f>
        <v/>
      </c>
      <c r="AQ191" s="37">
        <f>AK191/125</f>
        <v/>
      </c>
    </row>
    <row r="192" ht="15.75" customHeight="1" s="50">
      <c r="A192" s="32" t="n"/>
      <c r="B192" s="32" t="inlineStr">
        <is>
          <t>Sacred Geometry / 12 in</t>
        </is>
      </c>
      <c r="C192" s="32" t="inlineStr">
        <is>
          <t>MI-SB-GE-12</t>
        </is>
      </c>
      <c r="D192" s="32" t="inlineStr">
        <is>
          <t>Parasonjeet</t>
        </is>
      </c>
      <c r="E192" s="32" t="n">
        <v>145</v>
      </c>
      <c r="F192" s="32" t="n">
        <v>90</v>
      </c>
      <c r="G192" s="32" t="n">
        <v>0</v>
      </c>
      <c r="H192" s="32" t="n">
        <v>10</v>
      </c>
      <c r="I192" s="41" t="n">
        <v>83061000</v>
      </c>
      <c r="J192" s="30" t="n">
        <v>0.05</v>
      </c>
      <c r="K192" s="32">
        <f>D192*J192</f>
        <v/>
      </c>
      <c r="M192" s="32">
        <f>D192*4%</f>
        <v/>
      </c>
      <c r="N192" s="49">
        <f>M192+L192+K192+H192+G192+F192+E192+D192</f>
        <v/>
      </c>
      <c r="O192" s="32">
        <f>D192*1%</f>
        <v/>
      </c>
      <c r="P192" s="7">
        <f>N192*8%</f>
        <v/>
      </c>
      <c r="Q192" s="7">
        <f>N192*10%</f>
        <v/>
      </c>
      <c r="R192" s="7">
        <f>N192*5%</f>
        <v/>
      </c>
      <c r="S192" s="7">
        <f>N192*2%</f>
        <v/>
      </c>
      <c r="T192" s="7">
        <f>AE192*0.5%</f>
        <v/>
      </c>
      <c r="U192" s="7">
        <f>N192*1%</f>
        <v/>
      </c>
      <c r="V192" s="49">
        <f>U192+S192+R192+Q192+P192+O192</f>
        <v/>
      </c>
      <c r="W192" s="32">
        <f>AE192*1%</f>
        <v/>
      </c>
      <c r="X192" s="32">
        <f>AE192*10%</f>
        <v/>
      </c>
      <c r="Y192" s="32">
        <f>AE192*1%</f>
        <v/>
      </c>
      <c r="Z192" s="32">
        <f>AE192*8%</f>
        <v/>
      </c>
      <c r="AA192" s="32">
        <f>W192+X192+Y192+Z192</f>
        <v/>
      </c>
      <c r="AB192" s="31">
        <f>AA192+V192+N192</f>
        <v/>
      </c>
      <c r="AC192" s="6">
        <f>AB192*20%</f>
        <v/>
      </c>
      <c r="AD192" s="32">
        <f>AB192+AC192</f>
        <v/>
      </c>
      <c r="AE192" s="32">
        <f>D192*2.1</f>
        <v/>
      </c>
      <c r="AF192" s="7">
        <f>AD192-AE192</f>
        <v/>
      </c>
      <c r="AG192" s="7">
        <f>AF192/AD192*100</f>
        <v/>
      </c>
      <c r="AH192" s="0" t="n">
        <v>22500</v>
      </c>
      <c r="AI192" s="33" t="n"/>
      <c r="AJ192" s="34">
        <f>AD192</f>
        <v/>
      </c>
      <c r="AK192" s="34">
        <f>AJ192-(AJ192*7%)</f>
        <v/>
      </c>
      <c r="AL192" s="35">
        <f>AJ192/94</f>
        <v/>
      </c>
      <c r="AM192" s="35">
        <f>AK192/94</f>
        <v/>
      </c>
      <c r="AN192" s="36">
        <f>AJ192/24</f>
        <v/>
      </c>
      <c r="AO192" s="36">
        <f>AK192/24</f>
        <v/>
      </c>
      <c r="AP192" s="37">
        <f>AJ192/125</f>
        <v/>
      </c>
      <c r="AQ192" s="37">
        <f>AK192/125</f>
        <v/>
      </c>
    </row>
    <row r="193" ht="15.75" customHeight="1" s="50">
      <c r="A193" s="32" t="n"/>
      <c r="B193" s="32" t="inlineStr">
        <is>
          <t>Sacred Geometry / 6 in</t>
        </is>
      </c>
      <c r="C193" s="32" t="inlineStr">
        <is>
          <t>MI-SB-GE-6</t>
        </is>
      </c>
      <c r="D193" s="32" t="inlineStr">
        <is>
          <t>Parasonjeet</t>
        </is>
      </c>
      <c r="E193" s="32" t="n">
        <v>125</v>
      </c>
      <c r="F193" s="32" t="n">
        <v>65</v>
      </c>
      <c r="G193" s="32" t="n">
        <v>0</v>
      </c>
      <c r="H193" s="32" t="n">
        <v>10</v>
      </c>
      <c r="I193" s="41" t="n">
        <v>83061000</v>
      </c>
      <c r="J193" s="30" t="n">
        <v>0.05</v>
      </c>
      <c r="K193" s="32">
        <f>D193*J193</f>
        <v/>
      </c>
      <c r="M193" s="32">
        <f>D193*4%</f>
        <v/>
      </c>
      <c r="N193" s="49">
        <f>M193+L193+K193+H193+G193+F193+E193+D193</f>
        <v/>
      </c>
      <c r="O193" s="32">
        <f>D193*1%</f>
        <v/>
      </c>
      <c r="P193" s="7">
        <f>N193*8%</f>
        <v/>
      </c>
      <c r="Q193" s="7">
        <f>N193*10%</f>
        <v/>
      </c>
      <c r="R193" s="7">
        <f>N193*5%</f>
        <v/>
      </c>
      <c r="S193" s="7">
        <f>N193*2%</f>
        <v/>
      </c>
      <c r="T193" s="7">
        <f>AE193*0.5%</f>
        <v/>
      </c>
      <c r="U193" s="7">
        <f>N193*1%</f>
        <v/>
      </c>
      <c r="V193" s="49">
        <f>U193+S193+R193+Q193+P193+O193</f>
        <v/>
      </c>
      <c r="W193" s="32">
        <f>AE193*1%</f>
        <v/>
      </c>
      <c r="X193" s="32">
        <f>AE193*10%</f>
        <v/>
      </c>
      <c r="Y193" s="32">
        <f>AE193*1%</f>
        <v/>
      </c>
      <c r="Z193" s="32">
        <f>AE193*8%</f>
        <v/>
      </c>
      <c r="AA193" s="32">
        <f>W193+X193+Y193+Z193</f>
        <v/>
      </c>
      <c r="AB193" s="31">
        <f>AA193+V193+N193</f>
        <v/>
      </c>
      <c r="AC193" s="6">
        <f>AB193*20%</f>
        <v/>
      </c>
      <c r="AD193" s="32">
        <f>AB193+AC193</f>
        <v/>
      </c>
      <c r="AE193" s="32">
        <f>D193*2.1</f>
        <v/>
      </c>
      <c r="AF193" s="7">
        <f>AD193-AE193</f>
        <v/>
      </c>
      <c r="AG193" s="7">
        <f>AF193/AD193*100</f>
        <v/>
      </c>
      <c r="AH193" s="0" t="n">
        <v>8500</v>
      </c>
      <c r="AI193" s="33" t="n"/>
      <c r="AJ193" s="34">
        <f>AD193</f>
        <v/>
      </c>
      <c r="AK193" s="34">
        <f>AJ193-(AJ193*7%)</f>
        <v/>
      </c>
      <c r="AL193" s="35">
        <f>AJ193/94</f>
        <v/>
      </c>
      <c r="AM193" s="35">
        <f>AK193/94</f>
        <v/>
      </c>
      <c r="AN193" s="36">
        <f>AJ193/24</f>
        <v/>
      </c>
      <c r="AO193" s="36">
        <f>AK193/24</f>
        <v/>
      </c>
      <c r="AP193" s="37">
        <f>AJ193/125</f>
        <v/>
      </c>
      <c r="AQ193" s="37">
        <f>AK193/125</f>
        <v/>
      </c>
    </row>
    <row r="194" ht="15.75" customHeight="1" s="50">
      <c r="A194" s="32" t="n"/>
      <c r="B194" s="32" t="inlineStr">
        <is>
          <t>Sacred Geometry / 7 in</t>
        </is>
      </c>
      <c r="C194" s="32" t="inlineStr">
        <is>
          <t>MI-SB-GE-7</t>
        </is>
      </c>
      <c r="D194" s="32" t="inlineStr">
        <is>
          <t>Parasonjeet</t>
        </is>
      </c>
      <c r="E194" s="32" t="n">
        <v>125</v>
      </c>
      <c r="F194" s="32" t="n">
        <v>65</v>
      </c>
      <c r="G194" s="32" t="n">
        <v>0</v>
      </c>
      <c r="H194" s="32" t="n">
        <v>10</v>
      </c>
      <c r="I194" s="41" t="n">
        <v>83061000</v>
      </c>
      <c r="J194" s="30" t="n">
        <v>0.05</v>
      </c>
      <c r="K194" s="32">
        <f>D194*J194</f>
        <v/>
      </c>
      <c r="M194" s="32">
        <f>D194*4%</f>
        <v/>
      </c>
      <c r="N194" s="49">
        <f>M194+L194+K194+H194+G194+F194+E194+D194</f>
        <v/>
      </c>
      <c r="O194" s="32">
        <f>D194*1%</f>
        <v/>
      </c>
      <c r="P194" s="7">
        <f>N194*8%</f>
        <v/>
      </c>
      <c r="Q194" s="7">
        <f>N194*10%</f>
        <v/>
      </c>
      <c r="R194" s="7">
        <f>N194*5%</f>
        <v/>
      </c>
      <c r="S194" s="7">
        <f>N194*2%</f>
        <v/>
      </c>
      <c r="T194" s="7">
        <f>AE194*0.5%</f>
        <v/>
      </c>
      <c r="U194" s="7">
        <f>N194*1%</f>
        <v/>
      </c>
      <c r="V194" s="49">
        <f>U194+S194+R194+Q194+P194+O194</f>
        <v/>
      </c>
      <c r="W194" s="32">
        <f>AE194*1%</f>
        <v/>
      </c>
      <c r="X194" s="32">
        <f>AE194*10%</f>
        <v/>
      </c>
      <c r="Y194" s="32">
        <f>AE194*1%</f>
        <v/>
      </c>
      <c r="Z194" s="32">
        <f>AE194*8%</f>
        <v/>
      </c>
      <c r="AA194" s="32">
        <f>W194+X194+Y194+Z194</f>
        <v/>
      </c>
      <c r="AB194" s="31">
        <f>AA194+V194+N194</f>
        <v/>
      </c>
      <c r="AC194" s="6">
        <f>AB194*20%</f>
        <v/>
      </c>
      <c r="AD194" s="32">
        <f>AB194+AC194</f>
        <v/>
      </c>
      <c r="AE194" s="32">
        <f>D194*2.1</f>
        <v/>
      </c>
      <c r="AF194" s="7">
        <f>AD194-AE194</f>
        <v/>
      </c>
      <c r="AG194" s="7">
        <f>AF194/AD194*100</f>
        <v/>
      </c>
      <c r="AH194" s="0" t="n">
        <v>10500</v>
      </c>
      <c r="AI194" s="33" t="n"/>
      <c r="AJ194" s="34">
        <f>AD194</f>
        <v/>
      </c>
      <c r="AK194" s="34">
        <f>AJ194-(AJ194*7%)</f>
        <v/>
      </c>
      <c r="AL194" s="35">
        <f>AJ194/94</f>
        <v/>
      </c>
      <c r="AM194" s="35">
        <f>AK194/94</f>
        <v/>
      </c>
      <c r="AN194" s="36">
        <f>AJ194/24</f>
        <v/>
      </c>
      <c r="AO194" s="36">
        <f>AK194/24</f>
        <v/>
      </c>
      <c r="AP194" s="37">
        <f>AJ194/125</f>
        <v/>
      </c>
      <c r="AQ194" s="37">
        <f>AK194/125</f>
        <v/>
      </c>
    </row>
    <row r="195" ht="15.75" customHeight="1" s="50">
      <c r="A195" s="32" t="n"/>
      <c r="B195" s="32" t="inlineStr">
        <is>
          <t>8 in / Sacred Geometry</t>
        </is>
      </c>
      <c r="C195" s="32" t="inlineStr">
        <is>
          <t>MI-SB-GE-8</t>
        </is>
      </c>
      <c r="D195" s="32" t="inlineStr">
        <is>
          <t>Parasonjeet</t>
        </is>
      </c>
      <c r="E195" s="32" t="n">
        <v>145</v>
      </c>
      <c r="F195" s="32" t="n">
        <v>80</v>
      </c>
      <c r="G195" s="32" t="n">
        <v>0</v>
      </c>
      <c r="H195" s="32" t="n">
        <v>10</v>
      </c>
      <c r="I195" s="41" t="n">
        <v>83061000</v>
      </c>
      <c r="J195" s="30" t="n">
        <v>0.05</v>
      </c>
      <c r="K195" s="32">
        <f>D195*J195</f>
        <v/>
      </c>
      <c r="M195" s="32">
        <f>D195*4%</f>
        <v/>
      </c>
      <c r="N195" s="49">
        <f>M195+L195+K195+H195+G195+F195+E195+D195</f>
        <v/>
      </c>
      <c r="O195" s="32">
        <f>D195*1%</f>
        <v/>
      </c>
      <c r="P195" s="7">
        <f>N195*8%</f>
        <v/>
      </c>
      <c r="Q195" s="7">
        <f>N195*10%</f>
        <v/>
      </c>
      <c r="R195" s="7">
        <f>N195*5%</f>
        <v/>
      </c>
      <c r="S195" s="7">
        <f>N195*2%</f>
        <v/>
      </c>
      <c r="T195" s="7">
        <f>AE195*0.5%</f>
        <v/>
      </c>
      <c r="U195" s="7">
        <f>N195*1%</f>
        <v/>
      </c>
      <c r="V195" s="49">
        <f>U195+S195+R195+Q195+P195+O195</f>
        <v/>
      </c>
      <c r="W195" s="32">
        <f>AE195*1%</f>
        <v/>
      </c>
      <c r="X195" s="32">
        <f>AE195*10%</f>
        <v/>
      </c>
      <c r="Y195" s="32">
        <f>AE195*1%</f>
        <v/>
      </c>
      <c r="Z195" s="32">
        <f>AE195*8%</f>
        <v/>
      </c>
      <c r="AA195" s="32">
        <f>W195+X195+Y195+Z195</f>
        <v/>
      </c>
      <c r="AB195" s="31">
        <f>AA195+V195+N195</f>
        <v/>
      </c>
      <c r="AC195" s="6">
        <f>AB195*20%</f>
        <v/>
      </c>
      <c r="AD195" s="32">
        <f>AB195+AC195</f>
        <v/>
      </c>
      <c r="AE195" s="32">
        <f>D195*2.1</f>
        <v/>
      </c>
      <c r="AF195" s="7">
        <f>AD195-AE195</f>
        <v/>
      </c>
      <c r="AG195" s="7">
        <f>AF195/AD195*100</f>
        <v/>
      </c>
      <c r="AH195" s="0" t="n">
        <v>12500</v>
      </c>
      <c r="AI195" s="33" t="n"/>
      <c r="AJ195" s="34">
        <f>AD195</f>
        <v/>
      </c>
      <c r="AK195" s="34">
        <f>AJ195-(AJ195*7%)</f>
        <v/>
      </c>
      <c r="AL195" s="35">
        <f>AJ195/94</f>
        <v/>
      </c>
      <c r="AM195" s="35">
        <f>AK195/94</f>
        <v/>
      </c>
      <c r="AN195" s="36">
        <f>AJ195/24</f>
        <v/>
      </c>
      <c r="AO195" s="36">
        <f>AK195/24</f>
        <v/>
      </c>
      <c r="AP195" s="37">
        <f>AJ195/125</f>
        <v/>
      </c>
      <c r="AQ195" s="37">
        <f>AK195/125</f>
        <v/>
      </c>
    </row>
    <row r="196" ht="15.75" customHeight="1" s="50">
      <c r="A196" s="32" t="n"/>
      <c r="B196" s="32" t="inlineStr">
        <is>
          <t>Sacred Geometry / 9 in</t>
        </is>
      </c>
      <c r="C196" s="32" t="inlineStr">
        <is>
          <t>MI-SB-GE-9</t>
        </is>
      </c>
      <c r="D196" s="32" t="inlineStr">
        <is>
          <t>Parasonjeet</t>
        </is>
      </c>
      <c r="E196" s="32" t="n">
        <v>145</v>
      </c>
      <c r="F196" s="32" t="n">
        <v>80</v>
      </c>
      <c r="G196" s="3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H196" s="32" t="n">
        <v>10</v>
      </c>
      <c r="I196" s="41" t="n">
        <v>83061000</v>
      </c>
      <c r="J196" s="30" t="n">
        <v>0.05</v>
      </c>
      <c r="K196" s="32">
        <f>D196*J196</f>
        <v/>
      </c>
      <c r="M196" s="32">
        <f>D196*4%</f>
        <v/>
      </c>
      <c r="N196" s="49">
        <f>M196+L196+K196+H196+G196+F196+E196+D196</f>
        <v/>
      </c>
      <c r="O196" s="32">
        <f>D196*1%</f>
        <v/>
      </c>
      <c r="P196" s="7">
        <f>N196*8%</f>
        <v/>
      </c>
      <c r="Q196" s="7">
        <f>N196*10%</f>
        <v/>
      </c>
      <c r="R196" s="7">
        <f>N196*5%</f>
        <v/>
      </c>
      <c r="S196" s="7">
        <f>N196*2%</f>
        <v/>
      </c>
      <c r="T196" s="7">
        <f>AE196*0.5%</f>
        <v/>
      </c>
      <c r="U196" s="7">
        <f>N196*1%</f>
        <v/>
      </c>
      <c r="V196" s="49">
        <f>U196+S196+R196+Q196+P196+O196</f>
        <v/>
      </c>
      <c r="W196" s="32">
        <f>AE196*1%</f>
        <v/>
      </c>
      <c r="X196" s="32">
        <f>AE196*10%</f>
        <v/>
      </c>
      <c r="Y196" s="32">
        <f>AE196*1%</f>
        <v/>
      </c>
      <c r="Z196" s="32">
        <f>AE196*8%</f>
        <v/>
      </c>
      <c r="AA196" s="32">
        <f>W196+X196+Y196+Z196</f>
        <v/>
      </c>
      <c r="AB196" s="31">
        <f>AA196+V196+N196</f>
        <v/>
      </c>
      <c r="AC196" s="6">
        <f>AB196*20%</f>
        <v/>
      </c>
      <c r="AD196" s="32">
        <f>AB196+AC196</f>
        <v/>
      </c>
      <c r="AE196" s="32">
        <f>D196*2.1</f>
        <v/>
      </c>
      <c r="AF196" s="7">
        <f>AD196-AE196</f>
        <v/>
      </c>
      <c r="AG196" s="7">
        <f>AF196/AD196*100</f>
        <v/>
      </c>
      <c r="AH196" s="0" t="n">
        <v>14500</v>
      </c>
      <c r="AI196" s="33" t="n"/>
      <c r="AJ196" s="34">
        <f>AD196</f>
        <v/>
      </c>
      <c r="AK196" s="34">
        <f>AJ196-(AJ196*7%)</f>
        <v/>
      </c>
      <c r="AL196" s="35">
        <f>AJ196/94</f>
        <v/>
      </c>
      <c r="AM196" s="35">
        <f>AK196/94</f>
        <v/>
      </c>
      <c r="AN196" s="36">
        <f>AJ196/24</f>
        <v/>
      </c>
      <c r="AO196" s="36">
        <f>AK196/24</f>
        <v/>
      </c>
      <c r="AP196" s="37">
        <f>AJ196/125</f>
        <v/>
      </c>
      <c r="AQ196" s="37">
        <f>AK196/125</f>
        <v/>
      </c>
    </row>
    <row r="197" ht="15.75" customHeight="1" s="50">
      <c r="A197" s="32" t="n"/>
      <c r="B197" s="32" t="inlineStr">
        <is>
          <t>Golden Feet / 10 in</t>
        </is>
      </c>
      <c r="C197" s="32" t="inlineStr">
        <is>
          <t>MI-SB-GF-10</t>
        </is>
      </c>
      <c r="D197" s="32" t="inlineStr">
        <is>
          <t>Parasonjeet</t>
        </is>
      </c>
      <c r="E197" s="32" t="n">
        <v>145</v>
      </c>
      <c r="F197" s="32" t="n">
        <v>80</v>
      </c>
      <c r="G197" s="3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H197" s="32" t="n">
        <v>10</v>
      </c>
      <c r="I197" s="41" t="n">
        <v>83061000</v>
      </c>
      <c r="J197" s="30" t="n">
        <v>0.05</v>
      </c>
      <c r="K197" s="32">
        <f>D197*J197</f>
        <v/>
      </c>
      <c r="M197" s="32">
        <f>D197*4%</f>
        <v/>
      </c>
      <c r="N197" s="49">
        <f>M197+L197+K197+H197+G197+F197+E197+D197</f>
        <v/>
      </c>
      <c r="O197" s="32">
        <f>D197*1%</f>
        <v/>
      </c>
      <c r="P197" s="7">
        <f>N197*8%</f>
        <v/>
      </c>
      <c r="Q197" s="7">
        <f>N197*10%</f>
        <v/>
      </c>
      <c r="R197" s="7">
        <f>N197*5%</f>
        <v/>
      </c>
      <c r="S197" s="7">
        <f>N197*2%</f>
        <v/>
      </c>
      <c r="T197" s="7">
        <f>AE197*0.5%</f>
        <v/>
      </c>
      <c r="U197" s="7">
        <f>N197*1%</f>
        <v/>
      </c>
      <c r="V197" s="49">
        <f>U197+S197+R197+Q197+P197+O197</f>
        <v/>
      </c>
      <c r="W197" s="32">
        <f>AE197*1%</f>
        <v/>
      </c>
      <c r="X197" s="32">
        <f>AE197*10%</f>
        <v/>
      </c>
      <c r="Y197" s="32">
        <f>AE197*1%</f>
        <v/>
      </c>
      <c r="Z197" s="32">
        <f>AE197*8%</f>
        <v/>
      </c>
      <c r="AA197" s="32">
        <f>W197+X197+Y197+Z197</f>
        <v/>
      </c>
      <c r="AB197" s="31">
        <f>AA197+V197+N197</f>
        <v/>
      </c>
      <c r="AC197" s="6">
        <f>AB197*20%</f>
        <v/>
      </c>
      <c r="AD197" s="32">
        <f>AB197+AC197</f>
        <v/>
      </c>
      <c r="AE197" s="32">
        <f>D197*2.1</f>
        <v/>
      </c>
      <c r="AF197" s="7">
        <f>AD197-AE197</f>
        <v/>
      </c>
      <c r="AG197" s="7">
        <f>AF197/AD197*100</f>
        <v/>
      </c>
      <c r="AH197" s="0" t="n">
        <v>18500</v>
      </c>
      <c r="AI197" s="33" t="n"/>
      <c r="AJ197" s="34">
        <f>AD197</f>
        <v/>
      </c>
      <c r="AK197" s="34">
        <f>AJ197-(AJ197*7%)</f>
        <v/>
      </c>
      <c r="AL197" s="35">
        <f>AJ197/94</f>
        <v/>
      </c>
      <c r="AM197" s="35">
        <f>AK197/94</f>
        <v/>
      </c>
      <c r="AN197" s="36">
        <f>AJ197/24</f>
        <v/>
      </c>
      <c r="AO197" s="36">
        <f>AK197/24</f>
        <v/>
      </c>
      <c r="AP197" s="37">
        <f>AJ197/125</f>
        <v/>
      </c>
      <c r="AQ197" s="37">
        <f>AK197/125</f>
        <v/>
      </c>
    </row>
    <row r="198" ht="15.75" customHeight="1" s="50">
      <c r="A198" s="32" t="n"/>
      <c r="B198" s="32" t="inlineStr">
        <is>
          <t>Golden Feet / 11 in</t>
        </is>
      </c>
      <c r="C198" s="32" t="inlineStr">
        <is>
          <t>MI-SB-GF-11</t>
        </is>
      </c>
      <c r="D198" s="32" t="inlineStr">
        <is>
          <t>Parasonjeet</t>
        </is>
      </c>
      <c r="E198" s="32" t="n">
        <v>145</v>
      </c>
      <c r="F198" s="32" t="n">
        <v>80</v>
      </c>
      <c r="G198" s="32" t="n">
        <v>0</v>
      </c>
      <c r="H198" s="32" t="n">
        <v>10</v>
      </c>
      <c r="I198" s="41" t="n">
        <v>83061000</v>
      </c>
      <c r="J198" s="30" t="n">
        <v>0.05</v>
      </c>
      <c r="K198" s="32">
        <f>D198*J198</f>
        <v/>
      </c>
      <c r="M198" s="32">
        <f>D198*4%</f>
        <v/>
      </c>
      <c r="N198" s="49">
        <f>M198+L198+K198+H198+G198+F198+E198+D198</f>
        <v/>
      </c>
      <c r="O198" s="32">
        <f>D198*1%</f>
        <v/>
      </c>
      <c r="P198" s="7">
        <f>N198*8%</f>
        <v/>
      </c>
      <c r="Q198" s="7">
        <f>N198*10%</f>
        <v/>
      </c>
      <c r="R198" s="7">
        <f>N198*5%</f>
        <v/>
      </c>
      <c r="S198" s="7">
        <f>N198*2%</f>
        <v/>
      </c>
      <c r="T198" s="7">
        <f>AE198*0.5%</f>
        <v/>
      </c>
      <c r="U198" s="7">
        <f>N198*1%</f>
        <v/>
      </c>
      <c r="V198" s="49">
        <f>U198+S198+R198+Q198+P198+O198</f>
        <v/>
      </c>
      <c r="W198" s="32">
        <f>AE198*1%</f>
        <v/>
      </c>
      <c r="X198" s="32">
        <f>AE198*10%</f>
        <v/>
      </c>
      <c r="Y198" s="32">
        <f>AE198*1%</f>
        <v/>
      </c>
      <c r="Z198" s="32">
        <f>AE198*8%</f>
        <v/>
      </c>
      <c r="AA198" s="32">
        <f>W198+X198+Y198+Z198</f>
        <v/>
      </c>
      <c r="AB198" s="31">
        <f>AA198+V198+N198</f>
        <v/>
      </c>
      <c r="AC198" s="6">
        <f>AB198*20%</f>
        <v/>
      </c>
      <c r="AD198" s="32">
        <f>AB198+AC198</f>
        <v/>
      </c>
      <c r="AE198" s="32">
        <f>D198*2.1</f>
        <v/>
      </c>
      <c r="AF198" s="7">
        <f>AD198-AE198</f>
        <v/>
      </c>
      <c r="AG198" s="7">
        <f>AF198/AD198*100</f>
        <v/>
      </c>
      <c r="AH198" s="0" t="n">
        <v>21500</v>
      </c>
      <c r="AI198" s="33" t="n"/>
      <c r="AJ198" s="34">
        <f>AD198</f>
        <v/>
      </c>
      <c r="AK198" s="34">
        <f>AJ198-(AJ198*7%)</f>
        <v/>
      </c>
      <c r="AL198" s="35">
        <f>AJ198/94</f>
        <v/>
      </c>
      <c r="AM198" s="35">
        <f>AK198/94</f>
        <v/>
      </c>
      <c r="AN198" s="36">
        <f>AJ198/24</f>
        <v/>
      </c>
      <c r="AO198" s="36">
        <f>AK198/24</f>
        <v/>
      </c>
      <c r="AP198" s="37">
        <f>AJ198/125</f>
        <v/>
      </c>
      <c r="AQ198" s="37">
        <f>AK198/125</f>
        <v/>
      </c>
    </row>
    <row r="199" ht="15.75" customHeight="1" s="50">
      <c r="A199" s="32" t="n"/>
      <c r="B199" s="32" t="inlineStr">
        <is>
          <t>Golden Feet / 12 in</t>
        </is>
      </c>
      <c r="C199" s="32" t="inlineStr">
        <is>
          <t>MI-SB-GF-12</t>
        </is>
      </c>
      <c r="D199" s="32" t="inlineStr">
        <is>
          <t>Parasonjeet</t>
        </is>
      </c>
      <c r="E199" s="32" t="n">
        <v>145</v>
      </c>
      <c r="F199" s="32" t="n">
        <v>90</v>
      </c>
      <c r="G199" s="32" t="n">
        <v>0</v>
      </c>
      <c r="H199" s="32" t="n">
        <v>10</v>
      </c>
      <c r="I199" s="41" t="n">
        <v>83061000</v>
      </c>
      <c r="J199" s="30" t="n">
        <v>0.05</v>
      </c>
      <c r="K199" s="32">
        <f>D199*J199</f>
        <v/>
      </c>
      <c r="M199" s="32">
        <f>D199*4%</f>
        <v/>
      </c>
      <c r="N199" s="49">
        <f>M199+L199+K199+H199+G199+F199+E199+D199</f>
        <v/>
      </c>
      <c r="O199" s="32">
        <f>D199*1%</f>
        <v/>
      </c>
      <c r="P199" s="7">
        <f>N199*8%</f>
        <v/>
      </c>
      <c r="Q199" s="7">
        <f>N199*10%</f>
        <v/>
      </c>
      <c r="R199" s="7">
        <f>N199*5%</f>
        <v/>
      </c>
      <c r="S199" s="7">
        <f>N199*2%</f>
        <v/>
      </c>
      <c r="T199" s="7">
        <f>AE199*0.5%</f>
        <v/>
      </c>
      <c r="U199" s="7">
        <f>N199*1%</f>
        <v/>
      </c>
      <c r="V199" s="49">
        <f>U199+S199+R199+Q199+P199+O199</f>
        <v/>
      </c>
      <c r="W199" s="32">
        <f>AE199*1%</f>
        <v/>
      </c>
      <c r="X199" s="32">
        <f>AE199*10%</f>
        <v/>
      </c>
      <c r="Y199" s="32">
        <f>AE199*1%</f>
        <v/>
      </c>
      <c r="Z199" s="32">
        <f>AE199*8%</f>
        <v/>
      </c>
      <c r="AA199" s="32">
        <f>W199+X199+Y199+Z199</f>
        <v/>
      </c>
      <c r="AB199" s="31">
        <f>AA199+V199+N199</f>
        <v/>
      </c>
      <c r="AC199" s="6">
        <f>AB199*20%</f>
        <v/>
      </c>
      <c r="AD199" s="32">
        <f>AB199+AC199</f>
        <v/>
      </c>
      <c r="AE199" s="32">
        <f>D199*2.1</f>
        <v/>
      </c>
      <c r="AF199" s="7">
        <f>AD199-AE199</f>
        <v/>
      </c>
      <c r="AG199" s="7">
        <f>AF199/AD199*100</f>
        <v/>
      </c>
      <c r="AH199" s="0" t="n">
        <v>24500</v>
      </c>
      <c r="AI199" s="33" t="n"/>
      <c r="AJ199" s="34">
        <f>AD199</f>
        <v/>
      </c>
      <c r="AK199" s="34">
        <f>AJ199-(AJ199*7%)</f>
        <v/>
      </c>
      <c r="AL199" s="35">
        <f>AJ199/94</f>
        <v/>
      </c>
      <c r="AM199" s="35">
        <f>AK199/94</f>
        <v/>
      </c>
      <c r="AN199" s="36">
        <f>AJ199/24</f>
        <v/>
      </c>
      <c r="AO199" s="36">
        <f>AK199/24</f>
        <v/>
      </c>
      <c r="AP199" s="37">
        <f>AJ199/125</f>
        <v/>
      </c>
      <c r="AQ199" s="37">
        <f>AK199/125</f>
        <v/>
      </c>
    </row>
    <row r="200" ht="15.75" customHeight="1" s="50">
      <c r="A200" s="32" t="n"/>
      <c r="B200" s="32" t="inlineStr">
        <is>
          <t>Golden Feet / 6 in</t>
        </is>
      </c>
      <c r="C200" s="32" t="inlineStr">
        <is>
          <t>MI-SB-GF-6</t>
        </is>
      </c>
      <c r="D200" s="32" t="inlineStr">
        <is>
          <t>Parasonjeet</t>
        </is>
      </c>
      <c r="E200" s="32" t="n">
        <v>125</v>
      </c>
      <c r="F200" s="32" t="n">
        <v>65</v>
      </c>
      <c r="G200" s="32" t="n">
        <v>0</v>
      </c>
      <c r="H200" s="32" t="n">
        <v>10</v>
      </c>
      <c r="I200" s="41" t="n">
        <v>83061000</v>
      </c>
      <c r="J200" s="30" t="n">
        <v>0.05</v>
      </c>
      <c r="K200" s="32">
        <f>D200*J200</f>
        <v/>
      </c>
      <c r="M200" s="32">
        <f>D200*4%</f>
        <v/>
      </c>
      <c r="N200" s="49">
        <f>M200+L200+K200+H200+G200+F200+E200+D200</f>
        <v/>
      </c>
      <c r="O200" s="32">
        <f>D200*1%</f>
        <v/>
      </c>
      <c r="P200" s="7">
        <f>N200*8%</f>
        <v/>
      </c>
      <c r="Q200" s="7">
        <f>N200*10%</f>
        <v/>
      </c>
      <c r="R200" s="7">
        <f>N200*5%</f>
        <v/>
      </c>
      <c r="S200" s="7">
        <f>N200*2%</f>
        <v/>
      </c>
      <c r="T200" s="7">
        <f>AE200*0.5%</f>
        <v/>
      </c>
      <c r="U200" s="7">
        <f>N200*1%</f>
        <v/>
      </c>
      <c r="V200" s="49">
        <f>U200+S200+R200+Q200+P200+O200</f>
        <v/>
      </c>
      <c r="W200" s="32">
        <f>AE200*1%</f>
        <v/>
      </c>
      <c r="X200" s="32">
        <f>AE200*10%</f>
        <v/>
      </c>
      <c r="Y200" s="32">
        <f>AE200*1%</f>
        <v/>
      </c>
      <c r="Z200" s="32">
        <f>AE200*8%</f>
        <v/>
      </c>
      <c r="AA200" s="32">
        <f>W200+X200+Y200+Z200</f>
        <v/>
      </c>
      <c r="AB200" s="31">
        <f>AA200+V200+N200</f>
        <v/>
      </c>
      <c r="AC200" s="6">
        <f>AB200*20%</f>
        <v/>
      </c>
      <c r="AD200" s="32">
        <f>AB200+AC200</f>
        <v/>
      </c>
      <c r="AE200" s="32">
        <f>D200*2.1</f>
        <v/>
      </c>
      <c r="AF200" s="7">
        <f>AD200-AE200</f>
        <v/>
      </c>
      <c r="AG200" s="7">
        <f>AF200/AD200*100</f>
        <v/>
      </c>
      <c r="AH200" s="0" t="n">
        <v>10500</v>
      </c>
      <c r="AI200" s="33" t="n"/>
      <c r="AJ200" s="34">
        <f>AD200</f>
        <v/>
      </c>
      <c r="AK200" s="34">
        <f>AJ200-(AJ200*7%)</f>
        <v/>
      </c>
      <c r="AL200" s="35">
        <f>AJ200/94</f>
        <v/>
      </c>
      <c r="AM200" s="35">
        <f>AK200/94</f>
        <v/>
      </c>
      <c r="AN200" s="36">
        <f>AJ200/24</f>
        <v/>
      </c>
      <c r="AO200" s="36">
        <f>AK200/24</f>
        <v/>
      </c>
      <c r="AP200" s="37">
        <f>AJ200/125</f>
        <v/>
      </c>
      <c r="AQ200" s="37">
        <f>AK200/125</f>
        <v/>
      </c>
    </row>
    <row r="201" ht="15.75" customHeight="1" s="50">
      <c r="A201" s="32" t="n"/>
      <c r="B201" s="32" t="inlineStr">
        <is>
          <t>Golden Feet / 7 in</t>
        </is>
      </c>
      <c r="C201" s="32" t="inlineStr">
        <is>
          <t>MI-SB-GF-7</t>
        </is>
      </c>
      <c r="D201" s="32" t="inlineStr">
        <is>
          <t>Parasonjeet</t>
        </is>
      </c>
      <c r="E201" s="32" t="n">
        <v>125</v>
      </c>
      <c r="F201" s="32" t="n">
        <v>65</v>
      </c>
      <c r="G201" s="32" t="n">
        <v>0</v>
      </c>
      <c r="H201" s="32" t="n">
        <v>10</v>
      </c>
      <c r="I201" s="41" t="n">
        <v>83061000</v>
      </c>
      <c r="J201" s="30" t="n">
        <v>0.05</v>
      </c>
      <c r="K201" s="32">
        <f>D201*J201</f>
        <v/>
      </c>
      <c r="M201" s="32">
        <f>D201*4%</f>
        <v/>
      </c>
      <c r="N201" s="49">
        <f>M201+L201+K201+H201+G201+F201+E201+D201</f>
        <v/>
      </c>
      <c r="O201" s="32">
        <f>D201*1%</f>
        <v/>
      </c>
      <c r="P201" s="7">
        <f>N201*8%</f>
        <v/>
      </c>
      <c r="Q201" s="7">
        <f>N201*10%</f>
        <v/>
      </c>
      <c r="R201" s="7">
        <f>N201*5%</f>
        <v/>
      </c>
      <c r="S201" s="7">
        <f>N201*2%</f>
        <v/>
      </c>
      <c r="T201" s="7">
        <f>AE201*0.5%</f>
        <v/>
      </c>
      <c r="U201" s="7">
        <f>N201*1%</f>
        <v/>
      </c>
      <c r="V201" s="49">
        <f>U201+S201+R201+Q201+P201+O201</f>
        <v/>
      </c>
      <c r="W201" s="32">
        <f>AE201*1%</f>
        <v/>
      </c>
      <c r="X201" s="32">
        <f>AE201*10%</f>
        <v/>
      </c>
      <c r="Y201" s="32">
        <f>AE201*1%</f>
        <v/>
      </c>
      <c r="Z201" s="32">
        <f>AE201*8%</f>
        <v/>
      </c>
      <c r="AA201" s="32">
        <f>W201+X201+Y201+Z201</f>
        <v/>
      </c>
      <c r="AB201" s="31">
        <f>AA201+V201+N201</f>
        <v/>
      </c>
      <c r="AC201" s="6">
        <f>AB201*20%</f>
        <v/>
      </c>
      <c r="AD201" s="32">
        <f>AB201+AC201</f>
        <v/>
      </c>
      <c r="AE201" s="32">
        <f>D201*2.1</f>
        <v/>
      </c>
      <c r="AF201" s="7">
        <f>AD201-AE201</f>
        <v/>
      </c>
      <c r="AG201" s="7">
        <f>AF201/AD201*100</f>
        <v/>
      </c>
      <c r="AH201" s="0" t="n">
        <v>12500</v>
      </c>
      <c r="AI201" s="33" t="n"/>
      <c r="AJ201" s="34">
        <f>AD201</f>
        <v/>
      </c>
      <c r="AK201" s="34">
        <f>AJ201-(AJ201*7%)</f>
        <v/>
      </c>
      <c r="AL201" s="35">
        <f>AJ201/94</f>
        <v/>
      </c>
      <c r="AM201" s="35">
        <f>AK201/94</f>
        <v/>
      </c>
      <c r="AN201" s="36">
        <f>AJ201/24</f>
        <v/>
      </c>
      <c r="AO201" s="36">
        <f>AK201/24</f>
        <v/>
      </c>
      <c r="AP201" s="37">
        <f>AJ201/125</f>
        <v/>
      </c>
      <c r="AQ201" s="37">
        <f>AK201/125</f>
        <v/>
      </c>
    </row>
    <row r="202" ht="15.75" customHeight="1" s="50">
      <c r="A202" s="32" t="n"/>
      <c r="B202" s="32" t="inlineStr">
        <is>
          <t>8 in / Golden Feet</t>
        </is>
      </c>
      <c r="C202" s="32" t="inlineStr">
        <is>
          <t>MI-SB-GF-8</t>
        </is>
      </c>
      <c r="D202" s="32" t="inlineStr">
        <is>
          <t>Parasonjeet</t>
        </is>
      </c>
      <c r="E202" s="32" t="n">
        <v>145</v>
      </c>
      <c r="F202" s="32" t="n">
        <v>80</v>
      </c>
      <c r="G202" s="32" t="n">
        <v>0</v>
      </c>
      <c r="H202" s="32" t="n">
        <v>10</v>
      </c>
      <c r="I202" s="41" t="n">
        <v>83061000</v>
      </c>
      <c r="J202" s="30" t="n">
        <v>0.05</v>
      </c>
      <c r="K202" s="32">
        <f>D202*J202</f>
        <v/>
      </c>
      <c r="M202" s="32">
        <f>D202*4%</f>
        <v/>
      </c>
      <c r="N202" s="49">
        <f>M202+L202+K202+H202+G202+F202+E202+D202</f>
        <v/>
      </c>
      <c r="O202" s="32">
        <f>D202*1%</f>
        <v/>
      </c>
      <c r="P202" s="7">
        <f>N202*8%</f>
        <v/>
      </c>
      <c r="Q202" s="7">
        <f>N202*10%</f>
        <v/>
      </c>
      <c r="R202" s="7">
        <f>N202*5%</f>
        <v/>
      </c>
      <c r="S202" s="7">
        <f>N202*2%</f>
        <v/>
      </c>
      <c r="T202" s="7">
        <f>AE202*0.5%</f>
        <v/>
      </c>
      <c r="U202" s="7">
        <f>N202*1%</f>
        <v/>
      </c>
      <c r="V202" s="49">
        <f>U202+S202+R202+Q202+P202+O202</f>
        <v/>
      </c>
      <c r="W202" s="32">
        <f>AE202*1%</f>
        <v/>
      </c>
      <c r="X202" s="32">
        <f>AE202*10%</f>
        <v/>
      </c>
      <c r="Y202" s="32">
        <f>AE202*1%</f>
        <v/>
      </c>
      <c r="Z202" s="32">
        <f>AE202*8%</f>
        <v/>
      </c>
      <c r="AA202" s="32">
        <f>W202+X202+Y202+Z202</f>
        <v/>
      </c>
      <c r="AB202" s="31">
        <f>AA202+V202+N202</f>
        <v/>
      </c>
      <c r="AC202" s="6">
        <f>AB202*20%</f>
        <v/>
      </c>
      <c r="AD202" s="32">
        <f>AB202+AC202</f>
        <v/>
      </c>
      <c r="AE202" s="32">
        <f>D202*2.1</f>
        <v/>
      </c>
      <c r="AF202" s="7">
        <f>AD202-AE202</f>
        <v/>
      </c>
      <c r="AG202" s="7">
        <f>AF202/AD202*100</f>
        <v/>
      </c>
      <c r="AH202" s="0" t="n">
        <v>14500</v>
      </c>
      <c r="AI202" s="33" t="n"/>
      <c r="AJ202" s="34">
        <f>AD202</f>
        <v/>
      </c>
      <c r="AK202" s="34">
        <f>AJ202-(AJ202*7%)</f>
        <v/>
      </c>
      <c r="AL202" s="35">
        <f>AJ202/94</f>
        <v/>
      </c>
      <c r="AM202" s="35">
        <f>AK202/94</f>
        <v/>
      </c>
      <c r="AN202" s="36">
        <f>AJ202/24</f>
        <v/>
      </c>
      <c r="AO202" s="36">
        <f>AK202/24</f>
        <v/>
      </c>
      <c r="AP202" s="37">
        <f>AJ202/125</f>
        <v/>
      </c>
      <c r="AQ202" s="37">
        <f>AK202/125</f>
        <v/>
      </c>
    </row>
    <row r="203" ht="15.75" customHeight="1" s="50">
      <c r="A203" s="32" t="n"/>
      <c r="B203" s="32" t="inlineStr">
        <is>
          <t>Golden Feet / 9 in</t>
        </is>
      </c>
      <c r="C203" s="32" t="inlineStr">
        <is>
          <t>MI-SB-GF-9</t>
        </is>
      </c>
      <c r="D203" s="32" t="inlineStr">
        <is>
          <t>Parasonjeet</t>
        </is>
      </c>
      <c r="E203" s="32" t="n">
        <v>145</v>
      </c>
      <c r="F203" s="32" t="n">
        <v>80</v>
      </c>
      <c r="G203" s="32" t="n">
        <v>0</v>
      </c>
      <c r="H203" s="32" t="n">
        <v>10</v>
      </c>
      <c r="I203" s="41" t="n">
        <v>83061000</v>
      </c>
      <c r="J203" s="30" t="n">
        <v>0.05</v>
      </c>
      <c r="K203" s="32">
        <f>D203*J203</f>
        <v/>
      </c>
      <c r="M203" s="32">
        <f>D203*4%</f>
        <v/>
      </c>
      <c r="N203" s="49">
        <f>M203+L203+K203+H203+G203+F203+E203+D203</f>
        <v/>
      </c>
      <c r="O203" s="32">
        <f>D203*1%</f>
        <v/>
      </c>
      <c r="P203" s="7">
        <f>N203*8%</f>
        <v/>
      </c>
      <c r="Q203" s="7">
        <f>N203*10%</f>
        <v/>
      </c>
      <c r="R203" s="7">
        <f>N203*5%</f>
        <v/>
      </c>
      <c r="S203" s="7">
        <f>N203*2%</f>
        <v/>
      </c>
      <c r="T203" s="7">
        <f>AE203*0.5%</f>
        <v/>
      </c>
      <c r="U203" s="7">
        <f>N203*1%</f>
        <v/>
      </c>
      <c r="V203" s="49">
        <f>U203+S203+R203+Q203+P203+O203</f>
        <v/>
      </c>
      <c r="W203" s="32">
        <f>AE203*1%</f>
        <v/>
      </c>
      <c r="X203" s="32">
        <f>AE203*10%</f>
        <v/>
      </c>
      <c r="Y203" s="32">
        <f>AE203*1%</f>
        <v/>
      </c>
      <c r="Z203" s="32">
        <f>AE203*8%</f>
        <v/>
      </c>
      <c r="AA203" s="32">
        <f>W203+X203+Y203+Z203</f>
        <v/>
      </c>
      <c r="AB203" s="31">
        <f>AA203+V203+N203</f>
        <v/>
      </c>
      <c r="AC203" s="6">
        <f>AB203*20%</f>
        <v/>
      </c>
      <c r="AD203" s="32">
        <f>AB203+AC203</f>
        <v/>
      </c>
      <c r="AE203" s="32">
        <f>D203*2.1</f>
        <v/>
      </c>
      <c r="AF203" s="7">
        <f>AD203-AE203</f>
        <v/>
      </c>
      <c r="AG203" s="7">
        <f>AF203/AD203*100</f>
        <v/>
      </c>
      <c r="AH203" s="0" t="n">
        <v>16500</v>
      </c>
      <c r="AI203" s="33" t="n"/>
      <c r="AJ203" s="34">
        <f>AD203</f>
        <v/>
      </c>
      <c r="AK203" s="34">
        <f>AJ203-(AJ203*7%)</f>
        <v/>
      </c>
      <c r="AL203" s="35">
        <f>AJ203/94</f>
        <v/>
      </c>
      <c r="AM203" s="35">
        <f>AK203/94</f>
        <v/>
      </c>
      <c r="AN203" s="36">
        <f>AJ203/24</f>
        <v/>
      </c>
      <c r="AO203" s="36">
        <f>AK203/24</f>
        <v/>
      </c>
      <c r="AP203" s="37">
        <f>AJ203/125</f>
        <v/>
      </c>
      <c r="AQ203" s="37">
        <f>AK203/125</f>
        <v/>
      </c>
    </row>
    <row r="204" ht="15.75" customHeight="1" s="50">
      <c r="A204" s="32" t="n"/>
      <c r="B204" s="32" t="inlineStr">
        <is>
          <t>Buddha / 10 in</t>
        </is>
      </c>
      <c r="C204" s="32" t="inlineStr">
        <is>
          <t>MI-SB-H-ET-B-10</t>
        </is>
      </c>
      <c r="D204" s="32" t="inlineStr">
        <is>
          <t>Parasonjeet</t>
        </is>
      </c>
      <c r="E204" s="32" t="n">
        <v>145</v>
      </c>
      <c r="F204" s="32" t="n">
        <v>80</v>
      </c>
      <c r="G204" s="32" t="n">
        <v>0</v>
      </c>
      <c r="H204" s="32" t="n">
        <v>10</v>
      </c>
      <c r="I204" s="41" t="n">
        <v>83061000</v>
      </c>
      <c r="J204" s="30" t="n">
        <v>0.05</v>
      </c>
      <c r="K204" s="32">
        <f>D204*J204</f>
        <v/>
      </c>
      <c r="M204" s="32">
        <f>D204*4%</f>
        <v/>
      </c>
      <c r="N204" s="49">
        <f>M204+L204+K204+H204+G204+F204+E204+D204</f>
        <v/>
      </c>
      <c r="O204" s="32">
        <f>D204*1%</f>
        <v/>
      </c>
      <c r="P204" s="7">
        <f>N204*8%</f>
        <v/>
      </c>
      <c r="Q204" s="7">
        <f>N204*10%</f>
        <v/>
      </c>
      <c r="R204" s="7">
        <f>N204*5%</f>
        <v/>
      </c>
      <c r="S204" s="7">
        <f>N204*2%</f>
        <v/>
      </c>
      <c r="T204" s="7">
        <f>AE204*0.5%</f>
        <v/>
      </c>
      <c r="U204" s="7">
        <f>N204*1%</f>
        <v/>
      </c>
      <c r="V204" s="49">
        <f>U204+S204+R204+Q204+P204+O204</f>
        <v/>
      </c>
      <c r="W204" s="32">
        <f>AE204*1%</f>
        <v/>
      </c>
      <c r="X204" s="32">
        <f>AE204*10%</f>
        <v/>
      </c>
      <c r="Y204" s="32">
        <f>AE204*1%</f>
        <v/>
      </c>
      <c r="Z204" s="32">
        <f>AE204*8%</f>
        <v/>
      </c>
      <c r="AA204" s="32">
        <f>W204+X204+Y204+Z204</f>
        <v/>
      </c>
      <c r="AB204" s="31">
        <f>AA204+V204+N204</f>
        <v/>
      </c>
      <c r="AC204" s="6">
        <f>AB204*20%</f>
        <v/>
      </c>
      <c r="AD204" s="32">
        <f>AB204+AC204</f>
        <v/>
      </c>
      <c r="AE204" s="32">
        <f>D204*2.1</f>
        <v/>
      </c>
      <c r="AF204" s="7">
        <f>AD204-AE204</f>
        <v/>
      </c>
      <c r="AG204" s="7">
        <f>AF204/AD204*100</f>
        <v/>
      </c>
      <c r="AH204" s="0" t="n">
        <v>18500</v>
      </c>
      <c r="AI204" s="33" t="n"/>
      <c r="AJ204" s="34">
        <f>AD204</f>
        <v/>
      </c>
      <c r="AK204" s="34">
        <f>AJ204-(AJ204*7%)</f>
        <v/>
      </c>
      <c r="AL204" s="35">
        <f>AJ204/94</f>
        <v/>
      </c>
      <c r="AM204" s="35">
        <f>AK204/94</f>
        <v/>
      </c>
      <c r="AN204" s="36">
        <f>AJ204/24</f>
        <v/>
      </c>
      <c r="AO204" s="36">
        <f>AK204/24</f>
        <v/>
      </c>
      <c r="AP204" s="37">
        <f>AJ204/125</f>
        <v/>
      </c>
      <c r="AQ204" s="37">
        <f>AK204/125</f>
        <v/>
      </c>
    </row>
    <row r="205" ht="15.75" customHeight="1" s="50">
      <c r="A205" s="32" t="n"/>
      <c r="B205" s="32" t="inlineStr">
        <is>
          <t>Buddha / 11 in</t>
        </is>
      </c>
      <c r="C205" s="32" t="inlineStr">
        <is>
          <t>MI-SB-H-ET-B-11</t>
        </is>
      </c>
      <c r="D205" s="32" t="inlineStr">
        <is>
          <t>Parasonjeet</t>
        </is>
      </c>
      <c r="E205" s="32" t="n">
        <v>145</v>
      </c>
      <c r="F205" s="32" t="n">
        <v>80</v>
      </c>
      <c r="G205" s="32" t="n">
        <v>0</v>
      </c>
      <c r="H205" s="32" t="n">
        <v>10</v>
      </c>
      <c r="I205" s="41" t="n">
        <v>83061000</v>
      </c>
      <c r="J205" s="30" t="n">
        <v>0.05</v>
      </c>
      <c r="K205" s="32">
        <f>D205*J205</f>
        <v/>
      </c>
      <c r="M205" s="32">
        <f>D205*4%</f>
        <v/>
      </c>
      <c r="N205" s="49">
        <f>M205+L205+K205+H205+G205+F205+E205+D205</f>
        <v/>
      </c>
      <c r="O205" s="32">
        <f>D205*1%</f>
        <v/>
      </c>
      <c r="P205" s="7">
        <f>N205*8%</f>
        <v/>
      </c>
      <c r="Q205" s="7">
        <f>N205*10%</f>
        <v/>
      </c>
      <c r="R205" s="7">
        <f>N205*5%</f>
        <v/>
      </c>
      <c r="S205" s="7">
        <f>N205*2%</f>
        <v/>
      </c>
      <c r="T205" s="7">
        <f>AE205*0.5%</f>
        <v/>
      </c>
      <c r="U205" s="7">
        <f>N205*1%</f>
        <v/>
      </c>
      <c r="V205" s="49">
        <f>U205+S205+R205+Q205+P205+O205</f>
        <v/>
      </c>
      <c r="W205" s="32">
        <f>AE205*1%</f>
        <v/>
      </c>
      <c r="X205" s="32">
        <f>AE205*10%</f>
        <v/>
      </c>
      <c r="Y205" s="32">
        <f>AE205*1%</f>
        <v/>
      </c>
      <c r="Z205" s="32">
        <f>AE205*8%</f>
        <v/>
      </c>
      <c r="AA205" s="32">
        <f>W205+X205+Y205+Z205</f>
        <v/>
      </c>
      <c r="AB205" s="31">
        <f>AA205+V205+N205</f>
        <v/>
      </c>
      <c r="AC205" s="6">
        <f>AB205*20%</f>
        <v/>
      </c>
      <c r="AD205" s="32">
        <f>AB205+AC205</f>
        <v/>
      </c>
      <c r="AE205" s="32">
        <f>D205*2.1</f>
        <v/>
      </c>
      <c r="AF205" s="7">
        <f>AD205-AE205</f>
        <v/>
      </c>
      <c r="AG205" s="7">
        <f>AF205/AD205*100</f>
        <v/>
      </c>
      <c r="AH205" s="0" t="n">
        <v>21500</v>
      </c>
      <c r="AI205" s="33" t="n"/>
      <c r="AJ205" s="34">
        <f>AD205</f>
        <v/>
      </c>
      <c r="AK205" s="34">
        <f>AJ205-(AJ205*7%)</f>
        <v/>
      </c>
      <c r="AL205" s="35">
        <f>AJ205/94</f>
        <v/>
      </c>
      <c r="AM205" s="35">
        <f>AK205/94</f>
        <v/>
      </c>
      <c r="AN205" s="36">
        <f>AJ205/24</f>
        <v/>
      </c>
      <c r="AO205" s="36">
        <f>AK205/24</f>
        <v/>
      </c>
      <c r="AP205" s="37">
        <f>AJ205/125</f>
        <v/>
      </c>
      <c r="AQ205" s="37">
        <f>AK205/125</f>
        <v/>
      </c>
    </row>
    <row r="206" ht="15.75" customHeight="1" s="50">
      <c r="A206" s="32" t="n"/>
      <c r="B206" s="32" t="inlineStr">
        <is>
          <t>Buddha / 12 in</t>
        </is>
      </c>
      <c r="C206" s="32" t="inlineStr">
        <is>
          <t>MI-SB-H-ET-B-12</t>
        </is>
      </c>
      <c r="D206" s="32" t="inlineStr">
        <is>
          <t>Parasonjeet</t>
        </is>
      </c>
      <c r="E206" s="32" t="n">
        <v>145</v>
      </c>
      <c r="F206" s="32" t="n">
        <v>90</v>
      </c>
      <c r="G206" s="32" t="n">
        <v>0</v>
      </c>
      <c r="H206" s="32" t="n">
        <v>10</v>
      </c>
      <c r="I206" s="41" t="n">
        <v>83061000</v>
      </c>
      <c r="J206" s="30" t="n">
        <v>0.05</v>
      </c>
      <c r="K206" s="32">
        <f>D206*J206</f>
        <v/>
      </c>
      <c r="M206" s="32">
        <f>D206*4%</f>
        <v/>
      </c>
      <c r="N206" s="49">
        <f>M206+L206+K206+H206+G206+F206+E206+D206</f>
        <v/>
      </c>
      <c r="O206" s="32">
        <f>D206*1%</f>
        <v/>
      </c>
      <c r="P206" s="7">
        <f>N206*8%</f>
        <v/>
      </c>
      <c r="Q206" s="7">
        <f>N206*10%</f>
        <v/>
      </c>
      <c r="R206" s="7">
        <f>N206*5%</f>
        <v/>
      </c>
      <c r="S206" s="7">
        <f>N206*2%</f>
        <v/>
      </c>
      <c r="T206" s="7">
        <f>AE206*0.5%</f>
        <v/>
      </c>
      <c r="U206" s="7">
        <f>N206*1%</f>
        <v/>
      </c>
      <c r="V206" s="49">
        <f>U206+S206+R206+Q206+P206+O206</f>
        <v/>
      </c>
      <c r="W206" s="32">
        <f>AE206*1%</f>
        <v/>
      </c>
      <c r="X206" s="32">
        <f>AE206*10%</f>
        <v/>
      </c>
      <c r="Y206" s="32">
        <f>AE206*1%</f>
        <v/>
      </c>
      <c r="Z206" s="32">
        <f>AE206*8%</f>
        <v/>
      </c>
      <c r="AA206" s="32">
        <f>W206+X206+Y206+Z206</f>
        <v/>
      </c>
      <c r="AB206" s="31">
        <f>AA206+V206+N206</f>
        <v/>
      </c>
      <c r="AC206" s="6">
        <f>AB206*20%</f>
        <v/>
      </c>
      <c r="AD206" s="32">
        <f>AB206+AC206</f>
        <v/>
      </c>
      <c r="AE206" s="32">
        <f>D206*2.1</f>
        <v/>
      </c>
      <c r="AF206" s="7">
        <f>AD206-AE206</f>
        <v/>
      </c>
      <c r="AG206" s="7">
        <f>AF206/AD206*100</f>
        <v/>
      </c>
      <c r="AH206" s="0" t="n">
        <v>24500</v>
      </c>
      <c r="AI206" s="33" t="n"/>
      <c r="AJ206" s="34">
        <f>AD206</f>
        <v/>
      </c>
      <c r="AK206" s="34">
        <f>AJ206-(AJ206*7%)</f>
        <v/>
      </c>
      <c r="AL206" s="35">
        <f>AJ206/94</f>
        <v/>
      </c>
      <c r="AM206" s="35">
        <f>AK206/94</f>
        <v/>
      </c>
      <c r="AN206" s="36">
        <f>AJ206/24</f>
        <v/>
      </c>
      <c r="AO206" s="36">
        <f>AK206/24</f>
        <v/>
      </c>
      <c r="AP206" s="37">
        <f>AJ206/125</f>
        <v/>
      </c>
      <c r="AQ206" s="37">
        <f>AK206/125</f>
        <v/>
      </c>
    </row>
    <row r="207" ht="15.75" customHeight="1" s="50">
      <c r="A207" s="32" t="n"/>
      <c r="B207" s="32" t="inlineStr">
        <is>
          <t>Buddha / 7 in</t>
        </is>
      </c>
      <c r="C207" s="32" t="inlineStr">
        <is>
          <t>MI-SB-H-ET-B-7</t>
        </is>
      </c>
      <c r="D207" s="32" t="inlineStr">
        <is>
          <t>Parasonjeet</t>
        </is>
      </c>
      <c r="E207" s="32" t="n">
        <v>125</v>
      </c>
      <c r="F207" s="32" t="n">
        <v>65</v>
      </c>
      <c r="G207" s="32" t="n">
        <v>0</v>
      </c>
      <c r="H207" s="32" t="n">
        <v>10</v>
      </c>
      <c r="I207" s="41" t="n">
        <v>83061000</v>
      </c>
      <c r="J207" s="30" t="n">
        <v>0.05</v>
      </c>
      <c r="K207" s="32">
        <f>D207*J207</f>
        <v/>
      </c>
      <c r="M207" s="32">
        <f>D207*4%</f>
        <v/>
      </c>
      <c r="N207" s="49">
        <f>M207+L207+K207+H207+G207+F207+E207+D207</f>
        <v/>
      </c>
      <c r="O207" s="32">
        <f>D207*1%</f>
        <v/>
      </c>
      <c r="P207" s="7">
        <f>N207*8%</f>
        <v/>
      </c>
      <c r="Q207" s="7">
        <f>N207*10%</f>
        <v/>
      </c>
      <c r="R207" s="7">
        <f>N207*5%</f>
        <v/>
      </c>
      <c r="S207" s="7">
        <f>N207*2%</f>
        <v/>
      </c>
      <c r="T207" s="7">
        <f>AE207*0.5%</f>
        <v/>
      </c>
      <c r="U207" s="7">
        <f>N207*1%</f>
        <v/>
      </c>
      <c r="V207" s="49">
        <f>U207+S207+R207+Q207+P207+O207</f>
        <v/>
      </c>
      <c r="W207" s="32">
        <f>AE207*1%</f>
        <v/>
      </c>
      <c r="X207" s="32">
        <f>AE207*10%</f>
        <v/>
      </c>
      <c r="Y207" s="32">
        <f>AE207*1%</f>
        <v/>
      </c>
      <c r="Z207" s="32">
        <f>AE207*8%</f>
        <v/>
      </c>
      <c r="AA207" s="32">
        <f>W207+X207+Y207+Z207</f>
        <v/>
      </c>
      <c r="AB207" s="31">
        <f>AA207+V207+N207</f>
        <v/>
      </c>
      <c r="AC207" s="6">
        <f>AB207*20%</f>
        <v/>
      </c>
      <c r="AD207" s="32">
        <f>AB207+AC207</f>
        <v/>
      </c>
      <c r="AE207" s="32">
        <f>D207*2.1</f>
        <v/>
      </c>
      <c r="AF207" s="7">
        <f>AD207-AE207</f>
        <v/>
      </c>
      <c r="AG207" s="7">
        <f>AF207/AD207*100</f>
        <v/>
      </c>
      <c r="AH207" s="0" t="n">
        <v>12500</v>
      </c>
      <c r="AI207" s="33" t="n"/>
      <c r="AJ207" s="34">
        <f>AD207</f>
        <v/>
      </c>
      <c r="AK207" s="34">
        <f>AJ207-(AJ207*7%)</f>
        <v/>
      </c>
      <c r="AL207" s="35">
        <f>AJ207/94</f>
        <v/>
      </c>
      <c r="AM207" s="35">
        <f>AK207/94</f>
        <v/>
      </c>
      <c r="AN207" s="36">
        <f>AJ207/24</f>
        <v/>
      </c>
      <c r="AO207" s="36">
        <f>AK207/24</f>
        <v/>
      </c>
      <c r="AP207" s="37">
        <f>AJ207/125</f>
        <v/>
      </c>
      <c r="AQ207" s="37">
        <f>AK207/125</f>
        <v/>
      </c>
    </row>
    <row r="208" ht="15.75" customHeight="1" s="50">
      <c r="A208" s="32" t="n"/>
      <c r="B208" s="32" t="inlineStr">
        <is>
          <t>8 in / Buddha</t>
        </is>
      </c>
      <c r="C208" s="32" t="inlineStr">
        <is>
          <t>MI-SB-H-ET-B-8</t>
        </is>
      </c>
      <c r="D208" s="32" t="inlineStr">
        <is>
          <t>Parasonjeet</t>
        </is>
      </c>
      <c r="E208" s="32" t="n">
        <v>125</v>
      </c>
      <c r="F208" s="32" t="n">
        <v>65</v>
      </c>
      <c r="G208" s="32" t="n">
        <v>0</v>
      </c>
      <c r="H208" s="32" t="n">
        <v>10</v>
      </c>
      <c r="I208" s="41" t="n">
        <v>83061000</v>
      </c>
      <c r="J208" s="30" t="n">
        <v>0.05</v>
      </c>
      <c r="K208" s="32">
        <f>D208*J208</f>
        <v/>
      </c>
      <c r="M208" s="32">
        <f>D208*4%</f>
        <v/>
      </c>
      <c r="N208" s="49">
        <f>M208+L208+K208+H208+G208+F208+E208+D208</f>
        <v/>
      </c>
      <c r="O208" s="32">
        <f>D208*1%</f>
        <v/>
      </c>
      <c r="P208" s="7">
        <f>N208*8%</f>
        <v/>
      </c>
      <c r="Q208" s="7">
        <f>N208*10%</f>
        <v/>
      </c>
      <c r="R208" s="7">
        <f>N208*5%</f>
        <v/>
      </c>
      <c r="S208" s="7">
        <f>N208*2%</f>
        <v/>
      </c>
      <c r="T208" s="7">
        <f>AE208*0.5%</f>
        <v/>
      </c>
      <c r="U208" s="7">
        <f>N208*1%</f>
        <v/>
      </c>
      <c r="V208" s="49">
        <f>U208+S208+R208+Q208+P208+O208</f>
        <v/>
      </c>
      <c r="W208" s="32">
        <f>AE208*1%</f>
        <v/>
      </c>
      <c r="X208" s="32">
        <f>AE208*10%</f>
        <v/>
      </c>
      <c r="Y208" s="32">
        <f>AE208*1%</f>
        <v/>
      </c>
      <c r="Z208" s="32">
        <f>AE208*8%</f>
        <v/>
      </c>
      <c r="AA208" s="32">
        <f>W208+X208+Y208+Z208</f>
        <v/>
      </c>
      <c r="AB208" s="31">
        <f>AA208+V208+N208</f>
        <v/>
      </c>
      <c r="AC208" s="6">
        <f>AB208*20%</f>
        <v/>
      </c>
      <c r="AD208" s="32">
        <f>AB208+AC208</f>
        <v/>
      </c>
      <c r="AE208" s="32">
        <f>D208*2.1</f>
        <v/>
      </c>
      <c r="AF208" s="7">
        <f>AD208-AE208</f>
        <v/>
      </c>
      <c r="AG208" s="7">
        <f>AF208/AD208*100</f>
        <v/>
      </c>
      <c r="AH208" s="0" t="n">
        <v>14500</v>
      </c>
      <c r="AI208" s="33" t="n"/>
      <c r="AJ208" s="34">
        <f>AD208</f>
        <v/>
      </c>
      <c r="AK208" s="34">
        <f>AJ208-(AJ208*7%)</f>
        <v/>
      </c>
      <c r="AL208" s="35">
        <f>AJ208/94</f>
        <v/>
      </c>
      <c r="AM208" s="35">
        <f>AK208/94</f>
        <v/>
      </c>
      <c r="AN208" s="36">
        <f>AJ208/24</f>
        <v/>
      </c>
      <c r="AO208" s="36">
        <f>AK208/24</f>
        <v/>
      </c>
      <c r="AP208" s="37">
        <f>AJ208/125</f>
        <v/>
      </c>
      <c r="AQ208" s="37">
        <f>AK208/125</f>
        <v/>
      </c>
    </row>
    <row r="209" ht="15.75" customHeight="1" s="50">
      <c r="A209" s="32" t="n"/>
      <c r="B209" s="32" t="inlineStr">
        <is>
          <t>Buddha / 9 in</t>
        </is>
      </c>
      <c r="C209" s="32" t="inlineStr">
        <is>
          <t>MI-SB-H-ET-B-9</t>
        </is>
      </c>
      <c r="D209" s="32" t="inlineStr">
        <is>
          <t>Parasonjeet</t>
        </is>
      </c>
      <c r="E209" s="32" t="n">
        <v>145</v>
      </c>
      <c r="F209" s="32" t="n">
        <v>80</v>
      </c>
      <c r="G209" s="32" t="n">
        <v>0</v>
      </c>
      <c r="H209" s="32" t="n">
        <v>10</v>
      </c>
      <c r="I209" s="41" t="n">
        <v>83061000</v>
      </c>
      <c r="J209" s="30" t="n">
        <v>0.05</v>
      </c>
      <c r="K209" s="32">
        <f>D209*J209</f>
        <v/>
      </c>
      <c r="M209" s="32">
        <f>D209*4%</f>
        <v/>
      </c>
      <c r="N209" s="49">
        <f>M209+L209+K209+H209+G209+F209+E209+D209</f>
        <v/>
      </c>
      <c r="O209" s="32">
        <f>D209*1%</f>
        <v/>
      </c>
      <c r="P209" s="7">
        <f>N209*8%</f>
        <v/>
      </c>
      <c r="Q209" s="7">
        <f>N209*10%</f>
        <v/>
      </c>
      <c r="R209" s="7">
        <f>N209*5%</f>
        <v/>
      </c>
      <c r="S209" s="7">
        <f>N209*2%</f>
        <v/>
      </c>
      <c r="T209" s="7">
        <f>AE209*0.5%</f>
        <v/>
      </c>
      <c r="U209" s="7">
        <f>N209*1%</f>
        <v/>
      </c>
      <c r="V209" s="49">
        <f>U209+S209+R209+Q209+P209+O209</f>
        <v/>
      </c>
      <c r="W209" s="32">
        <f>AE209*1%</f>
        <v/>
      </c>
      <c r="X209" s="32">
        <f>AE209*10%</f>
        <v/>
      </c>
      <c r="Y209" s="32">
        <f>AE209*1%</f>
        <v/>
      </c>
      <c r="Z209" s="32">
        <f>AE209*8%</f>
        <v/>
      </c>
      <c r="AA209" s="32">
        <f>W209+X209+Y209+Z209</f>
        <v/>
      </c>
      <c r="AB209" s="31">
        <f>AA209+V209+N209</f>
        <v/>
      </c>
      <c r="AC209" s="6">
        <f>AB209*20%</f>
        <v/>
      </c>
      <c r="AD209" s="32">
        <f>AB209+AC209</f>
        <v/>
      </c>
      <c r="AE209" s="32">
        <f>D209*2.1</f>
        <v/>
      </c>
      <c r="AF209" s="7">
        <f>AD209-AE209</f>
        <v/>
      </c>
      <c r="AG209" s="7">
        <f>AF209/AD209*100</f>
        <v/>
      </c>
      <c r="AH209" s="0" t="n">
        <v>16500</v>
      </c>
      <c r="AI209" s="33" t="n"/>
      <c r="AJ209" s="34">
        <f>AD209</f>
        <v/>
      </c>
      <c r="AK209" s="34">
        <f>AJ209-(AJ209*7%)</f>
        <v/>
      </c>
      <c r="AL209" s="35">
        <f>AJ209/94</f>
        <v/>
      </c>
      <c r="AM209" s="35">
        <f>AK209/94</f>
        <v/>
      </c>
      <c r="AN209" s="36">
        <f>AJ209/24</f>
        <v/>
      </c>
      <c r="AO209" s="36">
        <f>AK209/24</f>
        <v/>
      </c>
      <c r="AP209" s="37">
        <f>AJ209/125</f>
        <v/>
      </c>
      <c r="AQ209" s="37">
        <f>AK209/125</f>
        <v/>
      </c>
    </row>
    <row r="210" ht="15.75" customHeight="1" s="50">
      <c r="A210" s="32" t="n"/>
      <c r="B210" s="32" t="inlineStr">
        <is>
          <t>Buddhas Eyes / 10 in</t>
        </is>
      </c>
      <c r="C210" s="32" t="inlineStr">
        <is>
          <t>MI-SB-H-ET-BE-10</t>
        </is>
      </c>
      <c r="D210" s="32" t="inlineStr">
        <is>
          <t>Parasonjeet</t>
        </is>
      </c>
      <c r="E210" s="32" t="n">
        <v>145</v>
      </c>
      <c r="F210" s="32" t="n">
        <v>80</v>
      </c>
      <c r="G210" s="32" t="n">
        <v>0</v>
      </c>
      <c r="H210" s="32" t="n">
        <v>10</v>
      </c>
      <c r="I210" s="41" t="n">
        <v>83061000</v>
      </c>
      <c r="J210" s="30" t="n">
        <v>0.05</v>
      </c>
      <c r="K210" s="32">
        <f>D210*J210</f>
        <v/>
      </c>
      <c r="M210" s="32">
        <f>D210*4%</f>
        <v/>
      </c>
      <c r="N210" s="49">
        <f>M210+L210+K210+H210+G210+F210+E210+D210</f>
        <v/>
      </c>
      <c r="O210" s="32">
        <f>D210*1%</f>
        <v/>
      </c>
      <c r="P210" s="7">
        <f>N210*8%</f>
        <v/>
      </c>
      <c r="Q210" s="7">
        <f>N210*10%</f>
        <v/>
      </c>
      <c r="R210" s="7">
        <f>N210*5%</f>
        <v/>
      </c>
      <c r="S210" s="7">
        <f>N210*2%</f>
        <v/>
      </c>
      <c r="T210" s="7">
        <f>AE210*0.5%</f>
        <v/>
      </c>
      <c r="U210" s="7">
        <f>N210*1%</f>
        <v/>
      </c>
      <c r="V210" s="49">
        <f>U210+S210+R210+Q210+P210+O210</f>
        <v/>
      </c>
      <c r="W210" s="32">
        <f>AE210*1%</f>
        <v/>
      </c>
      <c r="X210" s="32">
        <f>AE210*10%</f>
        <v/>
      </c>
      <c r="Y210" s="32">
        <f>AE210*1%</f>
        <v/>
      </c>
      <c r="Z210" s="32">
        <f>AE210*8%</f>
        <v/>
      </c>
      <c r="AA210" s="32">
        <f>W210+X210+Y210+Z210</f>
        <v/>
      </c>
      <c r="AB210" s="31">
        <f>AA210+V210+N210</f>
        <v/>
      </c>
      <c r="AC210" s="6">
        <f>AB210*20%</f>
        <v/>
      </c>
      <c r="AD210" s="32">
        <f>AB210+AC210</f>
        <v/>
      </c>
      <c r="AE210" s="32">
        <f>D210*2.1</f>
        <v/>
      </c>
      <c r="AF210" s="7">
        <f>AD210-AE210</f>
        <v/>
      </c>
      <c r="AG210" s="7">
        <f>AF210/AD210*100</f>
        <v/>
      </c>
      <c r="AH210" s="0" t="n">
        <v>16500</v>
      </c>
      <c r="AI210" s="33" t="n"/>
      <c r="AJ210" s="34">
        <f>AD210</f>
        <v/>
      </c>
      <c r="AK210" s="34">
        <f>AJ210-(AJ210*7%)</f>
        <v/>
      </c>
      <c r="AL210" s="35">
        <f>AJ210/94</f>
        <v/>
      </c>
      <c r="AM210" s="35">
        <f>AK210/94</f>
        <v/>
      </c>
      <c r="AN210" s="36">
        <f>AJ210/24</f>
        <v/>
      </c>
      <c r="AO210" s="36">
        <f>AK210/24</f>
        <v/>
      </c>
      <c r="AP210" s="37">
        <f>AJ210/125</f>
        <v/>
      </c>
      <c r="AQ210" s="37">
        <f>AK210/125</f>
        <v/>
      </c>
    </row>
    <row r="211" ht="15.75" customHeight="1" s="50">
      <c r="A211" s="32" t="n"/>
      <c r="B211" s="32" t="inlineStr">
        <is>
          <t>Buddhas Eyes / 11 in</t>
        </is>
      </c>
      <c r="C211" s="32" t="inlineStr">
        <is>
          <t>MI-SB-H-ET-BE-11</t>
        </is>
      </c>
      <c r="D211" s="32" t="inlineStr">
        <is>
          <t>Parasonjeet</t>
        </is>
      </c>
      <c r="E211" s="32" t="n">
        <v>145</v>
      </c>
      <c r="F211" s="32" t="n">
        <v>80</v>
      </c>
      <c r="G211" s="32" t="n">
        <v>0</v>
      </c>
      <c r="H211" s="32" t="n">
        <v>10</v>
      </c>
      <c r="I211" s="41" t="n">
        <v>83061000</v>
      </c>
      <c r="J211" s="30" t="n">
        <v>0.05</v>
      </c>
      <c r="K211" s="32">
        <f>D211*J211</f>
        <v/>
      </c>
      <c r="M211" s="32">
        <f>D211*4%</f>
        <v/>
      </c>
      <c r="N211" s="49">
        <f>M211+L211+K211+H211+G211+F211+E211+D211</f>
        <v/>
      </c>
      <c r="O211" s="32">
        <f>D211*1%</f>
        <v/>
      </c>
      <c r="P211" s="7">
        <f>N211*8%</f>
        <v/>
      </c>
      <c r="Q211" s="7">
        <f>N211*10%</f>
        <v/>
      </c>
      <c r="R211" s="7">
        <f>N211*5%</f>
        <v/>
      </c>
      <c r="S211" s="7">
        <f>N211*2%</f>
        <v/>
      </c>
      <c r="T211" s="7">
        <f>AE211*0.5%</f>
        <v/>
      </c>
      <c r="U211" s="7">
        <f>N211*1%</f>
        <v/>
      </c>
      <c r="V211" s="49">
        <f>U211+S211+R211+Q211+P211+O211</f>
        <v/>
      </c>
      <c r="W211" s="32">
        <f>AE211*1%</f>
        <v/>
      </c>
      <c r="X211" s="32">
        <f>AE211*10%</f>
        <v/>
      </c>
      <c r="Y211" s="32">
        <f>AE211*1%</f>
        <v/>
      </c>
      <c r="Z211" s="32">
        <f>AE211*8%</f>
        <v/>
      </c>
      <c r="AA211" s="32">
        <f>W211+X211+Y211+Z211</f>
        <v/>
      </c>
      <c r="AB211" s="31">
        <f>AA211+V211+N211</f>
        <v/>
      </c>
      <c r="AC211" s="6">
        <f>AB211*20%</f>
        <v/>
      </c>
      <c r="AD211" s="32">
        <f>AB211+AC211</f>
        <v/>
      </c>
      <c r="AE211" s="32">
        <f>D211*2.1</f>
        <v/>
      </c>
      <c r="AF211" s="7">
        <f>AD211-AE211</f>
        <v/>
      </c>
      <c r="AG211" s="7">
        <f>AF211/AD211*100</f>
        <v/>
      </c>
      <c r="AH211" s="0" t="n">
        <v>19500</v>
      </c>
      <c r="AI211" s="33" t="n"/>
      <c r="AJ211" s="34">
        <f>AD211</f>
        <v/>
      </c>
      <c r="AK211" s="34">
        <f>AJ211-(AJ211*7%)</f>
        <v/>
      </c>
      <c r="AL211" s="35">
        <f>AJ211/94</f>
        <v/>
      </c>
      <c r="AM211" s="35">
        <f>AK211/94</f>
        <v/>
      </c>
      <c r="AN211" s="36">
        <f>AJ211/24</f>
        <v/>
      </c>
      <c r="AO211" s="36">
        <f>AK211/24</f>
        <v/>
      </c>
      <c r="AP211" s="37">
        <f>AJ211/125</f>
        <v/>
      </c>
      <c r="AQ211" s="37">
        <f>AK211/125</f>
        <v/>
      </c>
    </row>
    <row r="212" ht="15.75" customHeight="1" s="50">
      <c r="A212" s="32" t="n"/>
      <c r="B212" s="32" t="inlineStr">
        <is>
          <t>12 in / Buddhas Eyes</t>
        </is>
      </c>
      <c r="C212" s="32" t="inlineStr">
        <is>
          <t>MI-SB-H-ET-BE-12</t>
        </is>
      </c>
      <c r="D212" s="32" t="inlineStr">
        <is>
          <t>Parasonjeet</t>
        </is>
      </c>
      <c r="E212" s="32" t="n">
        <v>145</v>
      </c>
      <c r="F212" s="32" t="n">
        <v>90</v>
      </c>
      <c r="G212" s="32" t="n">
        <v>0</v>
      </c>
      <c r="H212" s="32" t="n">
        <v>10</v>
      </c>
      <c r="I212" s="41" t="n">
        <v>83061000</v>
      </c>
      <c r="J212" s="30" t="n">
        <v>0.05</v>
      </c>
      <c r="K212" s="32">
        <f>D212*J212</f>
        <v/>
      </c>
      <c r="M212" s="32">
        <f>D212*4%</f>
        <v/>
      </c>
      <c r="N212" s="49">
        <f>M212+L212+K212+H212+G212+F212+E212+D212</f>
        <v/>
      </c>
      <c r="O212" s="32">
        <f>D212*1%</f>
        <v/>
      </c>
      <c r="P212" s="7">
        <f>N212*8%</f>
        <v/>
      </c>
      <c r="Q212" s="7">
        <f>N212*10%</f>
        <v/>
      </c>
      <c r="R212" s="7">
        <f>N212*5%</f>
        <v/>
      </c>
      <c r="S212" s="7">
        <f>N212*2%</f>
        <v/>
      </c>
      <c r="T212" s="7">
        <f>AE212*0.5%</f>
        <v/>
      </c>
      <c r="U212" s="7">
        <f>N212*1%</f>
        <v/>
      </c>
      <c r="V212" s="49">
        <f>U212+S212+R212+Q212+P212+O212</f>
        <v/>
      </c>
      <c r="W212" s="32">
        <f>AE212*1%</f>
        <v/>
      </c>
      <c r="X212" s="32">
        <f>AE212*10%</f>
        <v/>
      </c>
      <c r="Y212" s="32">
        <f>AE212*1%</f>
        <v/>
      </c>
      <c r="Z212" s="32">
        <f>AE212*8%</f>
        <v/>
      </c>
      <c r="AA212" s="32">
        <f>W212+X212+Y212+Z212</f>
        <v/>
      </c>
      <c r="AB212" s="31">
        <f>AA212+V212+N212</f>
        <v/>
      </c>
      <c r="AC212" s="6">
        <f>AB212*20%</f>
        <v/>
      </c>
      <c r="AD212" s="32">
        <f>AB212+AC212</f>
        <v/>
      </c>
      <c r="AE212" s="32">
        <f>D212*2.1</f>
        <v/>
      </c>
      <c r="AF212" s="7">
        <f>AD212-AE212</f>
        <v/>
      </c>
      <c r="AG212" s="7">
        <f>AF212/AD212*100</f>
        <v/>
      </c>
      <c r="AH212" s="0" t="n">
        <v>22500</v>
      </c>
      <c r="AI212" s="33" t="n"/>
      <c r="AJ212" s="34">
        <f>AD212</f>
        <v/>
      </c>
      <c r="AK212" s="34">
        <f>AJ212-(AJ212*7%)</f>
        <v/>
      </c>
      <c r="AL212" s="35">
        <f>AJ212/94</f>
        <v/>
      </c>
      <c r="AM212" s="35">
        <f>AK212/94</f>
        <v/>
      </c>
      <c r="AN212" s="36">
        <f>AJ212/24</f>
        <v/>
      </c>
      <c r="AO212" s="36">
        <f>AK212/24</f>
        <v/>
      </c>
      <c r="AP212" s="37">
        <f>AJ212/125</f>
        <v/>
      </c>
      <c r="AQ212" s="37">
        <f>AK212/125</f>
        <v/>
      </c>
    </row>
    <row r="213" ht="15.75" customHeight="1" s="50">
      <c r="A213" s="32" t="n"/>
      <c r="B213" s="32" t="inlineStr">
        <is>
          <t>6 in / Buddhas Eyes</t>
        </is>
      </c>
      <c r="C213" s="32" t="inlineStr">
        <is>
          <t>MI-SB-H-ET-BE-6</t>
        </is>
      </c>
      <c r="D213" s="32" t="inlineStr">
        <is>
          <t>Parasonjeet</t>
        </is>
      </c>
      <c r="E213" s="32" t="n">
        <v>125</v>
      </c>
      <c r="F213" s="32" t="n">
        <v>65</v>
      </c>
      <c r="G213" s="32" t="n">
        <v>0</v>
      </c>
      <c r="H213" s="32" t="n">
        <v>10</v>
      </c>
      <c r="I213" s="41" t="n">
        <v>83061000</v>
      </c>
      <c r="J213" s="30" t="n">
        <v>0.05</v>
      </c>
      <c r="K213" s="32">
        <f>D213*J213</f>
        <v/>
      </c>
      <c r="M213" s="32">
        <f>D213*4%</f>
        <v/>
      </c>
      <c r="N213" s="49">
        <f>M213+L213+K213+H213+G213+F213+E213+D213</f>
        <v/>
      </c>
      <c r="O213" s="32">
        <f>D213*1%</f>
        <v/>
      </c>
      <c r="P213" s="7">
        <f>N213*8%</f>
        <v/>
      </c>
      <c r="Q213" s="7">
        <f>N213*10%</f>
        <v/>
      </c>
      <c r="R213" s="7">
        <f>N213*5%</f>
        <v/>
      </c>
      <c r="S213" s="7">
        <f>N213*2%</f>
        <v/>
      </c>
      <c r="T213" s="7">
        <f>AE213*0.5%</f>
        <v/>
      </c>
      <c r="U213" s="7">
        <f>N213*1%</f>
        <v/>
      </c>
      <c r="V213" s="49">
        <f>U213+S213+R213+Q213+P213+O213</f>
        <v/>
      </c>
      <c r="W213" s="32">
        <f>AE213*1%</f>
        <v/>
      </c>
      <c r="X213" s="32">
        <f>AE213*10%</f>
        <v/>
      </c>
      <c r="Y213" s="32">
        <f>AE213*1%</f>
        <v/>
      </c>
      <c r="Z213" s="32">
        <f>AE213*8%</f>
        <v/>
      </c>
      <c r="AA213" s="32">
        <f>W213+X213+Y213+Z213</f>
        <v/>
      </c>
      <c r="AB213" s="31">
        <f>AA213+V213+N213</f>
        <v/>
      </c>
      <c r="AC213" s="6">
        <f>AB213*20%</f>
        <v/>
      </c>
      <c r="AD213" s="32">
        <f>AB213+AC213</f>
        <v/>
      </c>
      <c r="AE213" s="32">
        <f>D213*2.1</f>
        <v/>
      </c>
      <c r="AF213" s="7">
        <f>AD213-AE213</f>
        <v/>
      </c>
      <c r="AG213" s="7">
        <f>AF213/AD213*100</f>
        <v/>
      </c>
      <c r="AH213" s="0" t="n">
        <v>8500</v>
      </c>
      <c r="AI213" s="33" t="n"/>
      <c r="AJ213" s="34">
        <f>AD213</f>
        <v/>
      </c>
      <c r="AK213" s="34">
        <f>AJ213-(AJ213*7%)</f>
        <v/>
      </c>
      <c r="AL213" s="35">
        <f>AJ213/94</f>
        <v/>
      </c>
      <c r="AM213" s="35">
        <f>AK213/94</f>
        <v/>
      </c>
      <c r="AN213" s="36">
        <f>AJ213/24</f>
        <v/>
      </c>
      <c r="AO213" s="36">
        <f>AK213/24</f>
        <v/>
      </c>
      <c r="AP213" s="37">
        <f>AJ213/125</f>
        <v/>
      </c>
      <c r="AQ213" s="37">
        <f>AK213/125</f>
        <v/>
      </c>
    </row>
    <row r="214" ht="15.75" customHeight="1" s="50">
      <c r="A214" s="32" t="n"/>
      <c r="B214" s="32" t="inlineStr">
        <is>
          <t>7 in / Buddhas Eyes</t>
        </is>
      </c>
      <c r="C214" s="32" t="inlineStr">
        <is>
          <t>MI-SB-H-ET-BE-7</t>
        </is>
      </c>
      <c r="D214" s="32" t="inlineStr">
        <is>
          <t>Parasonjeet</t>
        </is>
      </c>
      <c r="E214" s="32" t="n">
        <v>125</v>
      </c>
      <c r="F214" s="32" t="n">
        <v>65</v>
      </c>
      <c r="G214" s="32" t="n">
        <v>0</v>
      </c>
      <c r="H214" s="32" t="n">
        <v>10</v>
      </c>
      <c r="I214" s="41" t="n">
        <v>83061000</v>
      </c>
      <c r="J214" s="30" t="n">
        <v>0.05</v>
      </c>
      <c r="K214" s="32">
        <f>D214*J214</f>
        <v/>
      </c>
      <c r="M214" s="32">
        <f>D214*4%</f>
        <v/>
      </c>
      <c r="N214" s="49">
        <f>M214+L214+K214+H214+G214+F214+E214+D214</f>
        <v/>
      </c>
      <c r="O214" s="32">
        <f>D214*1%</f>
        <v/>
      </c>
      <c r="P214" s="7">
        <f>N214*8%</f>
        <v/>
      </c>
      <c r="Q214" s="7">
        <f>N214*10%</f>
        <v/>
      </c>
      <c r="R214" s="7">
        <f>N214*5%</f>
        <v/>
      </c>
      <c r="S214" s="7">
        <f>N214*2%</f>
        <v/>
      </c>
      <c r="T214" s="7">
        <f>AE214*0.5%</f>
        <v/>
      </c>
      <c r="U214" s="7">
        <f>N214*1%</f>
        <v/>
      </c>
      <c r="V214" s="49">
        <f>U214+S214+R214+Q214+P214+O214</f>
        <v/>
      </c>
      <c r="W214" s="32">
        <f>AE214*1%</f>
        <v/>
      </c>
      <c r="X214" s="32">
        <f>AE214*10%</f>
        <v/>
      </c>
      <c r="Y214" s="32">
        <f>AE214*1%</f>
        <v/>
      </c>
      <c r="Z214" s="32">
        <f>AE214*8%</f>
        <v/>
      </c>
      <c r="AA214" s="32">
        <f>W214+X214+Y214+Z214</f>
        <v/>
      </c>
      <c r="AB214" s="31">
        <f>AA214+V214+N214</f>
        <v/>
      </c>
      <c r="AC214" s="6">
        <f>AB214*20%</f>
        <v/>
      </c>
      <c r="AD214" s="32">
        <f>AB214+AC214</f>
        <v/>
      </c>
      <c r="AE214" s="32">
        <f>D214*2.1</f>
        <v/>
      </c>
      <c r="AF214" s="7">
        <f>AD214-AE214</f>
        <v/>
      </c>
      <c r="AG214" s="7">
        <f>AF214/AD214*100</f>
        <v/>
      </c>
      <c r="AH214" s="0" t="n">
        <v>10500</v>
      </c>
      <c r="AI214" s="33" t="n"/>
      <c r="AJ214" s="34">
        <f>AD214</f>
        <v/>
      </c>
      <c r="AK214" s="34">
        <f>AJ214-(AJ214*7%)</f>
        <v/>
      </c>
      <c r="AL214" s="35">
        <f>AJ214/94</f>
        <v/>
      </c>
      <c r="AM214" s="35">
        <f>AK214/94</f>
        <v/>
      </c>
      <c r="AN214" s="36">
        <f>AJ214/24</f>
        <v/>
      </c>
      <c r="AO214" s="36">
        <f>AK214/24</f>
        <v/>
      </c>
      <c r="AP214" s="37">
        <f>AJ214/125</f>
        <v/>
      </c>
      <c r="AQ214" s="37">
        <f>AK214/125</f>
        <v/>
      </c>
    </row>
    <row r="215" ht="15.75" customHeight="1" s="50">
      <c r="A215" s="32" t="n"/>
      <c r="B215" s="32" t="inlineStr">
        <is>
          <t>8 in / Buddhas Eyes</t>
        </is>
      </c>
      <c r="C215" s="32" t="inlineStr">
        <is>
          <t>MI-SB-H-ET-BE-8</t>
        </is>
      </c>
      <c r="D215" s="32" t="inlineStr">
        <is>
          <t>Parasonjeet</t>
        </is>
      </c>
      <c r="E215" s="32" t="n">
        <v>145</v>
      </c>
      <c r="F215" s="32" t="n">
        <v>80</v>
      </c>
      <c r="G215" s="32" t="n">
        <v>0</v>
      </c>
      <c r="H215" s="32" t="n">
        <v>10</v>
      </c>
      <c r="I215" s="41" t="n">
        <v>83061000</v>
      </c>
      <c r="J215" s="30" t="n">
        <v>0.05</v>
      </c>
      <c r="K215" s="32">
        <f>D215*J215</f>
        <v/>
      </c>
      <c r="M215" s="32">
        <f>D215*4%</f>
        <v/>
      </c>
      <c r="N215" s="49">
        <f>M215+L215+K215+H215+G215+F215+E215+D215</f>
        <v/>
      </c>
      <c r="O215" s="32">
        <f>D215*1%</f>
        <v/>
      </c>
      <c r="P215" s="7">
        <f>N215*8%</f>
        <v/>
      </c>
      <c r="Q215" s="7">
        <f>N215*10%</f>
        <v/>
      </c>
      <c r="R215" s="7">
        <f>N215*5%</f>
        <v/>
      </c>
      <c r="S215" s="7">
        <f>N215*2%</f>
        <v/>
      </c>
      <c r="T215" s="7">
        <f>AE215*0.5%</f>
        <v/>
      </c>
      <c r="U215" s="7">
        <f>N215*1%</f>
        <v/>
      </c>
      <c r="V215" s="49">
        <f>U215+S215+R215+Q215+P215+O215</f>
        <v/>
      </c>
      <c r="W215" s="32">
        <f>AE215*1%</f>
        <v/>
      </c>
      <c r="X215" s="32">
        <f>AE215*10%</f>
        <v/>
      </c>
      <c r="Y215" s="32">
        <f>AE215*1%</f>
        <v/>
      </c>
      <c r="Z215" s="32">
        <f>AE215*8%</f>
        <v/>
      </c>
      <c r="AA215" s="32">
        <f>W215+X215+Y215+Z215</f>
        <v/>
      </c>
      <c r="AB215" s="31">
        <f>AA215+V215+N215</f>
        <v/>
      </c>
      <c r="AC215" s="6">
        <f>AB215*20%</f>
        <v/>
      </c>
      <c r="AD215" s="32">
        <f>AB215+AC215</f>
        <v/>
      </c>
      <c r="AE215" s="32">
        <f>D215*2.1</f>
        <v/>
      </c>
      <c r="AF215" s="7">
        <f>AD215-AE215</f>
        <v/>
      </c>
      <c r="AG215" s="7">
        <f>AF215/AD215*100</f>
        <v/>
      </c>
      <c r="AH215" s="0" t="n">
        <v>12500</v>
      </c>
      <c r="AI215" s="33" t="n"/>
      <c r="AJ215" s="34">
        <f>AD215</f>
        <v/>
      </c>
      <c r="AK215" s="34">
        <f>AJ215-(AJ215*7%)</f>
        <v/>
      </c>
      <c r="AL215" s="35">
        <f>AJ215/94</f>
        <v/>
      </c>
      <c r="AM215" s="35">
        <f>AK215/94</f>
        <v/>
      </c>
      <c r="AN215" s="36">
        <f>AJ215/24</f>
        <v/>
      </c>
      <c r="AO215" s="36">
        <f>AK215/24</f>
        <v/>
      </c>
      <c r="AP215" s="37">
        <f>AJ215/125</f>
        <v/>
      </c>
      <c r="AQ215" s="37">
        <f>AK215/125</f>
        <v/>
      </c>
    </row>
    <row r="216" ht="15.75" customHeight="1" s="50">
      <c r="A216" s="32" t="n"/>
      <c r="B216" s="32" t="inlineStr">
        <is>
          <t>Buddhas Eyes / 9 in</t>
        </is>
      </c>
      <c r="C216" s="32" t="inlineStr">
        <is>
          <t>MI-SB-H-ET-BE-9</t>
        </is>
      </c>
      <c r="D216" s="32" t="inlineStr">
        <is>
          <t>Parasonjeet</t>
        </is>
      </c>
      <c r="E216" s="32" t="n">
        <v>145</v>
      </c>
      <c r="F216" s="32" t="n">
        <v>80</v>
      </c>
      <c r="G216" s="32" t="n">
        <v>0</v>
      </c>
      <c r="H216" s="32" t="n">
        <v>10</v>
      </c>
      <c r="I216" s="41" t="n">
        <v>83061000</v>
      </c>
      <c r="J216" s="30" t="n">
        <v>0.05</v>
      </c>
      <c r="K216" s="32">
        <f>D216*J216</f>
        <v/>
      </c>
      <c r="M216" s="32">
        <f>D216*4%</f>
        <v/>
      </c>
      <c r="N216" s="49">
        <f>M216+L216+K216+H216+G216+F216+E216+D216</f>
        <v/>
      </c>
      <c r="O216" s="32">
        <f>D216*1%</f>
        <v/>
      </c>
      <c r="P216" s="7">
        <f>N216*8%</f>
        <v/>
      </c>
      <c r="Q216" s="7">
        <f>N216*10%</f>
        <v/>
      </c>
      <c r="R216" s="7">
        <f>N216*5%</f>
        <v/>
      </c>
      <c r="S216" s="7">
        <f>N216*2%</f>
        <v/>
      </c>
      <c r="T216" s="7">
        <f>AE216*0.5%</f>
        <v/>
      </c>
      <c r="U216" s="7">
        <f>N216*1%</f>
        <v/>
      </c>
      <c r="V216" s="49">
        <f>U216+S216+R216+Q216+P216+O216</f>
        <v/>
      </c>
      <c r="W216" s="32">
        <f>AE216*1%</f>
        <v/>
      </c>
      <c r="X216" s="32">
        <f>AE216*10%</f>
        <v/>
      </c>
      <c r="Y216" s="32">
        <f>AE216*1%</f>
        <v/>
      </c>
      <c r="Z216" s="32">
        <f>AE216*8%</f>
        <v/>
      </c>
      <c r="AA216" s="32">
        <f>W216+X216+Y216+Z216</f>
        <v/>
      </c>
      <c r="AB216" s="31">
        <f>AA216+V216+N216</f>
        <v/>
      </c>
      <c r="AC216" s="6">
        <f>AB216*20%</f>
        <v/>
      </c>
      <c r="AD216" s="32">
        <f>AB216+AC216</f>
        <v/>
      </c>
      <c r="AE216" s="32">
        <f>D216*2.1</f>
        <v/>
      </c>
      <c r="AF216" s="7">
        <f>AD216-AE216</f>
        <v/>
      </c>
      <c r="AG216" s="7">
        <f>AF216/AD216*100</f>
        <v/>
      </c>
      <c r="AH216" s="0" t="n">
        <v>14500</v>
      </c>
      <c r="AI216" s="33" t="n"/>
      <c r="AJ216" s="34">
        <f>AD216</f>
        <v/>
      </c>
      <c r="AK216" s="34">
        <f>AJ216-(AJ216*7%)</f>
        <v/>
      </c>
      <c r="AL216" s="35">
        <f>AJ216/94</f>
        <v/>
      </c>
      <c r="AM216" s="35">
        <f>AK216/94</f>
        <v/>
      </c>
      <c r="AN216" s="36">
        <f>AJ216/24</f>
        <v/>
      </c>
      <c r="AO216" s="36">
        <f>AK216/24</f>
        <v/>
      </c>
      <c r="AP216" s="37">
        <f>AJ216/125</f>
        <v/>
      </c>
      <c r="AQ216" s="37">
        <f>AK216/125</f>
        <v/>
      </c>
    </row>
    <row r="217" ht="15.75" customHeight="1" s="50">
      <c r="A217" s="32" t="n"/>
      <c r="B217" s="32" t="inlineStr">
        <is>
          <t>10 in / Chakras</t>
        </is>
      </c>
      <c r="C217" s="32" t="inlineStr">
        <is>
          <t>MI-SB-H-ET-C-10</t>
        </is>
      </c>
      <c r="D217" s="32" t="inlineStr">
        <is>
          <t>Parasonjeet</t>
        </is>
      </c>
      <c r="E217" s="32" t="n">
        <v>145</v>
      </c>
      <c r="F217" s="32" t="n">
        <v>80</v>
      </c>
      <c r="G217" s="32" t="n">
        <v>0</v>
      </c>
      <c r="H217" s="32" t="n">
        <v>10</v>
      </c>
      <c r="I217" s="41" t="n">
        <v>83061000</v>
      </c>
      <c r="J217" s="30" t="n">
        <v>0.05</v>
      </c>
      <c r="K217" s="32">
        <f>D217*J217</f>
        <v/>
      </c>
      <c r="M217" s="32">
        <f>D217*4%</f>
        <v/>
      </c>
      <c r="N217" s="49">
        <f>M217+L217+K217+H217+G217+F217+E217+D217</f>
        <v/>
      </c>
      <c r="O217" s="32">
        <f>D217*1%</f>
        <v/>
      </c>
      <c r="P217" s="7">
        <f>N217*8%</f>
        <v/>
      </c>
      <c r="Q217" s="7">
        <f>N217*10%</f>
        <v/>
      </c>
      <c r="R217" s="7">
        <f>N217*5%</f>
        <v/>
      </c>
      <c r="S217" s="7">
        <f>N217*2%</f>
        <v/>
      </c>
      <c r="T217" s="7">
        <f>AE217*0.5%</f>
        <v/>
      </c>
      <c r="U217" s="7">
        <f>N217*1%</f>
        <v/>
      </c>
      <c r="V217" s="49">
        <f>U217+S217+R217+Q217+P217+O217</f>
        <v/>
      </c>
      <c r="W217" s="32">
        <f>AE217*1%</f>
        <v/>
      </c>
      <c r="X217" s="32">
        <f>AE217*10%</f>
        <v/>
      </c>
      <c r="Y217" s="32">
        <f>AE217*1%</f>
        <v/>
      </c>
      <c r="Z217" s="32">
        <f>AE217*8%</f>
        <v/>
      </c>
      <c r="AA217" s="32">
        <f>W217+X217+Y217+Z217</f>
        <v/>
      </c>
      <c r="AB217" s="31">
        <f>AA217+V217+N217</f>
        <v/>
      </c>
      <c r="AC217" s="6">
        <f>AB217*20%</f>
        <v/>
      </c>
      <c r="AD217" s="32">
        <f>AB217+AC217</f>
        <v/>
      </c>
      <c r="AE217" s="32">
        <f>D217*2.1</f>
        <v/>
      </c>
      <c r="AF217" s="7">
        <f>AD217-AE217</f>
        <v/>
      </c>
      <c r="AG217" s="7">
        <f>AF217/AD217*100</f>
        <v/>
      </c>
      <c r="AH217" s="0" t="n">
        <v>18500</v>
      </c>
      <c r="AI217" s="33" t="n"/>
      <c r="AJ217" s="34">
        <f>AD217</f>
        <v/>
      </c>
      <c r="AK217" s="34">
        <f>AJ217-(AJ217*7%)</f>
        <v/>
      </c>
      <c r="AL217" s="35">
        <f>AJ217/94</f>
        <v/>
      </c>
      <c r="AM217" s="35">
        <f>AK217/94</f>
        <v/>
      </c>
      <c r="AN217" s="36">
        <f>AJ217/24</f>
        <v/>
      </c>
      <c r="AO217" s="36">
        <f>AK217/24</f>
        <v/>
      </c>
      <c r="AP217" s="37">
        <f>AJ217/125</f>
        <v/>
      </c>
      <c r="AQ217" s="37">
        <f>AK217/125</f>
        <v/>
      </c>
    </row>
    <row r="218" ht="15.75" customHeight="1" s="50">
      <c r="A218" s="32" t="n"/>
      <c r="B218" s="32" t="inlineStr">
        <is>
          <t>Chakras / 11 in</t>
        </is>
      </c>
      <c r="C218" s="32" t="inlineStr">
        <is>
          <t>MI-SB-H-ET-C-11</t>
        </is>
      </c>
      <c r="D218" s="32" t="inlineStr">
        <is>
          <t>Parasonjeet</t>
        </is>
      </c>
      <c r="E218" s="32" t="n">
        <v>145</v>
      </c>
      <c r="F218" s="32" t="n">
        <v>80</v>
      </c>
      <c r="G218" s="32" t="n">
        <v>0</v>
      </c>
      <c r="H218" s="32" t="n">
        <v>10</v>
      </c>
      <c r="I218" s="41" t="n">
        <v>83061000</v>
      </c>
      <c r="J218" s="30" t="n">
        <v>0.05</v>
      </c>
      <c r="K218" s="32">
        <f>D218*J218</f>
        <v/>
      </c>
      <c r="M218" s="32">
        <f>D218*4%</f>
        <v/>
      </c>
      <c r="N218" s="49">
        <f>M218+L218+K218+H218+G218+F218+E218+D218</f>
        <v/>
      </c>
      <c r="O218" s="32">
        <f>D218*1%</f>
        <v/>
      </c>
      <c r="P218" s="7">
        <f>N218*8%</f>
        <v/>
      </c>
      <c r="Q218" s="7">
        <f>N218*10%</f>
        <v/>
      </c>
      <c r="R218" s="7">
        <f>N218*5%</f>
        <v/>
      </c>
      <c r="S218" s="7">
        <f>N218*2%</f>
        <v/>
      </c>
      <c r="T218" s="7">
        <f>AE218*0.5%</f>
        <v/>
      </c>
      <c r="U218" s="7">
        <f>N218*1%</f>
        <v/>
      </c>
      <c r="V218" s="49">
        <f>U218+S218+R218+Q218+P218+O218</f>
        <v/>
      </c>
      <c r="W218" s="32">
        <f>AE218*1%</f>
        <v/>
      </c>
      <c r="X218" s="32">
        <f>AE218*10%</f>
        <v/>
      </c>
      <c r="Y218" s="32">
        <f>AE218*1%</f>
        <v/>
      </c>
      <c r="Z218" s="32">
        <f>AE218*8%</f>
        <v/>
      </c>
      <c r="AA218" s="32">
        <f>W218+X218+Y218+Z218</f>
        <v/>
      </c>
      <c r="AB218" s="31">
        <f>AA218+V218+N218</f>
        <v/>
      </c>
      <c r="AC218" s="6">
        <f>AB218*20%</f>
        <v/>
      </c>
      <c r="AD218" s="32">
        <f>AB218+AC218</f>
        <v/>
      </c>
      <c r="AE218" s="32">
        <f>D218*2.1</f>
        <v/>
      </c>
      <c r="AF218" s="7">
        <f>AD218-AE218</f>
        <v/>
      </c>
      <c r="AG218" s="7">
        <f>AF218/AD218*100</f>
        <v/>
      </c>
      <c r="AH218" s="0" t="n">
        <v>21500</v>
      </c>
      <c r="AI218" s="33" t="n"/>
      <c r="AJ218" s="34">
        <f>AD218</f>
        <v/>
      </c>
      <c r="AK218" s="34">
        <f>AJ218-(AJ218*7%)</f>
        <v/>
      </c>
      <c r="AL218" s="35">
        <f>AJ218/94</f>
        <v/>
      </c>
      <c r="AM218" s="35">
        <f>AK218/94</f>
        <v/>
      </c>
      <c r="AN218" s="36">
        <f>AJ218/24</f>
        <v/>
      </c>
      <c r="AO218" s="36">
        <f>AK218/24</f>
        <v/>
      </c>
      <c r="AP218" s="37">
        <f>AJ218/125</f>
        <v/>
      </c>
      <c r="AQ218" s="37">
        <f>AK218/125</f>
        <v/>
      </c>
    </row>
    <row r="219" ht="15.75" customHeight="1" s="50">
      <c r="A219" s="32" t="n"/>
      <c r="B219" s="32" t="inlineStr">
        <is>
          <t>12 in / Chakras</t>
        </is>
      </c>
      <c r="C219" s="32" t="inlineStr">
        <is>
          <t>MI-SB-H-ET-C-12</t>
        </is>
      </c>
      <c r="D219" s="32" t="inlineStr">
        <is>
          <t>Parasonjeet</t>
        </is>
      </c>
      <c r="E219" s="32" t="n">
        <v>145</v>
      </c>
      <c r="F219" s="32" t="n">
        <v>90</v>
      </c>
      <c r="G219" s="32" t="n">
        <v>0</v>
      </c>
      <c r="H219" s="32" t="n">
        <v>10</v>
      </c>
      <c r="I219" s="41" t="n">
        <v>83061000</v>
      </c>
      <c r="J219" s="30" t="n">
        <v>0.05</v>
      </c>
      <c r="K219" s="32">
        <f>D219*J219</f>
        <v/>
      </c>
      <c r="M219" s="32">
        <f>D219*4%</f>
        <v/>
      </c>
      <c r="N219" s="49">
        <f>M219+L219+K219+H219+G219+F219+E219+D219</f>
        <v/>
      </c>
      <c r="O219" s="32">
        <f>D219*1%</f>
        <v/>
      </c>
      <c r="P219" s="7">
        <f>N219*8%</f>
        <v/>
      </c>
      <c r="Q219" s="7">
        <f>N219*10%</f>
        <v/>
      </c>
      <c r="R219" s="7">
        <f>N219*5%</f>
        <v/>
      </c>
      <c r="S219" s="7">
        <f>N219*2%</f>
        <v/>
      </c>
      <c r="T219" s="7">
        <f>AE219*0.5%</f>
        <v/>
      </c>
      <c r="U219" s="7">
        <f>N219*1%</f>
        <v/>
      </c>
      <c r="V219" s="49">
        <f>U219+S219+R219+Q219+P219+O219</f>
        <v/>
      </c>
      <c r="W219" s="32">
        <f>AE219*1%</f>
        <v/>
      </c>
      <c r="X219" s="32">
        <f>AE219*10%</f>
        <v/>
      </c>
      <c r="Y219" s="32">
        <f>AE219*1%</f>
        <v/>
      </c>
      <c r="Z219" s="32">
        <f>AE219*8%</f>
        <v/>
      </c>
      <c r="AA219" s="32">
        <f>W219+X219+Y219+Z219</f>
        <v/>
      </c>
      <c r="AB219" s="31">
        <f>AA219+V219+N219</f>
        <v/>
      </c>
      <c r="AC219" s="6">
        <f>AB219*20%</f>
        <v/>
      </c>
      <c r="AD219" s="32">
        <f>AB219+AC219</f>
        <v/>
      </c>
      <c r="AE219" s="32">
        <f>D219*2.1</f>
        <v/>
      </c>
      <c r="AF219" s="7">
        <f>AD219-AE219</f>
        <v/>
      </c>
      <c r="AG219" s="7">
        <f>AF219/AD219*100</f>
        <v/>
      </c>
      <c r="AH219" s="0" t="n">
        <v>24500</v>
      </c>
      <c r="AI219" s="33" t="n"/>
      <c r="AJ219" s="34">
        <f>AD219</f>
        <v/>
      </c>
      <c r="AK219" s="34">
        <f>AJ219-(AJ219*7%)</f>
        <v/>
      </c>
      <c r="AL219" s="35">
        <f>AJ219/94</f>
        <v/>
      </c>
      <c r="AM219" s="35">
        <f>AK219/94</f>
        <v/>
      </c>
      <c r="AN219" s="36">
        <f>AJ219/24</f>
        <v/>
      </c>
      <c r="AO219" s="36">
        <f>AK219/24</f>
        <v/>
      </c>
      <c r="AP219" s="37">
        <f>AJ219/125</f>
        <v/>
      </c>
      <c r="AQ219" s="37">
        <f>AK219/125</f>
        <v/>
      </c>
    </row>
    <row r="220" ht="15.75" customHeight="1" s="50">
      <c r="A220" s="32" t="n"/>
      <c r="B220" s="32" t="inlineStr">
        <is>
          <t>6 in / Chakras</t>
        </is>
      </c>
      <c r="C220" s="32" t="inlineStr">
        <is>
          <t>MI-SB-H-ET-C-6</t>
        </is>
      </c>
      <c r="D220" s="32" t="inlineStr">
        <is>
          <t>Parasonjeet</t>
        </is>
      </c>
      <c r="E220" s="32" t="n">
        <v>125</v>
      </c>
      <c r="F220" s="32" t="n">
        <v>65</v>
      </c>
      <c r="G220" s="32" t="n">
        <v>0</v>
      </c>
      <c r="H220" s="32" t="n">
        <v>10</v>
      </c>
      <c r="I220" s="41" t="n">
        <v>83061000</v>
      </c>
      <c r="J220" s="30" t="n">
        <v>0.05</v>
      </c>
      <c r="K220" s="32">
        <f>D220*J220</f>
        <v/>
      </c>
      <c r="M220" s="32">
        <f>D220*4%</f>
        <v/>
      </c>
      <c r="N220" s="49">
        <f>M220+L220+K220+H220+G220+F220+E220+D220</f>
        <v/>
      </c>
      <c r="O220" s="32">
        <f>D220*1%</f>
        <v/>
      </c>
      <c r="P220" s="7">
        <f>N220*8%</f>
        <v/>
      </c>
      <c r="Q220" s="7">
        <f>N220*10%</f>
        <v/>
      </c>
      <c r="R220" s="7">
        <f>N220*5%</f>
        <v/>
      </c>
      <c r="S220" s="7">
        <f>N220*2%</f>
        <v/>
      </c>
      <c r="T220" s="7">
        <f>AE220*0.5%</f>
        <v/>
      </c>
      <c r="U220" s="7">
        <f>N220*1%</f>
        <v/>
      </c>
      <c r="V220" s="49">
        <f>U220+S220+R220+Q220+P220+O220</f>
        <v/>
      </c>
      <c r="W220" s="32">
        <f>AE220*1%</f>
        <v/>
      </c>
      <c r="X220" s="32">
        <f>AE220*10%</f>
        <v/>
      </c>
      <c r="Y220" s="32">
        <f>AE220*1%</f>
        <v/>
      </c>
      <c r="Z220" s="32">
        <f>AE220*8%</f>
        <v/>
      </c>
      <c r="AA220" s="32">
        <f>W220+X220+Y220+Z220</f>
        <v/>
      </c>
      <c r="AB220" s="31">
        <f>AA220+V220+N220</f>
        <v/>
      </c>
      <c r="AC220" s="6">
        <f>AB220*20%</f>
        <v/>
      </c>
      <c r="AD220" s="32">
        <f>AB220+AC220</f>
        <v/>
      </c>
      <c r="AE220" s="32">
        <f>D220*2.1</f>
        <v/>
      </c>
      <c r="AF220" s="7">
        <f>AD220-AE220</f>
        <v/>
      </c>
      <c r="AG220" s="7">
        <f>AF220/AD220*100</f>
        <v/>
      </c>
      <c r="AH220" s="0" t="n">
        <v>10500</v>
      </c>
      <c r="AI220" s="33" t="n"/>
      <c r="AJ220" s="34">
        <f>AD220</f>
        <v/>
      </c>
      <c r="AK220" s="34">
        <f>AJ220-(AJ220*7%)</f>
        <v/>
      </c>
      <c r="AL220" s="35">
        <f>AJ220/94</f>
        <v/>
      </c>
      <c r="AM220" s="35">
        <f>AK220/94</f>
        <v/>
      </c>
      <c r="AN220" s="36">
        <f>AJ220/24</f>
        <v/>
      </c>
      <c r="AO220" s="36">
        <f>AK220/24</f>
        <v/>
      </c>
      <c r="AP220" s="37">
        <f>AJ220/125</f>
        <v/>
      </c>
      <c r="AQ220" s="37">
        <f>AK220/125</f>
        <v/>
      </c>
    </row>
    <row r="221" ht="15.75" customHeight="1" s="50">
      <c r="A221" s="32" t="n"/>
      <c r="B221" s="32" t="inlineStr">
        <is>
          <t>7 in / Chakras</t>
        </is>
      </c>
      <c r="C221" s="32" t="inlineStr">
        <is>
          <t>MI-SB-H-ET-C-7</t>
        </is>
      </c>
      <c r="D221" s="32" t="inlineStr">
        <is>
          <t>Parasonjeet</t>
        </is>
      </c>
      <c r="E221" s="32" t="n">
        <v>125</v>
      </c>
      <c r="F221" s="32" t="n">
        <v>65</v>
      </c>
      <c r="G221" s="32" t="n">
        <v>0</v>
      </c>
      <c r="H221" s="32" t="n">
        <v>10</v>
      </c>
      <c r="I221" s="41" t="n">
        <v>83061000</v>
      </c>
      <c r="J221" s="30" t="n">
        <v>0.05</v>
      </c>
      <c r="K221" s="32">
        <f>D221*J221</f>
        <v/>
      </c>
      <c r="M221" s="32">
        <f>D221*4%</f>
        <v/>
      </c>
      <c r="N221" s="49">
        <f>M221+L221+K221+H221+G221+F221+E221+D221</f>
        <v/>
      </c>
      <c r="O221" s="32">
        <f>D221*1%</f>
        <v/>
      </c>
      <c r="P221" s="7">
        <f>N221*8%</f>
        <v/>
      </c>
      <c r="Q221" s="7">
        <f>N221*10%</f>
        <v/>
      </c>
      <c r="R221" s="7">
        <f>N221*5%</f>
        <v/>
      </c>
      <c r="S221" s="7">
        <f>N221*2%</f>
        <v/>
      </c>
      <c r="T221" s="7">
        <f>AE221*0.5%</f>
        <v/>
      </c>
      <c r="U221" s="7">
        <f>N221*1%</f>
        <v/>
      </c>
      <c r="V221" s="49">
        <f>U221+S221+R221+Q221+P221+O221</f>
        <v/>
      </c>
      <c r="W221" s="32">
        <f>AE221*1%</f>
        <v/>
      </c>
      <c r="X221" s="32">
        <f>AE221*10%</f>
        <v/>
      </c>
      <c r="Y221" s="32">
        <f>AE221*1%</f>
        <v/>
      </c>
      <c r="Z221" s="32">
        <f>AE221*8%</f>
        <v/>
      </c>
      <c r="AA221" s="32">
        <f>W221+X221+Y221+Z221</f>
        <v/>
      </c>
      <c r="AB221" s="31">
        <f>AA221+V221+N221</f>
        <v/>
      </c>
      <c r="AC221" s="6">
        <f>AB221*20%</f>
        <v/>
      </c>
      <c r="AD221" s="32">
        <f>AB221+AC221</f>
        <v/>
      </c>
      <c r="AE221" s="32">
        <f>D221*2.1</f>
        <v/>
      </c>
      <c r="AF221" s="7">
        <f>AD221-AE221</f>
        <v/>
      </c>
      <c r="AG221" s="7">
        <f>AF221/AD221*100</f>
        <v/>
      </c>
      <c r="AH221" s="0" t="n">
        <v>12500</v>
      </c>
      <c r="AI221" s="33" t="n"/>
      <c r="AJ221" s="34">
        <f>AD221</f>
        <v/>
      </c>
      <c r="AK221" s="34">
        <f>AJ221-(AJ221*7%)</f>
        <v/>
      </c>
      <c r="AL221" s="35">
        <f>AJ221/94</f>
        <v/>
      </c>
      <c r="AM221" s="35">
        <f>AK221/94</f>
        <v/>
      </c>
      <c r="AN221" s="36">
        <f>AJ221/24</f>
        <v/>
      </c>
      <c r="AO221" s="36">
        <f>AK221/24</f>
        <v/>
      </c>
      <c r="AP221" s="37">
        <f>AJ221/125</f>
        <v/>
      </c>
      <c r="AQ221" s="37">
        <f>AK221/125</f>
        <v/>
      </c>
    </row>
    <row r="222" ht="15.75" customHeight="1" s="50">
      <c r="A222" s="32" t="n"/>
      <c r="B222" s="32" t="inlineStr">
        <is>
          <t>8 in / Chakras</t>
        </is>
      </c>
      <c r="C222" s="32" t="inlineStr">
        <is>
          <t>MI-SB-H-ET-C-8</t>
        </is>
      </c>
      <c r="D222" s="32" t="inlineStr">
        <is>
          <t>Parasonjeet</t>
        </is>
      </c>
      <c r="E222" s="32" t="n">
        <v>145</v>
      </c>
      <c r="F222" s="32" t="n">
        <v>80</v>
      </c>
      <c r="G222" s="32" t="n">
        <v>0</v>
      </c>
      <c r="H222" s="32" t="n">
        <v>10</v>
      </c>
      <c r="I222" s="41" t="n">
        <v>83061000</v>
      </c>
      <c r="J222" s="30" t="n">
        <v>0.05</v>
      </c>
      <c r="K222" s="32">
        <f>D222*J222</f>
        <v/>
      </c>
      <c r="M222" s="32">
        <f>D222*4%</f>
        <v/>
      </c>
      <c r="N222" s="49">
        <f>M222+L222+K222+H222+G222+F222+E222+D222</f>
        <v/>
      </c>
      <c r="O222" s="32">
        <f>D222*1%</f>
        <v/>
      </c>
      <c r="P222" s="7">
        <f>N222*8%</f>
        <v/>
      </c>
      <c r="Q222" s="7">
        <f>N222*10%</f>
        <v/>
      </c>
      <c r="R222" s="7">
        <f>N222*5%</f>
        <v/>
      </c>
      <c r="S222" s="7">
        <f>N222*2%</f>
        <v/>
      </c>
      <c r="T222" s="7">
        <f>AE222*0.5%</f>
        <v/>
      </c>
      <c r="U222" s="7">
        <f>N222*1%</f>
        <v/>
      </c>
      <c r="V222" s="49">
        <f>U222+S222+R222+Q222+P222+O222</f>
        <v/>
      </c>
      <c r="W222" s="32">
        <f>AE222*1%</f>
        <v/>
      </c>
      <c r="X222" s="32">
        <f>AE222*10%</f>
        <v/>
      </c>
      <c r="Y222" s="32">
        <f>AE222*1%</f>
        <v/>
      </c>
      <c r="Z222" s="32">
        <f>AE222*8%</f>
        <v/>
      </c>
      <c r="AA222" s="32">
        <f>W222+X222+Y222+Z222</f>
        <v/>
      </c>
      <c r="AB222" s="31">
        <f>AA222+V222+N222</f>
        <v/>
      </c>
      <c r="AC222" s="6">
        <f>AB222*20%</f>
        <v/>
      </c>
      <c r="AD222" s="32">
        <f>AB222+AC222</f>
        <v/>
      </c>
      <c r="AE222" s="32">
        <f>D222*2.1</f>
        <v/>
      </c>
      <c r="AF222" s="7">
        <f>AD222-AE222</f>
        <v/>
      </c>
      <c r="AG222" s="7">
        <f>AF222/AD222*100</f>
        <v/>
      </c>
      <c r="AH222" s="0" t="n">
        <v>14500</v>
      </c>
      <c r="AI222" s="33" t="n"/>
      <c r="AJ222" s="34">
        <f>AD222</f>
        <v/>
      </c>
      <c r="AK222" s="34">
        <f>AJ222-(AJ222*7%)</f>
        <v/>
      </c>
      <c r="AL222" s="35">
        <f>AJ222/94</f>
        <v/>
      </c>
      <c r="AM222" s="35">
        <f>AK222/94</f>
        <v/>
      </c>
      <c r="AN222" s="36">
        <f>AJ222/24</f>
        <v/>
      </c>
      <c r="AO222" s="36">
        <f>AK222/24</f>
        <v/>
      </c>
      <c r="AP222" s="37">
        <f>AJ222/125</f>
        <v/>
      </c>
      <c r="AQ222" s="37">
        <f>AK222/125</f>
        <v/>
      </c>
    </row>
    <row r="223" ht="15.75" customHeight="1" s="50">
      <c r="A223" s="32" t="n"/>
      <c r="B223" s="32" t="inlineStr">
        <is>
          <t>9 in / Chakras</t>
        </is>
      </c>
      <c r="C223" s="32" t="inlineStr">
        <is>
          <t>MI-SB-H-ET-C-9</t>
        </is>
      </c>
      <c r="D223" s="32" t="inlineStr">
        <is>
          <t>Parasonjeet</t>
        </is>
      </c>
      <c r="E223" s="32" t="n">
        <v>145</v>
      </c>
      <c r="F223" s="32" t="n">
        <v>80</v>
      </c>
      <c r="G223" s="32" t="n">
        <v>0</v>
      </c>
      <c r="H223" s="32" t="n">
        <v>10</v>
      </c>
      <c r="I223" s="41" t="n">
        <v>83061000</v>
      </c>
      <c r="J223" s="30" t="n">
        <v>0.05</v>
      </c>
      <c r="K223" s="32">
        <f>D223*J223</f>
        <v/>
      </c>
      <c r="M223" s="32">
        <f>D223*4%</f>
        <v/>
      </c>
      <c r="N223" s="49">
        <f>M223+L223+K223+H223+G223+F223+E223+D223</f>
        <v/>
      </c>
      <c r="O223" s="32">
        <f>D223*1%</f>
        <v/>
      </c>
      <c r="P223" s="7">
        <f>N223*8%</f>
        <v/>
      </c>
      <c r="Q223" s="7">
        <f>N223*10%</f>
        <v/>
      </c>
      <c r="R223" s="7">
        <f>N223*5%</f>
        <v/>
      </c>
      <c r="S223" s="7">
        <f>N223*2%</f>
        <v/>
      </c>
      <c r="T223" s="7">
        <f>AE223*0.5%</f>
        <v/>
      </c>
      <c r="U223" s="7">
        <f>N223*1%</f>
        <v/>
      </c>
      <c r="V223" s="49">
        <f>U223+S223+R223+Q223+P223+O223</f>
        <v/>
      </c>
      <c r="W223" s="32">
        <f>AE223*1%</f>
        <v/>
      </c>
      <c r="X223" s="32">
        <f>AE223*10%</f>
        <v/>
      </c>
      <c r="Y223" s="32">
        <f>AE223*1%</f>
        <v/>
      </c>
      <c r="Z223" s="32">
        <f>AE223*8%</f>
        <v/>
      </c>
      <c r="AA223" s="32">
        <f>W223+X223+Y223+Z223</f>
        <v/>
      </c>
      <c r="AB223" s="31">
        <f>AA223+V223+N223</f>
        <v/>
      </c>
      <c r="AC223" s="6">
        <f>AB223*20%</f>
        <v/>
      </c>
      <c r="AD223" s="32">
        <f>AB223+AC223</f>
        <v/>
      </c>
      <c r="AE223" s="32">
        <f>D223*2.1</f>
        <v/>
      </c>
      <c r="AF223" s="7">
        <f>AD223-AE223</f>
        <v/>
      </c>
      <c r="AG223" s="7">
        <f>AF223/AD223*100</f>
        <v/>
      </c>
      <c r="AH223" s="0" t="n">
        <v>16500</v>
      </c>
      <c r="AI223" s="33" t="n"/>
      <c r="AJ223" s="34">
        <f>AD223</f>
        <v/>
      </c>
      <c r="AK223" s="34">
        <f>AJ223-(AJ223*7%)</f>
        <v/>
      </c>
      <c r="AL223" s="35">
        <f>AJ223/94</f>
        <v/>
      </c>
      <c r="AM223" s="35">
        <f>AK223/94</f>
        <v/>
      </c>
      <c r="AN223" s="36">
        <f>AJ223/24</f>
        <v/>
      </c>
      <c r="AO223" s="36">
        <f>AK223/24</f>
        <v/>
      </c>
      <c r="AP223" s="37">
        <f>AJ223/125</f>
        <v/>
      </c>
      <c r="AQ223" s="37">
        <f>AK223/125</f>
        <v/>
      </c>
    </row>
    <row r="224" ht="15.75" customHeight="1" s="50">
      <c r="A224" s="32" t="n"/>
      <c r="B224" s="32" t="inlineStr">
        <is>
          <t>Dorje / 10 in</t>
        </is>
      </c>
      <c r="C224" s="32" t="inlineStr">
        <is>
          <t>MI-SB-H-ET-DJ-10</t>
        </is>
      </c>
      <c r="D224" s="32" t="inlineStr">
        <is>
          <t>Parasonjeet</t>
        </is>
      </c>
      <c r="E224" s="32" t="n">
        <v>145</v>
      </c>
      <c r="F224" s="32" t="n">
        <v>80</v>
      </c>
      <c r="G224" s="32" t="n">
        <v>0</v>
      </c>
      <c r="H224" s="32" t="n">
        <v>10</v>
      </c>
      <c r="I224" s="41" t="n">
        <v>83061000</v>
      </c>
      <c r="J224" s="30" t="n">
        <v>0.05</v>
      </c>
      <c r="K224" s="32">
        <f>D224*J224</f>
        <v/>
      </c>
      <c r="M224" s="32">
        <f>D224*4%</f>
        <v/>
      </c>
      <c r="N224" s="49">
        <f>M224+L224+K224+H224+G224+F224+E224+D224</f>
        <v/>
      </c>
      <c r="O224" s="32">
        <f>D224*1%</f>
        <v/>
      </c>
      <c r="P224" s="7">
        <f>N224*8%</f>
        <v/>
      </c>
      <c r="Q224" s="7">
        <f>N224*10%</f>
        <v/>
      </c>
      <c r="R224" s="7">
        <f>N224*5%</f>
        <v/>
      </c>
      <c r="S224" s="7">
        <f>N224*2%</f>
        <v/>
      </c>
      <c r="T224" s="7">
        <f>AE224*0.5%</f>
        <v/>
      </c>
      <c r="U224" s="7">
        <f>N224*1%</f>
        <v/>
      </c>
      <c r="V224" s="49">
        <f>U224+S224+R224+Q224+P224+O224</f>
        <v/>
      </c>
      <c r="W224" s="32">
        <f>AE224*1%</f>
        <v/>
      </c>
      <c r="X224" s="32">
        <f>AE224*10%</f>
        <v/>
      </c>
      <c r="Y224" s="32">
        <f>AE224*1%</f>
        <v/>
      </c>
      <c r="Z224" s="32">
        <f>AE224*8%</f>
        <v/>
      </c>
      <c r="AA224" s="32">
        <f>W224+X224+Y224+Z224</f>
        <v/>
      </c>
      <c r="AB224" s="31">
        <f>AA224+V224+N224</f>
        <v/>
      </c>
      <c r="AC224" s="6">
        <f>AB224*20%</f>
        <v/>
      </c>
      <c r="AD224" s="32">
        <f>AB224+AC224</f>
        <v/>
      </c>
      <c r="AE224" s="32">
        <f>D224*2.1</f>
        <v/>
      </c>
      <c r="AF224" s="7">
        <f>AD224-AE224</f>
        <v/>
      </c>
      <c r="AG224" s="7">
        <f>AF224/AD224*100</f>
        <v/>
      </c>
      <c r="AH224" s="0" t="n">
        <v>16500</v>
      </c>
      <c r="AI224" s="33" t="n"/>
      <c r="AJ224" s="34">
        <f>AD224</f>
        <v/>
      </c>
      <c r="AK224" s="34">
        <f>AJ224-(AJ224*7%)</f>
        <v/>
      </c>
      <c r="AL224" s="35">
        <f>AJ224/94</f>
        <v/>
      </c>
      <c r="AM224" s="35">
        <f>AK224/94</f>
        <v/>
      </c>
      <c r="AN224" s="36">
        <f>AJ224/24</f>
        <v/>
      </c>
      <c r="AO224" s="36">
        <f>AK224/24</f>
        <v/>
      </c>
      <c r="AP224" s="37">
        <f>AJ224/125</f>
        <v/>
      </c>
      <c r="AQ224" s="37">
        <f>AK224/125</f>
        <v/>
      </c>
    </row>
    <row r="225" ht="15.75" customHeight="1" s="50">
      <c r="A225" s="32" t="n"/>
      <c r="B225" s="32" t="inlineStr">
        <is>
          <t>Dorje / 11 in</t>
        </is>
      </c>
      <c r="C225" s="32" t="inlineStr">
        <is>
          <t>MI-SB-H-ET-DJ-11</t>
        </is>
      </c>
      <c r="D225" s="32" t="inlineStr">
        <is>
          <t>Parasonjeet</t>
        </is>
      </c>
      <c r="E225" s="32" t="n">
        <v>145</v>
      </c>
      <c r="F225" s="32" t="n">
        <v>80</v>
      </c>
      <c r="G225" s="32" t="n">
        <v>0</v>
      </c>
      <c r="H225" s="32" t="n">
        <v>10</v>
      </c>
      <c r="I225" s="41" t="n">
        <v>83061000</v>
      </c>
      <c r="J225" s="30" t="n">
        <v>0.05</v>
      </c>
      <c r="K225" s="32">
        <f>D225*J225</f>
        <v/>
      </c>
      <c r="M225" s="32">
        <f>D225*4%</f>
        <v/>
      </c>
      <c r="N225" s="49">
        <f>M225+L225+K225+H225+G225+F225+E225+D225</f>
        <v/>
      </c>
      <c r="O225" s="32">
        <f>D225*1%</f>
        <v/>
      </c>
      <c r="P225" s="7">
        <f>N225*8%</f>
        <v/>
      </c>
      <c r="Q225" s="7">
        <f>N225*10%</f>
        <v/>
      </c>
      <c r="R225" s="7">
        <f>N225*5%</f>
        <v/>
      </c>
      <c r="S225" s="7">
        <f>N225*2%</f>
        <v/>
      </c>
      <c r="T225" s="7">
        <f>AE225*0.5%</f>
        <v/>
      </c>
      <c r="U225" s="7">
        <f>N225*1%</f>
        <v/>
      </c>
      <c r="V225" s="49">
        <f>U225+S225+R225+Q225+P225+O225</f>
        <v/>
      </c>
      <c r="W225" s="32">
        <f>AE225*1%</f>
        <v/>
      </c>
      <c r="X225" s="32">
        <f>AE225*10%</f>
        <v/>
      </c>
      <c r="Y225" s="32">
        <f>AE225*1%</f>
        <v/>
      </c>
      <c r="Z225" s="32">
        <f>AE225*8%</f>
        <v/>
      </c>
      <c r="AA225" s="32">
        <f>W225+X225+Y225+Z225</f>
        <v/>
      </c>
      <c r="AB225" s="31">
        <f>AA225+V225+N225</f>
        <v/>
      </c>
      <c r="AC225" s="6">
        <f>AB225*20%</f>
        <v/>
      </c>
      <c r="AD225" s="32">
        <f>AB225+AC225</f>
        <v/>
      </c>
      <c r="AE225" s="32">
        <f>D225*2.1</f>
        <v/>
      </c>
      <c r="AF225" s="7">
        <f>AD225-AE225</f>
        <v/>
      </c>
      <c r="AG225" s="7">
        <f>AF225/AD225*100</f>
        <v/>
      </c>
      <c r="AH225" s="0" t="n">
        <v>19500</v>
      </c>
      <c r="AI225" s="33" t="n"/>
      <c r="AJ225" s="34">
        <f>AD225</f>
        <v/>
      </c>
      <c r="AK225" s="34">
        <f>AJ225-(AJ225*7%)</f>
        <v/>
      </c>
      <c r="AL225" s="35">
        <f>AJ225/94</f>
        <v/>
      </c>
      <c r="AM225" s="35">
        <f>AK225/94</f>
        <v/>
      </c>
      <c r="AN225" s="36">
        <f>AJ225/24</f>
        <v/>
      </c>
      <c r="AO225" s="36">
        <f>AK225/24</f>
        <v/>
      </c>
      <c r="AP225" s="37">
        <f>AJ225/125</f>
        <v/>
      </c>
      <c r="AQ225" s="37">
        <f>AK225/125</f>
        <v/>
      </c>
    </row>
    <row r="226" ht="15.75" customHeight="1" s="50">
      <c r="A226" s="32" t="n"/>
      <c r="B226" s="32" t="inlineStr">
        <is>
          <t>Dorje / 12 in</t>
        </is>
      </c>
      <c r="C226" s="32" t="inlineStr">
        <is>
          <t>MI-SB-H-ET-DJ-12</t>
        </is>
      </c>
      <c r="D226" s="32" t="inlineStr">
        <is>
          <t>Parasonjeet</t>
        </is>
      </c>
      <c r="E226" s="32" t="n">
        <v>145</v>
      </c>
      <c r="F226" s="32" t="n">
        <v>90</v>
      </c>
      <c r="G226" s="32" t="n">
        <v>0</v>
      </c>
      <c r="H226" s="32" t="n">
        <v>10</v>
      </c>
      <c r="I226" s="41" t="n">
        <v>83061000</v>
      </c>
      <c r="J226" s="30" t="n">
        <v>0.05</v>
      </c>
      <c r="K226" s="32">
        <f>D226*J226</f>
        <v/>
      </c>
      <c r="M226" s="32">
        <f>D226*4%</f>
        <v/>
      </c>
      <c r="N226" s="49">
        <f>M226+L226+K226+H226+G226+F226+E226+D226</f>
        <v/>
      </c>
      <c r="O226" s="32">
        <f>D226*1%</f>
        <v/>
      </c>
      <c r="P226" s="7">
        <f>N226*8%</f>
        <v/>
      </c>
      <c r="Q226" s="7">
        <f>N226*10%</f>
        <v/>
      </c>
      <c r="R226" s="7">
        <f>N226*5%</f>
        <v/>
      </c>
      <c r="S226" s="7">
        <f>N226*2%</f>
        <v/>
      </c>
      <c r="T226" s="7">
        <f>AE226*0.5%</f>
        <v/>
      </c>
      <c r="U226" s="7">
        <f>N226*1%</f>
        <v/>
      </c>
      <c r="V226" s="49">
        <f>U226+S226+R226+Q226+P226+O226</f>
        <v/>
      </c>
      <c r="W226" s="32">
        <f>AE226*1%</f>
        <v/>
      </c>
      <c r="X226" s="32">
        <f>AE226*10%</f>
        <v/>
      </c>
      <c r="Y226" s="32">
        <f>AE226*1%</f>
        <v/>
      </c>
      <c r="Z226" s="32">
        <f>AE226*8%</f>
        <v/>
      </c>
      <c r="AA226" s="32">
        <f>W226+X226+Y226+Z226</f>
        <v/>
      </c>
      <c r="AB226" s="31">
        <f>AA226+V226+N226</f>
        <v/>
      </c>
      <c r="AC226" s="6">
        <f>AB226*20%</f>
        <v/>
      </c>
      <c r="AD226" s="32">
        <f>AB226+AC226</f>
        <v/>
      </c>
      <c r="AE226" s="32">
        <f>D226*2.1</f>
        <v/>
      </c>
      <c r="AF226" s="7">
        <f>AD226-AE226</f>
        <v/>
      </c>
      <c r="AG226" s="7">
        <f>AF226/AD226*100</f>
        <v/>
      </c>
      <c r="AH226" s="0" t="n">
        <v>22500</v>
      </c>
      <c r="AI226" s="33" t="n"/>
      <c r="AJ226" s="34">
        <f>AD226</f>
        <v/>
      </c>
      <c r="AK226" s="34">
        <f>AJ226-(AJ226*7%)</f>
        <v/>
      </c>
      <c r="AL226" s="35">
        <f>AJ226/94</f>
        <v/>
      </c>
      <c r="AM226" s="35">
        <f>AK226/94</f>
        <v/>
      </c>
      <c r="AN226" s="36">
        <f>AJ226/24</f>
        <v/>
      </c>
      <c r="AO226" s="36">
        <f>AK226/24</f>
        <v/>
      </c>
      <c r="AP226" s="37">
        <f>AJ226/125</f>
        <v/>
      </c>
      <c r="AQ226" s="37">
        <f>AK226/125</f>
        <v/>
      </c>
    </row>
    <row r="227" ht="15.75" customHeight="1" s="50">
      <c r="A227" s="32" t="n"/>
      <c r="B227" s="32" t="inlineStr">
        <is>
          <t>Dorje / 6 in</t>
        </is>
      </c>
      <c r="C227" s="32" t="inlineStr">
        <is>
          <t>MI-SB-H-ET-DJ-6</t>
        </is>
      </c>
      <c r="D227" s="32" t="inlineStr">
        <is>
          <t>Parasonjeet</t>
        </is>
      </c>
      <c r="E227" s="32" t="n">
        <v>125</v>
      </c>
      <c r="F227" s="32" t="n">
        <v>65</v>
      </c>
      <c r="G227" s="32" t="n">
        <v>0</v>
      </c>
      <c r="H227" s="32" t="n">
        <v>10</v>
      </c>
      <c r="I227" s="41" t="n">
        <v>83061000</v>
      </c>
      <c r="J227" s="30" t="n">
        <v>0.05</v>
      </c>
      <c r="K227" s="32">
        <f>D227*J227</f>
        <v/>
      </c>
      <c r="M227" s="32">
        <f>D227*4%</f>
        <v/>
      </c>
      <c r="N227" s="49">
        <f>M227+L227+K227+H227+G227+F227+E227+D227</f>
        <v/>
      </c>
      <c r="O227" s="32">
        <f>D227*1%</f>
        <v/>
      </c>
      <c r="P227" s="7">
        <f>N227*8%</f>
        <v/>
      </c>
      <c r="Q227" s="7">
        <f>N227*10%</f>
        <v/>
      </c>
      <c r="R227" s="7">
        <f>N227*5%</f>
        <v/>
      </c>
      <c r="S227" s="7">
        <f>N227*2%</f>
        <v/>
      </c>
      <c r="T227" s="7">
        <f>AE227*0.5%</f>
        <v/>
      </c>
      <c r="U227" s="7">
        <f>N227*1%</f>
        <v/>
      </c>
      <c r="V227" s="49">
        <f>U227+S227+R227+Q227+P227+O227</f>
        <v/>
      </c>
      <c r="W227" s="32">
        <f>AE227*1%</f>
        <v/>
      </c>
      <c r="X227" s="32">
        <f>AE227*10%</f>
        <v/>
      </c>
      <c r="Y227" s="32">
        <f>AE227*1%</f>
        <v/>
      </c>
      <c r="Z227" s="32">
        <f>AE227*8%</f>
        <v/>
      </c>
      <c r="AA227" s="32">
        <f>W227+X227+Y227+Z227</f>
        <v/>
      </c>
      <c r="AB227" s="31">
        <f>AA227+V227+N227</f>
        <v/>
      </c>
      <c r="AC227" s="6">
        <f>AB227*20%</f>
        <v/>
      </c>
      <c r="AD227" s="32">
        <f>AB227+AC227</f>
        <v/>
      </c>
      <c r="AE227" s="32">
        <f>D227*2.1</f>
        <v/>
      </c>
      <c r="AF227" s="7">
        <f>AD227-AE227</f>
        <v/>
      </c>
      <c r="AG227" s="7">
        <f>AF227/AD227*100</f>
        <v/>
      </c>
      <c r="AI227" s="33" t="n"/>
      <c r="AJ227" s="34">
        <f>AD227</f>
        <v/>
      </c>
      <c r="AK227" s="34">
        <f>AJ227-(AJ227*7%)</f>
        <v/>
      </c>
      <c r="AL227" s="35">
        <f>AJ227/94</f>
        <v/>
      </c>
      <c r="AM227" s="35">
        <f>AK227/94</f>
        <v/>
      </c>
      <c r="AN227" s="36">
        <f>AJ227/24</f>
        <v/>
      </c>
      <c r="AO227" s="36">
        <f>AK227/24</f>
        <v/>
      </c>
      <c r="AP227" s="37">
        <f>AJ227/125</f>
        <v/>
      </c>
      <c r="AQ227" s="37">
        <f>AK227/125</f>
        <v/>
      </c>
    </row>
    <row r="228" ht="15.75" customHeight="1" s="50">
      <c r="A228" s="32" t="n"/>
      <c r="B228" s="32" t="inlineStr">
        <is>
          <t>Dorje / 7 in</t>
        </is>
      </c>
      <c r="C228" s="32" t="inlineStr">
        <is>
          <t>MI-SB-H-ET-DJ-7</t>
        </is>
      </c>
      <c r="D228" s="32" t="inlineStr">
        <is>
          <t>Parasonjeet</t>
        </is>
      </c>
      <c r="E228" s="32" t="n">
        <v>125</v>
      </c>
      <c r="F228" s="32" t="n">
        <v>65</v>
      </c>
      <c r="G228" s="32" t="n">
        <v>0</v>
      </c>
      <c r="H228" s="32" t="n">
        <v>10</v>
      </c>
      <c r="I228" s="41" t="n">
        <v>83061000</v>
      </c>
      <c r="J228" s="30" t="n">
        <v>0.05</v>
      </c>
      <c r="K228" s="32">
        <f>D228*J228</f>
        <v/>
      </c>
      <c r="M228" s="32">
        <f>D228*4%</f>
        <v/>
      </c>
      <c r="N228" s="49">
        <f>M228+L228+K228+H228+G228+F228+E228+D228</f>
        <v/>
      </c>
      <c r="O228" s="32">
        <f>D228*1%</f>
        <v/>
      </c>
      <c r="P228" s="7">
        <f>N228*8%</f>
        <v/>
      </c>
      <c r="Q228" s="7">
        <f>N228*10%</f>
        <v/>
      </c>
      <c r="R228" s="7">
        <f>N228*5%</f>
        <v/>
      </c>
      <c r="S228" s="7">
        <f>N228*2%</f>
        <v/>
      </c>
      <c r="T228" s="7">
        <f>AE228*0.5%</f>
        <v/>
      </c>
      <c r="U228" s="7">
        <f>N228*1%</f>
        <v/>
      </c>
      <c r="V228" s="49">
        <f>U228+S228+R228+Q228+P228+O228</f>
        <v/>
      </c>
      <c r="W228" s="32">
        <f>AE228*1%</f>
        <v/>
      </c>
      <c r="X228" s="32">
        <f>AE228*10%</f>
        <v/>
      </c>
      <c r="Y228" s="32">
        <f>AE228*1%</f>
        <v/>
      </c>
      <c r="Z228" s="32">
        <f>AE228*8%</f>
        <v/>
      </c>
      <c r="AA228" s="32">
        <f>W228+X228+Y228+Z228</f>
        <v/>
      </c>
      <c r="AB228" s="31">
        <f>AA228+V228+N228</f>
        <v/>
      </c>
      <c r="AC228" s="6">
        <f>AB228*20%</f>
        <v/>
      </c>
      <c r="AD228" s="32">
        <f>AB228+AC228</f>
        <v/>
      </c>
      <c r="AE228" s="32">
        <f>D228*2.1</f>
        <v/>
      </c>
      <c r="AF228" s="7">
        <f>AD228-AE228</f>
        <v/>
      </c>
      <c r="AG228" s="7">
        <f>AF228/AD228*100</f>
        <v/>
      </c>
      <c r="AH228" s="0" t="n">
        <v>10500</v>
      </c>
      <c r="AI228" s="33" t="n"/>
      <c r="AJ228" s="34">
        <f>AD228</f>
        <v/>
      </c>
      <c r="AK228" s="34">
        <f>AJ228-(AJ228*7%)</f>
        <v/>
      </c>
      <c r="AL228" s="35">
        <f>AJ228/94</f>
        <v/>
      </c>
      <c r="AM228" s="35">
        <f>AK228/94</f>
        <v/>
      </c>
      <c r="AN228" s="36">
        <f>AJ228/24</f>
        <v/>
      </c>
      <c r="AO228" s="36">
        <f>AK228/24</f>
        <v/>
      </c>
      <c r="AP228" s="37">
        <f>AJ228/125</f>
        <v/>
      </c>
      <c r="AQ228" s="37">
        <f>AK228/125</f>
        <v/>
      </c>
    </row>
    <row r="229" ht="15.75" customHeight="1" s="50">
      <c r="A229" s="32" t="n"/>
      <c r="B229" s="32" t="inlineStr">
        <is>
          <t>8 in / Dorje</t>
        </is>
      </c>
      <c r="C229" s="32" t="inlineStr">
        <is>
          <t>MI-SB-H-ET-DJ-8</t>
        </is>
      </c>
      <c r="D229" s="32" t="inlineStr">
        <is>
          <t>Parasonjeet</t>
        </is>
      </c>
      <c r="E229" s="32" t="n">
        <v>145</v>
      </c>
      <c r="F229" s="32" t="n">
        <v>80</v>
      </c>
      <c r="G229" s="32" t="n">
        <v>0</v>
      </c>
      <c r="H229" s="32" t="n">
        <v>10</v>
      </c>
      <c r="I229" s="41" t="n">
        <v>83061000</v>
      </c>
      <c r="J229" s="30" t="n">
        <v>0.05</v>
      </c>
      <c r="K229" s="32">
        <f>D229*J229</f>
        <v/>
      </c>
      <c r="M229" s="32">
        <f>D229*4%</f>
        <v/>
      </c>
      <c r="N229" s="49">
        <f>M229+L229+K229+H229+G229+F229+E229+D229</f>
        <v/>
      </c>
      <c r="O229" s="32">
        <f>D229*1%</f>
        <v/>
      </c>
      <c r="P229" s="7">
        <f>N229*8%</f>
        <v/>
      </c>
      <c r="Q229" s="7">
        <f>N229*10%</f>
        <v/>
      </c>
      <c r="R229" s="7">
        <f>N229*5%</f>
        <v/>
      </c>
      <c r="S229" s="7">
        <f>N229*2%</f>
        <v/>
      </c>
      <c r="T229" s="7">
        <f>AE229*0.5%</f>
        <v/>
      </c>
      <c r="U229" s="7">
        <f>N229*1%</f>
        <v/>
      </c>
      <c r="V229" s="49">
        <f>U229+S229+R229+Q229+P229+O229</f>
        <v/>
      </c>
      <c r="W229" s="32">
        <f>AE229*1%</f>
        <v/>
      </c>
      <c r="X229" s="32">
        <f>AE229*10%</f>
        <v/>
      </c>
      <c r="Y229" s="32">
        <f>AE229*1%</f>
        <v/>
      </c>
      <c r="Z229" s="32">
        <f>AE229*8%</f>
        <v/>
      </c>
      <c r="AA229" s="32">
        <f>W229+X229+Y229+Z229</f>
        <v/>
      </c>
      <c r="AB229" s="31">
        <f>AA229+V229+N229</f>
        <v/>
      </c>
      <c r="AC229" s="6">
        <f>AB229*20%</f>
        <v/>
      </c>
      <c r="AD229" s="32">
        <f>AB229+AC229</f>
        <v/>
      </c>
      <c r="AE229" s="32">
        <f>D229*2.1</f>
        <v/>
      </c>
      <c r="AF229" s="7">
        <f>AD229-AE229</f>
        <v/>
      </c>
      <c r="AG229" s="7">
        <f>AF229/AD229*100</f>
        <v/>
      </c>
      <c r="AH229" s="0" t="n">
        <v>12500</v>
      </c>
      <c r="AI229" s="33" t="n"/>
      <c r="AJ229" s="34">
        <f>AD229</f>
        <v/>
      </c>
      <c r="AK229" s="34">
        <f>AJ229-(AJ229*7%)</f>
        <v/>
      </c>
      <c r="AL229" s="35">
        <f>AJ229/94</f>
        <v/>
      </c>
      <c r="AM229" s="35">
        <f>AK229/94</f>
        <v/>
      </c>
      <c r="AN229" s="36">
        <f>AJ229/24</f>
        <v/>
      </c>
      <c r="AO229" s="36">
        <f>AK229/24</f>
        <v/>
      </c>
      <c r="AP229" s="37">
        <f>AJ229/125</f>
        <v/>
      </c>
      <c r="AQ229" s="37">
        <f>AK229/125</f>
        <v/>
      </c>
    </row>
    <row r="230" ht="15.75" customHeight="1" s="50">
      <c r="A230" s="32" t="n"/>
      <c r="B230" s="32" t="inlineStr">
        <is>
          <t>Dorje / 9 in</t>
        </is>
      </c>
      <c r="C230" s="32" t="inlineStr">
        <is>
          <t>MI-SB-H-ET-DJ-9</t>
        </is>
      </c>
      <c r="D230" s="32" t="inlineStr">
        <is>
          <t>Parasonjeet</t>
        </is>
      </c>
      <c r="E230" s="32" t="n">
        <v>145</v>
      </c>
      <c r="F230" s="32" t="n">
        <v>80</v>
      </c>
      <c r="G230" s="32" t="n">
        <v>0</v>
      </c>
      <c r="H230" s="32" t="n">
        <v>10</v>
      </c>
      <c r="I230" s="41" t="n">
        <v>83061000</v>
      </c>
      <c r="J230" s="30" t="n">
        <v>0.05</v>
      </c>
      <c r="K230" s="32">
        <f>D230*J230</f>
        <v/>
      </c>
      <c r="M230" s="32">
        <f>D230*4%</f>
        <v/>
      </c>
      <c r="N230" s="49">
        <f>M230+L230+K230+H230+G230+F230+E230+D230</f>
        <v/>
      </c>
      <c r="O230" s="32">
        <f>D230*1%</f>
        <v/>
      </c>
      <c r="P230" s="7">
        <f>N230*8%</f>
        <v/>
      </c>
      <c r="Q230" s="7">
        <f>N230*10%</f>
        <v/>
      </c>
      <c r="R230" s="7">
        <f>N230*5%</f>
        <v/>
      </c>
      <c r="S230" s="7">
        <f>N230*2%</f>
        <v/>
      </c>
      <c r="T230" s="7">
        <f>AE230*0.5%</f>
        <v/>
      </c>
      <c r="U230" s="7">
        <f>N230*1%</f>
        <v/>
      </c>
      <c r="V230" s="49">
        <f>U230+S230+R230+Q230+P230+O230</f>
        <v/>
      </c>
      <c r="W230" s="32">
        <f>AE230*1%</f>
        <v/>
      </c>
      <c r="X230" s="32">
        <f>AE230*10%</f>
        <v/>
      </c>
      <c r="Y230" s="32">
        <f>AE230*1%</f>
        <v/>
      </c>
      <c r="Z230" s="32">
        <f>AE230*8%</f>
        <v/>
      </c>
      <c r="AA230" s="32">
        <f>W230+X230+Y230+Z230</f>
        <v/>
      </c>
      <c r="AB230" s="31">
        <f>AA230+V230+N230</f>
        <v/>
      </c>
      <c r="AC230" s="6">
        <f>AB230*20%</f>
        <v/>
      </c>
      <c r="AD230" s="32">
        <f>AB230+AC230</f>
        <v/>
      </c>
      <c r="AE230" s="32">
        <f>D230*2.1</f>
        <v/>
      </c>
      <c r="AF230" s="7">
        <f>AD230-AE230</f>
        <v/>
      </c>
      <c r="AG230" s="7">
        <f>AF230/AD230*100</f>
        <v/>
      </c>
      <c r="AH230" s="0" t="n">
        <v>14500</v>
      </c>
      <c r="AI230" s="33" t="n"/>
      <c r="AJ230" s="34">
        <f>AD230</f>
        <v/>
      </c>
      <c r="AK230" s="34">
        <f>AJ230-(AJ230*7%)</f>
        <v/>
      </c>
      <c r="AL230" s="35">
        <f>AJ230/94</f>
        <v/>
      </c>
      <c r="AM230" s="35">
        <f>AK230/94</f>
        <v/>
      </c>
      <c r="AN230" s="36">
        <f>AJ230/24</f>
        <v/>
      </c>
      <c r="AO230" s="36">
        <f>AK230/24</f>
        <v/>
      </c>
      <c r="AP230" s="37">
        <f>AJ230/125</f>
        <v/>
      </c>
      <c r="AQ230" s="37">
        <f>AK230/125</f>
        <v/>
      </c>
    </row>
    <row r="231" ht="15.75" customHeight="1" s="50">
      <c r="A231" s="32" t="n"/>
      <c r="B231" s="32" t="inlineStr">
        <is>
          <t>Flower of Life / 10 in</t>
        </is>
      </c>
      <c r="C231" s="32" t="inlineStr">
        <is>
          <t>MI-SB-H-ET-FL-10</t>
        </is>
      </c>
      <c r="D231" s="32" t="inlineStr">
        <is>
          <t>Parasonjeet</t>
        </is>
      </c>
      <c r="E231" s="32" t="n">
        <v>145</v>
      </c>
      <c r="F231" s="32" t="n">
        <v>80</v>
      </c>
      <c r="G231" s="32" t="n">
        <v>0</v>
      </c>
      <c r="H231" s="32" t="n">
        <v>10</v>
      </c>
      <c r="I231" s="41" t="n">
        <v>83061000</v>
      </c>
      <c r="J231" s="30" t="n">
        <v>0.05</v>
      </c>
      <c r="K231" s="32">
        <f>D231*J231</f>
        <v/>
      </c>
      <c r="M231" s="32">
        <f>D231*4%</f>
        <v/>
      </c>
      <c r="N231" s="49">
        <f>M231+L231+K231+H231+G231+F231+E231+D231</f>
        <v/>
      </c>
      <c r="O231" s="32">
        <f>D231*1%</f>
        <v/>
      </c>
      <c r="P231" s="7">
        <f>N231*8%</f>
        <v/>
      </c>
      <c r="Q231" s="7">
        <f>N231*10%</f>
        <v/>
      </c>
      <c r="R231" s="7">
        <f>N231*5%</f>
        <v/>
      </c>
      <c r="S231" s="7">
        <f>N231*2%</f>
        <v/>
      </c>
      <c r="T231" s="7">
        <f>AE231*0.5%</f>
        <v/>
      </c>
      <c r="U231" s="7">
        <f>N231*1%</f>
        <v/>
      </c>
      <c r="V231" s="49">
        <f>U231+S231+R231+Q231+P231+O231</f>
        <v/>
      </c>
      <c r="W231" s="32">
        <f>AE231*1%</f>
        <v/>
      </c>
      <c r="X231" s="32">
        <f>AE231*10%</f>
        <v/>
      </c>
      <c r="Y231" s="32">
        <f>AE231*1%</f>
        <v/>
      </c>
      <c r="Z231" s="32">
        <f>AE231*8%</f>
        <v/>
      </c>
      <c r="AA231" s="32">
        <f>W231+X231+Y231+Z231</f>
        <v/>
      </c>
      <c r="AB231" s="31">
        <f>AA231+V231+N231</f>
        <v/>
      </c>
      <c r="AC231" s="6">
        <f>AB231*20%</f>
        <v/>
      </c>
      <c r="AD231" s="32">
        <f>AB231+AC231</f>
        <v/>
      </c>
      <c r="AE231" s="32">
        <f>D231*2.1</f>
        <v/>
      </c>
      <c r="AF231" s="7">
        <f>AD231-AE231</f>
        <v/>
      </c>
      <c r="AG231" s="7">
        <f>AF231/AD231*100</f>
        <v/>
      </c>
      <c r="AH231" s="0" t="n">
        <v>16500</v>
      </c>
      <c r="AI231" s="33" t="n"/>
      <c r="AJ231" s="34">
        <f>AD231</f>
        <v/>
      </c>
      <c r="AK231" s="34">
        <f>AJ231-(AJ231*7%)</f>
        <v/>
      </c>
      <c r="AL231" s="35">
        <f>AJ231/94</f>
        <v/>
      </c>
      <c r="AM231" s="35">
        <f>AK231/94</f>
        <v/>
      </c>
      <c r="AN231" s="36">
        <f>AJ231/24</f>
        <v/>
      </c>
      <c r="AO231" s="36">
        <f>AK231/24</f>
        <v/>
      </c>
      <c r="AP231" s="37">
        <f>AJ231/125</f>
        <v/>
      </c>
      <c r="AQ231" s="37">
        <f>AK231/125</f>
        <v/>
      </c>
    </row>
    <row r="232" ht="15.75" customHeight="1" s="50">
      <c r="A232" s="32" t="n"/>
      <c r="B232" s="32" t="inlineStr">
        <is>
          <t>Flower of Life / 11 in</t>
        </is>
      </c>
      <c r="C232" s="32" t="inlineStr">
        <is>
          <t>MI-SB-H-ET-FL-11</t>
        </is>
      </c>
      <c r="D232" s="32" t="inlineStr">
        <is>
          <t>Parasonjeet</t>
        </is>
      </c>
      <c r="E232" s="32" t="n">
        <v>145</v>
      </c>
      <c r="F232" s="32" t="n">
        <v>80</v>
      </c>
      <c r="G232" s="32" t="n">
        <v>0</v>
      </c>
      <c r="H232" s="32" t="n">
        <v>10</v>
      </c>
      <c r="I232" s="41" t="n">
        <v>83061000</v>
      </c>
      <c r="J232" s="30" t="n">
        <v>0.05</v>
      </c>
      <c r="K232" s="32">
        <f>D232*J232</f>
        <v/>
      </c>
      <c r="M232" s="32">
        <f>D232*4%</f>
        <v/>
      </c>
      <c r="N232" s="49">
        <f>M232+L232+K232+H232+G232+F232+E232+D232</f>
        <v/>
      </c>
      <c r="O232" s="32">
        <f>D232*1%</f>
        <v/>
      </c>
      <c r="P232" s="7">
        <f>N232*8%</f>
        <v/>
      </c>
      <c r="Q232" s="7">
        <f>N232*10%</f>
        <v/>
      </c>
      <c r="R232" s="7">
        <f>N232*5%</f>
        <v/>
      </c>
      <c r="S232" s="7">
        <f>N232*2%</f>
        <v/>
      </c>
      <c r="T232" s="7">
        <f>AE232*0.5%</f>
        <v/>
      </c>
      <c r="U232" s="7">
        <f>N232*1%</f>
        <v/>
      </c>
      <c r="V232" s="49">
        <f>U232+S232+R232+Q232+P232+O232</f>
        <v/>
      </c>
      <c r="W232" s="32">
        <f>AE232*1%</f>
        <v/>
      </c>
      <c r="X232" s="32">
        <f>AE232*10%</f>
        <v/>
      </c>
      <c r="Y232" s="32">
        <f>AE232*1%</f>
        <v/>
      </c>
      <c r="Z232" s="32">
        <f>AE232*8%</f>
        <v/>
      </c>
      <c r="AA232" s="32">
        <f>W232+X232+Y232+Z232</f>
        <v/>
      </c>
      <c r="AB232" s="31">
        <f>AA232+V232+N232</f>
        <v/>
      </c>
      <c r="AC232" s="6">
        <f>AB232*20%</f>
        <v/>
      </c>
      <c r="AD232" s="32">
        <f>AB232+AC232</f>
        <v/>
      </c>
      <c r="AE232" s="32">
        <f>D232*2.1</f>
        <v/>
      </c>
      <c r="AF232" s="7">
        <f>AD232-AE232</f>
        <v/>
      </c>
      <c r="AG232" s="7">
        <f>AF232/AD232*100</f>
        <v/>
      </c>
      <c r="AH232" s="0" t="n">
        <v>19500</v>
      </c>
      <c r="AI232" s="33" t="n"/>
      <c r="AJ232" s="34">
        <f>AD232</f>
        <v/>
      </c>
      <c r="AK232" s="34">
        <f>AJ232-(AJ232*7%)</f>
        <v/>
      </c>
      <c r="AL232" s="35">
        <f>AJ232/94</f>
        <v/>
      </c>
      <c r="AM232" s="35">
        <f>AK232/94</f>
        <v/>
      </c>
      <c r="AN232" s="36">
        <f>AJ232/24</f>
        <v/>
      </c>
      <c r="AO232" s="36">
        <f>AK232/24</f>
        <v/>
      </c>
      <c r="AP232" s="37">
        <f>AJ232/125</f>
        <v/>
      </c>
      <c r="AQ232" s="37">
        <f>AK232/125</f>
        <v/>
      </c>
    </row>
    <row r="233" ht="15.75" customHeight="1" s="50">
      <c r="A233" s="32" t="n"/>
      <c r="B233" s="32" t="inlineStr">
        <is>
          <t>Flower of Life / 12 in</t>
        </is>
      </c>
      <c r="C233" s="32" t="inlineStr">
        <is>
          <t>MI-SB-H-ET-FL-12</t>
        </is>
      </c>
      <c r="D233" s="32" t="inlineStr">
        <is>
          <t>Parasonjeet</t>
        </is>
      </c>
      <c r="E233" s="32" t="n">
        <v>145</v>
      </c>
      <c r="F233" s="32" t="n">
        <v>90</v>
      </c>
      <c r="G233" s="32" t="n">
        <v>0</v>
      </c>
      <c r="H233" s="32" t="n">
        <v>10</v>
      </c>
      <c r="I233" s="41" t="n">
        <v>83061000</v>
      </c>
      <c r="J233" s="30" t="n">
        <v>0.05</v>
      </c>
      <c r="K233" s="32">
        <f>D233*J233</f>
        <v/>
      </c>
      <c r="M233" s="32">
        <f>D233*4%</f>
        <v/>
      </c>
      <c r="N233" s="49">
        <f>M233+L233+K233+H233+G233+F233+E233+D233</f>
        <v/>
      </c>
      <c r="O233" s="32">
        <f>D233*1%</f>
        <v/>
      </c>
      <c r="P233" s="7">
        <f>N233*8%</f>
        <v/>
      </c>
      <c r="Q233" s="7">
        <f>N233*10%</f>
        <v/>
      </c>
      <c r="R233" s="7">
        <f>N233*5%</f>
        <v/>
      </c>
      <c r="S233" s="7">
        <f>N233*2%</f>
        <v/>
      </c>
      <c r="T233" s="7">
        <f>AE233*0.5%</f>
        <v/>
      </c>
      <c r="U233" s="7">
        <f>N233*1%</f>
        <v/>
      </c>
      <c r="V233" s="49">
        <f>U233+S233+R233+Q233+P233+O233</f>
        <v/>
      </c>
      <c r="W233" s="32">
        <f>AE233*1%</f>
        <v/>
      </c>
      <c r="X233" s="32">
        <f>AE233*10%</f>
        <v/>
      </c>
      <c r="Y233" s="32">
        <f>AE233*1%</f>
        <v/>
      </c>
      <c r="Z233" s="32">
        <f>AE233*8%</f>
        <v/>
      </c>
      <c r="AA233" s="32">
        <f>W233+X233+Y233+Z233</f>
        <v/>
      </c>
      <c r="AB233" s="31">
        <f>AA233+V233+N233</f>
        <v/>
      </c>
      <c r="AC233" s="6">
        <f>AB233*20%</f>
        <v/>
      </c>
      <c r="AD233" s="32">
        <f>AB233+AC233</f>
        <v/>
      </c>
      <c r="AE233" s="32">
        <f>D233*2.1</f>
        <v/>
      </c>
      <c r="AF233" s="7">
        <f>AD233-AE233</f>
        <v/>
      </c>
      <c r="AG233" s="7">
        <f>AF233/AD233*100</f>
        <v/>
      </c>
      <c r="AH233" s="0" t="n">
        <v>22500</v>
      </c>
      <c r="AI233" s="33" t="n"/>
      <c r="AJ233" s="34">
        <f>AD233</f>
        <v/>
      </c>
      <c r="AK233" s="34">
        <f>AJ233-(AJ233*7%)</f>
        <v/>
      </c>
      <c r="AL233" s="35">
        <f>AJ233/94</f>
        <v/>
      </c>
      <c r="AM233" s="35">
        <f>AK233/94</f>
        <v/>
      </c>
      <c r="AN233" s="36">
        <f>AJ233/24</f>
        <v/>
      </c>
      <c r="AO233" s="36">
        <f>AK233/24</f>
        <v/>
      </c>
      <c r="AP233" s="37">
        <f>AJ233/125</f>
        <v/>
      </c>
      <c r="AQ233" s="37">
        <f>AK233/125</f>
        <v/>
      </c>
    </row>
    <row r="234" ht="15.75" customHeight="1" s="50">
      <c r="A234" s="32" t="n"/>
      <c r="B234" s="32" t="inlineStr">
        <is>
          <t>Flower of Life / 6 in</t>
        </is>
      </c>
      <c r="C234" s="32" t="inlineStr">
        <is>
          <t>MI-SB-H-ET-FL-6</t>
        </is>
      </c>
      <c r="D234" s="32" t="inlineStr">
        <is>
          <t>Parasonjeet</t>
        </is>
      </c>
      <c r="E234" s="32" t="n">
        <v>125</v>
      </c>
      <c r="F234" s="32" t="n">
        <v>65</v>
      </c>
      <c r="G234" s="32" t="n">
        <v>0</v>
      </c>
      <c r="H234" s="32" t="n">
        <v>10</v>
      </c>
      <c r="I234" s="41" t="n">
        <v>83061000</v>
      </c>
      <c r="J234" s="30" t="n">
        <v>0.05</v>
      </c>
      <c r="K234" s="32">
        <f>D234*J234</f>
        <v/>
      </c>
      <c r="M234" s="32">
        <f>D234*4%</f>
        <v/>
      </c>
      <c r="N234" s="49">
        <f>M234+L234+K234+H234+G234+F234+E234+D234</f>
        <v/>
      </c>
      <c r="O234" s="32">
        <f>D234*1%</f>
        <v/>
      </c>
      <c r="P234" s="7">
        <f>N234*8%</f>
        <v/>
      </c>
      <c r="Q234" s="7">
        <f>N234*10%</f>
        <v/>
      </c>
      <c r="R234" s="7">
        <f>N234*5%</f>
        <v/>
      </c>
      <c r="S234" s="7">
        <f>N234*2%</f>
        <v/>
      </c>
      <c r="T234" s="7">
        <f>AE234*0.5%</f>
        <v/>
      </c>
      <c r="U234" s="7">
        <f>N234*1%</f>
        <v/>
      </c>
      <c r="V234" s="49">
        <f>U234+S234+R234+Q234+P234+O234</f>
        <v/>
      </c>
      <c r="W234" s="32">
        <f>AE234*1%</f>
        <v/>
      </c>
      <c r="X234" s="32">
        <f>AE234*10%</f>
        <v/>
      </c>
      <c r="Y234" s="32">
        <f>AE234*1%</f>
        <v/>
      </c>
      <c r="Z234" s="32">
        <f>AE234*8%</f>
        <v/>
      </c>
      <c r="AA234" s="32">
        <f>W234+X234+Y234+Z234</f>
        <v/>
      </c>
      <c r="AB234" s="31">
        <f>AA234+V234+N234</f>
        <v/>
      </c>
      <c r="AC234" s="6">
        <f>AB234*20%</f>
        <v/>
      </c>
      <c r="AD234" s="32">
        <f>AB234+AC234</f>
        <v/>
      </c>
      <c r="AE234" s="32">
        <f>D234*2.1</f>
        <v/>
      </c>
      <c r="AF234" s="7">
        <f>AD234-AE234</f>
        <v/>
      </c>
      <c r="AG234" s="7">
        <f>AF234/AD234*100</f>
        <v/>
      </c>
      <c r="AH234" s="0" t="n">
        <v>8500</v>
      </c>
      <c r="AI234" s="33" t="n"/>
      <c r="AJ234" s="34">
        <f>AD234</f>
        <v/>
      </c>
      <c r="AK234" s="34">
        <f>AJ234-(AJ234*7%)</f>
        <v/>
      </c>
      <c r="AL234" s="35">
        <f>AJ234/94</f>
        <v/>
      </c>
      <c r="AM234" s="35">
        <f>AK234/94</f>
        <v/>
      </c>
      <c r="AN234" s="36">
        <f>AJ234/24</f>
        <v/>
      </c>
      <c r="AO234" s="36">
        <f>AK234/24</f>
        <v/>
      </c>
      <c r="AP234" s="37">
        <f>AJ234/125</f>
        <v/>
      </c>
      <c r="AQ234" s="37">
        <f>AK234/125</f>
        <v/>
      </c>
    </row>
    <row r="235" ht="15.75" customHeight="1" s="50">
      <c r="A235" s="32" t="n"/>
      <c r="B235" s="32" t="inlineStr">
        <is>
          <t>Flower of Life / 7 in</t>
        </is>
      </c>
      <c r="C235" s="32" t="inlineStr">
        <is>
          <t>MI-SB-H-ET-FL-7</t>
        </is>
      </c>
      <c r="D235" s="32" t="inlineStr">
        <is>
          <t>Parasonjeet</t>
        </is>
      </c>
      <c r="E235" s="32" t="n">
        <v>125</v>
      </c>
      <c r="F235" s="32" t="n">
        <v>65</v>
      </c>
      <c r="G235" s="32" t="n">
        <v>0</v>
      </c>
      <c r="H235" s="32" t="n">
        <v>10</v>
      </c>
      <c r="I235" s="41" t="n">
        <v>83061000</v>
      </c>
      <c r="J235" s="30" t="n">
        <v>0.05</v>
      </c>
      <c r="K235" s="32">
        <f>D235*J235</f>
        <v/>
      </c>
      <c r="M235" s="32">
        <f>D235*4%</f>
        <v/>
      </c>
      <c r="N235" s="49">
        <f>M235+L235+K235+H235+G235+F235+E235+D235</f>
        <v/>
      </c>
      <c r="O235" s="32">
        <f>D235*1%</f>
        <v/>
      </c>
      <c r="P235" s="7">
        <f>N235*8%</f>
        <v/>
      </c>
      <c r="Q235" s="7">
        <f>N235*10%</f>
        <v/>
      </c>
      <c r="R235" s="7">
        <f>N235*5%</f>
        <v/>
      </c>
      <c r="S235" s="7">
        <f>N235*2%</f>
        <v/>
      </c>
      <c r="T235" s="7">
        <f>AE235*0.5%</f>
        <v/>
      </c>
      <c r="U235" s="7">
        <f>N235*1%</f>
        <v/>
      </c>
      <c r="V235" s="49">
        <f>U235+S235+R235+Q235+P235+O235</f>
        <v/>
      </c>
      <c r="W235" s="32">
        <f>AE235*1%</f>
        <v/>
      </c>
      <c r="X235" s="32">
        <f>AE235*10%</f>
        <v/>
      </c>
      <c r="Y235" s="32">
        <f>AE235*1%</f>
        <v/>
      </c>
      <c r="Z235" s="32">
        <f>AE235*8%</f>
        <v/>
      </c>
      <c r="AA235" s="32">
        <f>W235+X235+Y235+Z235</f>
        <v/>
      </c>
      <c r="AB235" s="31">
        <f>AA235+V235+N235</f>
        <v/>
      </c>
      <c r="AC235" s="6">
        <f>AB235*20%</f>
        <v/>
      </c>
      <c r="AD235" s="32">
        <f>AB235+AC235</f>
        <v/>
      </c>
      <c r="AE235" s="32">
        <f>D235*2.1</f>
        <v/>
      </c>
      <c r="AF235" s="7">
        <f>AD235-AE235</f>
        <v/>
      </c>
      <c r="AG235" s="7">
        <f>AF235/AD235*100</f>
        <v/>
      </c>
      <c r="AH235" s="0" t="n">
        <v>10500</v>
      </c>
      <c r="AI235" s="33" t="n"/>
      <c r="AJ235" s="34">
        <f>AD235</f>
        <v/>
      </c>
      <c r="AK235" s="34">
        <f>AJ235-(AJ235*7%)</f>
        <v/>
      </c>
      <c r="AL235" s="35">
        <f>AJ235/94</f>
        <v/>
      </c>
      <c r="AM235" s="35">
        <f>AK235/94</f>
        <v/>
      </c>
      <c r="AN235" s="36">
        <f>AJ235/24</f>
        <v/>
      </c>
      <c r="AO235" s="36">
        <f>AK235/24</f>
        <v/>
      </c>
      <c r="AP235" s="37">
        <f>AJ235/125</f>
        <v/>
      </c>
      <c r="AQ235" s="37">
        <f>AK235/125</f>
        <v/>
      </c>
    </row>
    <row r="236" ht="15.75" customHeight="1" s="50">
      <c r="A236" s="32" t="n"/>
      <c r="B236" s="32" t="inlineStr">
        <is>
          <t>8 in / Flower of Life</t>
        </is>
      </c>
      <c r="C236" s="32" t="inlineStr">
        <is>
          <t>MI-SB-H-ET-FL-8</t>
        </is>
      </c>
      <c r="D236" s="32" t="inlineStr">
        <is>
          <t>Parasonjeet</t>
        </is>
      </c>
      <c r="E236" s="32" t="n">
        <v>145</v>
      </c>
      <c r="F236" s="32" t="n">
        <v>80</v>
      </c>
      <c r="G236" s="32" t="n">
        <v>0</v>
      </c>
      <c r="H236" s="32" t="n">
        <v>10</v>
      </c>
      <c r="I236" s="41" t="n">
        <v>83061000</v>
      </c>
      <c r="J236" s="30" t="n">
        <v>0.05</v>
      </c>
      <c r="K236" s="32">
        <f>D236*J236</f>
        <v/>
      </c>
      <c r="M236" s="32">
        <f>D236*4%</f>
        <v/>
      </c>
      <c r="N236" s="49">
        <f>M236+L236+K236+H236+G236+F236+E236+D236</f>
        <v/>
      </c>
      <c r="O236" s="32">
        <f>D236*1%</f>
        <v/>
      </c>
      <c r="P236" s="7">
        <f>N236*8%</f>
        <v/>
      </c>
      <c r="Q236" s="7">
        <f>N236*10%</f>
        <v/>
      </c>
      <c r="R236" s="7">
        <f>N236*5%</f>
        <v/>
      </c>
      <c r="S236" s="7">
        <f>N236*2%</f>
        <v/>
      </c>
      <c r="T236" s="7">
        <f>AE236*0.5%</f>
        <v/>
      </c>
      <c r="U236" s="7">
        <f>N236*1%</f>
        <v/>
      </c>
      <c r="V236" s="49">
        <f>U236+S236+R236+Q236+P236+O236</f>
        <v/>
      </c>
      <c r="W236" s="32">
        <f>AE236*1%</f>
        <v/>
      </c>
      <c r="X236" s="32">
        <f>AE236*10%</f>
        <v/>
      </c>
      <c r="Y236" s="32">
        <f>AE236*1%</f>
        <v/>
      </c>
      <c r="Z236" s="32">
        <f>AE236*8%</f>
        <v/>
      </c>
      <c r="AA236" s="32">
        <f>W236+X236+Y236+Z236</f>
        <v/>
      </c>
      <c r="AB236" s="31">
        <f>AA236+V236+N236</f>
        <v/>
      </c>
      <c r="AC236" s="6">
        <f>AB236*20%</f>
        <v/>
      </c>
      <c r="AD236" s="32">
        <f>AB236+AC236</f>
        <v/>
      </c>
      <c r="AE236" s="32">
        <f>D236*2.1</f>
        <v/>
      </c>
      <c r="AF236" s="7">
        <f>AD236-AE236</f>
        <v/>
      </c>
      <c r="AG236" s="7">
        <f>AF236/AD236*100</f>
        <v/>
      </c>
      <c r="AH236" s="0" t="n">
        <v>12500</v>
      </c>
      <c r="AI236" s="33" t="n"/>
      <c r="AJ236" s="34">
        <f>AD236</f>
        <v/>
      </c>
      <c r="AK236" s="34">
        <f>AJ236-(AJ236*7%)</f>
        <v/>
      </c>
      <c r="AL236" s="35">
        <f>AJ236/94</f>
        <v/>
      </c>
      <c r="AM236" s="35">
        <f>AK236/94</f>
        <v/>
      </c>
      <c r="AN236" s="36">
        <f>AJ236/24</f>
        <v/>
      </c>
      <c r="AO236" s="36">
        <f>AK236/24</f>
        <v/>
      </c>
      <c r="AP236" s="37">
        <f>AJ236/125</f>
        <v/>
      </c>
      <c r="AQ236" s="37">
        <f>AK236/125</f>
        <v/>
      </c>
    </row>
    <row r="237" ht="15.75" customHeight="1" s="50">
      <c r="A237" s="32" t="n"/>
      <c r="B237" s="32" t="inlineStr">
        <is>
          <t>Flower of Life / 9 in</t>
        </is>
      </c>
      <c r="C237" s="32" t="inlineStr">
        <is>
          <t>MI-SB-H-ET-FL-9</t>
        </is>
      </c>
      <c r="D237" s="32" t="inlineStr">
        <is>
          <t>Parasonjeet</t>
        </is>
      </c>
      <c r="E237" s="32" t="n">
        <v>145</v>
      </c>
      <c r="F237" s="32" t="n">
        <v>80</v>
      </c>
      <c r="G237" s="32" t="n">
        <v>0</v>
      </c>
      <c r="H237" s="32" t="n">
        <v>10</v>
      </c>
      <c r="I237" s="41" t="n">
        <v>83061000</v>
      </c>
      <c r="J237" s="30" t="n">
        <v>0.05</v>
      </c>
      <c r="K237" s="32">
        <f>D237*J237</f>
        <v/>
      </c>
      <c r="M237" s="32">
        <f>D237*4%</f>
        <v/>
      </c>
      <c r="N237" s="49">
        <f>M237+L237+K237+H237+G237+F237+E237+D237</f>
        <v/>
      </c>
      <c r="O237" s="32">
        <f>D237*1%</f>
        <v/>
      </c>
      <c r="P237" s="7">
        <f>N237*8%</f>
        <v/>
      </c>
      <c r="Q237" s="7">
        <f>N237*10%</f>
        <v/>
      </c>
      <c r="R237" s="7">
        <f>N237*5%</f>
        <v/>
      </c>
      <c r="S237" s="7">
        <f>N237*2%</f>
        <v/>
      </c>
      <c r="T237" s="7">
        <f>AE237*0.5%</f>
        <v/>
      </c>
      <c r="U237" s="7">
        <f>N237*1%</f>
        <v/>
      </c>
      <c r="V237" s="49">
        <f>U237+S237+R237+Q237+P237+O237</f>
        <v/>
      </c>
      <c r="W237" s="32">
        <f>AE237*1%</f>
        <v/>
      </c>
      <c r="X237" s="32">
        <f>AE237*10%</f>
        <v/>
      </c>
      <c r="Y237" s="32">
        <f>AE237*1%</f>
        <v/>
      </c>
      <c r="Z237" s="32">
        <f>AE237*8%</f>
        <v/>
      </c>
      <c r="AA237" s="32">
        <f>W237+X237+Y237+Z237</f>
        <v/>
      </c>
      <c r="AB237" s="31">
        <f>AA237+V237+N237</f>
        <v/>
      </c>
      <c r="AC237" s="6">
        <f>AB237*20%</f>
        <v/>
      </c>
      <c r="AD237" s="32">
        <f>AB237+AC237</f>
        <v/>
      </c>
      <c r="AE237" s="32">
        <f>D237*2.1</f>
        <v/>
      </c>
      <c r="AF237" s="7">
        <f>AD237-AE237</f>
        <v/>
      </c>
      <c r="AG237" s="7">
        <f>AF237/AD237*100</f>
        <v/>
      </c>
      <c r="AH237" s="0" t="n">
        <v>14500</v>
      </c>
      <c r="AI237" s="33" t="n"/>
      <c r="AJ237" s="34">
        <f>AD237</f>
        <v/>
      </c>
      <c r="AK237" s="34">
        <f>AJ237-(AJ237*7%)</f>
        <v/>
      </c>
      <c r="AL237" s="35">
        <f>AJ237/94</f>
        <v/>
      </c>
      <c r="AM237" s="35">
        <f>AK237/94</f>
        <v/>
      </c>
      <c r="AN237" s="36">
        <f>AJ237/24</f>
        <v/>
      </c>
      <c r="AO237" s="36">
        <f>AK237/24</f>
        <v/>
      </c>
      <c r="AP237" s="37">
        <f>AJ237/125</f>
        <v/>
      </c>
      <c r="AQ237" s="37">
        <f>AK237/125</f>
        <v/>
      </c>
    </row>
    <row r="238" ht="15.75" customHeight="1" s="50">
      <c r="A238" s="32" t="n"/>
      <c r="B238" s="32" t="inlineStr">
        <is>
          <t>10 in / Om</t>
        </is>
      </c>
      <c r="C238" s="32" t="inlineStr">
        <is>
          <t>MI-SB-H-ET-O-C-10</t>
        </is>
      </c>
      <c r="D238" s="32" t="inlineStr">
        <is>
          <t>Parasonjeet</t>
        </is>
      </c>
      <c r="E238" s="32" t="n">
        <v>145</v>
      </c>
      <c r="F238" s="32" t="n">
        <v>80</v>
      </c>
      <c r="G238" s="32" t="n">
        <v>0</v>
      </c>
      <c r="H238" s="32" t="n">
        <v>10</v>
      </c>
      <c r="I238" s="41" t="n">
        <v>83061000</v>
      </c>
      <c r="J238" s="30" t="n">
        <v>0.05</v>
      </c>
      <c r="K238" s="32">
        <f>D238*J238</f>
        <v/>
      </c>
      <c r="M238" s="32">
        <f>D238*4%</f>
        <v/>
      </c>
      <c r="N238" s="49">
        <f>M238+L238+K238+H238+G238+F238+E238+D238</f>
        <v/>
      </c>
      <c r="O238" s="32">
        <f>D238*1%</f>
        <v/>
      </c>
      <c r="P238" s="7">
        <f>N238*8%</f>
        <v/>
      </c>
      <c r="Q238" s="7">
        <f>N238*10%</f>
        <v/>
      </c>
      <c r="R238" s="7">
        <f>N238*5%</f>
        <v/>
      </c>
      <c r="S238" s="7">
        <f>N238*2%</f>
        <v/>
      </c>
      <c r="T238" s="7">
        <f>AE238*0.5%</f>
        <v/>
      </c>
      <c r="U238" s="7">
        <f>N238*1%</f>
        <v/>
      </c>
      <c r="V238" s="49">
        <f>U238+S238+R238+Q238+P238+O238</f>
        <v/>
      </c>
      <c r="W238" s="32">
        <f>AE238*1%</f>
        <v/>
      </c>
      <c r="X238" s="32">
        <f>AE238*10%</f>
        <v/>
      </c>
      <c r="Y238" s="32">
        <f>AE238*1%</f>
        <v/>
      </c>
      <c r="Z238" s="32">
        <f>AE238*8%</f>
        <v/>
      </c>
      <c r="AA238" s="32">
        <f>W238+X238+Y238+Z238</f>
        <v/>
      </c>
      <c r="AB238" s="31">
        <f>AA238+V238+N238</f>
        <v/>
      </c>
      <c r="AC238" s="6">
        <f>AB238*20%</f>
        <v/>
      </c>
      <c r="AD238" s="32">
        <f>AB238+AC238</f>
        <v/>
      </c>
      <c r="AE238" s="32">
        <f>D238*2.1</f>
        <v/>
      </c>
      <c r="AF238" s="7">
        <f>AD238-AE238</f>
        <v/>
      </c>
      <c r="AG238" s="7">
        <f>AF238/AD238*100</f>
        <v/>
      </c>
      <c r="AH238" s="0" t="n">
        <v>16500</v>
      </c>
      <c r="AI238" s="33" t="n"/>
      <c r="AJ238" s="34">
        <f>AD238</f>
        <v/>
      </c>
      <c r="AK238" s="34">
        <f>AJ238-(AJ238*7%)</f>
        <v/>
      </c>
      <c r="AL238" s="35">
        <f>AJ238/94</f>
        <v/>
      </c>
      <c r="AM238" s="35">
        <f>AK238/94</f>
        <v/>
      </c>
      <c r="AN238" s="36">
        <f>AJ238/24</f>
        <v/>
      </c>
      <c r="AO238" s="36">
        <f>AK238/24</f>
        <v/>
      </c>
      <c r="AP238" s="37">
        <f>AJ238/125</f>
        <v/>
      </c>
      <c r="AQ238" s="37">
        <f>AK238/125</f>
        <v/>
      </c>
    </row>
    <row r="239" ht="15.75" customHeight="1" s="50">
      <c r="A239" s="32" t="n"/>
      <c r="B239" s="32" t="inlineStr">
        <is>
          <t>Om / 11 in</t>
        </is>
      </c>
      <c r="C239" s="32" t="inlineStr">
        <is>
          <t>MI-SB-H-ET-O-C-11</t>
        </is>
      </c>
      <c r="D239" s="32" t="inlineStr">
        <is>
          <t>Parasonjeet</t>
        </is>
      </c>
      <c r="E239" s="32" t="n">
        <v>145</v>
      </c>
      <c r="F239" s="32" t="n">
        <v>80</v>
      </c>
      <c r="G239" s="32" t="n">
        <v>0</v>
      </c>
      <c r="H239" s="32" t="n">
        <v>10</v>
      </c>
      <c r="I239" s="41" t="n">
        <v>83061000</v>
      </c>
      <c r="J239" s="30" t="n">
        <v>0.05</v>
      </c>
      <c r="K239" s="32">
        <f>D239*J239</f>
        <v/>
      </c>
      <c r="M239" s="32">
        <f>D239*4%</f>
        <v/>
      </c>
      <c r="N239" s="49">
        <f>M239+L239+K239+H239+G239+F239+E239+D239</f>
        <v/>
      </c>
      <c r="O239" s="32">
        <f>D239*1%</f>
        <v/>
      </c>
      <c r="P239" s="7">
        <f>N239*8%</f>
        <v/>
      </c>
      <c r="Q239" s="7">
        <f>N239*10%</f>
        <v/>
      </c>
      <c r="R239" s="7">
        <f>N239*5%</f>
        <v/>
      </c>
      <c r="S239" s="7">
        <f>N239*2%</f>
        <v/>
      </c>
      <c r="T239" s="7">
        <f>AE239*0.5%</f>
        <v/>
      </c>
      <c r="U239" s="7">
        <f>N239*1%</f>
        <v/>
      </c>
      <c r="V239" s="49">
        <f>U239+S239+R239+Q239+P239+O239</f>
        <v/>
      </c>
      <c r="W239" s="32">
        <f>AE239*1%</f>
        <v/>
      </c>
      <c r="X239" s="32">
        <f>AE239*10%</f>
        <v/>
      </c>
      <c r="Y239" s="32">
        <f>AE239*1%</f>
        <v/>
      </c>
      <c r="Z239" s="32">
        <f>AE239*8%</f>
        <v/>
      </c>
      <c r="AA239" s="32">
        <f>W239+X239+Y239+Z239</f>
        <v/>
      </c>
      <c r="AB239" s="31">
        <f>AA239+V239+N239</f>
        <v/>
      </c>
      <c r="AC239" s="6">
        <f>AB239*20%</f>
        <v/>
      </c>
      <c r="AD239" s="32">
        <f>AB239+AC239</f>
        <v/>
      </c>
      <c r="AE239" s="32">
        <f>D239*2.1</f>
        <v/>
      </c>
      <c r="AF239" s="7">
        <f>AD239-AE239</f>
        <v/>
      </c>
      <c r="AG239" s="7">
        <f>AF239/AD239*100</f>
        <v/>
      </c>
      <c r="AH239" s="0" t="n">
        <v>19500</v>
      </c>
      <c r="AI239" s="33" t="n"/>
      <c r="AJ239" s="34">
        <f>AD239</f>
        <v/>
      </c>
      <c r="AK239" s="34">
        <f>AJ239-(AJ239*7%)</f>
        <v/>
      </c>
      <c r="AL239" s="35">
        <f>AJ239/94</f>
        <v/>
      </c>
      <c r="AM239" s="35">
        <f>AK239/94</f>
        <v/>
      </c>
      <c r="AN239" s="36">
        <f>AJ239/24</f>
        <v/>
      </c>
      <c r="AO239" s="36">
        <f>AK239/24</f>
        <v/>
      </c>
      <c r="AP239" s="37">
        <f>AJ239/125</f>
        <v/>
      </c>
      <c r="AQ239" s="37">
        <f>AK239/125</f>
        <v/>
      </c>
    </row>
    <row r="240" ht="15.75" customHeight="1" s="50">
      <c r="A240" s="32" t="n"/>
      <c r="B240" s="32" t="inlineStr">
        <is>
          <t>12 in / Om</t>
        </is>
      </c>
      <c r="C240" s="32" t="inlineStr">
        <is>
          <t>MI-SB-H-ET-O-C-12</t>
        </is>
      </c>
      <c r="D240" s="32" t="inlineStr">
        <is>
          <t>Parasonjeet</t>
        </is>
      </c>
      <c r="E240" s="32" t="n">
        <v>145</v>
      </c>
      <c r="F240" s="32" t="n">
        <v>90</v>
      </c>
      <c r="G240" s="32" t="n">
        <v>0</v>
      </c>
      <c r="H240" s="32" t="n">
        <v>10</v>
      </c>
      <c r="I240" s="41" t="n">
        <v>83061000</v>
      </c>
      <c r="J240" s="30" t="n">
        <v>0.05</v>
      </c>
      <c r="K240" s="32">
        <f>D240*J240</f>
        <v/>
      </c>
      <c r="M240" s="32">
        <f>D240*4%</f>
        <v/>
      </c>
      <c r="N240" s="49">
        <f>M240+L240+K240+H240+G240+F240+E240+D240</f>
        <v/>
      </c>
      <c r="O240" s="32">
        <f>D240*1%</f>
        <v/>
      </c>
      <c r="P240" s="7">
        <f>N240*8%</f>
        <v/>
      </c>
      <c r="Q240" s="7">
        <f>N240*10%</f>
        <v/>
      </c>
      <c r="R240" s="7">
        <f>N240*5%</f>
        <v/>
      </c>
      <c r="S240" s="7">
        <f>N240*2%</f>
        <v/>
      </c>
      <c r="T240" s="7">
        <f>AE240*0.5%</f>
        <v/>
      </c>
      <c r="U240" s="7">
        <f>N240*1%</f>
        <v/>
      </c>
      <c r="V240" s="49">
        <f>U240+S240+R240+Q240+P240+O240</f>
        <v/>
      </c>
      <c r="W240" s="32">
        <f>AE240*1%</f>
        <v/>
      </c>
      <c r="X240" s="32">
        <f>AE240*10%</f>
        <v/>
      </c>
      <c r="Y240" s="32">
        <f>AE240*1%</f>
        <v/>
      </c>
      <c r="Z240" s="32">
        <f>AE240*8%</f>
        <v/>
      </c>
      <c r="AA240" s="32">
        <f>W240+X240+Y240+Z240</f>
        <v/>
      </c>
      <c r="AB240" s="31">
        <f>AA240+V240+N240</f>
        <v/>
      </c>
      <c r="AC240" s="6">
        <f>AB240*20%</f>
        <v/>
      </c>
      <c r="AD240" s="32">
        <f>AB240+AC240</f>
        <v/>
      </c>
      <c r="AE240" s="32">
        <f>D240*2.1</f>
        <v/>
      </c>
      <c r="AF240" s="7">
        <f>AD240-AE240</f>
        <v/>
      </c>
      <c r="AG240" s="7">
        <f>AF240/AD240*100</f>
        <v/>
      </c>
      <c r="AH240" s="0" t="n">
        <v>22500</v>
      </c>
      <c r="AI240" s="33" t="n"/>
      <c r="AJ240" s="34">
        <f>AD240</f>
        <v/>
      </c>
      <c r="AK240" s="34">
        <f>AJ240-(AJ240*7%)</f>
        <v/>
      </c>
      <c r="AL240" s="35">
        <f>AJ240/94</f>
        <v/>
      </c>
      <c r="AM240" s="35">
        <f>AK240/94</f>
        <v/>
      </c>
      <c r="AN240" s="36">
        <f>AJ240/24</f>
        <v/>
      </c>
      <c r="AO240" s="36">
        <f>AK240/24</f>
        <v/>
      </c>
      <c r="AP240" s="37">
        <f>AJ240/125</f>
        <v/>
      </c>
      <c r="AQ240" s="37">
        <f>AK240/125</f>
        <v/>
      </c>
    </row>
    <row r="241" ht="15.75" customHeight="1" s="50">
      <c r="A241" s="32" t="n"/>
      <c r="B241" s="32" t="inlineStr">
        <is>
          <t>6 in / Om</t>
        </is>
      </c>
      <c r="C241" s="32" t="inlineStr">
        <is>
          <t>MI-SB-H-ET-O-C-6</t>
        </is>
      </c>
      <c r="D241" s="32" t="inlineStr">
        <is>
          <t>Parasonjeet</t>
        </is>
      </c>
      <c r="E241" s="32" t="n">
        <v>125</v>
      </c>
      <c r="F241" s="32" t="n">
        <v>65</v>
      </c>
      <c r="G241" s="32" t="n">
        <v>0</v>
      </c>
      <c r="H241" s="32" t="n">
        <v>10</v>
      </c>
      <c r="I241" s="41" t="n">
        <v>83061000</v>
      </c>
      <c r="J241" s="30" t="n">
        <v>0.05</v>
      </c>
      <c r="K241" s="32">
        <f>D241*J241</f>
        <v/>
      </c>
      <c r="M241" s="32">
        <f>D241*4%</f>
        <v/>
      </c>
      <c r="N241" s="49">
        <f>M241+L241+K241+H241+G241+F241+E241+D241</f>
        <v/>
      </c>
      <c r="O241" s="32">
        <f>D241*1%</f>
        <v/>
      </c>
      <c r="P241" s="7">
        <f>N241*8%</f>
        <v/>
      </c>
      <c r="Q241" s="7">
        <f>N241*10%</f>
        <v/>
      </c>
      <c r="R241" s="7">
        <f>N241*5%</f>
        <v/>
      </c>
      <c r="S241" s="7">
        <f>N241*2%</f>
        <v/>
      </c>
      <c r="T241" s="7">
        <f>AE241*0.5%</f>
        <v/>
      </c>
      <c r="U241" s="7">
        <f>N241*1%</f>
        <v/>
      </c>
      <c r="V241" s="49">
        <f>U241+S241+R241+Q241+P241+O241</f>
        <v/>
      </c>
      <c r="W241" s="32">
        <f>AE241*1%</f>
        <v/>
      </c>
      <c r="X241" s="32">
        <f>AE241*10%</f>
        <v/>
      </c>
      <c r="Y241" s="32">
        <f>AE241*1%</f>
        <v/>
      </c>
      <c r="Z241" s="32">
        <f>AE241*8%</f>
        <v/>
      </c>
      <c r="AA241" s="32">
        <f>W241+X241+Y241+Z241</f>
        <v/>
      </c>
      <c r="AB241" s="31">
        <f>AA241+V241+N241</f>
        <v/>
      </c>
      <c r="AC241" s="6">
        <f>AB241*20%</f>
        <v/>
      </c>
      <c r="AD241" s="32">
        <f>AB241+AC241</f>
        <v/>
      </c>
      <c r="AE241" s="32">
        <f>D241*2.1</f>
        <v/>
      </c>
      <c r="AF241" s="7">
        <f>AD241-AE241</f>
        <v/>
      </c>
      <c r="AG241" s="7">
        <f>AF241/AD241*100</f>
        <v/>
      </c>
      <c r="AH241" s="0" t="n">
        <v>8500</v>
      </c>
      <c r="AI241" s="33" t="n"/>
      <c r="AJ241" s="34">
        <f>AD241</f>
        <v/>
      </c>
      <c r="AK241" s="34">
        <f>AJ241-(AJ241*7%)</f>
        <v/>
      </c>
      <c r="AL241" s="35">
        <f>AJ241/94</f>
        <v/>
      </c>
      <c r="AM241" s="35">
        <f>AK241/94</f>
        <v/>
      </c>
      <c r="AN241" s="36">
        <f>AJ241/24</f>
        <v/>
      </c>
      <c r="AO241" s="36">
        <f>AK241/24</f>
        <v/>
      </c>
      <c r="AP241" s="37">
        <f>AJ241/125</f>
        <v/>
      </c>
      <c r="AQ241" s="37">
        <f>AK241/125</f>
        <v/>
      </c>
    </row>
    <row r="242" ht="15.75" customHeight="1" s="50">
      <c r="A242" s="32" t="n"/>
      <c r="B242" s="32" t="inlineStr">
        <is>
          <t>7 in / Om</t>
        </is>
      </c>
      <c r="C242" s="32" t="inlineStr">
        <is>
          <t>MI-SB-H-ET-O-C-7</t>
        </is>
      </c>
      <c r="D242" s="32" t="inlineStr">
        <is>
          <t>Parasonjeet</t>
        </is>
      </c>
      <c r="E242" s="32" t="n">
        <v>125</v>
      </c>
      <c r="F242" s="32" t="n">
        <v>65</v>
      </c>
      <c r="G242" s="32" t="n">
        <v>0</v>
      </c>
      <c r="H242" s="32" t="n">
        <v>10</v>
      </c>
      <c r="I242" s="41" t="n">
        <v>83061000</v>
      </c>
      <c r="J242" s="30" t="n">
        <v>0.05</v>
      </c>
      <c r="K242" s="32">
        <f>D242*J242</f>
        <v/>
      </c>
      <c r="M242" s="32">
        <f>D242*4%</f>
        <v/>
      </c>
      <c r="N242" s="49">
        <f>M242+L242+K242+H242+G242+F242+E242+D242</f>
        <v/>
      </c>
      <c r="O242" s="32">
        <f>D242*1%</f>
        <v/>
      </c>
      <c r="P242" s="7">
        <f>N242*8%</f>
        <v/>
      </c>
      <c r="Q242" s="7">
        <f>N242*10%</f>
        <v/>
      </c>
      <c r="R242" s="7">
        <f>N242*5%</f>
        <v/>
      </c>
      <c r="S242" s="7">
        <f>N242*2%</f>
        <v/>
      </c>
      <c r="T242" s="7">
        <f>AE242*0.5%</f>
        <v/>
      </c>
      <c r="U242" s="7">
        <f>N242*1%</f>
        <v/>
      </c>
      <c r="V242" s="49">
        <f>U242+S242+R242+Q242+P242+O242</f>
        <v/>
      </c>
      <c r="W242" s="32">
        <f>AE242*1%</f>
        <v/>
      </c>
      <c r="X242" s="32">
        <f>AE242*10%</f>
        <v/>
      </c>
      <c r="Y242" s="32">
        <f>AE242*1%</f>
        <v/>
      </c>
      <c r="Z242" s="32">
        <f>AE242*8%</f>
        <v/>
      </c>
      <c r="AA242" s="32">
        <f>W242+X242+Y242+Z242</f>
        <v/>
      </c>
      <c r="AB242" s="31">
        <f>AA242+V242+N242</f>
        <v/>
      </c>
      <c r="AC242" s="6">
        <f>AB242*20%</f>
        <v/>
      </c>
      <c r="AD242" s="32">
        <f>AB242+AC242</f>
        <v/>
      </c>
      <c r="AE242" s="32">
        <f>D242*2.1</f>
        <v/>
      </c>
      <c r="AF242" s="7">
        <f>AD242-AE242</f>
        <v/>
      </c>
      <c r="AG242" s="7">
        <f>AF242/AD242*100</f>
        <v/>
      </c>
      <c r="AH242" s="0" t="n">
        <v>10500</v>
      </c>
      <c r="AI242" s="33" t="n"/>
      <c r="AJ242" s="34">
        <f>AD242</f>
        <v/>
      </c>
      <c r="AK242" s="34">
        <f>AJ242-(AJ242*7%)</f>
        <v/>
      </c>
      <c r="AL242" s="35">
        <f>AJ242/94</f>
        <v/>
      </c>
      <c r="AM242" s="35">
        <f>AK242/94</f>
        <v/>
      </c>
      <c r="AN242" s="36">
        <f>AJ242/24</f>
        <v/>
      </c>
      <c r="AO242" s="36">
        <f>AK242/24</f>
        <v/>
      </c>
      <c r="AP242" s="37">
        <f>AJ242/125</f>
        <v/>
      </c>
      <c r="AQ242" s="37">
        <f>AK242/125</f>
        <v/>
      </c>
    </row>
    <row r="243" ht="15.75" customHeight="1" s="50">
      <c r="A243" s="32" t="n"/>
      <c r="B243" s="32" t="inlineStr">
        <is>
          <t>8 in / Om</t>
        </is>
      </c>
      <c r="C243" s="32" t="inlineStr">
        <is>
          <t>MI-SB-H-ET-O-C-8</t>
        </is>
      </c>
      <c r="D243" s="32" t="inlineStr">
        <is>
          <t>Parasonjeet</t>
        </is>
      </c>
      <c r="E243" s="32" t="n">
        <v>145</v>
      </c>
      <c r="F243" s="32" t="n">
        <v>80</v>
      </c>
      <c r="G243" s="32" t="n">
        <v>0</v>
      </c>
      <c r="H243" s="32" t="n">
        <v>10</v>
      </c>
      <c r="I243" s="41" t="n">
        <v>83061000</v>
      </c>
      <c r="J243" s="30" t="n">
        <v>0.05</v>
      </c>
      <c r="K243" s="32">
        <f>D243*J243</f>
        <v/>
      </c>
      <c r="M243" s="32">
        <f>D243*4%</f>
        <v/>
      </c>
      <c r="N243" s="49">
        <f>M243+L243+K243+H243+G243+F243+E243+D243</f>
        <v/>
      </c>
      <c r="O243" s="32">
        <f>D243*1%</f>
        <v/>
      </c>
      <c r="P243" s="7">
        <f>N243*8%</f>
        <v/>
      </c>
      <c r="Q243" s="7">
        <f>N243*10%</f>
        <v/>
      </c>
      <c r="R243" s="7">
        <f>N243*5%</f>
        <v/>
      </c>
      <c r="S243" s="7">
        <f>N243*2%</f>
        <v/>
      </c>
      <c r="T243" s="7">
        <f>AE243*0.5%</f>
        <v/>
      </c>
      <c r="U243" s="7">
        <f>N243*1%</f>
        <v/>
      </c>
      <c r="V243" s="49">
        <f>U243+S243+R243+Q243+P243+O243</f>
        <v/>
      </c>
      <c r="W243" s="32">
        <f>AE243*1%</f>
        <v/>
      </c>
      <c r="X243" s="32">
        <f>AE243*10%</f>
        <v/>
      </c>
      <c r="Y243" s="32">
        <f>AE243*1%</f>
        <v/>
      </c>
      <c r="Z243" s="32">
        <f>AE243*8%</f>
        <v/>
      </c>
      <c r="AA243" s="32">
        <f>W243+X243+Y243+Z243</f>
        <v/>
      </c>
      <c r="AB243" s="31">
        <f>AA243+V243+N243</f>
        <v/>
      </c>
      <c r="AC243" s="6">
        <f>AB243*20%</f>
        <v/>
      </c>
      <c r="AD243" s="32">
        <f>AB243+AC243</f>
        <v/>
      </c>
      <c r="AE243" s="32">
        <f>D243*2.1</f>
        <v/>
      </c>
      <c r="AF243" s="7">
        <f>AD243-AE243</f>
        <v/>
      </c>
      <c r="AG243" s="7">
        <f>AF243/AD243*100</f>
        <v/>
      </c>
      <c r="AH243" s="0" t="n">
        <v>12500</v>
      </c>
      <c r="AI243" s="33" t="n"/>
      <c r="AJ243" s="34">
        <f>AD243</f>
        <v/>
      </c>
      <c r="AK243" s="34">
        <f>AJ243-(AJ243*7%)</f>
        <v/>
      </c>
      <c r="AL243" s="35">
        <f>AJ243/94</f>
        <v/>
      </c>
      <c r="AM243" s="35">
        <f>AK243/94</f>
        <v/>
      </c>
      <c r="AN243" s="36">
        <f>AJ243/24</f>
        <v/>
      </c>
      <c r="AO243" s="36">
        <f>AK243/24</f>
        <v/>
      </c>
      <c r="AP243" s="37">
        <f>AJ243/125</f>
        <v/>
      </c>
      <c r="AQ243" s="37">
        <f>AK243/125</f>
        <v/>
      </c>
    </row>
    <row r="244" ht="15.75" customHeight="1" s="50">
      <c r="A244" s="32" t="n"/>
      <c r="B244" s="32" t="inlineStr">
        <is>
          <t>9 in / Om</t>
        </is>
      </c>
      <c r="C244" s="32" t="inlineStr">
        <is>
          <t>MI-SB-H-ET-O-C-9</t>
        </is>
      </c>
      <c r="D244" s="32" t="inlineStr">
        <is>
          <t>Parasonjeet</t>
        </is>
      </c>
      <c r="E244" s="32" t="n">
        <v>145</v>
      </c>
      <c r="F244" s="32" t="n">
        <v>80</v>
      </c>
      <c r="G244" s="32" t="n">
        <v>0</v>
      </c>
      <c r="H244" s="32" t="n">
        <v>10</v>
      </c>
      <c r="I244" s="41" t="n">
        <v>83061000</v>
      </c>
      <c r="J244" s="30" t="n">
        <v>0.05</v>
      </c>
      <c r="K244" s="32">
        <f>D244*J244</f>
        <v/>
      </c>
      <c r="M244" s="32">
        <f>D244*4%</f>
        <v/>
      </c>
      <c r="N244" s="49">
        <f>M244+L244+K244+H244+G244+F244+E244+D244</f>
        <v/>
      </c>
      <c r="O244" s="32">
        <f>D244*1%</f>
        <v/>
      </c>
      <c r="P244" s="7">
        <f>N244*8%</f>
        <v/>
      </c>
      <c r="Q244" s="7">
        <f>N244*10%</f>
        <v/>
      </c>
      <c r="R244" s="7">
        <f>N244*5%</f>
        <v/>
      </c>
      <c r="S244" s="7">
        <f>N244*2%</f>
        <v/>
      </c>
      <c r="T244" s="7">
        <f>AE244*0.5%</f>
        <v/>
      </c>
      <c r="U244" s="7">
        <f>N244*1%</f>
        <v/>
      </c>
      <c r="V244" s="49">
        <f>U244+S244+R244+Q244+P244+O244</f>
        <v/>
      </c>
      <c r="W244" s="32">
        <f>AE244*1%</f>
        <v/>
      </c>
      <c r="X244" s="32">
        <f>AE244*10%</f>
        <v/>
      </c>
      <c r="Y244" s="32">
        <f>AE244*1%</f>
        <v/>
      </c>
      <c r="Z244" s="32">
        <f>AE244*8%</f>
        <v/>
      </c>
      <c r="AA244" s="32">
        <f>W244+X244+Y244+Z244</f>
        <v/>
      </c>
      <c r="AB244" s="31">
        <f>AA244+V244+N244</f>
        <v/>
      </c>
      <c r="AC244" s="6">
        <f>AB244*20%</f>
        <v/>
      </c>
      <c r="AD244" s="32">
        <f>AB244+AC244</f>
        <v/>
      </c>
      <c r="AE244" s="32">
        <f>D244*2.1</f>
        <v/>
      </c>
      <c r="AF244" s="7">
        <f>AD244-AE244</f>
        <v/>
      </c>
      <c r="AG244" s="7">
        <f>AF244/AD244*100</f>
        <v/>
      </c>
      <c r="AH244" s="0" t="n">
        <v>14500</v>
      </c>
      <c r="AI244" s="33" t="n"/>
      <c r="AJ244" s="34">
        <f>AD244</f>
        <v/>
      </c>
      <c r="AK244" s="34">
        <f>AJ244-(AJ244*7%)</f>
        <v/>
      </c>
      <c r="AL244" s="35">
        <f>AJ244/94</f>
        <v/>
      </c>
      <c r="AM244" s="35">
        <f>AK244/94</f>
        <v/>
      </c>
      <c r="AN244" s="36">
        <f>AJ244/24</f>
        <v/>
      </c>
      <c r="AO244" s="36">
        <f>AK244/24</f>
        <v/>
      </c>
      <c r="AP244" s="37">
        <f>AJ244/125</f>
        <v/>
      </c>
      <c r="AQ244" s="37">
        <f>AK244/125</f>
        <v/>
      </c>
    </row>
    <row r="245" ht="15.75" customHeight="1" s="50">
      <c r="A245" s="32" t="n"/>
      <c r="B245" s="32" t="inlineStr">
        <is>
          <t>Tara / 10 in</t>
        </is>
      </c>
      <c r="C245" s="32" t="inlineStr">
        <is>
          <t>MI-SB-H-ET-T-10</t>
        </is>
      </c>
      <c r="D245" s="32" t="inlineStr">
        <is>
          <t>Parasonjeet</t>
        </is>
      </c>
      <c r="E245" s="32" t="n">
        <v>145</v>
      </c>
      <c r="F245" s="32" t="n">
        <v>80</v>
      </c>
      <c r="G245" s="32" t="n">
        <v>0</v>
      </c>
      <c r="H245" s="32" t="n">
        <v>10</v>
      </c>
      <c r="I245" s="41" t="n">
        <v>83061000</v>
      </c>
      <c r="J245" s="30" t="n">
        <v>0.05</v>
      </c>
      <c r="K245" s="32">
        <f>D245*J245</f>
        <v/>
      </c>
      <c r="M245" s="32">
        <f>D245*4%</f>
        <v/>
      </c>
      <c r="N245" s="49">
        <f>M245+L245+K245+H245+G245+F245+E245+D245</f>
        <v/>
      </c>
      <c r="O245" s="32">
        <f>D245*1%</f>
        <v/>
      </c>
      <c r="P245" s="7">
        <f>N245*8%</f>
        <v/>
      </c>
      <c r="Q245" s="7">
        <f>N245*10%</f>
        <v/>
      </c>
      <c r="R245" s="7">
        <f>N245*5%</f>
        <v/>
      </c>
      <c r="S245" s="7">
        <f>N245*2%</f>
        <v/>
      </c>
      <c r="T245" s="7">
        <f>AE245*0.5%</f>
        <v/>
      </c>
      <c r="U245" s="7">
        <f>N245*1%</f>
        <v/>
      </c>
      <c r="V245" s="49">
        <f>U245+S245+R245+Q245+P245+O245</f>
        <v/>
      </c>
      <c r="W245" s="32">
        <f>AE245*1%</f>
        <v/>
      </c>
      <c r="X245" s="32">
        <f>AE245*10%</f>
        <v/>
      </c>
      <c r="Y245" s="32">
        <f>AE245*1%</f>
        <v/>
      </c>
      <c r="Z245" s="32">
        <f>AE245*8%</f>
        <v/>
      </c>
      <c r="AA245" s="32">
        <f>W245+X245+Y245+Z245</f>
        <v/>
      </c>
      <c r="AB245" s="31">
        <f>AA245+V245+N245</f>
        <v/>
      </c>
      <c r="AC245" s="6">
        <f>AB245*20%</f>
        <v/>
      </c>
      <c r="AD245" s="32">
        <f>AB245+AC245</f>
        <v/>
      </c>
      <c r="AE245" s="32">
        <f>D245*2.1</f>
        <v/>
      </c>
      <c r="AF245" s="7">
        <f>AD245-AE245</f>
        <v/>
      </c>
      <c r="AG245" s="7">
        <f>AF245/AD245*100</f>
        <v/>
      </c>
      <c r="AH245" s="0" t="n">
        <v>18500</v>
      </c>
      <c r="AI245" s="33" t="n"/>
      <c r="AJ245" s="34">
        <f>AD245</f>
        <v/>
      </c>
      <c r="AK245" s="34">
        <f>AJ245-(AJ245*7%)</f>
        <v/>
      </c>
      <c r="AL245" s="35">
        <f>AJ245/94</f>
        <v/>
      </c>
      <c r="AM245" s="35">
        <f>AK245/94</f>
        <v/>
      </c>
      <c r="AN245" s="36">
        <f>AJ245/24</f>
        <v/>
      </c>
      <c r="AO245" s="36">
        <f>AK245/24</f>
        <v/>
      </c>
      <c r="AP245" s="37">
        <f>AJ245/125</f>
        <v/>
      </c>
      <c r="AQ245" s="37">
        <f>AK245/125</f>
        <v/>
      </c>
    </row>
    <row r="246" ht="15.75" customHeight="1" s="50">
      <c r="A246" s="32" t="n"/>
      <c r="B246" s="32" t="inlineStr">
        <is>
          <t>Tara / 11 in</t>
        </is>
      </c>
      <c r="C246" s="32" t="inlineStr">
        <is>
          <t>MI-SB-H-ET-T-11</t>
        </is>
      </c>
      <c r="D246" s="32" t="inlineStr">
        <is>
          <t>Parasonjeet</t>
        </is>
      </c>
      <c r="E246" s="32" t="n">
        <v>145</v>
      </c>
      <c r="F246" s="32" t="n">
        <v>80</v>
      </c>
      <c r="G246" s="32" t="n">
        <v>0</v>
      </c>
      <c r="H246" s="32" t="n">
        <v>10</v>
      </c>
      <c r="I246" s="41" t="n">
        <v>83061000</v>
      </c>
      <c r="J246" s="30" t="n">
        <v>0.05</v>
      </c>
      <c r="K246" s="32">
        <f>D246*J246</f>
        <v/>
      </c>
      <c r="M246" s="32">
        <f>D246*4%</f>
        <v/>
      </c>
      <c r="N246" s="49">
        <f>M246+L246+K246+H246+G246+F246+E246+D246</f>
        <v/>
      </c>
      <c r="O246" s="32">
        <f>D246*1%</f>
        <v/>
      </c>
      <c r="P246" s="7">
        <f>N246*8%</f>
        <v/>
      </c>
      <c r="Q246" s="7">
        <f>N246*10%</f>
        <v/>
      </c>
      <c r="R246" s="7">
        <f>N246*5%</f>
        <v/>
      </c>
      <c r="S246" s="7">
        <f>N246*2%</f>
        <v/>
      </c>
      <c r="T246" s="7">
        <f>AE246*0.5%</f>
        <v/>
      </c>
      <c r="U246" s="7">
        <f>N246*1%</f>
        <v/>
      </c>
      <c r="V246" s="49">
        <f>U246+S246+R246+Q246+P246+O246</f>
        <v/>
      </c>
      <c r="W246" s="32">
        <f>AE246*1%</f>
        <v/>
      </c>
      <c r="X246" s="32">
        <f>AE246*10%</f>
        <v/>
      </c>
      <c r="Y246" s="32">
        <f>AE246*1%</f>
        <v/>
      </c>
      <c r="Z246" s="32">
        <f>AE246*8%</f>
        <v/>
      </c>
      <c r="AA246" s="32">
        <f>W246+X246+Y246+Z246</f>
        <v/>
      </c>
      <c r="AB246" s="31">
        <f>AA246+V246+N246</f>
        <v/>
      </c>
      <c r="AC246" s="6">
        <f>AB246*20%</f>
        <v/>
      </c>
      <c r="AD246" s="32">
        <f>AB246+AC246</f>
        <v/>
      </c>
      <c r="AE246" s="32">
        <f>D246*2.1</f>
        <v/>
      </c>
      <c r="AF246" s="7">
        <f>AD246-AE246</f>
        <v/>
      </c>
      <c r="AG246" s="7">
        <f>AF246/AD246*100</f>
        <v/>
      </c>
      <c r="AH246" s="0" t="n">
        <v>21500</v>
      </c>
      <c r="AI246" s="33" t="n"/>
      <c r="AJ246" s="34">
        <f>AD246</f>
        <v/>
      </c>
      <c r="AK246" s="34">
        <f>AJ246-(AJ246*7%)</f>
        <v/>
      </c>
      <c r="AL246" s="35">
        <f>AJ246/94</f>
        <v/>
      </c>
      <c r="AM246" s="35">
        <f>AK246/94</f>
        <v/>
      </c>
      <c r="AN246" s="36">
        <f>AJ246/24</f>
        <v/>
      </c>
      <c r="AO246" s="36">
        <f>AK246/24</f>
        <v/>
      </c>
      <c r="AP246" s="37">
        <f>AJ246/125</f>
        <v/>
      </c>
      <c r="AQ246" s="37">
        <f>AK246/125</f>
        <v/>
      </c>
    </row>
    <row r="247" ht="15.75" customHeight="1" s="50">
      <c r="A247" s="32" t="n"/>
      <c r="B247" s="32" t="inlineStr">
        <is>
          <t>Tara / 12 in</t>
        </is>
      </c>
      <c r="C247" s="32" t="inlineStr">
        <is>
          <t>MI-SB-H-ET-T-12</t>
        </is>
      </c>
      <c r="D247" s="32" t="inlineStr">
        <is>
          <t>Parasonjeet</t>
        </is>
      </c>
      <c r="E247" s="32" t="n">
        <v>145</v>
      </c>
      <c r="F247" s="32" t="n">
        <v>90</v>
      </c>
      <c r="G247" s="32" t="n">
        <v>0</v>
      </c>
      <c r="H247" s="32" t="n">
        <v>10</v>
      </c>
      <c r="I247" s="41" t="n">
        <v>83061000</v>
      </c>
      <c r="J247" s="30" t="n">
        <v>0.05</v>
      </c>
      <c r="K247" s="32">
        <f>D247*J247</f>
        <v/>
      </c>
      <c r="M247" s="32">
        <f>D247*4%</f>
        <v/>
      </c>
      <c r="N247" s="49">
        <f>M247+L247+K247+H247+G247+F247+E247+D247</f>
        <v/>
      </c>
      <c r="O247" s="32">
        <f>D247*1%</f>
        <v/>
      </c>
      <c r="P247" s="7">
        <f>N247*8%</f>
        <v/>
      </c>
      <c r="Q247" s="7">
        <f>N247*10%</f>
        <v/>
      </c>
      <c r="R247" s="7">
        <f>N247*5%</f>
        <v/>
      </c>
      <c r="S247" s="7">
        <f>N247*2%</f>
        <v/>
      </c>
      <c r="T247" s="7">
        <f>AE247*0.5%</f>
        <v/>
      </c>
      <c r="U247" s="7">
        <f>N247*1%</f>
        <v/>
      </c>
      <c r="V247" s="49">
        <f>U247+S247+R247+Q247+P247+O247</f>
        <v/>
      </c>
      <c r="W247" s="32">
        <f>AE247*1%</f>
        <v/>
      </c>
      <c r="X247" s="32">
        <f>AE247*10%</f>
        <v/>
      </c>
      <c r="Y247" s="32">
        <f>AE247*1%</f>
        <v/>
      </c>
      <c r="Z247" s="32">
        <f>AE247*8%</f>
        <v/>
      </c>
      <c r="AA247" s="32">
        <f>W247+X247+Y247+Z247</f>
        <v/>
      </c>
      <c r="AB247" s="31">
        <f>AA247+V247+N247</f>
        <v/>
      </c>
      <c r="AC247" s="6">
        <f>AB247*20%</f>
        <v/>
      </c>
      <c r="AD247" s="32">
        <f>AB247+AC247</f>
        <v/>
      </c>
      <c r="AE247" s="32">
        <f>D247*2.1</f>
        <v/>
      </c>
      <c r="AF247" s="7">
        <f>AD247-AE247</f>
        <v/>
      </c>
      <c r="AG247" s="7">
        <f>AF247/AD247*100</f>
        <v/>
      </c>
      <c r="AH247" s="0" t="n">
        <v>24500</v>
      </c>
      <c r="AI247" s="33" t="n"/>
      <c r="AJ247" s="34">
        <f>AD247</f>
        <v/>
      </c>
      <c r="AK247" s="34">
        <f>AJ247-(AJ247*7%)</f>
        <v/>
      </c>
      <c r="AL247" s="35">
        <f>AJ247/94</f>
        <v/>
      </c>
      <c r="AM247" s="35">
        <f>AK247/94</f>
        <v/>
      </c>
      <c r="AN247" s="36">
        <f>AJ247/24</f>
        <v/>
      </c>
      <c r="AO247" s="36">
        <f>AK247/24</f>
        <v/>
      </c>
      <c r="AP247" s="37">
        <f>AJ247/125</f>
        <v/>
      </c>
      <c r="AQ247" s="37">
        <f>AK247/125</f>
        <v/>
      </c>
    </row>
    <row r="248" ht="15.75" customHeight="1" s="50">
      <c r="A248" s="32" t="n"/>
      <c r="B248" s="32" t="inlineStr">
        <is>
          <t>Tara / 6 in</t>
        </is>
      </c>
      <c r="C248" s="32" t="inlineStr">
        <is>
          <t>MI-SB-H-ET-T-6</t>
        </is>
      </c>
      <c r="D248" s="32" t="inlineStr">
        <is>
          <t>Parasonjeet</t>
        </is>
      </c>
      <c r="E248" s="32" t="n">
        <v>125</v>
      </c>
      <c r="F248" s="32" t="n">
        <v>65</v>
      </c>
      <c r="G248" s="32" t="n">
        <v>0</v>
      </c>
      <c r="H248" s="32" t="n">
        <v>10</v>
      </c>
      <c r="I248" s="41" t="n">
        <v>83061000</v>
      </c>
      <c r="J248" s="30" t="n">
        <v>0.05</v>
      </c>
      <c r="K248" s="32">
        <f>D248*J248</f>
        <v/>
      </c>
      <c r="M248" s="32">
        <f>D248*4%</f>
        <v/>
      </c>
      <c r="N248" s="49">
        <f>M248+L248+K248+H248+G248+F248+E248+D248</f>
        <v/>
      </c>
      <c r="O248" s="32">
        <f>D248*1%</f>
        <v/>
      </c>
      <c r="P248" s="7">
        <f>N248*8%</f>
        <v/>
      </c>
      <c r="Q248" s="7">
        <f>N248*10%</f>
        <v/>
      </c>
      <c r="R248" s="7">
        <f>N248*5%</f>
        <v/>
      </c>
      <c r="S248" s="7">
        <f>N248*2%</f>
        <v/>
      </c>
      <c r="T248" s="7">
        <f>AE248*0.5%</f>
        <v/>
      </c>
      <c r="U248" s="7">
        <f>N248*1%</f>
        <v/>
      </c>
      <c r="V248" s="49">
        <f>U248+S248+R248+Q248+P248+O248</f>
        <v/>
      </c>
      <c r="W248" s="32">
        <f>AE248*1%</f>
        <v/>
      </c>
      <c r="X248" s="32">
        <f>AE248*10%</f>
        <v/>
      </c>
      <c r="Y248" s="32">
        <f>AE248*1%</f>
        <v/>
      </c>
      <c r="Z248" s="32">
        <f>AE248*8%</f>
        <v/>
      </c>
      <c r="AA248" s="32">
        <f>W248+X248+Y248+Z248</f>
        <v/>
      </c>
      <c r="AB248" s="31">
        <f>AA248+V248+N248</f>
        <v/>
      </c>
      <c r="AC248" s="6">
        <f>AB248*20%</f>
        <v/>
      </c>
      <c r="AD248" s="32">
        <f>AB248+AC248</f>
        <v/>
      </c>
      <c r="AE248" s="32">
        <f>D248*2.1</f>
        <v/>
      </c>
      <c r="AF248" s="7">
        <f>AD248-AE248</f>
        <v/>
      </c>
      <c r="AG248" s="7">
        <f>AF248/AD248*100</f>
        <v/>
      </c>
      <c r="AH248" s="0" t="n">
        <v>10500</v>
      </c>
      <c r="AI248" s="33" t="n"/>
      <c r="AJ248" s="34">
        <f>AD248</f>
        <v/>
      </c>
      <c r="AK248" s="34">
        <f>AJ248-(AJ248*7%)</f>
        <v/>
      </c>
      <c r="AL248" s="35">
        <f>AJ248/94</f>
        <v/>
      </c>
      <c r="AM248" s="35">
        <f>AK248/94</f>
        <v/>
      </c>
      <c r="AN248" s="36">
        <f>AJ248/24</f>
        <v/>
      </c>
      <c r="AO248" s="36">
        <f>AK248/24</f>
        <v/>
      </c>
      <c r="AP248" s="37">
        <f>AJ248/125</f>
        <v/>
      </c>
      <c r="AQ248" s="37">
        <f>AK248/125</f>
        <v/>
      </c>
    </row>
    <row r="249" ht="15.75" customHeight="1" s="50">
      <c r="A249" s="32" t="n"/>
      <c r="B249" s="32" t="inlineStr">
        <is>
          <t>Tara / 7 in</t>
        </is>
      </c>
      <c r="C249" s="32" t="inlineStr">
        <is>
          <t>MI-SB-H-ET-T-7</t>
        </is>
      </c>
      <c r="D249" s="32" t="inlineStr">
        <is>
          <t>Parasonjeet</t>
        </is>
      </c>
      <c r="E249" s="32" t="n">
        <v>125</v>
      </c>
      <c r="F249" s="32" t="n">
        <v>65</v>
      </c>
      <c r="G249" s="32" t="n">
        <v>0</v>
      </c>
      <c r="H249" s="32" t="n">
        <v>10</v>
      </c>
      <c r="I249" s="41" t="n">
        <v>83061000</v>
      </c>
      <c r="J249" s="30" t="n">
        <v>0.05</v>
      </c>
      <c r="K249" s="32">
        <f>D249*J249</f>
        <v/>
      </c>
      <c r="M249" s="32">
        <f>D249*4%</f>
        <v/>
      </c>
      <c r="N249" s="49">
        <f>M249+L249+K249+H249+G249+F249+E249+D249</f>
        <v/>
      </c>
      <c r="O249" s="32">
        <f>D249*1%</f>
        <v/>
      </c>
      <c r="P249" s="7">
        <f>N249*8%</f>
        <v/>
      </c>
      <c r="Q249" s="7">
        <f>N249*10%</f>
        <v/>
      </c>
      <c r="R249" s="7">
        <f>N249*5%</f>
        <v/>
      </c>
      <c r="S249" s="7">
        <f>N249*2%</f>
        <v/>
      </c>
      <c r="T249" s="7">
        <f>AE249*0.5%</f>
        <v/>
      </c>
      <c r="U249" s="7">
        <f>N249*1%</f>
        <v/>
      </c>
      <c r="V249" s="49">
        <f>U249+S249+R249+Q249+P249+O249</f>
        <v/>
      </c>
      <c r="W249" s="32">
        <f>AE249*1%</f>
        <v/>
      </c>
      <c r="X249" s="32">
        <f>AE249*10%</f>
        <v/>
      </c>
      <c r="Y249" s="32">
        <f>AE249*1%</f>
        <v/>
      </c>
      <c r="Z249" s="32">
        <f>AE249*8%</f>
        <v/>
      </c>
      <c r="AA249" s="32">
        <f>W249+X249+Y249+Z249</f>
        <v/>
      </c>
      <c r="AB249" s="31">
        <f>AA249+V249+N249</f>
        <v/>
      </c>
      <c r="AC249" s="6">
        <f>AB249*20%</f>
        <v/>
      </c>
      <c r="AD249" s="32">
        <f>AB249+AC249</f>
        <v/>
      </c>
      <c r="AE249" s="32">
        <f>D249*2.1</f>
        <v/>
      </c>
      <c r="AF249" s="7">
        <f>AD249-AE249</f>
        <v/>
      </c>
      <c r="AG249" s="7">
        <f>AF249/AD249*100</f>
        <v/>
      </c>
      <c r="AH249" s="0" t="n">
        <v>12500</v>
      </c>
      <c r="AI249" s="33" t="n"/>
      <c r="AJ249" s="34">
        <f>AD249</f>
        <v/>
      </c>
      <c r="AK249" s="34">
        <f>AJ249-(AJ249*7%)</f>
        <v/>
      </c>
      <c r="AL249" s="35">
        <f>AJ249/94</f>
        <v/>
      </c>
      <c r="AM249" s="35">
        <f>AK249/94</f>
        <v/>
      </c>
      <c r="AN249" s="36">
        <f>AJ249/24</f>
        <v/>
      </c>
      <c r="AO249" s="36">
        <f>AK249/24</f>
        <v/>
      </c>
      <c r="AP249" s="37">
        <f>AJ249/125</f>
        <v/>
      </c>
      <c r="AQ249" s="37">
        <f>AK249/125</f>
        <v/>
      </c>
    </row>
    <row r="250" ht="15.75" customHeight="1" s="50">
      <c r="A250" s="32" t="n"/>
      <c r="B250" s="32" t="inlineStr">
        <is>
          <t>8 in / Tara</t>
        </is>
      </c>
      <c r="C250" s="32" t="inlineStr">
        <is>
          <t>MI-SB-H-ET-T-8</t>
        </is>
      </c>
      <c r="D250" s="32" t="inlineStr">
        <is>
          <t>Parasonjeet</t>
        </is>
      </c>
      <c r="E250" s="32" t="n">
        <v>145</v>
      </c>
      <c r="F250" s="32" t="n">
        <v>80</v>
      </c>
      <c r="G250" s="32" t="n">
        <v>0</v>
      </c>
      <c r="H250" s="32" t="n">
        <v>10</v>
      </c>
      <c r="I250" s="41" t="n">
        <v>83061000</v>
      </c>
      <c r="J250" s="30" t="n">
        <v>0.05</v>
      </c>
      <c r="K250" s="32">
        <f>D250*J250</f>
        <v/>
      </c>
      <c r="M250" s="32">
        <f>D250*4%</f>
        <v/>
      </c>
      <c r="N250" s="49">
        <f>M250+L250+K250+H250+G250+F250+E250+D250</f>
        <v/>
      </c>
      <c r="O250" s="32">
        <f>D250*1%</f>
        <v/>
      </c>
      <c r="P250" s="7">
        <f>N250*8%</f>
        <v/>
      </c>
      <c r="Q250" s="7">
        <f>N250*10%</f>
        <v/>
      </c>
      <c r="R250" s="7">
        <f>N250*5%</f>
        <v/>
      </c>
      <c r="S250" s="7">
        <f>N250*2%</f>
        <v/>
      </c>
      <c r="T250" s="7">
        <f>AE250*0.5%</f>
        <v/>
      </c>
      <c r="U250" s="7">
        <f>N250*1%</f>
        <v/>
      </c>
      <c r="V250" s="49">
        <f>U250+S250+R250+Q250+P250+O250</f>
        <v/>
      </c>
      <c r="W250" s="32">
        <f>AE250*1%</f>
        <v/>
      </c>
      <c r="X250" s="32">
        <f>AE250*10%</f>
        <v/>
      </c>
      <c r="Y250" s="32">
        <f>AE250*1%</f>
        <v/>
      </c>
      <c r="Z250" s="32">
        <f>AE250*8%</f>
        <v/>
      </c>
      <c r="AA250" s="32">
        <f>W250+X250+Y250+Z250</f>
        <v/>
      </c>
      <c r="AB250" s="31">
        <f>AA250+V250+N250</f>
        <v/>
      </c>
      <c r="AC250" s="6">
        <f>AB250*20%</f>
        <v/>
      </c>
      <c r="AD250" s="32">
        <f>AB250+AC250</f>
        <v/>
      </c>
      <c r="AE250" s="32">
        <f>D250*2.1</f>
        <v/>
      </c>
      <c r="AF250" s="7">
        <f>AD250-AE250</f>
        <v/>
      </c>
      <c r="AG250" s="7">
        <f>AF250/AD250*100</f>
        <v/>
      </c>
      <c r="AH250" s="0" t="n">
        <v>14500</v>
      </c>
      <c r="AI250" s="33" t="n"/>
      <c r="AJ250" s="34">
        <f>AD250</f>
        <v/>
      </c>
      <c r="AK250" s="34">
        <f>AJ250-(AJ250*7%)</f>
        <v/>
      </c>
      <c r="AL250" s="35">
        <f>AJ250/94</f>
        <v/>
      </c>
      <c r="AM250" s="35">
        <f>AK250/94</f>
        <v/>
      </c>
      <c r="AN250" s="36">
        <f>AJ250/24</f>
        <v/>
      </c>
      <c r="AO250" s="36">
        <f>AK250/24</f>
        <v/>
      </c>
      <c r="AP250" s="37">
        <f>AJ250/125</f>
        <v/>
      </c>
      <c r="AQ250" s="37">
        <f>AK250/125</f>
        <v/>
      </c>
    </row>
    <row r="251" ht="15.75" customHeight="1" s="50">
      <c r="A251" s="32" t="n"/>
      <c r="B251" s="32" t="inlineStr">
        <is>
          <t>Tara / 9 in</t>
        </is>
      </c>
      <c r="C251" s="32" t="inlineStr">
        <is>
          <t>MI-SB-H-ET-T-9</t>
        </is>
      </c>
      <c r="D251" s="32" t="inlineStr">
        <is>
          <t>Parasonjeet</t>
        </is>
      </c>
      <c r="E251" s="32" t="n">
        <v>145</v>
      </c>
      <c r="F251" s="32" t="n">
        <v>80</v>
      </c>
      <c r="G251" s="32" t="n">
        <v>0</v>
      </c>
      <c r="H251" s="32" t="n">
        <v>10</v>
      </c>
      <c r="I251" s="41" t="n">
        <v>83061000</v>
      </c>
      <c r="J251" s="30" t="n">
        <v>0.05</v>
      </c>
      <c r="K251" s="32">
        <f>D251*J251</f>
        <v/>
      </c>
      <c r="M251" s="32">
        <f>D251*4%</f>
        <v/>
      </c>
      <c r="N251" s="49">
        <f>M251+L251+K251+H251+G251+F251+E251+D251</f>
        <v/>
      </c>
      <c r="O251" s="32">
        <f>D251*1%</f>
        <v/>
      </c>
      <c r="P251" s="7">
        <f>N251*8%</f>
        <v/>
      </c>
      <c r="Q251" s="7">
        <f>N251*10%</f>
        <v/>
      </c>
      <c r="R251" s="7">
        <f>N251*5%</f>
        <v/>
      </c>
      <c r="S251" s="7">
        <f>N251*2%</f>
        <v/>
      </c>
      <c r="T251" s="7">
        <f>AE251*0.5%</f>
        <v/>
      </c>
      <c r="U251" s="7">
        <f>N251*1%</f>
        <v/>
      </c>
      <c r="V251" s="49">
        <f>U251+S251+R251+Q251+P251+O251</f>
        <v/>
      </c>
      <c r="W251" s="32">
        <f>AE251*1%</f>
        <v/>
      </c>
      <c r="X251" s="32">
        <f>AE251*10%</f>
        <v/>
      </c>
      <c r="Y251" s="32">
        <f>AE251*1%</f>
        <v/>
      </c>
      <c r="Z251" s="32">
        <f>AE251*8%</f>
        <v/>
      </c>
      <c r="AA251" s="32">
        <f>W251+X251+Y251+Z251</f>
        <v/>
      </c>
      <c r="AB251" s="31">
        <f>AA251+V251+N251</f>
        <v/>
      </c>
      <c r="AC251" s="6">
        <f>AB251*20%</f>
        <v/>
      </c>
      <c r="AD251" s="32">
        <f>AB251+AC251</f>
        <v/>
      </c>
      <c r="AE251" s="32">
        <f>D251*2.1</f>
        <v/>
      </c>
      <c r="AF251" s="7">
        <f>AD251-AE251</f>
        <v/>
      </c>
      <c r="AG251" s="7">
        <f>AF251/AD251*100</f>
        <v/>
      </c>
      <c r="AH251" s="0" t="n">
        <v>16500</v>
      </c>
      <c r="AI251" s="33" t="n"/>
      <c r="AJ251" s="34">
        <f>AD251</f>
        <v/>
      </c>
      <c r="AK251" s="34">
        <f>AJ251-(AJ251*7%)</f>
        <v/>
      </c>
      <c r="AL251" s="35">
        <f>AJ251/94</f>
        <v/>
      </c>
      <c r="AM251" s="35">
        <f>AK251/94</f>
        <v/>
      </c>
      <c r="AN251" s="36">
        <f>AJ251/24</f>
        <v/>
      </c>
      <c r="AO251" s="36">
        <f>AK251/24</f>
        <v/>
      </c>
      <c r="AP251" s="37">
        <f>AJ251/125</f>
        <v/>
      </c>
      <c r="AQ251" s="37">
        <f>AK251/125</f>
        <v/>
      </c>
    </row>
    <row r="252" ht="15.75" customHeight="1" s="50">
      <c r="A252" s="32" t="n"/>
      <c r="B252" s="32" t="inlineStr">
        <is>
          <t>Yin Yang / 6 in</t>
        </is>
      </c>
      <c r="D252" s="32" t="inlineStr">
        <is>
          <t>Parasonjeet</t>
        </is>
      </c>
      <c r="E252" s="32" t="n">
        <v>125</v>
      </c>
      <c r="F252" s="32" t="n">
        <v>65</v>
      </c>
      <c r="G252" s="32" t="n">
        <v>0</v>
      </c>
      <c r="H252" s="32" t="n">
        <v>10</v>
      </c>
      <c r="I252" s="41" t="n">
        <v>83061000</v>
      </c>
      <c r="J252" s="30" t="n">
        <v>0.05</v>
      </c>
      <c r="K252" s="32">
        <f>D252*J252</f>
        <v/>
      </c>
      <c r="M252" s="32">
        <f>D252*4%</f>
        <v/>
      </c>
      <c r="N252" s="49">
        <f>M252+L252+K252+H252+G252+F252+E252+D252</f>
        <v/>
      </c>
      <c r="O252" s="32">
        <f>D252*1%</f>
        <v/>
      </c>
      <c r="P252" s="7">
        <f>N252*8%</f>
        <v/>
      </c>
      <c r="Q252" s="7">
        <f>N252*10%</f>
        <v/>
      </c>
      <c r="R252" s="7">
        <f>N252*5%</f>
        <v/>
      </c>
      <c r="S252" s="7">
        <f>N252*2%</f>
        <v/>
      </c>
      <c r="T252" s="7">
        <f>AE252*0.5%</f>
        <v/>
      </c>
      <c r="U252" s="7">
        <f>N252*1%</f>
        <v/>
      </c>
      <c r="V252" s="49">
        <f>U252+S252+R252+Q252+P252+O252</f>
        <v/>
      </c>
      <c r="W252" s="32">
        <f>AE252*1%</f>
        <v/>
      </c>
      <c r="X252" s="32">
        <f>AE252*10%</f>
        <v/>
      </c>
      <c r="Y252" s="32">
        <f>AE252*1%</f>
        <v/>
      </c>
      <c r="Z252" s="32">
        <f>AE252*8%</f>
        <v/>
      </c>
      <c r="AA252" s="32">
        <f>W252+X252+Y252+Z252</f>
        <v/>
      </c>
      <c r="AB252" s="31">
        <f>AA252+V252+N252</f>
        <v/>
      </c>
      <c r="AC252" s="6">
        <f>AB252*20%</f>
        <v/>
      </c>
      <c r="AD252" s="32">
        <f>AB252+AC252</f>
        <v/>
      </c>
      <c r="AE252" s="32">
        <f>D252*2.1</f>
        <v/>
      </c>
      <c r="AF252" s="7">
        <f>AD252-AE252</f>
        <v/>
      </c>
      <c r="AG252" s="7">
        <f>AF252/AD252*100</f>
        <v/>
      </c>
      <c r="AI252" s="33" t="n"/>
      <c r="AJ252" s="34">
        <f>AD252</f>
        <v/>
      </c>
      <c r="AK252" s="34">
        <f>AJ252-(AJ252*7%)</f>
        <v/>
      </c>
      <c r="AL252" s="35">
        <f>AJ252/94</f>
        <v/>
      </c>
      <c r="AM252" s="35">
        <f>AK252/94</f>
        <v/>
      </c>
      <c r="AN252" s="36">
        <f>AJ252/24</f>
        <v/>
      </c>
      <c r="AO252" s="36">
        <f>AK252/24</f>
        <v/>
      </c>
      <c r="AP252" s="37">
        <f>AJ252/125</f>
        <v/>
      </c>
      <c r="AQ252" s="37">
        <f>AK252/125</f>
        <v/>
      </c>
    </row>
    <row r="253" ht="15.75" customHeight="1" s="50">
      <c r="A253" s="32" t="n"/>
      <c r="B253" s="32" t="inlineStr">
        <is>
          <t>Yin Yang / 7 in</t>
        </is>
      </c>
      <c r="D253" s="32" t="inlineStr">
        <is>
          <t>Parasonjeet</t>
        </is>
      </c>
      <c r="E253" s="32" t="n">
        <v>125</v>
      </c>
      <c r="F253" s="32" t="n">
        <v>65</v>
      </c>
      <c r="G253" s="32" t="n">
        <v>0</v>
      </c>
      <c r="H253" s="32" t="n">
        <v>10</v>
      </c>
      <c r="I253" s="41" t="n">
        <v>83061000</v>
      </c>
      <c r="J253" s="30" t="n">
        <v>0.05</v>
      </c>
      <c r="K253" s="32">
        <f>D253*J253</f>
        <v/>
      </c>
      <c r="M253" s="32">
        <f>D253*4%</f>
        <v/>
      </c>
      <c r="N253" s="49">
        <f>M253+L253+K253+H253+G253+F253+E253+D253</f>
        <v/>
      </c>
      <c r="O253" s="32">
        <f>D253*1%</f>
        <v/>
      </c>
      <c r="P253" s="7">
        <f>N253*8%</f>
        <v/>
      </c>
      <c r="Q253" s="7">
        <f>N253*10%</f>
        <v/>
      </c>
      <c r="R253" s="7">
        <f>N253*5%</f>
        <v/>
      </c>
      <c r="S253" s="7">
        <f>N253*2%</f>
        <v/>
      </c>
      <c r="T253" s="7">
        <f>AE253*0.5%</f>
        <v/>
      </c>
      <c r="U253" s="7">
        <f>N253*1%</f>
        <v/>
      </c>
      <c r="V253" s="49">
        <f>U253+S253+R253+Q253+P253+O253</f>
        <v/>
      </c>
      <c r="W253" s="32">
        <f>AE253*1%</f>
        <v/>
      </c>
      <c r="X253" s="32">
        <f>AE253*10%</f>
        <v/>
      </c>
      <c r="Y253" s="32">
        <f>AE253*1%</f>
        <v/>
      </c>
      <c r="Z253" s="32">
        <f>AE253*8%</f>
        <v/>
      </c>
      <c r="AA253" s="32">
        <f>W253+X253+Y253+Z253</f>
        <v/>
      </c>
      <c r="AB253" s="31">
        <f>AA253+V253+N253</f>
        <v/>
      </c>
      <c r="AC253" s="6">
        <f>AB253*20%</f>
        <v/>
      </c>
      <c r="AD253" s="32">
        <f>AB253+AC253</f>
        <v/>
      </c>
      <c r="AE253" s="32">
        <f>D253*2.1</f>
        <v/>
      </c>
      <c r="AF253" s="7">
        <f>AD253-AE253</f>
        <v/>
      </c>
      <c r="AG253" s="7">
        <f>AF253/AD253*100</f>
        <v/>
      </c>
      <c r="AI253" s="33" t="n"/>
      <c r="AJ253" s="34">
        <f>AD253</f>
        <v/>
      </c>
      <c r="AK253" s="34">
        <f>AJ253-(AJ253*7%)</f>
        <v/>
      </c>
      <c r="AL253" s="35">
        <f>AJ253/94</f>
        <v/>
      </c>
      <c r="AM253" s="35">
        <f>AK253/94</f>
        <v/>
      </c>
      <c r="AN253" s="36">
        <f>AJ253/24</f>
        <v/>
      </c>
      <c r="AO253" s="36">
        <f>AK253/24</f>
        <v/>
      </c>
      <c r="AP253" s="37">
        <f>AJ253/125</f>
        <v/>
      </c>
      <c r="AQ253" s="37">
        <f>AK253/125</f>
        <v/>
      </c>
    </row>
    <row r="254" ht="15.75" customHeight="1" s="50">
      <c r="A254" s="32" t="n"/>
      <c r="B254" s="32" t="inlineStr">
        <is>
          <t>8 in / Yin Yang</t>
        </is>
      </c>
      <c r="D254" s="32" t="inlineStr">
        <is>
          <t>Parasonjeet</t>
        </is>
      </c>
      <c r="E254" s="32" t="n">
        <v>145</v>
      </c>
      <c r="F254" s="32" t="n">
        <v>80</v>
      </c>
      <c r="G254" s="32" t="n">
        <v>0</v>
      </c>
      <c r="H254" s="32" t="n">
        <v>10</v>
      </c>
      <c r="I254" s="41" t="n">
        <v>83061000</v>
      </c>
      <c r="J254" s="30" t="n">
        <v>0.05</v>
      </c>
      <c r="K254" s="32">
        <f>D254*J254</f>
        <v/>
      </c>
      <c r="M254" s="32">
        <f>D254*4%</f>
        <v/>
      </c>
      <c r="N254" s="49">
        <f>M254+L254+K254+H254+G254+F254+E254+D254</f>
        <v/>
      </c>
      <c r="O254" s="32">
        <f>D254*1%</f>
        <v/>
      </c>
      <c r="P254" s="7">
        <f>N254*8%</f>
        <v/>
      </c>
      <c r="Q254" s="7">
        <f>N254*10%</f>
        <v/>
      </c>
      <c r="R254" s="7">
        <f>N254*5%</f>
        <v/>
      </c>
      <c r="S254" s="7">
        <f>N254*2%</f>
        <v/>
      </c>
      <c r="T254" s="7">
        <f>AE254*0.5%</f>
        <v/>
      </c>
      <c r="U254" s="7">
        <f>N254*1%</f>
        <v/>
      </c>
      <c r="V254" s="49">
        <f>U254+S254+R254+Q254+P254+O254</f>
        <v/>
      </c>
      <c r="W254" s="32">
        <f>AE254*1%</f>
        <v/>
      </c>
      <c r="X254" s="32">
        <f>AE254*10%</f>
        <v/>
      </c>
      <c r="Y254" s="32">
        <f>AE254*1%</f>
        <v/>
      </c>
      <c r="Z254" s="32">
        <f>AE254*8%</f>
        <v/>
      </c>
      <c r="AA254" s="32">
        <f>W254+X254+Y254+Z254</f>
        <v/>
      </c>
      <c r="AB254" s="31">
        <f>AA254+V254+N254</f>
        <v/>
      </c>
      <c r="AC254" s="6">
        <f>AB254*20%</f>
        <v/>
      </c>
      <c r="AD254" s="32">
        <f>AB254+AC254</f>
        <v/>
      </c>
      <c r="AE254" s="32">
        <f>D254*2.1</f>
        <v/>
      </c>
      <c r="AF254" s="7">
        <f>AD254-AE254</f>
        <v/>
      </c>
      <c r="AG254" s="7">
        <f>AF254/AD254*100</f>
        <v/>
      </c>
      <c r="AI254" s="33" t="n"/>
      <c r="AJ254" s="34">
        <f>AD254</f>
        <v/>
      </c>
      <c r="AK254" s="34">
        <f>AJ254-(AJ254*7%)</f>
        <v/>
      </c>
      <c r="AL254" s="35">
        <f>AJ254/94</f>
        <v/>
      </c>
      <c r="AM254" s="35">
        <f>AK254/94</f>
        <v/>
      </c>
      <c r="AN254" s="36">
        <f>AJ254/24</f>
        <v/>
      </c>
      <c r="AO254" s="36">
        <f>AK254/24</f>
        <v/>
      </c>
      <c r="AP254" s="37">
        <f>AJ254/125</f>
        <v/>
      </c>
      <c r="AQ254" s="37">
        <f>AK254/125</f>
        <v/>
      </c>
    </row>
    <row r="255" ht="15.75" customHeight="1" s="50">
      <c r="A255" s="32" t="n"/>
      <c r="B255" s="32" t="inlineStr">
        <is>
          <t>Yin Yang / 9 in</t>
        </is>
      </c>
      <c r="D255" s="32" t="inlineStr">
        <is>
          <t>Parasonjeet</t>
        </is>
      </c>
      <c r="E255" s="32" t="n">
        <v>145</v>
      </c>
      <c r="F255" s="32" t="n">
        <v>80</v>
      </c>
      <c r="G255" s="32" t="n">
        <v>0</v>
      </c>
      <c r="H255" s="32" t="n">
        <v>10</v>
      </c>
      <c r="I255" s="41" t="n">
        <v>83061000</v>
      </c>
      <c r="J255" s="30" t="n">
        <v>0.05</v>
      </c>
      <c r="K255" s="32">
        <f>D255*J255</f>
        <v/>
      </c>
      <c r="M255" s="32">
        <f>D255*4%</f>
        <v/>
      </c>
      <c r="N255" s="49">
        <f>M255+L255+K255+H255+G255+F255+E255+D255</f>
        <v/>
      </c>
      <c r="O255" s="32">
        <f>D255*1%</f>
        <v/>
      </c>
      <c r="P255" s="7">
        <f>N255*8%</f>
        <v/>
      </c>
      <c r="Q255" s="7">
        <f>N255*10%</f>
        <v/>
      </c>
      <c r="R255" s="7">
        <f>N255*5%</f>
        <v/>
      </c>
      <c r="S255" s="7">
        <f>N255*2%</f>
        <v/>
      </c>
      <c r="T255" s="7">
        <f>AE255*0.5%</f>
        <v/>
      </c>
      <c r="U255" s="7">
        <f>N255*1%</f>
        <v/>
      </c>
      <c r="V255" s="49">
        <f>U255+S255+R255+Q255+P255+O255</f>
        <v/>
      </c>
      <c r="W255" s="32">
        <f>AE255*1%</f>
        <v/>
      </c>
      <c r="X255" s="32">
        <f>AE255*10%</f>
        <v/>
      </c>
      <c r="Y255" s="32">
        <f>AE255*1%</f>
        <v/>
      </c>
      <c r="Z255" s="32">
        <f>AE255*8%</f>
        <v/>
      </c>
      <c r="AA255" s="32">
        <f>W255+X255+Y255+Z255</f>
        <v/>
      </c>
      <c r="AB255" s="31">
        <f>AA255+V255+N255</f>
        <v/>
      </c>
      <c r="AC255" s="6">
        <f>AB255*20%</f>
        <v/>
      </c>
      <c r="AD255" s="32">
        <f>AB255+AC255</f>
        <v/>
      </c>
      <c r="AE255" s="32">
        <f>D255*2.1</f>
        <v/>
      </c>
      <c r="AF255" s="7">
        <f>AD255-AE255</f>
        <v/>
      </c>
      <c r="AG255" s="7">
        <f>AF255/AD255*100</f>
        <v/>
      </c>
      <c r="AI255" s="33" t="n"/>
      <c r="AJ255" s="34">
        <f>AD255</f>
        <v/>
      </c>
      <c r="AK255" s="34">
        <f>AJ255-(AJ255*7%)</f>
        <v/>
      </c>
      <c r="AL255" s="35">
        <f>AJ255/94</f>
        <v/>
      </c>
      <c r="AM255" s="35">
        <f>AK255/94</f>
        <v/>
      </c>
      <c r="AN255" s="36">
        <f>AJ255/24</f>
        <v/>
      </c>
      <c r="AO255" s="36">
        <f>AK255/24</f>
        <v/>
      </c>
      <c r="AP255" s="37">
        <f>AJ255/125</f>
        <v/>
      </c>
      <c r="AQ255" s="37">
        <f>AK255/125</f>
        <v/>
      </c>
    </row>
    <row r="256" ht="15.75" customHeight="1" s="50">
      <c r="A256" s="32" t="n"/>
      <c r="B256" s="32" t="inlineStr">
        <is>
          <t>Yin Yang / 10 in</t>
        </is>
      </c>
      <c r="D256" s="32" t="inlineStr">
        <is>
          <t>Parasonjeet</t>
        </is>
      </c>
      <c r="E256" s="32" t="n">
        <v>145</v>
      </c>
      <c r="F256" s="32" t="n">
        <v>80</v>
      </c>
      <c r="G256" s="32" t="n">
        <v>0</v>
      </c>
      <c r="H256" s="32" t="n">
        <v>10</v>
      </c>
      <c r="I256" s="41" t="n">
        <v>83061000</v>
      </c>
      <c r="J256" s="30" t="n">
        <v>0.05</v>
      </c>
      <c r="K256" s="32">
        <f>D256*J256</f>
        <v/>
      </c>
      <c r="M256" s="32">
        <f>D256*4%</f>
        <v/>
      </c>
      <c r="N256" s="49">
        <f>M256+L256+K256+H256+G256+F256+E256+D256</f>
        <v/>
      </c>
      <c r="O256" s="32">
        <f>D256*1%</f>
        <v/>
      </c>
      <c r="P256" s="7">
        <f>N256*8%</f>
        <v/>
      </c>
      <c r="Q256" s="7">
        <f>N256*10%</f>
        <v/>
      </c>
      <c r="R256" s="7">
        <f>N256*5%</f>
        <v/>
      </c>
      <c r="S256" s="7">
        <f>N256*2%</f>
        <v/>
      </c>
      <c r="T256" s="7">
        <f>AE256*0.5%</f>
        <v/>
      </c>
      <c r="U256" s="7">
        <f>N256*1%</f>
        <v/>
      </c>
      <c r="V256" s="49">
        <f>U256+S256+R256+Q256+P256+O256</f>
        <v/>
      </c>
      <c r="W256" s="32">
        <f>AE256*1%</f>
        <v/>
      </c>
      <c r="X256" s="32">
        <f>AE256*10%</f>
        <v/>
      </c>
      <c r="Y256" s="32">
        <f>AE256*1%</f>
        <v/>
      </c>
      <c r="Z256" s="32">
        <f>AE256*8%</f>
        <v/>
      </c>
      <c r="AA256" s="32">
        <f>W256+X256+Y256+Z256</f>
        <v/>
      </c>
      <c r="AB256" s="31">
        <f>AA256+V256+N256</f>
        <v/>
      </c>
      <c r="AC256" s="6">
        <f>AB256*20%</f>
        <v/>
      </c>
      <c r="AD256" s="32">
        <f>AB256+AC256</f>
        <v/>
      </c>
      <c r="AE256" s="32">
        <f>D256*2.1</f>
        <v/>
      </c>
      <c r="AF256" s="7">
        <f>AD256-AE256</f>
        <v/>
      </c>
      <c r="AG256" s="7">
        <f>AF256/AD256*100</f>
        <v/>
      </c>
      <c r="AI256" s="33" t="n"/>
      <c r="AJ256" s="34">
        <f>AD256</f>
        <v/>
      </c>
      <c r="AK256" s="34">
        <f>AJ256-(AJ256*7%)</f>
        <v/>
      </c>
      <c r="AL256" s="35">
        <f>AJ256/94</f>
        <v/>
      </c>
      <c r="AM256" s="35">
        <f>AK256/94</f>
        <v/>
      </c>
      <c r="AN256" s="36">
        <f>AJ256/24</f>
        <v/>
      </c>
      <c r="AO256" s="36">
        <f>AK256/24</f>
        <v/>
      </c>
      <c r="AP256" s="37">
        <f>AJ256/125</f>
        <v/>
      </c>
      <c r="AQ256" s="37">
        <f>AK256/125</f>
        <v/>
      </c>
    </row>
    <row r="257" ht="15.75" customHeight="1" s="50">
      <c r="A257" s="32" t="n"/>
      <c r="B257" s="32" t="inlineStr">
        <is>
          <t>Yin Yang / 11 in</t>
        </is>
      </c>
      <c r="D257" s="32" t="inlineStr">
        <is>
          <t>Parasonjeet</t>
        </is>
      </c>
      <c r="E257" s="32" t="n">
        <v>145</v>
      </c>
      <c r="F257" s="32" t="n">
        <v>80</v>
      </c>
      <c r="G257" s="32" t="n">
        <v>0</v>
      </c>
      <c r="H257" s="32" t="n">
        <v>10</v>
      </c>
      <c r="I257" s="41" t="n">
        <v>83061000</v>
      </c>
      <c r="J257" s="30" t="n">
        <v>0.05</v>
      </c>
      <c r="K257" s="32">
        <f>D257*J257</f>
        <v/>
      </c>
      <c r="M257" s="32">
        <f>D257*4%</f>
        <v/>
      </c>
      <c r="N257" s="49">
        <f>M257+L257+K257+H257+G257+F257+E257+D257</f>
        <v/>
      </c>
      <c r="O257" s="32">
        <f>D257*1%</f>
        <v/>
      </c>
      <c r="P257" s="7">
        <f>N257*8%</f>
        <v/>
      </c>
      <c r="Q257" s="7">
        <f>N257*10%</f>
        <v/>
      </c>
      <c r="R257" s="7">
        <f>N257*5%</f>
        <v/>
      </c>
      <c r="S257" s="7">
        <f>N257*2%</f>
        <v/>
      </c>
      <c r="T257" s="7">
        <f>AE257*0.5%</f>
        <v/>
      </c>
      <c r="U257" s="7">
        <f>N257*1%</f>
        <v/>
      </c>
      <c r="V257" s="49">
        <f>U257+S257+R257+Q257+P257+O257</f>
        <v/>
      </c>
      <c r="W257" s="32">
        <f>AE257*1%</f>
        <v/>
      </c>
      <c r="X257" s="32">
        <f>AE257*10%</f>
        <v/>
      </c>
      <c r="Y257" s="32">
        <f>AE257*1%</f>
        <v/>
      </c>
      <c r="Z257" s="32">
        <f>AE257*8%</f>
        <v/>
      </c>
      <c r="AA257" s="32">
        <f>W257+X257+Y257+Z257</f>
        <v/>
      </c>
      <c r="AB257" s="31">
        <f>AA257+V257+N257</f>
        <v/>
      </c>
      <c r="AC257" s="6">
        <f>AB257*20%</f>
        <v/>
      </c>
      <c r="AD257" s="32">
        <f>AB257+AC257</f>
        <v/>
      </c>
      <c r="AE257" s="32">
        <f>D257*2.1</f>
        <v/>
      </c>
      <c r="AF257" s="7">
        <f>AD257-AE257</f>
        <v/>
      </c>
      <c r="AG257" s="7">
        <f>AF257/AD257*100</f>
        <v/>
      </c>
      <c r="AI257" s="33" t="n"/>
      <c r="AJ257" s="34">
        <f>AD257</f>
        <v/>
      </c>
      <c r="AK257" s="34">
        <f>AJ257-(AJ257*7%)</f>
        <v/>
      </c>
      <c r="AL257" s="35">
        <f>AJ257/94</f>
        <v/>
      </c>
      <c r="AM257" s="35">
        <f>AK257/94</f>
        <v/>
      </c>
      <c r="AN257" s="36">
        <f>AJ257/24</f>
        <v/>
      </c>
      <c r="AO257" s="36">
        <f>AK257/24</f>
        <v/>
      </c>
      <c r="AP257" s="37">
        <f>AJ257/125</f>
        <v/>
      </c>
      <c r="AQ257" s="37">
        <f>AK257/125</f>
        <v/>
      </c>
    </row>
    <row r="258" ht="15.75" customHeight="1" s="50">
      <c r="A258" s="32" t="n"/>
      <c r="B258" s="32" t="inlineStr">
        <is>
          <t>Yin Yang / 12 in</t>
        </is>
      </c>
      <c r="D258" s="32" t="inlineStr">
        <is>
          <t>Parasonjeet</t>
        </is>
      </c>
      <c r="E258" s="32" t="n">
        <v>145</v>
      </c>
      <c r="F258" s="32" t="n">
        <v>90</v>
      </c>
      <c r="G258" s="32" t="n">
        <v>0</v>
      </c>
      <c r="H258" s="32" t="n">
        <v>10</v>
      </c>
      <c r="I258" s="41" t="n">
        <v>83061000</v>
      </c>
      <c r="J258" s="30" t="n">
        <v>0.05</v>
      </c>
      <c r="K258" s="32">
        <f>D258*J258</f>
        <v/>
      </c>
      <c r="M258" s="32">
        <f>D258*4%</f>
        <v/>
      </c>
      <c r="N258" s="49">
        <f>M258+L258+K258+H258+G258+F258+E258+D258</f>
        <v/>
      </c>
      <c r="O258" s="32">
        <f>D258*1%</f>
        <v/>
      </c>
      <c r="P258" s="7">
        <f>N258*8%</f>
        <v/>
      </c>
      <c r="Q258" s="7">
        <f>N258*10%</f>
        <v/>
      </c>
      <c r="R258" s="7">
        <f>N258*5%</f>
        <v/>
      </c>
      <c r="S258" s="7">
        <f>N258*2%</f>
        <v/>
      </c>
      <c r="T258" s="7">
        <f>AE258*0.5%</f>
        <v/>
      </c>
      <c r="U258" s="7">
        <f>N258*1%</f>
        <v/>
      </c>
      <c r="V258" s="49">
        <f>U258+S258+R258+Q258+P258+O258</f>
        <v/>
      </c>
      <c r="W258" s="32">
        <f>AE258*1%</f>
        <v/>
      </c>
      <c r="X258" s="32">
        <f>AE258*10%</f>
        <v/>
      </c>
      <c r="Y258" s="32">
        <f>AE258*1%</f>
        <v/>
      </c>
      <c r="Z258" s="32">
        <f>AE258*8%</f>
        <v/>
      </c>
      <c r="AA258" s="32">
        <f>W258+X258+Y258+Z258</f>
        <v/>
      </c>
      <c r="AB258" s="31">
        <f>AA258+V258+N258</f>
        <v/>
      </c>
      <c r="AC258" s="6">
        <f>AB258*20%</f>
        <v/>
      </c>
      <c r="AD258" s="32">
        <f>AB258+AC258</f>
        <v/>
      </c>
      <c r="AE258" s="32">
        <f>D258*2.1</f>
        <v/>
      </c>
      <c r="AF258" s="7">
        <f>AD258-AE258</f>
        <v/>
      </c>
      <c r="AG258" s="7">
        <f>AF258/AD258*100</f>
        <v/>
      </c>
      <c r="AI258" s="33" t="n"/>
      <c r="AJ258" s="34">
        <f>AD258</f>
        <v/>
      </c>
      <c r="AK258" s="34">
        <f>AJ258-(AJ258*7%)</f>
        <v/>
      </c>
      <c r="AL258" s="35">
        <f>AJ258/94</f>
        <v/>
      </c>
      <c r="AM258" s="35">
        <f>AK258/94</f>
        <v/>
      </c>
      <c r="AN258" s="36">
        <f>AJ258/24</f>
        <v/>
      </c>
      <c r="AO258" s="36">
        <f>AK258/24</f>
        <v/>
      </c>
      <c r="AP258" s="37">
        <f>AJ258/125</f>
        <v/>
      </c>
      <c r="AQ258" s="37">
        <f>AK258/125</f>
        <v/>
      </c>
    </row>
    <row r="259" ht="15.75" customHeight="1" s="50">
      <c r="A259" s="32" t="n"/>
      <c r="B259" s="32" t="inlineStr">
        <is>
          <t>6 in / Mantra</t>
        </is>
      </c>
      <c r="D259" s="32" t="inlineStr">
        <is>
          <t>Parasonjeet</t>
        </is>
      </c>
      <c r="E259" s="32" t="n">
        <v>125</v>
      </c>
      <c r="F259" s="32" t="n">
        <v>65</v>
      </c>
      <c r="G259" s="32" t="n">
        <v>0</v>
      </c>
      <c r="H259" s="32" t="n">
        <v>10</v>
      </c>
      <c r="I259" s="41" t="n">
        <v>83061000</v>
      </c>
      <c r="J259" s="30" t="n">
        <v>0.05</v>
      </c>
      <c r="K259" s="32">
        <f>D259*J259</f>
        <v/>
      </c>
      <c r="M259" s="32">
        <f>D259*4%</f>
        <v/>
      </c>
      <c r="N259" s="49">
        <f>M259+L259+K259+H259+G259+F259+E259+D259</f>
        <v/>
      </c>
      <c r="O259" s="32">
        <f>D259*1%</f>
        <v/>
      </c>
      <c r="P259" s="7">
        <f>N259*8%</f>
        <v/>
      </c>
      <c r="Q259" s="7">
        <f>N259*10%</f>
        <v/>
      </c>
      <c r="R259" s="7">
        <f>N259*5%</f>
        <v/>
      </c>
      <c r="S259" s="7">
        <f>N259*2%</f>
        <v/>
      </c>
      <c r="T259" s="7">
        <f>AE259*0.5%</f>
        <v/>
      </c>
      <c r="U259" s="7">
        <f>N259*1%</f>
        <v/>
      </c>
      <c r="V259" s="49">
        <f>U259+S259+R259+Q259+P259+O259</f>
        <v/>
      </c>
      <c r="W259" s="32">
        <f>AE259*1%</f>
        <v/>
      </c>
      <c r="X259" s="32">
        <f>AE259*10%</f>
        <v/>
      </c>
      <c r="Y259" s="32">
        <f>AE259*1%</f>
        <v/>
      </c>
      <c r="Z259" s="32">
        <f>AE259*8%</f>
        <v/>
      </c>
      <c r="AA259" s="32">
        <f>W259+X259+Y259+Z259</f>
        <v/>
      </c>
      <c r="AB259" s="31">
        <f>AA259+V259+N259</f>
        <v/>
      </c>
      <c r="AC259" s="6">
        <f>AB259*20%</f>
        <v/>
      </c>
      <c r="AD259" s="32">
        <f>AB259+AC259</f>
        <v/>
      </c>
      <c r="AE259" s="32">
        <f>D259*2.1</f>
        <v/>
      </c>
      <c r="AF259" s="7">
        <f>AD259-AE259</f>
        <v/>
      </c>
      <c r="AG259" s="7">
        <f>AF259/AD259*100</f>
        <v/>
      </c>
      <c r="AI259" s="33" t="n"/>
      <c r="AJ259" s="34">
        <f>AD259</f>
        <v/>
      </c>
      <c r="AK259" s="34">
        <f>AJ259-(AJ259*7%)</f>
        <v/>
      </c>
      <c r="AL259" s="35">
        <f>AJ259/94</f>
        <v/>
      </c>
      <c r="AM259" s="35">
        <f>AK259/94</f>
        <v/>
      </c>
      <c r="AN259" s="36">
        <f>AJ259/24</f>
        <v/>
      </c>
      <c r="AO259" s="36">
        <f>AK259/24</f>
        <v/>
      </c>
      <c r="AP259" s="37">
        <f>AJ259/125</f>
        <v/>
      </c>
      <c r="AQ259" s="37">
        <f>AK259/125</f>
        <v/>
      </c>
    </row>
    <row r="260" ht="15.75" customHeight="1" s="50">
      <c r="A260" s="32" t="n"/>
      <c r="B260" s="32" t="inlineStr">
        <is>
          <t>7 in / Mantra</t>
        </is>
      </c>
      <c r="D260" s="32" t="inlineStr">
        <is>
          <t>Parasonjeet</t>
        </is>
      </c>
      <c r="E260" s="32" t="n">
        <v>125</v>
      </c>
      <c r="F260" s="32" t="n">
        <v>65</v>
      </c>
      <c r="G260" s="32" t="n">
        <v>0</v>
      </c>
      <c r="H260" s="32" t="n">
        <v>10</v>
      </c>
      <c r="I260" s="41" t="n">
        <v>83061000</v>
      </c>
      <c r="J260" s="30" t="n">
        <v>0.05</v>
      </c>
      <c r="K260" s="32">
        <f>D260*J260</f>
        <v/>
      </c>
      <c r="M260" s="32">
        <f>D260*4%</f>
        <v/>
      </c>
      <c r="N260" s="49">
        <f>M260+L260+K260+H260+G260+F260+E260+D260</f>
        <v/>
      </c>
      <c r="O260" s="32">
        <f>D260*1%</f>
        <v/>
      </c>
      <c r="P260" s="7">
        <f>N260*8%</f>
        <v/>
      </c>
      <c r="Q260" s="7">
        <f>N260*10%</f>
        <v/>
      </c>
      <c r="R260" s="7">
        <f>N260*5%</f>
        <v/>
      </c>
      <c r="S260" s="7">
        <f>N260*2%</f>
        <v/>
      </c>
      <c r="T260" s="7">
        <f>AE260*0.5%</f>
        <v/>
      </c>
      <c r="U260" s="7">
        <f>N260*1%</f>
        <v/>
      </c>
      <c r="V260" s="49">
        <f>U260+S260+R260+Q260+P260+O260</f>
        <v/>
      </c>
      <c r="W260" s="32">
        <f>AE260*1%</f>
        <v/>
      </c>
      <c r="X260" s="32">
        <f>AE260*10%</f>
        <v/>
      </c>
      <c r="Y260" s="32">
        <f>AE260*1%</f>
        <v/>
      </c>
      <c r="Z260" s="32">
        <f>AE260*8%</f>
        <v/>
      </c>
      <c r="AA260" s="32">
        <f>W260+X260+Y260+Z260</f>
        <v/>
      </c>
      <c r="AB260" s="31">
        <f>AA260+V260+N260</f>
        <v/>
      </c>
      <c r="AC260" s="6">
        <f>AB260*20%</f>
        <v/>
      </c>
      <c r="AD260" s="32">
        <f>AB260+AC260</f>
        <v/>
      </c>
      <c r="AE260" s="32">
        <f>D260*2.1</f>
        <v/>
      </c>
      <c r="AF260" s="7">
        <f>AD260-AE260</f>
        <v/>
      </c>
      <c r="AG260" s="7">
        <f>AF260/AD260*100</f>
        <v/>
      </c>
      <c r="AI260" s="33" t="n"/>
      <c r="AJ260" s="34">
        <f>AD260</f>
        <v/>
      </c>
      <c r="AK260" s="34">
        <f>AJ260-(AJ260*7%)</f>
        <v/>
      </c>
      <c r="AL260" s="35">
        <f>AJ260/94</f>
        <v/>
      </c>
      <c r="AM260" s="35">
        <f>AK260/94</f>
        <v/>
      </c>
      <c r="AN260" s="36">
        <f>AJ260/24</f>
        <v/>
      </c>
      <c r="AO260" s="36">
        <f>AK260/24</f>
        <v/>
      </c>
      <c r="AP260" s="37">
        <f>AJ260/125</f>
        <v/>
      </c>
      <c r="AQ260" s="37">
        <f>AK260/125</f>
        <v/>
      </c>
    </row>
    <row r="261" ht="15.75" customHeight="1" s="50">
      <c r="A261" s="32" t="n"/>
      <c r="B261" s="32" t="inlineStr">
        <is>
          <t>8 in / Mantra</t>
        </is>
      </c>
      <c r="D261" s="32" t="inlineStr">
        <is>
          <t>Parasonjeet</t>
        </is>
      </c>
      <c r="E261" s="32" t="n">
        <v>145</v>
      </c>
      <c r="F261" s="32" t="n">
        <v>80</v>
      </c>
      <c r="G261" s="32" t="n">
        <v>0</v>
      </c>
      <c r="H261" s="32" t="n">
        <v>10</v>
      </c>
      <c r="I261" s="41" t="n">
        <v>83061000</v>
      </c>
      <c r="J261" s="30" t="n">
        <v>0.05</v>
      </c>
      <c r="K261" s="32">
        <f>D261*J261</f>
        <v/>
      </c>
      <c r="M261" s="32">
        <f>D261*4%</f>
        <v/>
      </c>
      <c r="N261" s="49">
        <f>M261+L261+K261+H261+G261+F261+E261+D261</f>
        <v/>
      </c>
      <c r="O261" s="32">
        <f>D261*1%</f>
        <v/>
      </c>
      <c r="P261" s="7">
        <f>N261*8%</f>
        <v/>
      </c>
      <c r="Q261" s="7">
        <f>N261*10%</f>
        <v/>
      </c>
      <c r="R261" s="7">
        <f>N261*5%</f>
        <v/>
      </c>
      <c r="S261" s="7">
        <f>N261*2%</f>
        <v/>
      </c>
      <c r="T261" s="7">
        <f>AE261*0.5%</f>
        <v/>
      </c>
      <c r="U261" s="7">
        <f>N261*1%</f>
        <v/>
      </c>
      <c r="V261" s="49">
        <f>U261+S261+R261+Q261+P261+O261</f>
        <v/>
      </c>
      <c r="W261" s="32">
        <f>AE261*1%</f>
        <v/>
      </c>
      <c r="X261" s="32">
        <f>AE261*10%</f>
        <v/>
      </c>
      <c r="Y261" s="32">
        <f>AE261*1%</f>
        <v/>
      </c>
      <c r="Z261" s="32">
        <f>AE261*8%</f>
        <v/>
      </c>
      <c r="AA261" s="32">
        <f>W261+X261+Y261+Z261</f>
        <v/>
      </c>
      <c r="AB261" s="31">
        <f>AA261+V261+N261</f>
        <v/>
      </c>
      <c r="AC261" s="6">
        <f>AB261*20%</f>
        <v/>
      </c>
      <c r="AD261" s="32">
        <f>AB261+AC261</f>
        <v/>
      </c>
      <c r="AE261" s="32">
        <f>D261*2.1</f>
        <v/>
      </c>
      <c r="AF261" s="7">
        <f>AD261-AE261</f>
        <v/>
      </c>
      <c r="AG261" s="7">
        <f>AF261/AD261*100</f>
        <v/>
      </c>
      <c r="AI261" s="33" t="n"/>
      <c r="AJ261" s="34">
        <f>AD261</f>
        <v/>
      </c>
      <c r="AK261" s="34">
        <f>AJ261-(AJ261*7%)</f>
        <v/>
      </c>
      <c r="AL261" s="35">
        <f>AJ261/94</f>
        <v/>
      </c>
      <c r="AM261" s="35">
        <f>AK261/94</f>
        <v/>
      </c>
      <c r="AN261" s="36">
        <f>AJ261/24</f>
        <v/>
      </c>
      <c r="AO261" s="36">
        <f>AK261/24</f>
        <v/>
      </c>
      <c r="AP261" s="37">
        <f>AJ261/125</f>
        <v/>
      </c>
      <c r="AQ261" s="37">
        <f>AK261/125</f>
        <v/>
      </c>
    </row>
    <row r="262" ht="15.75" customHeight="1" s="50">
      <c r="A262" s="32" t="n"/>
      <c r="B262" s="32" t="inlineStr">
        <is>
          <t>9 in / Mantra</t>
        </is>
      </c>
      <c r="D262" s="32" t="inlineStr">
        <is>
          <t>Parasonjeet</t>
        </is>
      </c>
      <c r="E262" s="32" t="n">
        <v>145</v>
      </c>
      <c r="F262" s="32" t="n">
        <v>80</v>
      </c>
      <c r="G262" s="32" t="n">
        <v>0</v>
      </c>
      <c r="H262" s="32" t="n">
        <v>10</v>
      </c>
      <c r="I262" s="41" t="n">
        <v>83061000</v>
      </c>
      <c r="J262" s="30" t="n">
        <v>0.05</v>
      </c>
      <c r="K262" s="32">
        <f>D262*J262</f>
        <v/>
      </c>
      <c r="M262" s="32">
        <f>D262*4%</f>
        <v/>
      </c>
      <c r="N262" s="49">
        <f>M262+L262+K262+H262+G262+F262+E262+D262</f>
        <v/>
      </c>
      <c r="O262" s="32">
        <f>D262*1%</f>
        <v/>
      </c>
      <c r="P262" s="7">
        <f>N262*8%</f>
        <v/>
      </c>
      <c r="Q262" s="7">
        <f>N262*10%</f>
        <v/>
      </c>
      <c r="R262" s="7">
        <f>N262*5%</f>
        <v/>
      </c>
      <c r="S262" s="7">
        <f>N262*2%</f>
        <v/>
      </c>
      <c r="T262" s="7">
        <f>AE262*0.5%</f>
        <v/>
      </c>
      <c r="U262" s="7">
        <f>N262*1%</f>
        <v/>
      </c>
      <c r="V262" s="49">
        <f>U262+S262+R262+Q262+P262+O262</f>
        <v/>
      </c>
      <c r="W262" s="32">
        <f>AE262*1%</f>
        <v/>
      </c>
      <c r="X262" s="32">
        <f>AE262*10%</f>
        <v/>
      </c>
      <c r="Y262" s="32">
        <f>AE262*1%</f>
        <v/>
      </c>
      <c r="Z262" s="32">
        <f>AE262*8%</f>
        <v/>
      </c>
      <c r="AA262" s="32">
        <f>W262+X262+Y262+Z262</f>
        <v/>
      </c>
      <c r="AB262" s="31">
        <f>AA262+V262+N262</f>
        <v/>
      </c>
      <c r="AC262" s="6">
        <f>AB262*20%</f>
        <v/>
      </c>
      <c r="AD262" s="32">
        <f>AB262+AC262</f>
        <v/>
      </c>
      <c r="AE262" s="32">
        <f>D262*2.1</f>
        <v/>
      </c>
      <c r="AF262" s="7">
        <f>AD262-AE262</f>
        <v/>
      </c>
      <c r="AG262" s="7">
        <f>AF262/AD262*100</f>
        <v/>
      </c>
      <c r="AI262" s="33" t="n"/>
      <c r="AJ262" s="34">
        <f>AD262</f>
        <v/>
      </c>
      <c r="AK262" s="34">
        <f>AJ262-(AJ262*7%)</f>
        <v/>
      </c>
      <c r="AL262" s="35">
        <f>AJ262/94</f>
        <v/>
      </c>
      <c r="AM262" s="35">
        <f>AK262/94</f>
        <v/>
      </c>
      <c r="AN262" s="36">
        <f>AJ262/24</f>
        <v/>
      </c>
      <c r="AO262" s="36">
        <f>AK262/24</f>
        <v/>
      </c>
      <c r="AP262" s="37">
        <f>AJ262/125</f>
        <v/>
      </c>
      <c r="AQ262" s="37">
        <f>AK262/125</f>
        <v/>
      </c>
    </row>
    <row r="263" ht="15.75" customHeight="1" s="50">
      <c r="A263" s="32" t="n"/>
      <c r="B263" s="32" t="inlineStr">
        <is>
          <t>10 in / Mantra</t>
        </is>
      </c>
      <c r="D263" s="32" t="inlineStr">
        <is>
          <t>Parasonjeet</t>
        </is>
      </c>
      <c r="E263" s="32" t="n">
        <v>145</v>
      </c>
      <c r="F263" s="32" t="n">
        <v>80</v>
      </c>
      <c r="G263" s="32" t="n">
        <v>0</v>
      </c>
      <c r="H263" s="32" t="n">
        <v>10</v>
      </c>
      <c r="I263" s="41" t="n">
        <v>83061000</v>
      </c>
      <c r="J263" s="30" t="n">
        <v>0.05</v>
      </c>
      <c r="K263" s="32">
        <f>D263*J263</f>
        <v/>
      </c>
      <c r="M263" s="32">
        <f>D263*4%</f>
        <v/>
      </c>
      <c r="N263" s="49">
        <f>M263+L263+K263+H263+G263+F263+E263+D263</f>
        <v/>
      </c>
      <c r="O263" s="32">
        <f>D263*1%</f>
        <v/>
      </c>
      <c r="P263" s="7">
        <f>N263*8%</f>
        <v/>
      </c>
      <c r="Q263" s="7">
        <f>N263*10%</f>
        <v/>
      </c>
      <c r="R263" s="7">
        <f>N263*5%</f>
        <v/>
      </c>
      <c r="S263" s="7">
        <f>N263*2%</f>
        <v/>
      </c>
      <c r="T263" s="7">
        <f>AE263*0.5%</f>
        <v/>
      </c>
      <c r="U263" s="7">
        <f>N263*1%</f>
        <v/>
      </c>
      <c r="V263" s="49">
        <f>U263+S263+R263+Q263+P263+O263</f>
        <v/>
      </c>
      <c r="W263" s="32">
        <f>AE263*1%</f>
        <v/>
      </c>
      <c r="X263" s="32">
        <f>AE263*10%</f>
        <v/>
      </c>
      <c r="Y263" s="32">
        <f>AE263*1%</f>
        <v/>
      </c>
      <c r="Z263" s="32">
        <f>AE263*8%</f>
        <v/>
      </c>
      <c r="AA263" s="32">
        <f>W263+X263+Y263+Z263</f>
        <v/>
      </c>
      <c r="AB263" s="31">
        <f>AA263+V263+N263</f>
        <v/>
      </c>
      <c r="AC263" s="6">
        <f>AB263*20%</f>
        <v/>
      </c>
      <c r="AD263" s="32">
        <f>AB263+AC263</f>
        <v/>
      </c>
      <c r="AE263" s="32">
        <f>D263*2.1</f>
        <v/>
      </c>
      <c r="AF263" s="7">
        <f>AD263-AE263</f>
        <v/>
      </c>
      <c r="AG263" s="7">
        <f>AF263/AD263*100</f>
        <v/>
      </c>
      <c r="AI263" s="33" t="n"/>
      <c r="AJ263" s="34">
        <f>AD263</f>
        <v/>
      </c>
      <c r="AK263" s="34">
        <f>AJ263-(AJ263*7%)</f>
        <v/>
      </c>
      <c r="AL263" s="35">
        <f>AJ263/94</f>
        <v/>
      </c>
      <c r="AM263" s="35">
        <f>AK263/94</f>
        <v/>
      </c>
      <c r="AN263" s="36">
        <f>AJ263/24</f>
        <v/>
      </c>
      <c r="AO263" s="36">
        <f>AK263/24</f>
        <v/>
      </c>
      <c r="AP263" s="37">
        <f>AJ263/125</f>
        <v/>
      </c>
      <c r="AQ263" s="37">
        <f>AK263/125</f>
        <v/>
      </c>
    </row>
    <row r="264" ht="15.75" customHeight="1" s="50">
      <c r="A264" s="32" t="n"/>
      <c r="B264" s="32" t="inlineStr">
        <is>
          <t>Mantra / 11 in</t>
        </is>
      </c>
      <c r="D264" s="32" t="inlineStr">
        <is>
          <t>Parasonjeet</t>
        </is>
      </c>
      <c r="E264" s="32" t="n">
        <v>145</v>
      </c>
      <c r="F264" s="32" t="n">
        <v>80</v>
      </c>
      <c r="G264" s="32" t="n">
        <v>0</v>
      </c>
      <c r="H264" s="32" t="n">
        <v>10</v>
      </c>
      <c r="I264" s="41" t="n">
        <v>83061000</v>
      </c>
      <c r="J264" s="30" t="n">
        <v>0.05</v>
      </c>
      <c r="K264" s="32">
        <f>D264*J264</f>
        <v/>
      </c>
      <c r="M264" s="32">
        <f>D264*4%</f>
        <v/>
      </c>
      <c r="N264" s="49">
        <f>M264+L264+K264+H264+G264+F264+E264+D264</f>
        <v/>
      </c>
      <c r="O264" s="32">
        <f>D264*1%</f>
        <v/>
      </c>
      <c r="P264" s="7">
        <f>N264*8%</f>
        <v/>
      </c>
      <c r="Q264" s="7">
        <f>N264*10%</f>
        <v/>
      </c>
      <c r="R264" s="7">
        <f>N264*5%</f>
        <v/>
      </c>
      <c r="S264" s="7">
        <f>N264*2%</f>
        <v/>
      </c>
      <c r="T264" s="7">
        <f>AE264*0.5%</f>
        <v/>
      </c>
      <c r="U264" s="7">
        <f>N264*1%</f>
        <v/>
      </c>
      <c r="V264" s="49">
        <f>U264+S264+R264+Q264+P264+O264</f>
        <v/>
      </c>
      <c r="W264" s="32">
        <f>AE264*1%</f>
        <v/>
      </c>
      <c r="X264" s="32">
        <f>AE264*10%</f>
        <v/>
      </c>
      <c r="Y264" s="32">
        <f>AE264*1%</f>
        <v/>
      </c>
      <c r="Z264" s="32">
        <f>AE264*8%</f>
        <v/>
      </c>
      <c r="AA264" s="32">
        <f>W264+X264+Y264+Z264</f>
        <v/>
      </c>
      <c r="AB264" s="31">
        <f>AA264+V264+N264</f>
        <v/>
      </c>
      <c r="AC264" s="6">
        <f>AB264*20%</f>
        <v/>
      </c>
      <c r="AD264" s="32">
        <f>AB264+AC264</f>
        <v/>
      </c>
      <c r="AE264" s="32">
        <f>D264*2.1</f>
        <v/>
      </c>
      <c r="AF264" s="7">
        <f>AD264-AE264</f>
        <v/>
      </c>
      <c r="AG264" s="7">
        <f>AF264/AD264*100</f>
        <v/>
      </c>
      <c r="AI264" s="33" t="n"/>
      <c r="AJ264" s="34">
        <f>AD264</f>
        <v/>
      </c>
      <c r="AK264" s="34">
        <f>AJ264-(AJ264*7%)</f>
        <v/>
      </c>
      <c r="AL264" s="35">
        <f>AJ264/94</f>
        <v/>
      </c>
      <c r="AM264" s="35">
        <f>AK264/94</f>
        <v/>
      </c>
      <c r="AN264" s="36">
        <f>AJ264/24</f>
        <v/>
      </c>
      <c r="AO264" s="36">
        <f>AK264/24</f>
        <v/>
      </c>
      <c r="AP264" s="37">
        <f>AJ264/125</f>
        <v/>
      </c>
      <c r="AQ264" s="37">
        <f>AK264/125</f>
        <v/>
      </c>
    </row>
    <row r="265" ht="15.75" customHeight="1" s="50">
      <c r="A265" s="32" t="n"/>
      <c r="B265" s="32" t="inlineStr">
        <is>
          <t>12 in / Mantra</t>
        </is>
      </c>
      <c r="D265" s="32" t="inlineStr">
        <is>
          <t>Parasonjeet</t>
        </is>
      </c>
      <c r="E265" s="32" t="n">
        <v>145</v>
      </c>
      <c r="F265" s="32" t="n">
        <v>90</v>
      </c>
      <c r="G265" s="32" t="n">
        <v>0</v>
      </c>
      <c r="H265" s="32" t="n">
        <v>10</v>
      </c>
      <c r="I265" s="41" t="n">
        <v>83061000</v>
      </c>
      <c r="J265" s="30" t="n">
        <v>0.05</v>
      </c>
      <c r="K265" s="32">
        <f>D265*J265</f>
        <v/>
      </c>
      <c r="M265" s="32">
        <f>D265*4%</f>
        <v/>
      </c>
      <c r="N265" s="49">
        <f>M265+L265+K265+H265+G265+F265+E265+D265</f>
        <v/>
      </c>
      <c r="O265" s="32">
        <f>D265*1%</f>
        <v/>
      </c>
      <c r="P265" s="7">
        <f>N265*8%</f>
        <v/>
      </c>
      <c r="Q265" s="7">
        <f>N265*10%</f>
        <v/>
      </c>
      <c r="R265" s="7">
        <f>N265*5%</f>
        <v/>
      </c>
      <c r="S265" s="7">
        <f>N265*2%</f>
        <v/>
      </c>
      <c r="T265" s="7">
        <f>AE265*0.5%</f>
        <v/>
      </c>
      <c r="U265" s="7">
        <f>N265*1%</f>
        <v/>
      </c>
      <c r="V265" s="49">
        <f>U265+S265+R265+Q265+P265+O265</f>
        <v/>
      </c>
      <c r="W265" s="32">
        <f>AE265*1%</f>
        <v/>
      </c>
      <c r="X265" s="32">
        <f>AE265*10%</f>
        <v/>
      </c>
      <c r="Y265" s="32">
        <f>AE265*1%</f>
        <v/>
      </c>
      <c r="Z265" s="32">
        <f>AE265*8%</f>
        <v/>
      </c>
      <c r="AA265" s="32">
        <f>W265+X265+Y265+Z265</f>
        <v/>
      </c>
      <c r="AB265" s="31">
        <f>AA265+V265+N265</f>
        <v/>
      </c>
      <c r="AC265" s="6">
        <f>AB265*20%</f>
        <v/>
      </c>
      <c r="AD265" s="32">
        <f>AB265+AC265</f>
        <v/>
      </c>
      <c r="AE265" s="32">
        <f>D265*2.1</f>
        <v/>
      </c>
      <c r="AF265" s="7">
        <f>AD265-AE265</f>
        <v/>
      </c>
      <c r="AG265" s="7">
        <f>AF265/AD265*100</f>
        <v/>
      </c>
      <c r="AI265" s="33" t="n"/>
      <c r="AJ265" s="34">
        <f>AD265</f>
        <v/>
      </c>
      <c r="AK265" s="34">
        <f>AJ265-(AJ265*7%)</f>
        <v/>
      </c>
      <c r="AL265" s="35">
        <f>AJ265/94</f>
        <v/>
      </c>
      <c r="AM265" s="35">
        <f>AK265/94</f>
        <v/>
      </c>
      <c r="AN265" s="36">
        <f>AJ265/24</f>
        <v/>
      </c>
      <c r="AO265" s="36">
        <f>AK265/24</f>
        <v/>
      </c>
      <c r="AP265" s="37">
        <f>AJ265/125</f>
        <v/>
      </c>
      <c r="AQ265" s="37">
        <f>AK265/125</f>
        <v/>
      </c>
    </row>
    <row r="266" ht="15.75" customHeight="1" s="50">
      <c r="A266" s="32" t="n"/>
      <c r="B266" s="32" t="inlineStr">
        <is>
          <t>Dorje / 6 in</t>
        </is>
      </c>
      <c r="D266" s="32" t="inlineStr">
        <is>
          <t>Parasonjeet</t>
        </is>
      </c>
      <c r="E266" s="32" t="n">
        <v>125</v>
      </c>
      <c r="F266" s="32" t="n">
        <v>65</v>
      </c>
      <c r="G266" s="32" t="n">
        <v>0</v>
      </c>
      <c r="H266" s="32" t="n">
        <v>10</v>
      </c>
      <c r="I266" s="41" t="n">
        <v>83061000</v>
      </c>
      <c r="J266" s="30" t="n">
        <v>0.05</v>
      </c>
      <c r="K266" s="32">
        <f>D266*J266</f>
        <v/>
      </c>
      <c r="M266" s="32">
        <f>D266*4%</f>
        <v/>
      </c>
      <c r="N266" s="49">
        <f>M266+L266+K266+H266+G266+F266+E266+D266</f>
        <v/>
      </c>
      <c r="O266" s="32">
        <f>D266*1%</f>
        <v/>
      </c>
      <c r="P266" s="7">
        <f>N266*8%</f>
        <v/>
      </c>
      <c r="Q266" s="7">
        <f>N266*10%</f>
        <v/>
      </c>
      <c r="R266" s="7">
        <f>N266*5%</f>
        <v/>
      </c>
      <c r="S266" s="7">
        <f>N266*2%</f>
        <v/>
      </c>
      <c r="T266" s="7">
        <f>AE266*0.5%</f>
        <v/>
      </c>
      <c r="U266" s="7">
        <f>N266*1%</f>
        <v/>
      </c>
      <c r="V266" s="49">
        <f>U266+S266+R266+Q266+P266+O266</f>
        <v/>
      </c>
      <c r="W266" s="32">
        <f>AE266*1%</f>
        <v/>
      </c>
      <c r="X266" s="32">
        <f>AE266*10%</f>
        <v/>
      </c>
      <c r="Y266" s="32">
        <f>AE266*1%</f>
        <v/>
      </c>
      <c r="Z266" s="32">
        <f>AE266*8%</f>
        <v/>
      </c>
      <c r="AA266" s="32">
        <f>W266+X266+Y266+Z266</f>
        <v/>
      </c>
      <c r="AB266" s="31">
        <f>AA266+V266+N266</f>
        <v/>
      </c>
      <c r="AC266" s="6">
        <f>AB266*20%</f>
        <v/>
      </c>
      <c r="AD266" s="32">
        <f>AB266+AC266</f>
        <v/>
      </c>
      <c r="AE266" s="32">
        <f>D266*2.1</f>
        <v/>
      </c>
      <c r="AF266" s="7">
        <f>AD266-AE266</f>
        <v/>
      </c>
      <c r="AG266" s="7">
        <f>AF266/AD266*100</f>
        <v/>
      </c>
      <c r="AI266" s="33" t="n"/>
      <c r="AJ266" s="34">
        <f>AD266</f>
        <v/>
      </c>
      <c r="AK266" s="34">
        <f>AJ266-(AJ266*7%)</f>
        <v/>
      </c>
      <c r="AL266" s="35">
        <f>AJ266/94</f>
        <v/>
      </c>
      <c r="AM266" s="35">
        <f>AK266/94</f>
        <v/>
      </c>
      <c r="AN266" s="36">
        <f>AJ266/24</f>
        <v/>
      </c>
      <c r="AO266" s="36">
        <f>AK266/24</f>
        <v/>
      </c>
      <c r="AP266" s="37">
        <f>AJ266/125</f>
        <v/>
      </c>
      <c r="AQ266" s="37">
        <f>AK266/125</f>
        <v/>
      </c>
    </row>
    <row r="267" ht="15" customHeight="1" s="50">
      <c r="A267" s="32" t="inlineStr">
        <is>
          <t>Etched Plain/Wind Gong</t>
        </is>
      </c>
      <c r="B267" s="32" t="inlineStr">
        <is>
          <t>Mandala / 14 in</t>
        </is>
      </c>
      <c r="C267" s="32" t="inlineStr">
        <is>
          <t>MI-G-ET-M-14</t>
        </is>
      </c>
      <c r="D267" s="32" t="inlineStr">
        <is>
          <t>Parasonjeet</t>
        </is>
      </c>
      <c r="E267" s="32" t="n">
        <v>190</v>
      </c>
      <c r="G267" s="32" t="n">
        <v>0</v>
      </c>
      <c r="H267" s="32" t="n">
        <v>10</v>
      </c>
      <c r="I267" s="41" t="n">
        <v>83061000</v>
      </c>
      <c r="J267" s="30" t="n">
        <v>0.05</v>
      </c>
      <c r="K267" s="32">
        <f>D267*J267</f>
        <v/>
      </c>
      <c r="M267" s="32">
        <f>D267*4%</f>
        <v/>
      </c>
      <c r="N267" s="49">
        <f>M267+L267+K267+H267+G267+F267+E267+D267</f>
        <v/>
      </c>
      <c r="O267" s="32">
        <f>D267*1%</f>
        <v/>
      </c>
      <c r="P267" s="7">
        <f>N267*8%</f>
        <v/>
      </c>
      <c r="Q267" s="7">
        <f>N267*10%</f>
        <v/>
      </c>
      <c r="R267" s="7">
        <f>N267*5%</f>
        <v/>
      </c>
      <c r="S267" s="7">
        <f>N267*2%</f>
        <v/>
      </c>
      <c r="T267" s="7">
        <f>AE267*0.5%</f>
        <v/>
      </c>
      <c r="U267" s="7">
        <f>N267*1%</f>
        <v/>
      </c>
      <c r="V267" s="49">
        <f>U267+S267+R267+Q267+P267+O267</f>
        <v/>
      </c>
      <c r="W267" s="32">
        <f>AE267*1%</f>
        <v/>
      </c>
      <c r="X267" s="32">
        <f>AE267*10%</f>
        <v/>
      </c>
      <c r="Y267" s="32">
        <f>AE267*1%</f>
        <v/>
      </c>
      <c r="Z267" s="32">
        <f>AE267*8%</f>
        <v/>
      </c>
      <c r="AA267" s="32">
        <f>W267+X267+Y267+Z267</f>
        <v/>
      </c>
      <c r="AB267" s="31">
        <f>AA267+V267+N267</f>
        <v/>
      </c>
      <c r="AC267" s="6">
        <f>AB267*20%</f>
        <v/>
      </c>
      <c r="AD267" s="32">
        <f>AB267+AC267</f>
        <v/>
      </c>
      <c r="AE267" s="32">
        <f>D267*2.1</f>
        <v/>
      </c>
      <c r="AF267" s="7">
        <f>AD267-AE267</f>
        <v/>
      </c>
      <c r="AG267" s="7">
        <f>AF267/AD267*100</f>
        <v/>
      </c>
      <c r="AH267" s="0" t="n">
        <v>12450</v>
      </c>
      <c r="AI267" s="33" t="n"/>
      <c r="AJ267" s="34">
        <f>AD267</f>
        <v/>
      </c>
      <c r="AK267" s="34">
        <f>AJ267-(AJ267*7%)</f>
        <v/>
      </c>
      <c r="AL267" s="35">
        <f>AJ267/94</f>
        <v/>
      </c>
      <c r="AM267" s="35">
        <f>AK267/94</f>
        <v/>
      </c>
      <c r="AN267" s="36">
        <f>AJ267/24</f>
        <v/>
      </c>
      <c r="AO267" s="36">
        <f>AK267/24</f>
        <v/>
      </c>
      <c r="AP267" s="37">
        <f>AJ267/125</f>
        <v/>
      </c>
      <c r="AQ267" s="37">
        <f>AK267/125</f>
        <v/>
      </c>
    </row>
    <row r="268" ht="15.75" customHeight="1" s="50">
      <c r="A268" s="32" t="n"/>
      <c r="B268" s="32" t="inlineStr">
        <is>
          <t>7 Chakras / 14 in</t>
        </is>
      </c>
      <c r="C268" s="32" t="inlineStr">
        <is>
          <t>MI-G-ET-7C-14</t>
        </is>
      </c>
      <c r="D268" s="32" t="inlineStr">
        <is>
          <t>Parasonjeet</t>
        </is>
      </c>
      <c r="E268" s="32" t="n">
        <v>190</v>
      </c>
      <c r="G268" s="32" t="n">
        <v>0</v>
      </c>
      <c r="H268" s="32" t="n">
        <v>10</v>
      </c>
      <c r="I268" s="41" t="n">
        <v>83061000</v>
      </c>
      <c r="J268" s="30" t="n">
        <v>0.05</v>
      </c>
      <c r="K268" s="32">
        <f>D268*J268</f>
        <v/>
      </c>
      <c r="M268" s="32">
        <f>D268*4%</f>
        <v/>
      </c>
      <c r="N268" s="49">
        <f>M268+L268+K268+H268+G268+F268+E268+D268</f>
        <v/>
      </c>
      <c r="O268" s="32">
        <f>D268*1%</f>
        <v/>
      </c>
      <c r="P268" s="7">
        <f>N268*8%</f>
        <v/>
      </c>
      <c r="Q268" s="7">
        <f>N268*10%</f>
        <v/>
      </c>
      <c r="R268" s="7">
        <f>N268*5%</f>
        <v/>
      </c>
      <c r="S268" s="7">
        <f>N268*2%</f>
        <v/>
      </c>
      <c r="T268" s="7">
        <f>AE268*0.5%</f>
        <v/>
      </c>
      <c r="U268" s="7">
        <f>N268*1%</f>
        <v/>
      </c>
      <c r="V268" s="49">
        <f>U268+S268+R268+Q268+P268+O268</f>
        <v/>
      </c>
      <c r="W268" s="32">
        <f>AE268*1%</f>
        <v/>
      </c>
      <c r="X268" s="32">
        <f>AE268*10%</f>
        <v/>
      </c>
      <c r="Y268" s="32">
        <f>AE268*1%</f>
        <v/>
      </c>
      <c r="Z268" s="32">
        <f>AE268*8%</f>
        <v/>
      </c>
      <c r="AA268" s="32">
        <f>W268+X268+Y268+Z268</f>
        <v/>
      </c>
      <c r="AB268" s="31">
        <f>AA268+V268+N268</f>
        <v/>
      </c>
      <c r="AC268" s="6">
        <f>AB268*20%</f>
        <v/>
      </c>
      <c r="AD268" s="32">
        <f>AB268+AC268</f>
        <v/>
      </c>
      <c r="AE268" s="32">
        <f>D268*2.1</f>
        <v/>
      </c>
      <c r="AF268" s="7">
        <f>AD268-AE268</f>
        <v/>
      </c>
      <c r="AG268" s="7">
        <f>AF268/AD268*100</f>
        <v/>
      </c>
      <c r="AH268" s="0" t="n">
        <v>12450</v>
      </c>
      <c r="AI268" s="33" t="n"/>
      <c r="AJ268" s="34">
        <f>AD268</f>
        <v/>
      </c>
      <c r="AK268" s="34">
        <f>AJ268-(AJ268*7%)</f>
        <v/>
      </c>
      <c r="AL268" s="35">
        <f>AJ268/94</f>
        <v/>
      </c>
      <c r="AM268" s="35">
        <f>AK268/94</f>
        <v/>
      </c>
      <c r="AN268" s="36">
        <f>AJ268/24</f>
        <v/>
      </c>
      <c r="AO268" s="36">
        <f>AK268/24</f>
        <v/>
      </c>
      <c r="AP268" s="37">
        <f>AJ268/125</f>
        <v/>
      </c>
      <c r="AQ268" s="37">
        <f>AK268/125</f>
        <v/>
      </c>
    </row>
    <row r="269" ht="15.75" customHeight="1" s="50">
      <c r="A269" s="32" t="n"/>
      <c r="B269" s="32" t="inlineStr">
        <is>
          <t>7 Chakras / 16 in</t>
        </is>
      </c>
      <c r="C269" s="32" t="inlineStr">
        <is>
          <t>MI-G-ET-7C-16</t>
        </is>
      </c>
      <c r="D269" s="32" t="inlineStr">
        <is>
          <t>Parasonjeet</t>
        </is>
      </c>
      <c r="E269" s="32" t="n">
        <v>190</v>
      </c>
      <c r="G269" s="32" t="n">
        <v>0</v>
      </c>
      <c r="H269" s="32" t="n">
        <v>10</v>
      </c>
      <c r="I269" s="41" t="n">
        <v>83061000</v>
      </c>
      <c r="J269" s="30" t="n">
        <v>0.05</v>
      </c>
      <c r="K269" s="32">
        <f>D269*J269</f>
        <v/>
      </c>
      <c r="M269" s="32">
        <f>D269*4%</f>
        <v/>
      </c>
      <c r="N269" s="49">
        <f>M269+L269+K269+H269+G269+F269+E269+D269</f>
        <v/>
      </c>
      <c r="O269" s="32">
        <f>D269*1%</f>
        <v/>
      </c>
      <c r="P269" s="7">
        <f>N269*8%</f>
        <v/>
      </c>
      <c r="Q269" s="7">
        <f>N269*10%</f>
        <v/>
      </c>
      <c r="R269" s="7">
        <f>N269*5%</f>
        <v/>
      </c>
      <c r="S269" s="7">
        <f>N269*2%</f>
        <v/>
      </c>
      <c r="T269" s="7">
        <f>AE269*0.5%</f>
        <v/>
      </c>
      <c r="U269" s="7">
        <f>N269*1%</f>
        <v/>
      </c>
      <c r="V269" s="49">
        <f>U269+S269+R269+Q269+P269+O269</f>
        <v/>
      </c>
      <c r="W269" s="32">
        <f>AE269*1%</f>
        <v/>
      </c>
      <c r="X269" s="32">
        <f>AE269*10%</f>
        <v/>
      </c>
      <c r="Y269" s="32">
        <f>AE269*1%</f>
        <v/>
      </c>
      <c r="Z269" s="32">
        <f>AE269*8%</f>
        <v/>
      </c>
      <c r="AA269" s="32">
        <f>W269+X269+Y269+Z269</f>
        <v/>
      </c>
      <c r="AB269" s="31">
        <f>AA269+V269+N269</f>
        <v/>
      </c>
      <c r="AC269" s="6">
        <f>AB269*20%</f>
        <v/>
      </c>
      <c r="AD269" s="32">
        <f>AB269+AC269</f>
        <v/>
      </c>
      <c r="AE269" s="32">
        <f>D269*2.1</f>
        <v/>
      </c>
      <c r="AF269" s="7">
        <f>AD269-AE269</f>
        <v/>
      </c>
      <c r="AG269" s="7">
        <f>AF269/AD269*100</f>
        <v/>
      </c>
      <c r="AH269" s="0" t="n">
        <v>15950</v>
      </c>
      <c r="AI269" s="33" t="n"/>
      <c r="AJ269" s="34">
        <f>AD269</f>
        <v/>
      </c>
      <c r="AK269" s="34">
        <f>AJ269-(AJ269*7%)</f>
        <v/>
      </c>
      <c r="AL269" s="35">
        <f>AJ269/94</f>
        <v/>
      </c>
      <c r="AM269" s="35">
        <f>AK269/94</f>
        <v/>
      </c>
      <c r="AN269" s="36">
        <f>AJ269/24</f>
        <v/>
      </c>
      <c r="AO269" s="36">
        <f>AK269/24</f>
        <v/>
      </c>
      <c r="AP269" s="37">
        <f>AJ269/125</f>
        <v/>
      </c>
      <c r="AQ269" s="37">
        <f>AK269/125</f>
        <v/>
      </c>
    </row>
    <row r="270" ht="15.75" customHeight="1" s="50">
      <c r="A270" s="32" t="n"/>
      <c r="B270" s="32" t="inlineStr">
        <is>
          <t>18 in / 7 Chakras</t>
        </is>
      </c>
      <c r="C270" s="32" t="inlineStr">
        <is>
          <t>MI-G-ET-7C-18</t>
        </is>
      </c>
      <c r="D270" s="32" t="inlineStr">
        <is>
          <t>Parasonjeet</t>
        </is>
      </c>
      <c r="E270" s="32" t="n">
        <v>190</v>
      </c>
      <c r="G270" s="32" t="n">
        <v>0</v>
      </c>
      <c r="H270" s="32" t="n">
        <v>10</v>
      </c>
      <c r="I270" s="41" t="n">
        <v>83061000</v>
      </c>
      <c r="J270" s="30" t="n">
        <v>0.05</v>
      </c>
      <c r="K270" s="32">
        <f>D270*J270</f>
        <v/>
      </c>
      <c r="M270" s="32">
        <f>D270*4%</f>
        <v/>
      </c>
      <c r="N270" s="49">
        <f>M270+L270+K270+H270+G270+F270+E270+D270</f>
        <v/>
      </c>
      <c r="O270" s="32">
        <f>D270*1%</f>
        <v/>
      </c>
      <c r="P270" s="7">
        <f>N270*8%</f>
        <v/>
      </c>
      <c r="Q270" s="7">
        <f>N270*10%</f>
        <v/>
      </c>
      <c r="R270" s="7">
        <f>N270*5%</f>
        <v/>
      </c>
      <c r="S270" s="7">
        <f>N270*2%</f>
        <v/>
      </c>
      <c r="T270" s="7">
        <f>AE270*0.5%</f>
        <v/>
      </c>
      <c r="U270" s="7">
        <f>N270*1%</f>
        <v/>
      </c>
      <c r="V270" s="49">
        <f>U270+S270+R270+Q270+P270+O270</f>
        <v/>
      </c>
      <c r="W270" s="32">
        <f>AE270*1%</f>
        <v/>
      </c>
      <c r="X270" s="32">
        <f>AE270*10%</f>
        <v/>
      </c>
      <c r="Y270" s="32">
        <f>AE270*1%</f>
        <v/>
      </c>
      <c r="Z270" s="32">
        <f>AE270*8%</f>
        <v/>
      </c>
      <c r="AA270" s="32">
        <f>W270+X270+Y270+Z270</f>
        <v/>
      </c>
      <c r="AB270" s="31">
        <f>AA270+V270+N270</f>
        <v/>
      </c>
      <c r="AC270" s="6">
        <f>AB270*20%</f>
        <v/>
      </c>
      <c r="AD270" s="32">
        <f>AB270+AC270</f>
        <v/>
      </c>
      <c r="AE270" s="32">
        <f>D270*2.1</f>
        <v/>
      </c>
      <c r="AF270" s="7">
        <f>AD270-AE270</f>
        <v/>
      </c>
      <c r="AG270" s="7">
        <f>AF270/AD270*100</f>
        <v/>
      </c>
      <c r="AH270" s="0" t="n">
        <v>18950</v>
      </c>
      <c r="AI270" s="33" t="n"/>
      <c r="AJ270" s="34">
        <f>AD270</f>
        <v/>
      </c>
      <c r="AK270" s="34">
        <f>AJ270-(AJ270*7%)</f>
        <v/>
      </c>
      <c r="AL270" s="35">
        <f>AJ270/94</f>
        <v/>
      </c>
      <c r="AM270" s="35">
        <f>AK270/94</f>
        <v/>
      </c>
      <c r="AN270" s="36">
        <f>AJ270/24</f>
        <v/>
      </c>
      <c r="AO270" s="36">
        <f>AK270/24</f>
        <v/>
      </c>
      <c r="AP270" s="37">
        <f>AJ270/125</f>
        <v/>
      </c>
      <c r="AQ270" s="37">
        <f>AK270/125</f>
        <v/>
      </c>
    </row>
    <row r="271" ht="15.75" customHeight="1" s="50">
      <c r="A271" s="32" t="n"/>
      <c r="B271" s="32" t="inlineStr">
        <is>
          <t>7 Chakras / 20 in</t>
        </is>
      </c>
      <c r="C271" s="32" t="inlineStr">
        <is>
          <t>MI-G-ET-7C-20</t>
        </is>
      </c>
      <c r="D271" s="32" t="inlineStr">
        <is>
          <t>Parasonjeet</t>
        </is>
      </c>
      <c r="E271" s="32" t="n">
        <v>190</v>
      </c>
      <c r="G271" s="32" t="n">
        <v>0</v>
      </c>
      <c r="H271" s="32" t="n">
        <v>10</v>
      </c>
      <c r="I271" s="41" t="n">
        <v>83061000</v>
      </c>
      <c r="J271" s="30" t="n">
        <v>0.05</v>
      </c>
      <c r="K271" s="32">
        <f>D271*J271</f>
        <v/>
      </c>
      <c r="M271" s="32">
        <f>D271*4%</f>
        <v/>
      </c>
      <c r="N271" s="49">
        <f>M271+L271+K271+H271+G271+F271+E271+D271</f>
        <v/>
      </c>
      <c r="O271" s="32">
        <f>D271*1%</f>
        <v/>
      </c>
      <c r="P271" s="7">
        <f>N271*8%</f>
        <v/>
      </c>
      <c r="Q271" s="7">
        <f>N271*10%</f>
        <v/>
      </c>
      <c r="R271" s="7">
        <f>N271*5%</f>
        <v/>
      </c>
      <c r="S271" s="7">
        <f>N271*2%</f>
        <v/>
      </c>
      <c r="T271" s="7">
        <f>AE271*0.5%</f>
        <v/>
      </c>
      <c r="U271" s="7">
        <f>N271*1%</f>
        <v/>
      </c>
      <c r="V271" s="49">
        <f>U271+S271+R271+Q271+P271+O271</f>
        <v/>
      </c>
      <c r="W271" s="32">
        <f>AE271*1%</f>
        <v/>
      </c>
      <c r="X271" s="32">
        <f>AE271*10%</f>
        <v/>
      </c>
      <c r="Y271" s="32">
        <f>AE271*1%</f>
        <v/>
      </c>
      <c r="Z271" s="32">
        <f>AE271*8%</f>
        <v/>
      </c>
      <c r="AA271" s="32">
        <f>W271+X271+Y271+Z271</f>
        <v/>
      </c>
      <c r="AB271" s="31">
        <f>AA271+V271+N271</f>
        <v/>
      </c>
      <c r="AC271" s="6">
        <f>AB271*20%</f>
        <v/>
      </c>
      <c r="AD271" s="32">
        <f>AB271+AC271</f>
        <v/>
      </c>
      <c r="AE271" s="32">
        <f>D271*2.1</f>
        <v/>
      </c>
      <c r="AF271" s="7">
        <f>AD271-AE271</f>
        <v/>
      </c>
      <c r="AG271" s="7">
        <f>AF271/AD271*100</f>
        <v/>
      </c>
      <c r="AH271" s="0" t="n">
        <v>23250</v>
      </c>
      <c r="AI271" s="33" t="n"/>
      <c r="AJ271" s="34">
        <f>AD271</f>
        <v/>
      </c>
      <c r="AK271" s="34">
        <f>AJ271-(AJ271*7%)</f>
        <v/>
      </c>
      <c r="AL271" s="35">
        <f>AJ271/94</f>
        <v/>
      </c>
      <c r="AM271" s="35">
        <f>AK271/94</f>
        <v/>
      </c>
      <c r="AN271" s="36">
        <f>AJ271/24</f>
        <v/>
      </c>
      <c r="AO271" s="36">
        <f>AK271/24</f>
        <v/>
      </c>
      <c r="AP271" s="37">
        <f>AJ271/125</f>
        <v/>
      </c>
      <c r="AQ271" s="37">
        <f>AK271/125</f>
        <v/>
      </c>
    </row>
    <row r="272" ht="15.75" customHeight="1" s="50">
      <c r="A272" s="32" t="n"/>
      <c r="B272" s="32" t="inlineStr">
        <is>
          <t>7 Chakras / 22 in</t>
        </is>
      </c>
      <c r="C272" s="32" t="inlineStr">
        <is>
          <t>MI-G-ET-7C-22</t>
        </is>
      </c>
      <c r="D272" s="32" t="inlineStr">
        <is>
          <t>Parasonjeet</t>
        </is>
      </c>
      <c r="E272" s="32" t="n">
        <v>190</v>
      </c>
      <c r="G272" s="32" t="n">
        <v>0</v>
      </c>
      <c r="H272" s="32" t="n">
        <v>10</v>
      </c>
      <c r="I272" s="41" t="n">
        <v>83061000</v>
      </c>
      <c r="J272" s="30" t="n">
        <v>0.05</v>
      </c>
      <c r="K272" s="32">
        <f>D272*J272</f>
        <v/>
      </c>
      <c r="M272" s="32">
        <f>D272*4%</f>
        <v/>
      </c>
      <c r="N272" s="49">
        <f>M272+L272+K272+H272+G272+F272+E272+D272</f>
        <v/>
      </c>
      <c r="O272" s="32">
        <f>D272*1%</f>
        <v/>
      </c>
      <c r="P272" s="7">
        <f>N272*8%</f>
        <v/>
      </c>
      <c r="Q272" s="7">
        <f>N272*10%</f>
        <v/>
      </c>
      <c r="R272" s="7">
        <f>N272*5%</f>
        <v/>
      </c>
      <c r="S272" s="7">
        <f>N272*2%</f>
        <v/>
      </c>
      <c r="T272" s="7">
        <f>AE272*0.5%</f>
        <v/>
      </c>
      <c r="U272" s="7">
        <f>N272*1%</f>
        <v/>
      </c>
      <c r="V272" s="49">
        <f>U272+S272+R272+Q272+P272+O272</f>
        <v/>
      </c>
      <c r="W272" s="32">
        <f>AE272*1%</f>
        <v/>
      </c>
      <c r="X272" s="32">
        <f>AE272*10%</f>
        <v/>
      </c>
      <c r="Y272" s="32">
        <f>AE272*1%</f>
        <v/>
      </c>
      <c r="Z272" s="32">
        <f>AE272*8%</f>
        <v/>
      </c>
      <c r="AA272" s="32">
        <f>W272+X272+Y272+Z272</f>
        <v/>
      </c>
      <c r="AB272" s="31">
        <f>AA272+V272+N272</f>
        <v/>
      </c>
      <c r="AC272" s="6">
        <f>AB272*20%</f>
        <v/>
      </c>
      <c r="AD272" s="32">
        <f>AB272+AC272</f>
        <v/>
      </c>
      <c r="AE272" s="32">
        <f>D272*2.1</f>
        <v/>
      </c>
      <c r="AF272" s="7">
        <f>AD272-AE272</f>
        <v/>
      </c>
      <c r="AG272" s="7">
        <f>AF272/AD272*100</f>
        <v/>
      </c>
      <c r="AH272" s="0" t="n">
        <v>27690</v>
      </c>
      <c r="AI272" s="33" t="n"/>
      <c r="AJ272" s="34">
        <f>AD272</f>
        <v/>
      </c>
      <c r="AK272" s="34">
        <f>AJ272-(AJ272*7%)</f>
        <v/>
      </c>
      <c r="AL272" s="35">
        <f>AJ272/94</f>
        <v/>
      </c>
      <c r="AM272" s="35">
        <f>AK272/94</f>
        <v/>
      </c>
      <c r="AN272" s="36">
        <f>AJ272/24</f>
        <v/>
      </c>
      <c r="AO272" s="36">
        <f>AK272/24</f>
        <v/>
      </c>
      <c r="AP272" s="37">
        <f>AJ272/125</f>
        <v/>
      </c>
      <c r="AQ272" s="37">
        <f>AK272/125</f>
        <v/>
      </c>
    </row>
    <row r="273" ht="15.75" customHeight="1" s="50">
      <c r="A273" s="32" t="n"/>
      <c r="B273" s="32" t="inlineStr">
        <is>
          <t>7 Chakras / 24 in</t>
        </is>
      </c>
      <c r="C273" s="32" t="inlineStr">
        <is>
          <t>MI-G-ET-7C-24</t>
        </is>
      </c>
      <c r="D273" s="32" t="inlineStr">
        <is>
          <t>Parasonjeet</t>
        </is>
      </c>
      <c r="E273" s="32" t="n">
        <v>190</v>
      </c>
      <c r="G273" s="32" t="n">
        <v>0</v>
      </c>
      <c r="H273" s="32" t="n">
        <v>10</v>
      </c>
      <c r="I273" s="41" t="n">
        <v>83061000</v>
      </c>
      <c r="J273" s="30" t="n">
        <v>0.05</v>
      </c>
      <c r="K273" s="32">
        <f>D273*J273</f>
        <v/>
      </c>
      <c r="M273" s="32">
        <f>D273*4%</f>
        <v/>
      </c>
      <c r="N273" s="49">
        <f>M273+L273+K273+H273+G273+F273+E273+D273</f>
        <v/>
      </c>
      <c r="O273" s="32">
        <f>D273*1%</f>
        <v/>
      </c>
      <c r="P273" s="7">
        <f>N273*8%</f>
        <v/>
      </c>
      <c r="Q273" s="7">
        <f>N273*10%</f>
        <v/>
      </c>
      <c r="R273" s="7">
        <f>N273*5%</f>
        <v/>
      </c>
      <c r="S273" s="7">
        <f>N273*2%</f>
        <v/>
      </c>
      <c r="T273" s="7">
        <f>AE273*0.5%</f>
        <v/>
      </c>
      <c r="U273" s="7">
        <f>N273*1%</f>
        <v/>
      </c>
      <c r="V273" s="49">
        <f>U273+S273+R273+Q273+P273+O273</f>
        <v/>
      </c>
      <c r="W273" s="32">
        <f>AE273*1%</f>
        <v/>
      </c>
      <c r="X273" s="32">
        <f>AE273*10%</f>
        <v/>
      </c>
      <c r="Y273" s="32">
        <f>AE273*1%</f>
        <v/>
      </c>
      <c r="Z273" s="32">
        <f>AE273*8%</f>
        <v/>
      </c>
      <c r="AA273" s="32">
        <f>W273+X273+Y273+Z273</f>
        <v/>
      </c>
      <c r="AB273" s="31">
        <f>AA273+V273+N273</f>
        <v/>
      </c>
      <c r="AC273" s="6">
        <f>AB273*20%</f>
        <v/>
      </c>
      <c r="AD273" s="32">
        <f>AB273+AC273</f>
        <v/>
      </c>
      <c r="AE273" s="32">
        <f>D273*2.1</f>
        <v/>
      </c>
      <c r="AF273" s="7">
        <f>AD273-AE273</f>
        <v/>
      </c>
      <c r="AG273" s="7">
        <f>AF273/AD273*100</f>
        <v/>
      </c>
      <c r="AH273" s="0" t="n">
        <v>32950</v>
      </c>
      <c r="AI273" s="33" t="n"/>
      <c r="AJ273" s="34">
        <f>AD273</f>
        <v/>
      </c>
      <c r="AK273" s="34">
        <f>AJ273-(AJ273*7%)</f>
        <v/>
      </c>
      <c r="AL273" s="35">
        <f>AJ273/94</f>
        <v/>
      </c>
      <c r="AM273" s="35">
        <f>AK273/94</f>
        <v/>
      </c>
      <c r="AN273" s="36">
        <f>AJ273/24</f>
        <v/>
      </c>
      <c r="AO273" s="36">
        <f>AK273/24</f>
        <v/>
      </c>
      <c r="AP273" s="37">
        <f>AJ273/125</f>
        <v/>
      </c>
      <c r="AQ273" s="37">
        <f>AK273/125</f>
        <v/>
      </c>
    </row>
    <row r="274" ht="15.75" customHeight="1" s="50">
      <c r="A274" s="32" t="n"/>
      <c r="B274" s="32" t="inlineStr">
        <is>
          <t>7 Chakras / 26 in</t>
        </is>
      </c>
      <c r="C274" s="32" t="inlineStr">
        <is>
          <t>MI-G-ET-7C-26</t>
        </is>
      </c>
      <c r="D274" s="32" t="inlineStr">
        <is>
          <t>Parasonjeet</t>
        </is>
      </c>
      <c r="E274" s="32" t="n">
        <v>350</v>
      </c>
      <c r="G274" s="32" t="n">
        <v>0</v>
      </c>
      <c r="H274" s="32" t="n">
        <v>10</v>
      </c>
      <c r="I274" s="41" t="n">
        <v>83061000</v>
      </c>
      <c r="J274" s="30" t="n">
        <v>0.05</v>
      </c>
      <c r="K274" s="32">
        <f>D274*J274</f>
        <v/>
      </c>
      <c r="M274" s="32">
        <f>D274*4%</f>
        <v/>
      </c>
      <c r="N274" s="49">
        <f>M274+L274+K274+H274+G274+F274+E274+D274</f>
        <v/>
      </c>
      <c r="O274" s="32">
        <f>D274*1%</f>
        <v/>
      </c>
      <c r="P274" s="7">
        <f>N274*8%</f>
        <v/>
      </c>
      <c r="Q274" s="7">
        <f>N274*10%</f>
        <v/>
      </c>
      <c r="R274" s="7">
        <f>N274*5%</f>
        <v/>
      </c>
      <c r="S274" s="7">
        <f>N274*2%</f>
        <v/>
      </c>
      <c r="T274" s="7">
        <f>AE274*0.5%</f>
        <v/>
      </c>
      <c r="U274" s="7">
        <f>N274*1%</f>
        <v/>
      </c>
      <c r="V274" s="49">
        <f>U274+S274+R274+Q274+P274+O274</f>
        <v/>
      </c>
      <c r="W274" s="32">
        <f>AE274*1%</f>
        <v/>
      </c>
      <c r="X274" s="32">
        <f>AE274*10%</f>
        <v/>
      </c>
      <c r="Y274" s="32">
        <f>AE274*1%</f>
        <v/>
      </c>
      <c r="Z274" s="32">
        <f>AE274*8%</f>
        <v/>
      </c>
      <c r="AA274" s="32">
        <f>W274+X274+Y274+Z274</f>
        <v/>
      </c>
      <c r="AB274" s="31">
        <f>AA274+V274+N274</f>
        <v/>
      </c>
      <c r="AC274" s="6">
        <f>AB274*20%</f>
        <v/>
      </c>
      <c r="AD274" s="32">
        <f>AB274+AC274</f>
        <v/>
      </c>
      <c r="AE274" s="32">
        <f>D274*2.1</f>
        <v/>
      </c>
      <c r="AF274" s="7">
        <f>AD274-AE274</f>
        <v/>
      </c>
      <c r="AG274" s="7">
        <f>AF274/AD274*100</f>
        <v/>
      </c>
      <c r="AH274" s="0" t="n">
        <v>37950</v>
      </c>
      <c r="AI274" s="33" t="n"/>
      <c r="AJ274" s="34">
        <f>AD274</f>
        <v/>
      </c>
      <c r="AK274" s="34">
        <f>AJ274-(AJ274*7%)</f>
        <v/>
      </c>
      <c r="AL274" s="35">
        <f>AJ274/94</f>
        <v/>
      </c>
      <c r="AM274" s="35">
        <f>AK274/94</f>
        <v/>
      </c>
      <c r="AN274" s="36">
        <f>AJ274/24</f>
        <v/>
      </c>
      <c r="AO274" s="36">
        <f>AK274/24</f>
        <v/>
      </c>
      <c r="AP274" s="37">
        <f>AJ274/125</f>
        <v/>
      </c>
      <c r="AQ274" s="37">
        <f>AK274/125</f>
        <v/>
      </c>
    </row>
    <row r="275" ht="15.75" customHeight="1" s="50">
      <c r="A275" s="32" t="n"/>
      <c r="B275" s="32" t="inlineStr">
        <is>
          <t>7 Chakras / 28 in</t>
        </is>
      </c>
      <c r="C275" s="32" t="inlineStr">
        <is>
          <t>MI-G-ET-7C-28</t>
        </is>
      </c>
      <c r="D275" s="32" t="inlineStr">
        <is>
          <t>Parasonjeet</t>
        </is>
      </c>
      <c r="E275" s="32" t="n">
        <v>350</v>
      </c>
      <c r="G275" s="32" t="n">
        <v>0</v>
      </c>
      <c r="H275" s="32" t="n">
        <v>10</v>
      </c>
      <c r="I275" s="41" t="n">
        <v>83061000</v>
      </c>
      <c r="J275" s="30" t="n">
        <v>0.05</v>
      </c>
      <c r="K275" s="32">
        <f>D275*J275</f>
        <v/>
      </c>
      <c r="M275" s="32">
        <f>D275*4%</f>
        <v/>
      </c>
      <c r="N275" s="49">
        <f>M275+L275+K275+H275+G275+F275+E275+D275</f>
        <v/>
      </c>
      <c r="O275" s="32">
        <f>D275*1%</f>
        <v/>
      </c>
      <c r="P275" s="7">
        <f>N275*8%</f>
        <v/>
      </c>
      <c r="Q275" s="7">
        <f>N275*10%</f>
        <v/>
      </c>
      <c r="R275" s="7">
        <f>N275*5%</f>
        <v/>
      </c>
      <c r="S275" s="7">
        <f>N275*2%</f>
        <v/>
      </c>
      <c r="T275" s="7">
        <f>AE275*0.5%</f>
        <v/>
      </c>
      <c r="U275" s="7">
        <f>N275*1%</f>
        <v/>
      </c>
      <c r="V275" s="49">
        <f>U275+S275+R275+Q275+P275+O275</f>
        <v/>
      </c>
      <c r="W275" s="32">
        <f>AE275*1%</f>
        <v/>
      </c>
      <c r="X275" s="32">
        <f>AE275*10%</f>
        <v/>
      </c>
      <c r="Y275" s="32">
        <f>AE275*1%</f>
        <v/>
      </c>
      <c r="Z275" s="32">
        <f>AE275*8%</f>
        <v/>
      </c>
      <c r="AA275" s="32">
        <f>W275+X275+Y275+Z275</f>
        <v/>
      </c>
      <c r="AB275" s="31">
        <f>AA275+V275+N275</f>
        <v/>
      </c>
      <c r="AC275" s="6">
        <f>AB275*20%</f>
        <v/>
      </c>
      <c r="AD275" s="32">
        <f>AB275+AC275</f>
        <v/>
      </c>
      <c r="AE275" s="32">
        <f>D275*2.1</f>
        <v/>
      </c>
      <c r="AF275" s="7">
        <f>AD275-AE275</f>
        <v/>
      </c>
      <c r="AG275" s="7">
        <f>AF275/AD275*100</f>
        <v/>
      </c>
      <c r="AH275" s="0" t="n">
        <v>42950</v>
      </c>
      <c r="AI275" s="33" t="n"/>
      <c r="AJ275" s="34">
        <f>AD275</f>
        <v/>
      </c>
      <c r="AK275" s="34">
        <f>AJ275-(AJ275*7%)</f>
        <v/>
      </c>
      <c r="AL275" s="35">
        <f>AJ275/94</f>
        <v/>
      </c>
      <c r="AM275" s="35">
        <f>AK275/94</f>
        <v/>
      </c>
      <c r="AN275" s="36">
        <f>AJ275/24</f>
        <v/>
      </c>
      <c r="AO275" s="36">
        <f>AK275/24</f>
        <v/>
      </c>
      <c r="AP275" s="37">
        <f>AJ275/125</f>
        <v/>
      </c>
      <c r="AQ275" s="37">
        <f>AK275/125</f>
        <v/>
      </c>
    </row>
    <row r="276" ht="15.75" customHeight="1" s="50">
      <c r="A276" s="32" t="n"/>
      <c r="B276" s="32" t="inlineStr">
        <is>
          <t>Flower of Life / 14 in</t>
        </is>
      </c>
      <c r="C276" s="32" t="inlineStr">
        <is>
          <t>MI-G-ET-FOL1-14</t>
        </is>
      </c>
      <c r="D276" s="32" t="inlineStr">
        <is>
          <t>Parasonjeet</t>
        </is>
      </c>
      <c r="E276" s="32" t="n">
        <v>190</v>
      </c>
      <c r="G276" s="32" t="n">
        <v>0</v>
      </c>
      <c r="H276" s="32" t="n">
        <v>10</v>
      </c>
      <c r="I276" s="41" t="n">
        <v>83061000</v>
      </c>
      <c r="J276" s="30" t="n">
        <v>0.05</v>
      </c>
      <c r="K276" s="32">
        <f>D276*J276</f>
        <v/>
      </c>
      <c r="M276" s="32">
        <f>D276*4%</f>
        <v/>
      </c>
      <c r="N276" s="49">
        <f>M276+L276+K276+H276+G276+F276+E276+D276</f>
        <v/>
      </c>
      <c r="O276" s="32">
        <f>D276*1%</f>
        <v/>
      </c>
      <c r="P276" s="7">
        <f>N276*8%</f>
        <v/>
      </c>
      <c r="Q276" s="7">
        <f>N276*10%</f>
        <v/>
      </c>
      <c r="R276" s="7">
        <f>N276*5%</f>
        <v/>
      </c>
      <c r="S276" s="7">
        <f>N276*2%</f>
        <v/>
      </c>
      <c r="T276" s="7">
        <f>AE276*0.5%</f>
        <v/>
      </c>
      <c r="U276" s="7">
        <f>N276*1%</f>
        <v/>
      </c>
      <c r="V276" s="49">
        <f>U276+S276+R276+Q276+P276+O276</f>
        <v/>
      </c>
      <c r="W276" s="32">
        <f>AE276*1%</f>
        <v/>
      </c>
      <c r="X276" s="32">
        <f>AE276*10%</f>
        <v/>
      </c>
      <c r="Y276" s="32">
        <f>AE276*1%</f>
        <v/>
      </c>
      <c r="Z276" s="32">
        <f>AE276*8%</f>
        <v/>
      </c>
      <c r="AA276" s="32">
        <f>W276+X276+Y276+Z276</f>
        <v/>
      </c>
      <c r="AB276" s="31">
        <f>AA276+V276+N276</f>
        <v/>
      </c>
      <c r="AC276" s="6">
        <f>AB276*20%</f>
        <v/>
      </c>
      <c r="AD276" s="32">
        <f>AB276+AC276</f>
        <v/>
      </c>
      <c r="AE276" s="32">
        <f>D276*2.1</f>
        <v/>
      </c>
      <c r="AF276" s="7">
        <f>AD276-AE276</f>
        <v/>
      </c>
      <c r="AG276" s="7">
        <f>AF276/AD276*100</f>
        <v/>
      </c>
      <c r="AH276" s="0" t="n">
        <v>12450</v>
      </c>
      <c r="AI276" s="33" t="n"/>
      <c r="AJ276" s="34">
        <f>AD276</f>
        <v/>
      </c>
      <c r="AK276" s="34">
        <f>AJ276-(AJ276*7%)</f>
        <v/>
      </c>
      <c r="AL276" s="35">
        <f>AJ276/94</f>
        <v/>
      </c>
      <c r="AM276" s="35">
        <f>AK276/94</f>
        <v/>
      </c>
      <c r="AN276" s="36">
        <f>AJ276/24</f>
        <v/>
      </c>
      <c r="AO276" s="36">
        <f>AK276/24</f>
        <v/>
      </c>
      <c r="AP276" s="37">
        <f>AJ276/125</f>
        <v/>
      </c>
      <c r="AQ276" s="37">
        <f>AK276/125</f>
        <v/>
      </c>
    </row>
    <row r="277" ht="15.75" customHeight="1" s="50">
      <c r="A277" s="32" t="n"/>
      <c r="B277" s="32" t="inlineStr">
        <is>
          <t>Flower of Life / 16 in</t>
        </is>
      </c>
      <c r="C277" s="32" t="inlineStr">
        <is>
          <t>MI-G-ET-FOL1-16</t>
        </is>
      </c>
      <c r="D277" s="32" t="inlineStr">
        <is>
          <t>Parasonjeet</t>
        </is>
      </c>
      <c r="E277" s="32" t="n">
        <v>190</v>
      </c>
      <c r="G277" s="32" t="n">
        <v>0</v>
      </c>
      <c r="H277" s="32" t="n">
        <v>10</v>
      </c>
      <c r="I277" s="41" t="n">
        <v>83061000</v>
      </c>
      <c r="J277" s="30" t="n">
        <v>0.05</v>
      </c>
      <c r="K277" s="32">
        <f>D277*J277</f>
        <v/>
      </c>
      <c r="M277" s="32">
        <f>D277*4%</f>
        <v/>
      </c>
      <c r="N277" s="49">
        <f>M277+L277+K277+H277+G277+F277+E277+D277</f>
        <v/>
      </c>
      <c r="O277" s="32">
        <f>D277*1%</f>
        <v/>
      </c>
      <c r="P277" s="7">
        <f>N277*8%</f>
        <v/>
      </c>
      <c r="Q277" s="7">
        <f>N277*10%</f>
        <v/>
      </c>
      <c r="R277" s="7">
        <f>N277*5%</f>
        <v/>
      </c>
      <c r="S277" s="7">
        <f>N277*2%</f>
        <v/>
      </c>
      <c r="T277" s="7">
        <f>AE277*0.5%</f>
        <v/>
      </c>
      <c r="U277" s="7">
        <f>N277*1%</f>
        <v/>
      </c>
      <c r="V277" s="49">
        <f>U277+S277+R277+Q277+P277+O277</f>
        <v/>
      </c>
      <c r="W277" s="32">
        <f>AE277*1%</f>
        <v/>
      </c>
      <c r="X277" s="32">
        <f>AE277*10%</f>
        <v/>
      </c>
      <c r="Y277" s="32">
        <f>AE277*1%</f>
        <v/>
      </c>
      <c r="Z277" s="32">
        <f>AE277*8%</f>
        <v/>
      </c>
      <c r="AA277" s="32">
        <f>W277+X277+Y277+Z277</f>
        <v/>
      </c>
      <c r="AB277" s="31">
        <f>AA277+V277+N277</f>
        <v/>
      </c>
      <c r="AC277" s="6">
        <f>AB277*20%</f>
        <v/>
      </c>
      <c r="AD277" s="32">
        <f>AB277+AC277</f>
        <v/>
      </c>
      <c r="AE277" s="32">
        <f>D277*2.1</f>
        <v/>
      </c>
      <c r="AF277" s="7">
        <f>AD277-AE277</f>
        <v/>
      </c>
      <c r="AG277" s="7">
        <f>AF277/AD277*100</f>
        <v/>
      </c>
      <c r="AH277" s="0" t="n">
        <v>15950</v>
      </c>
      <c r="AI277" s="33" t="n"/>
      <c r="AJ277" s="34">
        <f>AD277</f>
        <v/>
      </c>
      <c r="AK277" s="34">
        <f>AJ277-(AJ277*7%)</f>
        <v/>
      </c>
      <c r="AL277" s="35">
        <f>AJ277/94</f>
        <v/>
      </c>
      <c r="AM277" s="35">
        <f>AK277/94</f>
        <v/>
      </c>
      <c r="AN277" s="36">
        <f>AJ277/24</f>
        <v/>
      </c>
      <c r="AO277" s="36">
        <f>AK277/24</f>
        <v/>
      </c>
      <c r="AP277" s="37">
        <f>AJ277/125</f>
        <v/>
      </c>
      <c r="AQ277" s="37">
        <f>AK277/125</f>
        <v/>
      </c>
    </row>
    <row r="278" ht="15.75" customHeight="1" s="50">
      <c r="A278" s="32" t="n"/>
      <c r="B278" s="32" t="inlineStr">
        <is>
          <t>18 in / Flower of Life</t>
        </is>
      </c>
      <c r="C278" s="32" t="inlineStr">
        <is>
          <t>MI-G-ET-FOL1-18</t>
        </is>
      </c>
      <c r="D278" s="32" t="inlineStr">
        <is>
          <t>Parasonjeet</t>
        </is>
      </c>
      <c r="E278" s="32" t="n">
        <v>190</v>
      </c>
      <c r="G278" s="32" t="n">
        <v>0</v>
      </c>
      <c r="H278" s="32" t="n">
        <v>10</v>
      </c>
      <c r="I278" s="41" t="n">
        <v>83061000</v>
      </c>
      <c r="J278" s="30" t="n">
        <v>0.05</v>
      </c>
      <c r="K278" s="32">
        <f>D278*J278</f>
        <v/>
      </c>
      <c r="M278" s="32">
        <f>D278*4%</f>
        <v/>
      </c>
      <c r="N278" s="49">
        <f>M278+L278+K278+H278+G278+F278+E278+D278</f>
        <v/>
      </c>
      <c r="O278" s="32">
        <f>D278*1%</f>
        <v/>
      </c>
      <c r="P278" s="7">
        <f>N278*8%</f>
        <v/>
      </c>
      <c r="Q278" s="7">
        <f>N278*10%</f>
        <v/>
      </c>
      <c r="R278" s="7">
        <f>N278*5%</f>
        <v/>
      </c>
      <c r="S278" s="7">
        <f>N278*2%</f>
        <v/>
      </c>
      <c r="T278" s="7">
        <f>AE278*0.5%</f>
        <v/>
      </c>
      <c r="U278" s="7">
        <f>N278*1%</f>
        <v/>
      </c>
      <c r="V278" s="49">
        <f>U278+S278+R278+Q278+P278+O278</f>
        <v/>
      </c>
      <c r="W278" s="32">
        <f>AE278*1%</f>
        <v/>
      </c>
      <c r="X278" s="32">
        <f>AE278*10%</f>
        <v/>
      </c>
      <c r="Y278" s="32">
        <f>AE278*1%</f>
        <v/>
      </c>
      <c r="Z278" s="32">
        <f>AE278*8%</f>
        <v/>
      </c>
      <c r="AA278" s="32">
        <f>W278+X278+Y278+Z278</f>
        <v/>
      </c>
      <c r="AB278" s="31">
        <f>AA278+V278+N278</f>
        <v/>
      </c>
      <c r="AC278" s="6">
        <f>AB278*20%</f>
        <v/>
      </c>
      <c r="AD278" s="32">
        <f>AB278+AC278</f>
        <v/>
      </c>
      <c r="AE278" s="32">
        <f>D278*2.1</f>
        <v/>
      </c>
      <c r="AF278" s="7">
        <f>AD278-AE278</f>
        <v/>
      </c>
      <c r="AG278" s="7">
        <f>AF278/AD278*100</f>
        <v/>
      </c>
      <c r="AH278" s="0" t="n">
        <v>18950</v>
      </c>
      <c r="AI278" s="33" t="n"/>
      <c r="AJ278" s="34">
        <f>AD278</f>
        <v/>
      </c>
      <c r="AK278" s="34">
        <f>AJ278-(AJ278*7%)</f>
        <v/>
      </c>
      <c r="AL278" s="35">
        <f>AJ278/94</f>
        <v/>
      </c>
      <c r="AM278" s="35">
        <f>AK278/94</f>
        <v/>
      </c>
      <c r="AN278" s="36">
        <f>AJ278/24</f>
        <v/>
      </c>
      <c r="AO278" s="36">
        <f>AK278/24</f>
        <v/>
      </c>
      <c r="AP278" s="37">
        <f>AJ278/125</f>
        <v/>
      </c>
      <c r="AQ278" s="37">
        <f>AK278/125</f>
        <v/>
      </c>
    </row>
    <row r="279" ht="15.75" customHeight="1" s="50">
      <c r="A279" s="32" t="n"/>
      <c r="B279" s="32" t="inlineStr">
        <is>
          <t>Flower of Life / 20 in</t>
        </is>
      </c>
      <c r="C279" s="32" t="inlineStr">
        <is>
          <t>MI-G-ET-FOL1-20</t>
        </is>
      </c>
      <c r="D279" s="32" t="inlineStr">
        <is>
          <t>Parasonjeet</t>
        </is>
      </c>
      <c r="E279" s="32" t="n">
        <v>190</v>
      </c>
      <c r="G279" s="32" t="n">
        <v>0</v>
      </c>
      <c r="H279" s="32" t="n">
        <v>10</v>
      </c>
      <c r="I279" s="41" t="n">
        <v>83061000</v>
      </c>
      <c r="J279" s="30" t="n">
        <v>0.05</v>
      </c>
      <c r="K279" s="32">
        <f>D279*J279</f>
        <v/>
      </c>
      <c r="M279" s="32">
        <f>D279*4%</f>
        <v/>
      </c>
      <c r="N279" s="49">
        <f>M279+L279+K279+H279+G279+F279+E279+D279</f>
        <v/>
      </c>
      <c r="O279" s="32">
        <f>D279*1%</f>
        <v/>
      </c>
      <c r="P279" s="7">
        <f>N279*8%</f>
        <v/>
      </c>
      <c r="Q279" s="7">
        <f>N279*10%</f>
        <v/>
      </c>
      <c r="R279" s="7">
        <f>N279*5%</f>
        <v/>
      </c>
      <c r="S279" s="7">
        <f>N279*2%</f>
        <v/>
      </c>
      <c r="T279" s="7">
        <f>AE279*0.5%</f>
        <v/>
      </c>
      <c r="U279" s="7">
        <f>N279*1%</f>
        <v/>
      </c>
      <c r="V279" s="49">
        <f>U279+S279+R279+Q279+P279+O279</f>
        <v/>
      </c>
      <c r="W279" s="32">
        <f>AE279*1%</f>
        <v/>
      </c>
      <c r="X279" s="32">
        <f>AE279*10%</f>
        <v/>
      </c>
      <c r="Y279" s="32">
        <f>AE279*1%</f>
        <v/>
      </c>
      <c r="Z279" s="32">
        <f>AE279*8%</f>
        <v/>
      </c>
      <c r="AA279" s="32">
        <f>W279+X279+Y279+Z279</f>
        <v/>
      </c>
      <c r="AB279" s="31">
        <f>AA279+V279+N279</f>
        <v/>
      </c>
      <c r="AC279" s="6">
        <f>AB279*20%</f>
        <v/>
      </c>
      <c r="AD279" s="32">
        <f>AB279+AC279</f>
        <v/>
      </c>
      <c r="AE279" s="32">
        <f>D279*2.1</f>
        <v/>
      </c>
      <c r="AF279" s="7">
        <f>AD279-AE279</f>
        <v/>
      </c>
      <c r="AG279" s="7">
        <f>AF279/AD279*100</f>
        <v/>
      </c>
      <c r="AH279" s="0" t="n">
        <v>23250</v>
      </c>
      <c r="AI279" s="33" t="n"/>
      <c r="AJ279" s="34">
        <f>AD279</f>
        <v/>
      </c>
      <c r="AK279" s="34">
        <f>AJ279-(AJ279*7%)</f>
        <v/>
      </c>
      <c r="AL279" s="35">
        <f>AJ279/94</f>
        <v/>
      </c>
      <c r="AM279" s="35">
        <f>AK279/94</f>
        <v/>
      </c>
      <c r="AN279" s="36">
        <f>AJ279/24</f>
        <v/>
      </c>
      <c r="AO279" s="36">
        <f>AK279/24</f>
        <v/>
      </c>
      <c r="AP279" s="37">
        <f>AJ279/125</f>
        <v/>
      </c>
      <c r="AQ279" s="37">
        <f>AK279/125</f>
        <v/>
      </c>
    </row>
    <row r="280" ht="15.75" customHeight="1" s="50">
      <c r="A280" s="32" t="n"/>
      <c r="B280" s="32" t="inlineStr">
        <is>
          <t>Flower of Life / 22 in</t>
        </is>
      </c>
      <c r="C280" s="32" t="inlineStr">
        <is>
          <t>MI-G-ET-FOL1-22</t>
        </is>
      </c>
      <c r="D280" s="32" t="inlineStr">
        <is>
          <t>Parasonjeet</t>
        </is>
      </c>
      <c r="E280" s="32" t="n">
        <v>190</v>
      </c>
      <c r="G280" s="32" t="n">
        <v>0</v>
      </c>
      <c r="H280" s="32" t="n">
        <v>10</v>
      </c>
      <c r="I280" s="41" t="n">
        <v>83061000</v>
      </c>
      <c r="J280" s="30" t="n">
        <v>0.05</v>
      </c>
      <c r="K280" s="32">
        <f>D280*J280</f>
        <v/>
      </c>
      <c r="M280" s="32">
        <f>D280*4%</f>
        <v/>
      </c>
      <c r="N280" s="49">
        <f>M280+L280+K280+H280+G280+F280+E280+D280</f>
        <v/>
      </c>
      <c r="O280" s="32">
        <f>D280*1%</f>
        <v/>
      </c>
      <c r="P280" s="7">
        <f>N280*8%</f>
        <v/>
      </c>
      <c r="Q280" s="7">
        <f>N280*10%</f>
        <v/>
      </c>
      <c r="R280" s="7">
        <f>N280*5%</f>
        <v/>
      </c>
      <c r="S280" s="7">
        <f>N280*2%</f>
        <v/>
      </c>
      <c r="T280" s="7">
        <f>AE280*0.5%</f>
        <v/>
      </c>
      <c r="U280" s="7">
        <f>N280*1%</f>
        <v/>
      </c>
      <c r="V280" s="49">
        <f>U280+S280+R280+Q280+P280+O280</f>
        <v/>
      </c>
      <c r="W280" s="32">
        <f>AE280*1%</f>
        <v/>
      </c>
      <c r="X280" s="32">
        <f>AE280*10%</f>
        <v/>
      </c>
      <c r="Y280" s="32">
        <f>AE280*1%</f>
        <v/>
      </c>
      <c r="Z280" s="32">
        <f>AE280*8%</f>
        <v/>
      </c>
      <c r="AA280" s="32">
        <f>W280+X280+Y280+Z280</f>
        <v/>
      </c>
      <c r="AB280" s="31">
        <f>AA280+V280+N280</f>
        <v/>
      </c>
      <c r="AC280" s="6">
        <f>AB280*20%</f>
        <v/>
      </c>
      <c r="AD280" s="32">
        <f>AB280+AC280</f>
        <v/>
      </c>
      <c r="AE280" s="32">
        <f>D280*2.1</f>
        <v/>
      </c>
      <c r="AF280" s="7">
        <f>AD280-AE280</f>
        <v/>
      </c>
      <c r="AG280" s="7">
        <f>AF280/AD280*100</f>
        <v/>
      </c>
      <c r="AH280" s="0" t="n">
        <v>27690</v>
      </c>
      <c r="AI280" s="33" t="n"/>
      <c r="AJ280" s="34">
        <f>AD280</f>
        <v/>
      </c>
      <c r="AK280" s="34">
        <f>AJ280-(AJ280*7%)</f>
        <v/>
      </c>
      <c r="AL280" s="35">
        <f>AJ280/94</f>
        <v/>
      </c>
      <c r="AM280" s="35">
        <f>AK280/94</f>
        <v/>
      </c>
      <c r="AN280" s="36">
        <f>AJ280/24</f>
        <v/>
      </c>
      <c r="AO280" s="36">
        <f>AK280/24</f>
        <v/>
      </c>
      <c r="AP280" s="37">
        <f>AJ280/125</f>
        <v/>
      </c>
      <c r="AQ280" s="37">
        <f>AK280/125</f>
        <v/>
      </c>
    </row>
    <row r="281" ht="15.75" customHeight="1" s="50">
      <c r="A281" s="32" t="n"/>
      <c r="B281" s="32" t="inlineStr">
        <is>
          <t>Flower of Life / 24 in</t>
        </is>
      </c>
      <c r="C281" s="32" t="inlineStr">
        <is>
          <t>MI-G-ET-FOL1-24</t>
        </is>
      </c>
      <c r="D281" s="32" t="inlineStr">
        <is>
          <t>Parasonjeet</t>
        </is>
      </c>
      <c r="E281" s="32" t="n">
        <v>190</v>
      </c>
      <c r="G281" s="32" t="n">
        <v>0</v>
      </c>
      <c r="H281" s="32" t="n">
        <v>10</v>
      </c>
      <c r="I281" s="41" t="n">
        <v>83061000</v>
      </c>
      <c r="J281" s="30" t="n">
        <v>0.05</v>
      </c>
      <c r="K281" s="32">
        <f>D281*J281</f>
        <v/>
      </c>
      <c r="M281" s="32">
        <f>D281*4%</f>
        <v/>
      </c>
      <c r="N281" s="49">
        <f>M281+L281+K281+H281+G281+F281+E281+D281</f>
        <v/>
      </c>
      <c r="O281" s="32">
        <f>D281*1%</f>
        <v/>
      </c>
      <c r="P281" s="7">
        <f>N281*8%</f>
        <v/>
      </c>
      <c r="Q281" s="7">
        <f>N281*10%</f>
        <v/>
      </c>
      <c r="R281" s="7">
        <f>N281*5%</f>
        <v/>
      </c>
      <c r="S281" s="7">
        <f>N281*2%</f>
        <v/>
      </c>
      <c r="T281" s="7">
        <f>AE281*0.5%</f>
        <v/>
      </c>
      <c r="U281" s="7">
        <f>N281*1%</f>
        <v/>
      </c>
      <c r="V281" s="49">
        <f>U281+S281+R281+Q281+P281+O281</f>
        <v/>
      </c>
      <c r="W281" s="32">
        <f>AE281*1%</f>
        <v/>
      </c>
      <c r="X281" s="32">
        <f>AE281*10%</f>
        <v/>
      </c>
      <c r="Y281" s="32">
        <f>AE281*1%</f>
        <v/>
      </c>
      <c r="Z281" s="32">
        <f>AE281*8%</f>
        <v/>
      </c>
      <c r="AA281" s="32">
        <f>W281+X281+Y281+Z281</f>
        <v/>
      </c>
      <c r="AB281" s="31">
        <f>AA281+V281+N281</f>
        <v/>
      </c>
      <c r="AC281" s="6">
        <f>AB281*20%</f>
        <v/>
      </c>
      <c r="AD281" s="32">
        <f>AB281+AC281</f>
        <v/>
      </c>
      <c r="AE281" s="32">
        <f>D281*2.1</f>
        <v/>
      </c>
      <c r="AF281" s="7">
        <f>AD281-AE281</f>
        <v/>
      </c>
      <c r="AG281" s="7">
        <f>AF281/AD281*100</f>
        <v/>
      </c>
      <c r="AH281" s="0" t="n">
        <v>32950</v>
      </c>
      <c r="AI281" s="33" t="n"/>
      <c r="AJ281" s="34">
        <f>AD281</f>
        <v/>
      </c>
      <c r="AK281" s="34">
        <f>AJ281-(AJ281*7%)</f>
        <v/>
      </c>
      <c r="AL281" s="35">
        <f>AJ281/94</f>
        <v/>
      </c>
      <c r="AM281" s="35">
        <f>AK281/94</f>
        <v/>
      </c>
      <c r="AN281" s="36">
        <f>AJ281/24</f>
        <v/>
      </c>
      <c r="AO281" s="36">
        <f>AK281/24</f>
        <v/>
      </c>
      <c r="AP281" s="37">
        <f>AJ281/125</f>
        <v/>
      </c>
      <c r="AQ281" s="37">
        <f>AK281/125</f>
        <v/>
      </c>
    </row>
    <row r="282" ht="15.75" customHeight="1" s="50">
      <c r="A282" s="32" t="n"/>
      <c r="B282" s="32" t="inlineStr">
        <is>
          <t>14 in / Om</t>
        </is>
      </c>
      <c r="C282" s="32" t="inlineStr">
        <is>
          <t>MI-G-ET-F-OM-14</t>
        </is>
      </c>
      <c r="D282" s="32" t="inlineStr">
        <is>
          <t>Parasonjeet</t>
        </is>
      </c>
      <c r="E282" s="32" t="n">
        <v>190</v>
      </c>
      <c r="G282" s="32" t="n">
        <v>0</v>
      </c>
      <c r="H282" s="32" t="n">
        <v>10</v>
      </c>
      <c r="I282" s="41" t="n">
        <v>83061000</v>
      </c>
      <c r="J282" s="30" t="n">
        <v>0.05</v>
      </c>
      <c r="K282" s="32">
        <f>D282*J282</f>
        <v/>
      </c>
      <c r="M282" s="32">
        <f>D282*4%</f>
        <v/>
      </c>
      <c r="N282" s="49">
        <f>M282+L282+K282+H282+G282+F282+E282+D282</f>
        <v/>
      </c>
      <c r="O282" s="32">
        <f>D282*1%</f>
        <v/>
      </c>
      <c r="P282" s="7">
        <f>N282*8%</f>
        <v/>
      </c>
      <c r="Q282" s="7">
        <f>N282*10%</f>
        <v/>
      </c>
      <c r="R282" s="7">
        <f>N282*5%</f>
        <v/>
      </c>
      <c r="S282" s="7">
        <f>N282*2%</f>
        <v/>
      </c>
      <c r="T282" s="7">
        <f>AE282*0.5%</f>
        <v/>
      </c>
      <c r="U282" s="7">
        <f>N282*1%</f>
        <v/>
      </c>
      <c r="V282" s="49">
        <f>U282+S282+R282+Q282+P282+O282</f>
        <v/>
      </c>
      <c r="W282" s="32">
        <f>AE282*1%</f>
        <v/>
      </c>
      <c r="X282" s="32">
        <f>AE282*10%</f>
        <v/>
      </c>
      <c r="Y282" s="32">
        <f>AE282*1%</f>
        <v/>
      </c>
      <c r="Z282" s="32">
        <f>AE282*8%</f>
        <v/>
      </c>
      <c r="AA282" s="32">
        <f>W282+X282+Y282+Z282</f>
        <v/>
      </c>
      <c r="AB282" s="31">
        <f>AA282+V282+N282</f>
        <v/>
      </c>
      <c r="AC282" s="6">
        <f>AB282*20%</f>
        <v/>
      </c>
      <c r="AD282" s="32">
        <f>AB282+AC282</f>
        <v/>
      </c>
      <c r="AE282" s="32">
        <f>D282*2.1</f>
        <v/>
      </c>
      <c r="AF282" s="7">
        <f>AD282-AE282</f>
        <v/>
      </c>
      <c r="AG282" s="7">
        <f>AF282/AD282*100</f>
        <v/>
      </c>
      <c r="AH282" s="0" t="n">
        <v>12450</v>
      </c>
      <c r="AI282" s="33" t="n"/>
      <c r="AJ282" s="34">
        <f>AD282</f>
        <v/>
      </c>
      <c r="AK282" s="34">
        <f>AJ282-(AJ282*7%)</f>
        <v/>
      </c>
      <c r="AL282" s="35">
        <f>AJ282/94</f>
        <v/>
      </c>
      <c r="AM282" s="35">
        <f>AK282/94</f>
        <v/>
      </c>
      <c r="AN282" s="36">
        <f>AJ282/24</f>
        <v/>
      </c>
      <c r="AO282" s="36">
        <f>AK282/24</f>
        <v/>
      </c>
      <c r="AP282" s="37">
        <f>AJ282/125</f>
        <v/>
      </c>
      <c r="AQ282" s="37">
        <f>AK282/125</f>
        <v/>
      </c>
    </row>
    <row r="283" ht="15.75" customHeight="1" s="50">
      <c r="A283" s="32" t="n"/>
      <c r="B283" s="32" t="inlineStr">
        <is>
          <t>16 in / Om</t>
        </is>
      </c>
      <c r="C283" s="32" t="inlineStr">
        <is>
          <t>MI-G-ET-F-OM-16</t>
        </is>
      </c>
      <c r="D283" s="32" t="inlineStr">
        <is>
          <t>Parasonjeet</t>
        </is>
      </c>
      <c r="E283" s="32" t="n">
        <v>190</v>
      </c>
      <c r="G283" s="32" t="n">
        <v>0</v>
      </c>
      <c r="H283" s="32" t="n">
        <v>10</v>
      </c>
      <c r="I283" s="41" t="n">
        <v>83061000</v>
      </c>
      <c r="J283" s="30" t="n">
        <v>0.05</v>
      </c>
      <c r="K283" s="32">
        <f>D283*J283</f>
        <v/>
      </c>
      <c r="M283" s="32">
        <f>D283*4%</f>
        <v/>
      </c>
      <c r="N283" s="49">
        <f>M283+L283+K283+H283+G283+F283+E283+D283</f>
        <v/>
      </c>
      <c r="O283" s="32">
        <f>D283*1%</f>
        <v/>
      </c>
      <c r="P283" s="7">
        <f>N283*8%</f>
        <v/>
      </c>
      <c r="Q283" s="7">
        <f>N283*10%</f>
        <v/>
      </c>
      <c r="R283" s="7">
        <f>N283*5%</f>
        <v/>
      </c>
      <c r="S283" s="7">
        <f>N283*2%</f>
        <v/>
      </c>
      <c r="T283" s="7">
        <f>AE283*0.5%</f>
        <v/>
      </c>
      <c r="U283" s="7">
        <f>N283*1%</f>
        <v/>
      </c>
      <c r="V283" s="49">
        <f>U283+S283+R283+Q283+P283+O283</f>
        <v/>
      </c>
      <c r="W283" s="32">
        <f>AE283*1%</f>
        <v/>
      </c>
      <c r="X283" s="32">
        <f>AE283*10%</f>
        <v/>
      </c>
      <c r="Y283" s="32">
        <f>AE283*1%</f>
        <v/>
      </c>
      <c r="Z283" s="32">
        <f>AE283*8%</f>
        <v/>
      </c>
      <c r="AA283" s="32">
        <f>W283+X283+Y283+Z283</f>
        <v/>
      </c>
      <c r="AB283" s="31">
        <f>AA283+V283+N283</f>
        <v/>
      </c>
      <c r="AC283" s="6">
        <f>AB283*20%</f>
        <v/>
      </c>
      <c r="AD283" s="32">
        <f>AB283+AC283</f>
        <v/>
      </c>
      <c r="AE283" s="32">
        <f>D283*2.1</f>
        <v/>
      </c>
      <c r="AF283" s="7">
        <f>AD283-AE283</f>
        <v/>
      </c>
      <c r="AG283" s="7">
        <f>AF283/AD283*100</f>
        <v/>
      </c>
      <c r="AH283" s="0" t="n">
        <v>15950</v>
      </c>
      <c r="AI283" s="33" t="n"/>
      <c r="AJ283" s="34">
        <f>AD283</f>
        <v/>
      </c>
      <c r="AK283" s="34">
        <f>AJ283-(AJ283*7%)</f>
        <v/>
      </c>
      <c r="AL283" s="35">
        <f>AJ283/94</f>
        <v/>
      </c>
      <c r="AM283" s="35">
        <f>AK283/94</f>
        <v/>
      </c>
      <c r="AN283" s="36">
        <f>AJ283/24</f>
        <v/>
      </c>
      <c r="AO283" s="36">
        <f>AK283/24</f>
        <v/>
      </c>
      <c r="AP283" s="37">
        <f>AJ283/125</f>
        <v/>
      </c>
      <c r="AQ283" s="37">
        <f>AK283/125</f>
        <v/>
      </c>
    </row>
    <row r="284" ht="15.75" customHeight="1" s="50">
      <c r="A284" s="32" t="n"/>
      <c r="B284" s="32" t="inlineStr">
        <is>
          <t>18 in / Om</t>
        </is>
      </c>
      <c r="C284" s="32" t="inlineStr">
        <is>
          <t>MI-G-ET-F-OM-18</t>
        </is>
      </c>
      <c r="D284" s="32" t="inlineStr">
        <is>
          <t>Parasonjeet</t>
        </is>
      </c>
      <c r="E284" s="32" t="n">
        <v>190</v>
      </c>
      <c r="G284" s="32" t="n">
        <v>0</v>
      </c>
      <c r="H284" s="32" t="n">
        <v>10</v>
      </c>
      <c r="I284" s="41" t="n">
        <v>83061000</v>
      </c>
      <c r="J284" s="30" t="n">
        <v>0.05</v>
      </c>
      <c r="K284" s="32">
        <f>D284*J284</f>
        <v/>
      </c>
      <c r="M284" s="32">
        <f>D284*4%</f>
        <v/>
      </c>
      <c r="N284" s="49">
        <f>M284+L284+K284+H284+G284+F284+E284+D284</f>
        <v/>
      </c>
      <c r="O284" s="32">
        <f>D284*1%</f>
        <v/>
      </c>
      <c r="P284" s="7">
        <f>N284*8%</f>
        <v/>
      </c>
      <c r="Q284" s="7">
        <f>N284*10%</f>
        <v/>
      </c>
      <c r="R284" s="7">
        <f>N284*5%</f>
        <v/>
      </c>
      <c r="S284" s="7">
        <f>N284*2%</f>
        <v/>
      </c>
      <c r="T284" s="7">
        <f>AE284*0.5%</f>
        <v/>
      </c>
      <c r="U284" s="7">
        <f>N284*1%</f>
        <v/>
      </c>
      <c r="V284" s="49">
        <f>U284+S284+R284+Q284+P284+O284</f>
        <v/>
      </c>
      <c r="W284" s="32">
        <f>AE284*1%</f>
        <v/>
      </c>
      <c r="X284" s="32">
        <f>AE284*10%</f>
        <v/>
      </c>
      <c r="Y284" s="32">
        <f>AE284*1%</f>
        <v/>
      </c>
      <c r="Z284" s="32">
        <f>AE284*8%</f>
        <v/>
      </c>
      <c r="AA284" s="32">
        <f>W284+X284+Y284+Z284</f>
        <v/>
      </c>
      <c r="AB284" s="31">
        <f>AA284+V284+N284</f>
        <v/>
      </c>
      <c r="AC284" s="6">
        <f>AB284*20%</f>
        <v/>
      </c>
      <c r="AD284" s="32">
        <f>AB284+AC284</f>
        <v/>
      </c>
      <c r="AE284" s="32">
        <f>D284*2.1</f>
        <v/>
      </c>
      <c r="AF284" s="7">
        <f>AD284-AE284</f>
        <v/>
      </c>
      <c r="AG284" s="7">
        <f>AF284/AD284*100</f>
        <v/>
      </c>
      <c r="AH284" s="0" t="n">
        <v>18950</v>
      </c>
      <c r="AI284" s="33" t="n"/>
      <c r="AJ284" s="34">
        <f>AD284</f>
        <v/>
      </c>
      <c r="AK284" s="34">
        <f>AJ284-(AJ284*7%)</f>
        <v/>
      </c>
      <c r="AL284" s="35">
        <f>AJ284/94</f>
        <v/>
      </c>
      <c r="AM284" s="35">
        <f>AK284/94</f>
        <v/>
      </c>
      <c r="AN284" s="36">
        <f>AJ284/24</f>
        <v/>
      </c>
      <c r="AO284" s="36">
        <f>AK284/24</f>
        <v/>
      </c>
      <c r="AP284" s="37">
        <f>AJ284/125</f>
        <v/>
      </c>
      <c r="AQ284" s="37">
        <f>AK284/125</f>
        <v/>
      </c>
    </row>
    <row r="285" ht="15.75" customHeight="1" s="50">
      <c r="A285" s="32" t="n"/>
      <c r="B285" s="32" t="inlineStr">
        <is>
          <t>20 in / Om</t>
        </is>
      </c>
      <c r="C285" s="32" t="inlineStr">
        <is>
          <t>MI-G-ET-F-OM-20</t>
        </is>
      </c>
      <c r="D285" s="32" t="inlineStr">
        <is>
          <t>Parasonjeet</t>
        </is>
      </c>
      <c r="E285" s="32" t="n">
        <v>190</v>
      </c>
      <c r="G285" s="32" t="n">
        <v>0</v>
      </c>
      <c r="H285" s="32" t="n">
        <v>10</v>
      </c>
      <c r="I285" s="41" t="n">
        <v>83061000</v>
      </c>
      <c r="J285" s="30" t="n">
        <v>0.05</v>
      </c>
      <c r="K285" s="32">
        <f>D285*J285</f>
        <v/>
      </c>
      <c r="M285" s="32">
        <f>D285*4%</f>
        <v/>
      </c>
      <c r="N285" s="49">
        <f>M285+L285+K285+H285+G285+F285+E285+D285</f>
        <v/>
      </c>
      <c r="O285" s="32">
        <f>D285*1%</f>
        <v/>
      </c>
      <c r="P285" s="7">
        <f>N285*8%</f>
        <v/>
      </c>
      <c r="Q285" s="7">
        <f>N285*10%</f>
        <v/>
      </c>
      <c r="R285" s="7">
        <f>N285*5%</f>
        <v/>
      </c>
      <c r="S285" s="7">
        <f>N285*2%</f>
        <v/>
      </c>
      <c r="T285" s="7">
        <f>AE285*0.5%</f>
        <v/>
      </c>
      <c r="U285" s="7">
        <f>N285*1%</f>
        <v/>
      </c>
      <c r="V285" s="49">
        <f>U285+S285+R285+Q285+P285+O285</f>
        <v/>
      </c>
      <c r="W285" s="32">
        <f>AE285*1%</f>
        <v/>
      </c>
      <c r="X285" s="32">
        <f>AE285*10%</f>
        <v/>
      </c>
      <c r="Y285" s="32">
        <f>AE285*1%</f>
        <v/>
      </c>
      <c r="Z285" s="32">
        <f>AE285*8%</f>
        <v/>
      </c>
      <c r="AA285" s="32">
        <f>W285+X285+Y285+Z285</f>
        <v/>
      </c>
      <c r="AB285" s="31">
        <f>AA285+V285+N285</f>
        <v/>
      </c>
      <c r="AC285" s="6">
        <f>AB285*20%</f>
        <v/>
      </c>
      <c r="AD285" s="32">
        <f>AB285+AC285</f>
        <v/>
      </c>
      <c r="AE285" s="32">
        <f>D285*2.1</f>
        <v/>
      </c>
      <c r="AF285" s="7">
        <f>AD285-AE285</f>
        <v/>
      </c>
      <c r="AG285" s="7">
        <f>AF285/AD285*100</f>
        <v/>
      </c>
      <c r="AH285" s="0" t="n">
        <v>23250</v>
      </c>
      <c r="AI285" s="33" t="n"/>
      <c r="AJ285" s="34">
        <f>AD285</f>
        <v/>
      </c>
      <c r="AK285" s="34">
        <f>AJ285-(AJ285*7%)</f>
        <v/>
      </c>
      <c r="AL285" s="35">
        <f>AJ285/94</f>
        <v/>
      </c>
      <c r="AM285" s="35">
        <f>AK285/94</f>
        <v/>
      </c>
      <c r="AN285" s="36">
        <f>AJ285/24</f>
        <v/>
      </c>
      <c r="AO285" s="36">
        <f>AK285/24</f>
        <v/>
      </c>
      <c r="AP285" s="37">
        <f>AJ285/125</f>
        <v/>
      </c>
      <c r="AQ285" s="37">
        <f>AK285/125</f>
        <v/>
      </c>
    </row>
    <row r="286" ht="15.75" customHeight="1" s="50">
      <c r="A286" s="32" t="n"/>
      <c r="B286" s="32" t="inlineStr">
        <is>
          <t>22 in / Om</t>
        </is>
      </c>
      <c r="C286" s="32" t="inlineStr">
        <is>
          <t>MI-G-ET-F-OM-22</t>
        </is>
      </c>
      <c r="D286" s="32" t="inlineStr">
        <is>
          <t>Parasonjeet</t>
        </is>
      </c>
      <c r="E286" s="32" t="n">
        <v>190</v>
      </c>
      <c r="G286" s="32" t="n">
        <v>0</v>
      </c>
      <c r="H286" s="32" t="n">
        <v>10</v>
      </c>
      <c r="I286" s="41" t="n">
        <v>83061000</v>
      </c>
      <c r="J286" s="30" t="n">
        <v>0.05</v>
      </c>
      <c r="K286" s="32">
        <f>D286*J286</f>
        <v/>
      </c>
      <c r="M286" s="32">
        <f>D286*4%</f>
        <v/>
      </c>
      <c r="N286" s="49">
        <f>M286+L286+K286+H286+G286+F286+E286+D286</f>
        <v/>
      </c>
      <c r="O286" s="32">
        <f>D286*1%</f>
        <v/>
      </c>
      <c r="P286" s="7">
        <f>N286*8%</f>
        <v/>
      </c>
      <c r="Q286" s="7">
        <f>N286*10%</f>
        <v/>
      </c>
      <c r="R286" s="7">
        <f>N286*5%</f>
        <v/>
      </c>
      <c r="S286" s="7">
        <f>N286*2%</f>
        <v/>
      </c>
      <c r="T286" s="7">
        <f>AE286*0.5%</f>
        <v/>
      </c>
      <c r="U286" s="7">
        <f>N286*1%</f>
        <v/>
      </c>
      <c r="V286" s="49">
        <f>U286+S286+R286+Q286+P286+O286</f>
        <v/>
      </c>
      <c r="W286" s="32">
        <f>AE286*1%</f>
        <v/>
      </c>
      <c r="X286" s="32">
        <f>AE286*10%</f>
        <v/>
      </c>
      <c r="Y286" s="32">
        <f>AE286*1%</f>
        <v/>
      </c>
      <c r="Z286" s="32">
        <f>AE286*8%</f>
        <v/>
      </c>
      <c r="AA286" s="32">
        <f>W286+X286+Y286+Z286</f>
        <v/>
      </c>
      <c r="AB286" s="31">
        <f>AA286+V286+N286</f>
        <v/>
      </c>
      <c r="AC286" s="6">
        <f>AB286*20%</f>
        <v/>
      </c>
      <c r="AD286" s="32">
        <f>AB286+AC286</f>
        <v/>
      </c>
      <c r="AE286" s="32">
        <f>D286*2.1</f>
        <v/>
      </c>
      <c r="AF286" s="7">
        <f>AD286-AE286</f>
        <v/>
      </c>
      <c r="AG286" s="7">
        <f>AF286/AD286*100</f>
        <v/>
      </c>
      <c r="AH286" s="0" t="n">
        <v>27690</v>
      </c>
      <c r="AI286" s="33" t="n"/>
      <c r="AJ286" s="34">
        <f>AD286</f>
        <v/>
      </c>
      <c r="AK286" s="34">
        <f>AJ286-(AJ286*7%)</f>
        <v/>
      </c>
      <c r="AL286" s="35">
        <f>AJ286/94</f>
        <v/>
      </c>
      <c r="AM286" s="35">
        <f>AK286/94</f>
        <v/>
      </c>
      <c r="AN286" s="36">
        <f>AJ286/24</f>
        <v/>
      </c>
      <c r="AO286" s="36">
        <f>AK286/24</f>
        <v/>
      </c>
      <c r="AP286" s="37">
        <f>AJ286/125</f>
        <v/>
      </c>
      <c r="AQ286" s="37">
        <f>AK286/125</f>
        <v/>
      </c>
    </row>
    <row r="287" ht="15.75" customHeight="1" s="50">
      <c r="A287" s="32" t="n"/>
      <c r="B287" s="32" t="inlineStr">
        <is>
          <t>24 in / Om</t>
        </is>
      </c>
      <c r="C287" s="32" t="inlineStr">
        <is>
          <t>MI-G-ET-F-OM-24</t>
        </is>
      </c>
      <c r="D287" s="32" t="inlineStr">
        <is>
          <t>Parasonjeet</t>
        </is>
      </c>
      <c r="E287" s="32" t="n">
        <v>190</v>
      </c>
      <c r="G287" s="32" t="n">
        <v>0</v>
      </c>
      <c r="H287" s="32" t="n">
        <v>10</v>
      </c>
      <c r="I287" s="41" t="n">
        <v>83061000</v>
      </c>
      <c r="J287" s="30" t="n">
        <v>0.05</v>
      </c>
      <c r="K287" s="32">
        <f>D287*J287</f>
        <v/>
      </c>
      <c r="M287" s="32">
        <f>D287*4%</f>
        <v/>
      </c>
      <c r="N287" s="49">
        <f>M287+L287+K287+H287+G287+F287+E287+D287</f>
        <v/>
      </c>
      <c r="O287" s="32">
        <f>D287*1%</f>
        <v/>
      </c>
      <c r="P287" s="7">
        <f>N287*8%</f>
        <v/>
      </c>
      <c r="Q287" s="7">
        <f>N287*10%</f>
        <v/>
      </c>
      <c r="R287" s="7">
        <f>N287*5%</f>
        <v/>
      </c>
      <c r="S287" s="7">
        <f>N287*2%</f>
        <v/>
      </c>
      <c r="T287" s="7">
        <f>AE287*0.5%</f>
        <v/>
      </c>
      <c r="U287" s="7">
        <f>N287*1%</f>
        <v/>
      </c>
      <c r="V287" s="49">
        <f>U287+S287+R287+Q287+P287+O287</f>
        <v/>
      </c>
      <c r="W287" s="32">
        <f>AE287*1%</f>
        <v/>
      </c>
      <c r="X287" s="32">
        <f>AE287*10%</f>
        <v/>
      </c>
      <c r="Y287" s="32">
        <f>AE287*1%</f>
        <v/>
      </c>
      <c r="Z287" s="32">
        <f>AE287*8%</f>
        <v/>
      </c>
      <c r="AA287" s="32">
        <f>W287+X287+Y287+Z287</f>
        <v/>
      </c>
      <c r="AB287" s="31">
        <f>AA287+V287+N287</f>
        <v/>
      </c>
      <c r="AC287" s="6">
        <f>AB287*20%</f>
        <v/>
      </c>
      <c r="AD287" s="32">
        <f>AB287+AC287</f>
        <v/>
      </c>
      <c r="AE287" s="32">
        <f>D287*2.1</f>
        <v/>
      </c>
      <c r="AF287" s="7">
        <f>AD287-AE287</f>
        <v/>
      </c>
      <c r="AG287" s="7">
        <f>AF287/AD287*100</f>
        <v/>
      </c>
      <c r="AH287" s="0" t="n">
        <v>32950</v>
      </c>
      <c r="AI287" s="33" t="n"/>
      <c r="AJ287" s="34">
        <f>AD287</f>
        <v/>
      </c>
      <c r="AK287" s="34">
        <f>AJ287-(AJ287*7%)</f>
        <v/>
      </c>
      <c r="AL287" s="35">
        <f>AJ287/94</f>
        <v/>
      </c>
      <c r="AM287" s="35">
        <f>AK287/94</f>
        <v/>
      </c>
      <c r="AN287" s="36">
        <f>AJ287/24</f>
        <v/>
      </c>
      <c r="AO287" s="36">
        <f>AK287/24</f>
        <v/>
      </c>
      <c r="AP287" s="37">
        <f>AJ287/125</f>
        <v/>
      </c>
      <c r="AQ287" s="37">
        <f>AK287/125</f>
        <v/>
      </c>
    </row>
    <row r="288" ht="15.75" customHeight="1" s="50">
      <c r="A288" s="32" t="n"/>
      <c r="B288" s="32" t="inlineStr">
        <is>
          <t>26 in / Om</t>
        </is>
      </c>
      <c r="C288" s="32" t="inlineStr">
        <is>
          <t>MI-G-ET-F-OM-26</t>
        </is>
      </c>
      <c r="D288" s="32" t="inlineStr">
        <is>
          <t>Parasonjeet</t>
        </is>
      </c>
      <c r="E288" s="32" t="n">
        <v>350</v>
      </c>
      <c r="G288" s="32" t="n">
        <v>0</v>
      </c>
      <c r="H288" s="32" t="n">
        <v>10</v>
      </c>
      <c r="I288" s="41" t="n">
        <v>83061000</v>
      </c>
      <c r="J288" s="30" t="n">
        <v>0.05</v>
      </c>
      <c r="K288" s="32">
        <f>D288*J288</f>
        <v/>
      </c>
      <c r="M288" s="32">
        <f>D288*4%</f>
        <v/>
      </c>
      <c r="N288" s="49">
        <f>M288+L288+K288+H288+G288+F288+E288+D288</f>
        <v/>
      </c>
      <c r="O288" s="32">
        <f>D288*1%</f>
        <v/>
      </c>
      <c r="P288" s="7">
        <f>N288*8%</f>
        <v/>
      </c>
      <c r="Q288" s="7">
        <f>N288*10%</f>
        <v/>
      </c>
      <c r="R288" s="7">
        <f>N288*5%</f>
        <v/>
      </c>
      <c r="S288" s="7">
        <f>N288*2%</f>
        <v/>
      </c>
      <c r="T288" s="7">
        <f>AE288*0.5%</f>
        <v/>
      </c>
      <c r="U288" s="7">
        <f>N288*1%</f>
        <v/>
      </c>
      <c r="V288" s="49">
        <f>U288+S288+R288+Q288+P288+O288</f>
        <v/>
      </c>
      <c r="W288" s="32">
        <f>AE288*1%</f>
        <v/>
      </c>
      <c r="X288" s="32">
        <f>AE288*10%</f>
        <v/>
      </c>
      <c r="Y288" s="32">
        <f>AE288*1%</f>
        <v/>
      </c>
      <c r="Z288" s="32">
        <f>AE288*8%</f>
        <v/>
      </c>
      <c r="AA288" s="32">
        <f>W288+X288+Y288+Z288</f>
        <v/>
      </c>
      <c r="AB288" s="31">
        <f>AA288+V288+N288</f>
        <v/>
      </c>
      <c r="AC288" s="6">
        <f>AB288*20%</f>
        <v/>
      </c>
      <c r="AD288" s="32">
        <f>AB288+AC288</f>
        <v/>
      </c>
      <c r="AE288" s="32">
        <f>D288*2.1</f>
        <v/>
      </c>
      <c r="AF288" s="7">
        <f>AD288-AE288</f>
        <v/>
      </c>
      <c r="AG288" s="7">
        <f>AF288/AD288*100</f>
        <v/>
      </c>
      <c r="AH288" s="0" t="n">
        <v>37950</v>
      </c>
      <c r="AI288" s="33" t="n"/>
      <c r="AJ288" s="34">
        <f>AD288</f>
        <v/>
      </c>
      <c r="AK288" s="34">
        <f>AJ288-(AJ288*7%)</f>
        <v/>
      </c>
      <c r="AL288" s="35">
        <f>AJ288/94</f>
        <v/>
      </c>
      <c r="AM288" s="35">
        <f>AK288/94</f>
        <v/>
      </c>
      <c r="AN288" s="36">
        <f>AJ288/24</f>
        <v/>
      </c>
      <c r="AO288" s="36">
        <f>AK288/24</f>
        <v/>
      </c>
      <c r="AP288" s="37">
        <f>AJ288/125</f>
        <v/>
      </c>
      <c r="AQ288" s="37">
        <f>AK288/125</f>
        <v/>
      </c>
    </row>
    <row r="289" ht="15.75" customHeight="1" s="50">
      <c r="A289" s="32" t="n"/>
      <c r="B289" s="32" t="inlineStr">
        <is>
          <t>28 in / Om</t>
        </is>
      </c>
      <c r="C289" s="32" t="inlineStr">
        <is>
          <t>MI-G-ET-F-OM-28</t>
        </is>
      </c>
      <c r="D289" s="32" t="inlineStr">
        <is>
          <t>Parasonjeet</t>
        </is>
      </c>
      <c r="E289" s="32" t="n">
        <v>350</v>
      </c>
      <c r="G289" s="32" t="n">
        <v>0</v>
      </c>
      <c r="H289" s="32" t="n">
        <v>10</v>
      </c>
      <c r="I289" s="41" t="n">
        <v>83061000</v>
      </c>
      <c r="J289" s="30" t="n">
        <v>0.05</v>
      </c>
      <c r="K289" s="32">
        <f>D289*J289</f>
        <v/>
      </c>
      <c r="M289" s="32">
        <f>D289*4%</f>
        <v/>
      </c>
      <c r="N289" s="49">
        <f>M289+L289+K289+H289+G289+F289+E289+D289</f>
        <v/>
      </c>
      <c r="O289" s="32">
        <f>D289*1%</f>
        <v/>
      </c>
      <c r="P289" s="7">
        <f>N289*8%</f>
        <v/>
      </c>
      <c r="Q289" s="7">
        <f>N289*10%</f>
        <v/>
      </c>
      <c r="R289" s="7">
        <f>N289*5%</f>
        <v/>
      </c>
      <c r="S289" s="7">
        <f>N289*2%</f>
        <v/>
      </c>
      <c r="T289" s="7">
        <f>AE289*0.5%</f>
        <v/>
      </c>
      <c r="U289" s="7">
        <f>N289*1%</f>
        <v/>
      </c>
      <c r="V289" s="49">
        <f>U289+S289+R289+Q289+P289+O289</f>
        <v/>
      </c>
      <c r="W289" s="32">
        <f>AE289*1%</f>
        <v/>
      </c>
      <c r="X289" s="32">
        <f>AE289*10%</f>
        <v/>
      </c>
      <c r="Y289" s="32">
        <f>AE289*1%</f>
        <v/>
      </c>
      <c r="Z289" s="32">
        <f>AE289*8%</f>
        <v/>
      </c>
      <c r="AA289" s="32">
        <f>W289+X289+Y289+Z289</f>
        <v/>
      </c>
      <c r="AB289" s="31">
        <f>AA289+V289+N289</f>
        <v/>
      </c>
      <c r="AC289" s="6">
        <f>AB289*20%</f>
        <v/>
      </c>
      <c r="AD289" s="32">
        <f>AB289+AC289</f>
        <v/>
      </c>
      <c r="AE289" s="32">
        <f>D289*2.1</f>
        <v/>
      </c>
      <c r="AF289" s="7">
        <f>AD289-AE289</f>
        <v/>
      </c>
      <c r="AG289" s="7">
        <f>AF289/AD289*100</f>
        <v/>
      </c>
      <c r="AH289" s="0" t="n">
        <v>42950</v>
      </c>
      <c r="AI289" s="33" t="n"/>
      <c r="AJ289" s="34">
        <f>AD289</f>
        <v/>
      </c>
      <c r="AK289" s="34">
        <f>AJ289-(AJ289*7%)</f>
        <v/>
      </c>
      <c r="AL289" s="35">
        <f>AJ289/94</f>
        <v/>
      </c>
      <c r="AM289" s="35">
        <f>AK289/94</f>
        <v/>
      </c>
      <c r="AN289" s="36">
        <f>AJ289/24</f>
        <v/>
      </c>
      <c r="AO289" s="36">
        <f>AK289/24</f>
        <v/>
      </c>
      <c r="AP289" s="37">
        <f>AJ289/125</f>
        <v/>
      </c>
      <c r="AQ289" s="37">
        <f>AK289/125</f>
        <v/>
      </c>
    </row>
    <row r="290" ht="15.75" customHeight="1" s="50">
      <c r="A290" s="32" t="n"/>
      <c r="B290" s="32" t="inlineStr">
        <is>
          <t>Mandala / 16 in</t>
        </is>
      </c>
      <c r="C290" s="32" t="inlineStr">
        <is>
          <t>MI-G-ET-M-16</t>
        </is>
      </c>
      <c r="D290" s="32" t="inlineStr">
        <is>
          <t>Parasonjeet</t>
        </is>
      </c>
      <c r="E290" s="32" t="n">
        <v>350</v>
      </c>
      <c r="G290" s="32" t="n">
        <v>0</v>
      </c>
      <c r="H290" s="32" t="n">
        <v>10</v>
      </c>
      <c r="I290" s="41" t="n">
        <v>83061000</v>
      </c>
      <c r="J290" s="30" t="n">
        <v>0.05</v>
      </c>
      <c r="K290" s="32">
        <f>D290*J290</f>
        <v/>
      </c>
      <c r="M290" s="32">
        <f>D290*4%</f>
        <v/>
      </c>
      <c r="N290" s="49">
        <f>M290+L290+K290+H290+G290+F290+E290+D290</f>
        <v/>
      </c>
      <c r="O290" s="32">
        <f>D290*1%</f>
        <v/>
      </c>
      <c r="P290" s="7">
        <f>N290*8%</f>
        <v/>
      </c>
      <c r="Q290" s="7">
        <f>N290*10%</f>
        <v/>
      </c>
      <c r="R290" s="7">
        <f>N290*5%</f>
        <v/>
      </c>
      <c r="S290" s="7">
        <f>N290*2%</f>
        <v/>
      </c>
      <c r="T290" s="7">
        <f>AE290*0.5%</f>
        <v/>
      </c>
      <c r="U290" s="7">
        <f>N290*1%</f>
        <v/>
      </c>
      <c r="V290" s="49">
        <f>U290+S290+R290+Q290+P290+O290</f>
        <v/>
      </c>
      <c r="W290" s="32">
        <f>AE290*1%</f>
        <v/>
      </c>
      <c r="X290" s="32">
        <f>AE290*10%</f>
        <v/>
      </c>
      <c r="Y290" s="32">
        <f>AE290*1%</f>
        <v/>
      </c>
      <c r="Z290" s="32">
        <f>AE290*8%</f>
        <v/>
      </c>
      <c r="AA290" s="32">
        <f>W290+X290+Y290+Z290</f>
        <v/>
      </c>
      <c r="AB290" s="31">
        <f>AA290+V290+N290</f>
        <v/>
      </c>
      <c r="AC290" s="6">
        <f>AB290*20%</f>
        <v/>
      </c>
      <c r="AD290" s="32">
        <f>AB290+AC290</f>
        <v/>
      </c>
      <c r="AE290" s="32">
        <f>D290*2.1</f>
        <v/>
      </c>
      <c r="AF290" s="7">
        <f>AD290-AE290</f>
        <v/>
      </c>
      <c r="AG290" s="7">
        <f>AF290/AD290*100</f>
        <v/>
      </c>
      <c r="AH290" s="0" t="n">
        <v>15950</v>
      </c>
      <c r="AI290" s="33" t="n"/>
      <c r="AJ290" s="34">
        <f>AD290</f>
        <v/>
      </c>
      <c r="AK290" s="34">
        <f>AJ290-(AJ290*7%)</f>
        <v/>
      </c>
      <c r="AL290" s="35">
        <f>AJ290/94</f>
        <v/>
      </c>
      <c r="AM290" s="35">
        <f>AK290/94</f>
        <v/>
      </c>
      <c r="AN290" s="36">
        <f>AJ290/24</f>
        <v/>
      </c>
      <c r="AO290" s="36">
        <f>AK290/24</f>
        <v/>
      </c>
      <c r="AP290" s="37">
        <f>AJ290/125</f>
        <v/>
      </c>
      <c r="AQ290" s="37">
        <f>AK290/125</f>
        <v/>
      </c>
    </row>
    <row r="291" ht="15.75" customHeight="1" s="50">
      <c r="A291" s="32" t="n"/>
      <c r="B291" s="32" t="inlineStr">
        <is>
          <t>18 in / Mandala</t>
        </is>
      </c>
      <c r="C291" s="32" t="inlineStr">
        <is>
          <t>MI-G-ET-M-18</t>
        </is>
      </c>
      <c r="D291" s="32" t="inlineStr">
        <is>
          <t>Parasonjeet</t>
        </is>
      </c>
      <c r="E291" s="32" t="n">
        <v>190</v>
      </c>
      <c r="G291" s="32" t="n">
        <v>0</v>
      </c>
      <c r="H291" s="32" t="n">
        <v>10</v>
      </c>
      <c r="I291" s="41" t="n">
        <v>83061000</v>
      </c>
      <c r="J291" s="30" t="n">
        <v>0.05</v>
      </c>
      <c r="K291" s="32">
        <f>D291*J291</f>
        <v/>
      </c>
      <c r="M291" s="32">
        <f>D291*4%</f>
        <v/>
      </c>
      <c r="N291" s="49">
        <f>M291+L291+K291+H291+G291+F291+E291+D291</f>
        <v/>
      </c>
      <c r="O291" s="32">
        <f>D291*1%</f>
        <v/>
      </c>
      <c r="P291" s="7">
        <f>N291*8%</f>
        <v/>
      </c>
      <c r="Q291" s="7">
        <f>N291*10%</f>
        <v/>
      </c>
      <c r="R291" s="7">
        <f>N291*5%</f>
        <v/>
      </c>
      <c r="S291" s="7">
        <f>N291*2%</f>
        <v/>
      </c>
      <c r="T291" s="7">
        <f>AE291*0.5%</f>
        <v/>
      </c>
      <c r="U291" s="7">
        <f>N291*1%</f>
        <v/>
      </c>
      <c r="V291" s="49">
        <f>U291+S291+R291+Q291+P291+O291</f>
        <v/>
      </c>
      <c r="W291" s="32">
        <f>AE291*1%</f>
        <v/>
      </c>
      <c r="X291" s="32">
        <f>AE291*10%</f>
        <v/>
      </c>
      <c r="Y291" s="32">
        <f>AE291*1%</f>
        <v/>
      </c>
      <c r="Z291" s="32">
        <f>AE291*8%</f>
        <v/>
      </c>
      <c r="AA291" s="32">
        <f>W291+X291+Y291+Z291</f>
        <v/>
      </c>
      <c r="AB291" s="31">
        <f>AA291+V291+N291</f>
        <v/>
      </c>
      <c r="AC291" s="6">
        <f>AB291*20%</f>
        <v/>
      </c>
      <c r="AD291" s="32">
        <f>AB291+AC291</f>
        <v/>
      </c>
      <c r="AE291" s="32">
        <f>D291*2.1</f>
        <v/>
      </c>
      <c r="AF291" s="7">
        <f>AD291-AE291</f>
        <v/>
      </c>
      <c r="AG291" s="7">
        <f>AF291/AD291*100</f>
        <v/>
      </c>
      <c r="AH291" s="0" t="n">
        <v>18950</v>
      </c>
      <c r="AI291" s="33" t="n"/>
      <c r="AJ291" s="34">
        <f>AD291</f>
        <v/>
      </c>
      <c r="AK291" s="34">
        <f>AJ291-(AJ291*7%)</f>
        <v/>
      </c>
      <c r="AL291" s="35">
        <f>AJ291/94</f>
        <v/>
      </c>
      <c r="AM291" s="35">
        <f>AK291/94</f>
        <v/>
      </c>
      <c r="AN291" s="36">
        <f>AJ291/24</f>
        <v/>
      </c>
      <c r="AO291" s="36">
        <f>AK291/24</f>
        <v/>
      </c>
      <c r="AP291" s="37">
        <f>AJ291/125</f>
        <v/>
      </c>
      <c r="AQ291" s="37">
        <f>AK291/125</f>
        <v/>
      </c>
    </row>
    <row r="292" ht="15.75" customHeight="1" s="50">
      <c r="A292" s="32" t="n"/>
      <c r="B292" s="32" t="inlineStr">
        <is>
          <t>Mandala / 20 in</t>
        </is>
      </c>
      <c r="C292" s="32" t="inlineStr">
        <is>
          <t>MI-G-ET-M-20</t>
        </is>
      </c>
      <c r="D292" s="32" t="inlineStr">
        <is>
          <t>Parasonjeet</t>
        </is>
      </c>
      <c r="E292" s="32" t="n">
        <v>190</v>
      </c>
      <c r="G292" s="32" t="n">
        <v>0</v>
      </c>
      <c r="H292" s="32" t="n">
        <v>10</v>
      </c>
      <c r="I292" s="41" t="n">
        <v>83061000</v>
      </c>
      <c r="J292" s="30" t="n">
        <v>0.05</v>
      </c>
      <c r="K292" s="32">
        <f>D292*J292</f>
        <v/>
      </c>
      <c r="M292" s="32">
        <f>D292*4%</f>
        <v/>
      </c>
      <c r="N292" s="49">
        <f>M292+L292+K292+H292+G292+F292+E292+D292</f>
        <v/>
      </c>
      <c r="O292" s="32">
        <f>D292*1%</f>
        <v/>
      </c>
      <c r="P292" s="7">
        <f>N292*8%</f>
        <v/>
      </c>
      <c r="Q292" s="7">
        <f>N292*10%</f>
        <v/>
      </c>
      <c r="R292" s="7">
        <f>N292*5%</f>
        <v/>
      </c>
      <c r="S292" s="7">
        <f>N292*2%</f>
        <v/>
      </c>
      <c r="T292" s="7">
        <f>AE292*0.5%</f>
        <v/>
      </c>
      <c r="U292" s="7">
        <f>N292*1%</f>
        <v/>
      </c>
      <c r="V292" s="49">
        <f>U292+S292+R292+Q292+P292+O292</f>
        <v/>
      </c>
      <c r="W292" s="32">
        <f>AE292*1%</f>
        <v/>
      </c>
      <c r="X292" s="32">
        <f>AE292*10%</f>
        <v/>
      </c>
      <c r="Y292" s="32">
        <f>AE292*1%</f>
        <v/>
      </c>
      <c r="Z292" s="32">
        <f>AE292*8%</f>
        <v/>
      </c>
      <c r="AA292" s="32">
        <f>W292+X292+Y292+Z292</f>
        <v/>
      </c>
      <c r="AB292" s="31">
        <f>AA292+V292+N292</f>
        <v/>
      </c>
      <c r="AC292" s="6">
        <f>AB292*20%</f>
        <v/>
      </c>
      <c r="AD292" s="32">
        <f>AB292+AC292</f>
        <v/>
      </c>
      <c r="AE292" s="32">
        <f>D292*2.1</f>
        <v/>
      </c>
      <c r="AF292" s="7">
        <f>AD292-AE292</f>
        <v/>
      </c>
      <c r="AG292" s="7">
        <f>AF292/AD292*100</f>
        <v/>
      </c>
      <c r="AH292" s="0" t="n">
        <v>23250</v>
      </c>
      <c r="AI292" s="33" t="n"/>
      <c r="AJ292" s="34">
        <f>AD292</f>
        <v/>
      </c>
      <c r="AK292" s="34">
        <f>AJ292-(AJ292*7%)</f>
        <v/>
      </c>
      <c r="AL292" s="35">
        <f>AJ292/94</f>
        <v/>
      </c>
      <c r="AM292" s="35">
        <f>AK292/94</f>
        <v/>
      </c>
      <c r="AN292" s="36">
        <f>AJ292/24</f>
        <v/>
      </c>
      <c r="AO292" s="36">
        <f>AK292/24</f>
        <v/>
      </c>
      <c r="AP292" s="37">
        <f>AJ292/125</f>
        <v/>
      </c>
      <c r="AQ292" s="37">
        <f>AK292/125</f>
        <v/>
      </c>
    </row>
    <row r="293" ht="15.75" customHeight="1" s="50">
      <c r="A293" s="32" t="n"/>
      <c r="B293" s="32" t="inlineStr">
        <is>
          <t>22 in / Mandala</t>
        </is>
      </c>
      <c r="C293" s="32" t="inlineStr">
        <is>
          <t>MI-G-ET-M-22</t>
        </is>
      </c>
      <c r="D293" s="32" t="inlineStr">
        <is>
          <t>Parasonjeet</t>
        </is>
      </c>
      <c r="E293" s="32" t="n">
        <v>190</v>
      </c>
      <c r="G293" s="32" t="n">
        <v>0</v>
      </c>
      <c r="H293" s="32" t="n">
        <v>10</v>
      </c>
      <c r="I293" s="41" t="n">
        <v>83061000</v>
      </c>
      <c r="J293" s="30" t="n">
        <v>0.05</v>
      </c>
      <c r="K293" s="32">
        <f>D293*J293</f>
        <v/>
      </c>
      <c r="M293" s="32">
        <f>D293*4%</f>
        <v/>
      </c>
      <c r="N293" s="49">
        <f>M293+L293+K293+H293+G293+F293+E293+D293</f>
        <v/>
      </c>
      <c r="O293" s="32">
        <f>D293*1%</f>
        <v/>
      </c>
      <c r="P293" s="7">
        <f>N293*8%</f>
        <v/>
      </c>
      <c r="Q293" s="7">
        <f>N293*10%</f>
        <v/>
      </c>
      <c r="R293" s="7">
        <f>N293*5%</f>
        <v/>
      </c>
      <c r="S293" s="7">
        <f>N293*2%</f>
        <v/>
      </c>
      <c r="T293" s="7">
        <f>AE293*0.5%</f>
        <v/>
      </c>
      <c r="U293" s="7">
        <f>N293*1%</f>
        <v/>
      </c>
      <c r="V293" s="49">
        <f>U293+S293+R293+Q293+P293+O293</f>
        <v/>
      </c>
      <c r="W293" s="32">
        <f>AE293*1%</f>
        <v/>
      </c>
      <c r="X293" s="32">
        <f>AE293*10%</f>
        <v/>
      </c>
      <c r="Y293" s="32">
        <f>AE293*1%</f>
        <v/>
      </c>
      <c r="Z293" s="32">
        <f>AE293*8%</f>
        <v/>
      </c>
      <c r="AA293" s="32">
        <f>W293+X293+Y293+Z293</f>
        <v/>
      </c>
      <c r="AB293" s="31">
        <f>AA293+V293+N293</f>
        <v/>
      </c>
      <c r="AC293" s="6">
        <f>AB293*20%</f>
        <v/>
      </c>
      <c r="AD293" s="32">
        <f>AB293+AC293</f>
        <v/>
      </c>
      <c r="AE293" s="32">
        <f>D293*2.1</f>
        <v/>
      </c>
      <c r="AF293" s="7">
        <f>AD293-AE293</f>
        <v/>
      </c>
      <c r="AG293" s="7">
        <f>AF293/AD293*100</f>
        <v/>
      </c>
      <c r="AH293" s="0" t="n">
        <v>27690</v>
      </c>
      <c r="AI293" s="33" t="n"/>
      <c r="AJ293" s="34">
        <f>AD293</f>
        <v/>
      </c>
      <c r="AK293" s="34">
        <f>AJ293-(AJ293*7%)</f>
        <v/>
      </c>
      <c r="AL293" s="35">
        <f>AJ293/94</f>
        <v/>
      </c>
      <c r="AM293" s="35">
        <f>AK293/94</f>
        <v/>
      </c>
      <c r="AN293" s="36">
        <f>AJ293/24</f>
        <v/>
      </c>
      <c r="AO293" s="36">
        <f>AK293/24</f>
        <v/>
      </c>
      <c r="AP293" s="37">
        <f>AJ293/125</f>
        <v/>
      </c>
      <c r="AQ293" s="37">
        <f>AK293/125</f>
        <v/>
      </c>
    </row>
    <row r="294" ht="15.75" customHeight="1" s="50">
      <c r="A294" s="32" t="n"/>
      <c r="B294" s="32" t="inlineStr">
        <is>
          <t>24 in / Mandala</t>
        </is>
      </c>
      <c r="C294" s="32" t="inlineStr">
        <is>
          <t>MI-G-ET-M-24</t>
        </is>
      </c>
      <c r="D294" s="32" t="inlineStr">
        <is>
          <t>Parasonjeet</t>
        </is>
      </c>
      <c r="E294" s="32" t="n">
        <v>190</v>
      </c>
      <c r="G294" s="32" t="n">
        <v>0</v>
      </c>
      <c r="H294" s="32" t="n">
        <v>10</v>
      </c>
      <c r="I294" s="41" t="n">
        <v>83061000</v>
      </c>
      <c r="J294" s="30" t="n">
        <v>0.05</v>
      </c>
      <c r="K294" s="32">
        <f>D294*J294</f>
        <v/>
      </c>
      <c r="M294" s="32">
        <f>D294*4%</f>
        <v/>
      </c>
      <c r="N294" s="49">
        <f>M294+L294+K294+H294+G294+F294+E294+D294</f>
        <v/>
      </c>
      <c r="O294" s="32">
        <f>D294*1%</f>
        <v/>
      </c>
      <c r="P294" s="7">
        <f>N294*8%</f>
        <v/>
      </c>
      <c r="Q294" s="7">
        <f>N294*10%</f>
        <v/>
      </c>
      <c r="R294" s="7">
        <f>N294*5%</f>
        <v/>
      </c>
      <c r="S294" s="7">
        <f>N294*2%</f>
        <v/>
      </c>
      <c r="T294" s="7">
        <f>AE294*0.5%</f>
        <v/>
      </c>
      <c r="U294" s="7">
        <f>N294*1%</f>
        <v/>
      </c>
      <c r="V294" s="49">
        <f>U294+S294+R294+Q294+P294+O294</f>
        <v/>
      </c>
      <c r="W294" s="32">
        <f>AE294*1%</f>
        <v/>
      </c>
      <c r="X294" s="32">
        <f>AE294*10%</f>
        <v/>
      </c>
      <c r="Y294" s="32">
        <f>AE294*1%</f>
        <v/>
      </c>
      <c r="Z294" s="32">
        <f>AE294*8%</f>
        <v/>
      </c>
      <c r="AA294" s="32">
        <f>W294+X294+Y294+Z294</f>
        <v/>
      </c>
      <c r="AB294" s="31">
        <f>AA294+V294+N294</f>
        <v/>
      </c>
      <c r="AC294" s="6">
        <f>AB294*20%</f>
        <v/>
      </c>
      <c r="AD294" s="32">
        <f>AB294+AC294</f>
        <v/>
      </c>
      <c r="AE294" s="32">
        <f>D294*2.1</f>
        <v/>
      </c>
      <c r="AF294" s="7">
        <f>AD294-AE294</f>
        <v/>
      </c>
      <c r="AG294" s="7">
        <f>AF294/AD294*100</f>
        <v/>
      </c>
      <c r="AH294" s="0" t="n">
        <v>32950</v>
      </c>
      <c r="AI294" s="33" t="n"/>
      <c r="AJ294" s="34">
        <f>AD294</f>
        <v/>
      </c>
      <c r="AK294" s="34">
        <f>AJ294-(AJ294*7%)</f>
        <v/>
      </c>
      <c r="AL294" s="35">
        <f>AJ294/94</f>
        <v/>
      </c>
      <c r="AM294" s="35">
        <f>AK294/94</f>
        <v/>
      </c>
      <c r="AN294" s="36">
        <f>AJ294/24</f>
        <v/>
      </c>
      <c r="AO294" s="36">
        <f>AK294/24</f>
        <v/>
      </c>
      <c r="AP294" s="37">
        <f>AJ294/125</f>
        <v/>
      </c>
      <c r="AQ294" s="37">
        <f>AK294/125</f>
        <v/>
      </c>
    </row>
    <row r="295" ht="15.75" customHeight="1" s="50">
      <c r="A295" s="32" t="n"/>
      <c r="B295" s="32" t="inlineStr">
        <is>
          <t>Mandala / 26 in</t>
        </is>
      </c>
      <c r="C295" s="32" t="inlineStr">
        <is>
          <t>MI-G-ET-M-26</t>
        </is>
      </c>
      <c r="D295" s="32" t="inlineStr">
        <is>
          <t>Parasonjeet</t>
        </is>
      </c>
      <c r="E295" s="32" t="n">
        <v>350</v>
      </c>
      <c r="G295" s="32" t="n">
        <v>0</v>
      </c>
      <c r="H295" s="32" t="n">
        <v>10</v>
      </c>
      <c r="I295" s="41" t="n">
        <v>83061000</v>
      </c>
      <c r="J295" s="30" t="n">
        <v>0.05</v>
      </c>
      <c r="K295" s="32">
        <f>D295*J295</f>
        <v/>
      </c>
      <c r="M295" s="32">
        <f>D295*4%</f>
        <v/>
      </c>
      <c r="N295" s="49">
        <f>M295+L295+K295+H295+G295+F295+E295+D295</f>
        <v/>
      </c>
      <c r="O295" s="32">
        <f>D295*1%</f>
        <v/>
      </c>
      <c r="P295" s="7">
        <f>N295*8%</f>
        <v/>
      </c>
      <c r="Q295" s="7">
        <f>N295*10%</f>
        <v/>
      </c>
      <c r="R295" s="7">
        <f>N295*5%</f>
        <v/>
      </c>
      <c r="S295" s="7">
        <f>N295*2%</f>
        <v/>
      </c>
      <c r="T295" s="7">
        <f>AE295*0.5%</f>
        <v/>
      </c>
      <c r="U295" s="7">
        <f>N295*1%</f>
        <v/>
      </c>
      <c r="V295" s="49">
        <f>U295+S295+R295+Q295+P295+O295</f>
        <v/>
      </c>
      <c r="W295" s="32">
        <f>AE295*1%</f>
        <v/>
      </c>
      <c r="X295" s="32">
        <f>AE295*10%</f>
        <v/>
      </c>
      <c r="Y295" s="32">
        <f>AE295*1%</f>
        <v/>
      </c>
      <c r="Z295" s="32">
        <f>AE295*8%</f>
        <v/>
      </c>
      <c r="AA295" s="32">
        <f>W295+X295+Y295+Z295</f>
        <v/>
      </c>
      <c r="AB295" s="31">
        <f>AA295+V295+N295</f>
        <v/>
      </c>
      <c r="AC295" s="6">
        <f>AB295*20%</f>
        <v/>
      </c>
      <c r="AD295" s="32">
        <f>AB295+AC295</f>
        <v/>
      </c>
      <c r="AE295" s="32">
        <f>D295*2.1</f>
        <v/>
      </c>
      <c r="AF295" s="7">
        <f>AD295-AE295</f>
        <v/>
      </c>
      <c r="AG295" s="7">
        <f>AF295/AD295*100</f>
        <v/>
      </c>
      <c r="AH295" s="0" t="n">
        <v>37950</v>
      </c>
      <c r="AI295" s="33" t="n"/>
      <c r="AJ295" s="34">
        <f>AD295</f>
        <v/>
      </c>
      <c r="AK295" s="34">
        <f>AJ295-(AJ295*7%)</f>
        <v/>
      </c>
      <c r="AL295" s="35">
        <f>AJ295/94</f>
        <v/>
      </c>
      <c r="AM295" s="35">
        <f>AK295/94</f>
        <v/>
      </c>
      <c r="AN295" s="36">
        <f>AJ295/24</f>
        <v/>
      </c>
      <c r="AO295" s="36">
        <f>AK295/24</f>
        <v/>
      </c>
      <c r="AP295" s="37">
        <f>AJ295/125</f>
        <v/>
      </c>
      <c r="AQ295" s="37">
        <f>AK295/125</f>
        <v/>
      </c>
    </row>
    <row r="296" ht="15.75" customHeight="1" s="50">
      <c r="A296" s="32" t="n"/>
      <c r="B296" s="32" t="inlineStr">
        <is>
          <t>28 in / Mandala</t>
        </is>
      </c>
      <c r="C296" s="32" t="inlineStr">
        <is>
          <t>MI-G-ET-M-28</t>
        </is>
      </c>
      <c r="D296" s="32" t="inlineStr">
        <is>
          <t>Parasonjeet</t>
        </is>
      </c>
      <c r="E296" s="32" t="n">
        <v>350</v>
      </c>
      <c r="G296" s="32" t="n">
        <v>0</v>
      </c>
      <c r="H296" s="32" t="n">
        <v>10</v>
      </c>
      <c r="I296" s="41" t="n">
        <v>83061000</v>
      </c>
      <c r="J296" s="30" t="n">
        <v>0.05</v>
      </c>
      <c r="K296" s="32">
        <f>D296*J296</f>
        <v/>
      </c>
      <c r="M296" s="32">
        <f>D296*4%</f>
        <v/>
      </c>
      <c r="N296" s="49">
        <f>M296+L296+K296+H296+G296+F296+E296+D296</f>
        <v/>
      </c>
      <c r="O296" s="32">
        <f>D296*1%</f>
        <v/>
      </c>
      <c r="P296" s="7">
        <f>N296*8%</f>
        <v/>
      </c>
      <c r="Q296" s="7">
        <f>N296*10%</f>
        <v/>
      </c>
      <c r="R296" s="7">
        <f>N296*5%</f>
        <v/>
      </c>
      <c r="S296" s="7">
        <f>N296*2%</f>
        <v/>
      </c>
      <c r="T296" s="7">
        <f>AE296*0.5%</f>
        <v/>
      </c>
      <c r="U296" s="7">
        <f>N296*1%</f>
        <v/>
      </c>
      <c r="V296" s="49">
        <f>U296+S296+R296+Q296+P296+O296</f>
        <v/>
      </c>
      <c r="W296" s="32">
        <f>AE296*1%</f>
        <v/>
      </c>
      <c r="X296" s="32">
        <f>AE296*10%</f>
        <v/>
      </c>
      <c r="Y296" s="32">
        <f>AE296*1%</f>
        <v/>
      </c>
      <c r="Z296" s="32">
        <f>AE296*8%</f>
        <v/>
      </c>
      <c r="AA296" s="32">
        <f>W296+X296+Y296+Z296</f>
        <v/>
      </c>
      <c r="AB296" s="31">
        <f>AA296+V296+N296</f>
        <v/>
      </c>
      <c r="AC296" s="6">
        <f>AB296*20%</f>
        <v/>
      </c>
      <c r="AD296" s="32">
        <f>AB296+AC296</f>
        <v/>
      </c>
      <c r="AE296" s="32">
        <f>D296*2.1</f>
        <v/>
      </c>
      <c r="AF296" s="7">
        <f>AD296-AE296</f>
        <v/>
      </c>
      <c r="AG296" s="7">
        <f>AF296/AD296*100</f>
        <v/>
      </c>
      <c r="AH296" s="0" t="n">
        <v>42950</v>
      </c>
      <c r="AI296" s="33" t="n"/>
      <c r="AJ296" s="34">
        <f>AD296</f>
        <v/>
      </c>
      <c r="AK296" s="34">
        <f>AJ296-(AJ296*7%)</f>
        <v/>
      </c>
      <c r="AL296" s="35">
        <f>AJ296/94</f>
        <v/>
      </c>
      <c r="AM296" s="35">
        <f>AK296/94</f>
        <v/>
      </c>
      <c r="AN296" s="36">
        <f>AJ296/24</f>
        <v/>
      </c>
      <c r="AO296" s="36">
        <f>AK296/24</f>
        <v/>
      </c>
      <c r="AP296" s="37">
        <f>AJ296/125</f>
        <v/>
      </c>
      <c r="AQ296" s="37">
        <f>AK296/125</f>
        <v/>
      </c>
    </row>
    <row r="297" ht="15.75" customHeight="1" s="50">
      <c r="A297" s="32" t="n"/>
      <c r="B297" s="32" t="inlineStr">
        <is>
          <t>Shakti Chakra / 14 in</t>
        </is>
      </c>
      <c r="C297" s="32" t="inlineStr">
        <is>
          <t>MI-G-ET-SC-14</t>
        </is>
      </c>
      <c r="D297" s="32" t="inlineStr">
        <is>
          <t>Parasonjeet</t>
        </is>
      </c>
      <c r="E297" s="32" t="n">
        <v>190</v>
      </c>
      <c r="G297" s="32" t="n">
        <v>0</v>
      </c>
      <c r="H297" s="32" t="n">
        <v>10</v>
      </c>
      <c r="I297" s="41" t="n">
        <v>83061000</v>
      </c>
      <c r="J297" s="30" t="n">
        <v>0.05</v>
      </c>
      <c r="K297" s="32">
        <f>D297*J297</f>
        <v/>
      </c>
      <c r="M297" s="32">
        <f>D297*4%</f>
        <v/>
      </c>
      <c r="N297" s="49">
        <f>M297+L297+K297+H297+G297+F297+E297+D297</f>
        <v/>
      </c>
      <c r="O297" s="32">
        <f>D297*1%</f>
        <v/>
      </c>
      <c r="P297" s="7">
        <f>N297*8%</f>
        <v/>
      </c>
      <c r="Q297" s="7">
        <f>N297*10%</f>
        <v/>
      </c>
      <c r="R297" s="7">
        <f>N297*5%</f>
        <v/>
      </c>
      <c r="S297" s="7">
        <f>N297*2%</f>
        <v/>
      </c>
      <c r="T297" s="7">
        <f>AE297*0.5%</f>
        <v/>
      </c>
      <c r="U297" s="7">
        <f>N297*1%</f>
        <v/>
      </c>
      <c r="V297" s="49">
        <f>U297+S297+R297+Q297+P297+O297</f>
        <v/>
      </c>
      <c r="W297" s="32">
        <f>AE297*1%</f>
        <v/>
      </c>
      <c r="X297" s="32">
        <f>AE297*10%</f>
        <v/>
      </c>
      <c r="Y297" s="32">
        <f>AE297*1%</f>
        <v/>
      </c>
      <c r="Z297" s="32">
        <f>AE297*8%</f>
        <v/>
      </c>
      <c r="AA297" s="32">
        <f>W297+X297+Y297+Z297</f>
        <v/>
      </c>
      <c r="AB297" s="31">
        <f>AA297+V297+N297</f>
        <v/>
      </c>
      <c r="AC297" s="6">
        <f>AB297*20%</f>
        <v/>
      </c>
      <c r="AD297" s="32">
        <f>AB297+AC297</f>
        <v/>
      </c>
      <c r="AE297" s="32">
        <f>D297*2.1</f>
        <v/>
      </c>
      <c r="AF297" s="7">
        <f>AD297-AE297</f>
        <v/>
      </c>
      <c r="AG297" s="7">
        <f>AF297/AD297*100</f>
        <v/>
      </c>
      <c r="AH297" s="0" t="n">
        <v>12450</v>
      </c>
      <c r="AI297" s="33" t="n"/>
      <c r="AJ297" s="34">
        <f>AD297</f>
        <v/>
      </c>
      <c r="AK297" s="34">
        <f>AJ297-(AJ297*7%)</f>
        <v/>
      </c>
      <c r="AL297" s="35">
        <f>AJ297/94</f>
        <v/>
      </c>
      <c r="AM297" s="35">
        <f>AK297/94</f>
        <v/>
      </c>
      <c r="AN297" s="36">
        <f>AJ297/24</f>
        <v/>
      </c>
      <c r="AO297" s="36">
        <f>AK297/24</f>
        <v/>
      </c>
      <c r="AP297" s="37">
        <f>AJ297/125</f>
        <v/>
      </c>
      <c r="AQ297" s="37">
        <f>AK297/125</f>
        <v/>
      </c>
    </row>
    <row r="298" ht="15.75" customHeight="1" s="50">
      <c r="A298" s="32" t="n"/>
      <c r="B298" s="32" t="inlineStr">
        <is>
          <t>Shakti Chakra / 16 in</t>
        </is>
      </c>
      <c r="C298" s="32" t="inlineStr">
        <is>
          <t>MI-G-ET-SC-16</t>
        </is>
      </c>
      <c r="D298" s="32" t="inlineStr">
        <is>
          <t>Parasonjeet</t>
        </is>
      </c>
      <c r="E298" s="32" t="n">
        <v>190</v>
      </c>
      <c r="G298" s="32" t="n">
        <v>0</v>
      </c>
      <c r="H298" s="32" t="n">
        <v>10</v>
      </c>
      <c r="I298" s="41" t="n">
        <v>83061000</v>
      </c>
      <c r="J298" s="30" t="n">
        <v>0.05</v>
      </c>
      <c r="K298" s="32">
        <f>D298*J298</f>
        <v/>
      </c>
      <c r="M298" s="32">
        <f>D298*4%</f>
        <v/>
      </c>
      <c r="N298" s="49">
        <f>M298+L298+K298+H298+G298+F298+E298+D298</f>
        <v/>
      </c>
      <c r="O298" s="32">
        <f>D298*1%</f>
        <v/>
      </c>
      <c r="P298" s="7">
        <f>N298*8%</f>
        <v/>
      </c>
      <c r="Q298" s="7">
        <f>N298*10%</f>
        <v/>
      </c>
      <c r="R298" s="7">
        <f>N298*5%</f>
        <v/>
      </c>
      <c r="S298" s="7">
        <f>N298*2%</f>
        <v/>
      </c>
      <c r="T298" s="7">
        <f>AE298*0.5%</f>
        <v/>
      </c>
      <c r="U298" s="7">
        <f>N298*1%</f>
        <v/>
      </c>
      <c r="V298" s="49">
        <f>U298+S298+R298+Q298+P298+O298</f>
        <v/>
      </c>
      <c r="W298" s="32">
        <f>AE298*1%</f>
        <v/>
      </c>
      <c r="X298" s="32">
        <f>AE298*10%</f>
        <v/>
      </c>
      <c r="Y298" s="32">
        <f>AE298*1%</f>
        <v/>
      </c>
      <c r="Z298" s="32">
        <f>AE298*8%</f>
        <v/>
      </c>
      <c r="AA298" s="32">
        <f>W298+X298+Y298+Z298</f>
        <v/>
      </c>
      <c r="AB298" s="31">
        <f>AA298+V298+N298</f>
        <v/>
      </c>
      <c r="AC298" s="6">
        <f>AB298*20%</f>
        <v/>
      </c>
      <c r="AD298" s="32">
        <f>AB298+AC298</f>
        <v/>
      </c>
      <c r="AE298" s="32">
        <f>D298*2.1</f>
        <v/>
      </c>
      <c r="AF298" s="7">
        <f>AD298-AE298</f>
        <v/>
      </c>
      <c r="AG298" s="7">
        <f>AF298/AD298*100</f>
        <v/>
      </c>
      <c r="AH298" s="0" t="n">
        <v>15950</v>
      </c>
      <c r="AI298" s="33" t="n"/>
      <c r="AJ298" s="34">
        <f>AD298</f>
        <v/>
      </c>
      <c r="AK298" s="34">
        <f>AJ298-(AJ298*7%)</f>
        <v/>
      </c>
      <c r="AL298" s="35">
        <f>AJ298/94</f>
        <v/>
      </c>
      <c r="AM298" s="35">
        <f>AK298/94</f>
        <v/>
      </c>
      <c r="AN298" s="36">
        <f>AJ298/24</f>
        <v/>
      </c>
      <c r="AO298" s="36">
        <f>AK298/24</f>
        <v/>
      </c>
      <c r="AP298" s="37">
        <f>AJ298/125</f>
        <v/>
      </c>
      <c r="AQ298" s="37">
        <f>AK298/125</f>
        <v/>
      </c>
    </row>
    <row r="299" ht="15.75" customHeight="1" s="50">
      <c r="A299" s="32" t="n"/>
      <c r="B299" s="32" t="inlineStr">
        <is>
          <t>18 in / Shakti Chakra</t>
        </is>
      </c>
      <c r="C299" s="32" t="inlineStr">
        <is>
          <t>MI-G-ET-SC-18</t>
        </is>
      </c>
      <c r="D299" s="32" t="inlineStr">
        <is>
          <t>Parasonjeet</t>
        </is>
      </c>
      <c r="E299" s="32" t="n">
        <v>190</v>
      </c>
      <c r="G299" s="32" t="n">
        <v>0</v>
      </c>
      <c r="H299" s="32" t="n">
        <v>10</v>
      </c>
      <c r="I299" s="41" t="n">
        <v>83061000</v>
      </c>
      <c r="J299" s="30" t="n">
        <v>0.05</v>
      </c>
      <c r="K299" s="32">
        <f>D299*J299</f>
        <v/>
      </c>
      <c r="M299" s="32">
        <f>D299*4%</f>
        <v/>
      </c>
      <c r="N299" s="49">
        <f>M299+L299+K299+H299+G299+F299+E299+D299</f>
        <v/>
      </c>
      <c r="O299" s="32">
        <f>D299*1%</f>
        <v/>
      </c>
      <c r="P299" s="7">
        <f>N299*8%</f>
        <v/>
      </c>
      <c r="Q299" s="7">
        <f>N299*10%</f>
        <v/>
      </c>
      <c r="R299" s="7">
        <f>N299*5%</f>
        <v/>
      </c>
      <c r="S299" s="7">
        <f>N299*2%</f>
        <v/>
      </c>
      <c r="T299" s="7">
        <f>AE299*0.5%</f>
        <v/>
      </c>
      <c r="U299" s="7">
        <f>N299*1%</f>
        <v/>
      </c>
      <c r="V299" s="49">
        <f>U299+S299+R299+Q299+P299+O299</f>
        <v/>
      </c>
      <c r="W299" s="32">
        <f>AE299*1%</f>
        <v/>
      </c>
      <c r="X299" s="32">
        <f>AE299*10%</f>
        <v/>
      </c>
      <c r="Y299" s="32">
        <f>AE299*1%</f>
        <v/>
      </c>
      <c r="Z299" s="32">
        <f>AE299*8%</f>
        <v/>
      </c>
      <c r="AA299" s="32">
        <f>W299+X299+Y299+Z299</f>
        <v/>
      </c>
      <c r="AB299" s="31">
        <f>AA299+V299+N299</f>
        <v/>
      </c>
      <c r="AC299" s="6">
        <f>AB299*20%</f>
        <v/>
      </c>
      <c r="AD299" s="32">
        <f>AB299+AC299</f>
        <v/>
      </c>
      <c r="AE299" s="32">
        <f>D299*2.1</f>
        <v/>
      </c>
      <c r="AF299" s="7">
        <f>AD299-AE299</f>
        <v/>
      </c>
      <c r="AG299" s="7">
        <f>AF299/AD299*100</f>
        <v/>
      </c>
      <c r="AH299" s="0" t="n">
        <v>18950</v>
      </c>
      <c r="AI299" s="33" t="n"/>
      <c r="AJ299" s="34">
        <f>AD299</f>
        <v/>
      </c>
      <c r="AK299" s="34">
        <f>AJ299-(AJ299*7%)</f>
        <v/>
      </c>
      <c r="AL299" s="35">
        <f>AJ299/94</f>
        <v/>
      </c>
      <c r="AM299" s="35">
        <f>AK299/94</f>
        <v/>
      </c>
      <c r="AN299" s="36">
        <f>AJ299/24</f>
        <v/>
      </c>
      <c r="AO299" s="36">
        <f>AK299/24</f>
        <v/>
      </c>
      <c r="AP299" s="37">
        <f>AJ299/125</f>
        <v/>
      </c>
      <c r="AQ299" s="37">
        <f>AK299/125</f>
        <v/>
      </c>
    </row>
    <row r="300" ht="15.75" customHeight="1" s="50">
      <c r="A300" s="32" t="n"/>
      <c r="B300" s="32" t="inlineStr">
        <is>
          <t>Shakti Chakra / 20 in</t>
        </is>
      </c>
      <c r="C300" s="32" t="inlineStr">
        <is>
          <t>MI-G-ET-SC-20</t>
        </is>
      </c>
      <c r="D300" s="32" t="inlineStr">
        <is>
          <t>Parasonjeet</t>
        </is>
      </c>
      <c r="E300" s="32" t="n">
        <v>190</v>
      </c>
      <c r="G300" s="32" t="n">
        <v>0</v>
      </c>
      <c r="H300" s="32" t="n">
        <v>10</v>
      </c>
      <c r="I300" s="41" t="n">
        <v>83061000</v>
      </c>
      <c r="J300" s="30" t="n">
        <v>0.05</v>
      </c>
      <c r="K300" s="32">
        <f>D300*J300</f>
        <v/>
      </c>
      <c r="M300" s="32">
        <f>D300*4%</f>
        <v/>
      </c>
      <c r="N300" s="49">
        <f>M300+L300+K300+H300+G300+F300+E300+D300</f>
        <v/>
      </c>
      <c r="O300" s="32">
        <f>D300*1%</f>
        <v/>
      </c>
      <c r="P300" s="7">
        <f>N300*8%</f>
        <v/>
      </c>
      <c r="Q300" s="7">
        <f>N300*10%</f>
        <v/>
      </c>
      <c r="R300" s="7">
        <f>N300*5%</f>
        <v/>
      </c>
      <c r="S300" s="7">
        <f>N300*2%</f>
        <v/>
      </c>
      <c r="T300" s="7">
        <f>AE300*0.5%</f>
        <v/>
      </c>
      <c r="U300" s="7">
        <f>N300*1%</f>
        <v/>
      </c>
      <c r="V300" s="49">
        <f>U300+S300+R300+Q300+P300+O300</f>
        <v/>
      </c>
      <c r="W300" s="32">
        <f>AE300*1%</f>
        <v/>
      </c>
      <c r="X300" s="32">
        <f>AE300*10%</f>
        <v/>
      </c>
      <c r="Y300" s="32">
        <f>AE300*1%</f>
        <v/>
      </c>
      <c r="Z300" s="32">
        <f>AE300*8%</f>
        <v/>
      </c>
      <c r="AA300" s="32">
        <f>W300+X300+Y300+Z300</f>
        <v/>
      </c>
      <c r="AB300" s="31">
        <f>AA300+V300+N300</f>
        <v/>
      </c>
      <c r="AC300" s="6">
        <f>AB300*20%</f>
        <v/>
      </c>
      <c r="AD300" s="32">
        <f>AB300+AC300</f>
        <v/>
      </c>
      <c r="AE300" s="32">
        <f>D300*2.1</f>
        <v/>
      </c>
      <c r="AF300" s="7">
        <f>AD300-AE300</f>
        <v/>
      </c>
      <c r="AG300" s="7">
        <f>AF300/AD300*100</f>
        <v/>
      </c>
      <c r="AH300" s="0" t="n">
        <v>23250</v>
      </c>
      <c r="AI300" s="33" t="n"/>
      <c r="AJ300" s="34">
        <f>AD300</f>
        <v/>
      </c>
      <c r="AK300" s="34">
        <f>AJ300-(AJ300*7%)</f>
        <v/>
      </c>
      <c r="AL300" s="35">
        <f>AJ300/94</f>
        <v/>
      </c>
      <c r="AM300" s="35">
        <f>AK300/94</f>
        <v/>
      </c>
      <c r="AN300" s="36">
        <f>AJ300/24</f>
        <v/>
      </c>
      <c r="AO300" s="36">
        <f>AK300/24</f>
        <v/>
      </c>
      <c r="AP300" s="37">
        <f>AJ300/125</f>
        <v/>
      </c>
      <c r="AQ300" s="37">
        <f>AK300/125</f>
        <v/>
      </c>
    </row>
    <row r="301" ht="15.75" customHeight="1" s="50">
      <c r="A301" s="32" t="n"/>
      <c r="B301" s="32" t="inlineStr">
        <is>
          <t>Shakti Chakra / 22 in</t>
        </is>
      </c>
      <c r="C301" s="32" t="inlineStr">
        <is>
          <t>MI-G-ET-SC-22</t>
        </is>
      </c>
      <c r="D301" s="32" t="inlineStr">
        <is>
          <t>Parasonjeet</t>
        </is>
      </c>
      <c r="E301" s="32" t="n">
        <v>350</v>
      </c>
      <c r="G301" s="32" t="n">
        <v>0</v>
      </c>
      <c r="H301" s="32" t="n">
        <v>10</v>
      </c>
      <c r="I301" s="41" t="n">
        <v>83061000</v>
      </c>
      <c r="J301" s="30" t="n">
        <v>0.05</v>
      </c>
      <c r="K301" s="32">
        <f>D301*J301</f>
        <v/>
      </c>
      <c r="M301" s="32">
        <f>D301*4%</f>
        <v/>
      </c>
      <c r="N301" s="49">
        <f>M301+L301+K301+H301+G301+F301+E301+D301</f>
        <v/>
      </c>
      <c r="O301" s="32">
        <f>D301*1%</f>
        <v/>
      </c>
      <c r="P301" s="7">
        <f>N301*8%</f>
        <v/>
      </c>
      <c r="Q301" s="7">
        <f>N301*10%</f>
        <v/>
      </c>
      <c r="R301" s="7">
        <f>N301*5%</f>
        <v/>
      </c>
      <c r="S301" s="7">
        <f>N301*2%</f>
        <v/>
      </c>
      <c r="T301" s="7">
        <f>AE301*0.5%</f>
        <v/>
      </c>
      <c r="U301" s="7">
        <f>N301*1%</f>
        <v/>
      </c>
      <c r="V301" s="49">
        <f>U301+S301+R301+Q301+P301+O301</f>
        <v/>
      </c>
      <c r="W301" s="32">
        <f>AE301*1%</f>
        <v/>
      </c>
      <c r="X301" s="32">
        <f>AE301*10%</f>
        <v/>
      </c>
      <c r="Y301" s="32">
        <f>AE301*1%</f>
        <v/>
      </c>
      <c r="Z301" s="32">
        <f>AE301*8%</f>
        <v/>
      </c>
      <c r="AA301" s="32">
        <f>W301+X301+Y301+Z301</f>
        <v/>
      </c>
      <c r="AB301" s="31">
        <f>AA301+V301+N301</f>
        <v/>
      </c>
      <c r="AC301" s="6">
        <f>AB301*20%</f>
        <v/>
      </c>
      <c r="AD301" s="32">
        <f>AB301+AC301</f>
        <v/>
      </c>
      <c r="AE301" s="32">
        <f>D301*2.1</f>
        <v/>
      </c>
      <c r="AF301" s="7">
        <f>AD301-AE301</f>
        <v/>
      </c>
      <c r="AG301" s="7">
        <f>AF301/AD301*100</f>
        <v/>
      </c>
      <c r="AH301" s="0" t="n">
        <v>27690</v>
      </c>
      <c r="AI301" s="33" t="n"/>
      <c r="AJ301" s="34">
        <f>AD301</f>
        <v/>
      </c>
      <c r="AK301" s="34">
        <f>AJ301-(AJ301*7%)</f>
        <v/>
      </c>
      <c r="AL301" s="35">
        <f>AJ301/94</f>
        <v/>
      </c>
      <c r="AM301" s="35">
        <f>AK301/94</f>
        <v/>
      </c>
      <c r="AN301" s="36">
        <f>AJ301/24</f>
        <v/>
      </c>
      <c r="AO301" s="36">
        <f>AK301/24</f>
        <v/>
      </c>
      <c r="AP301" s="37">
        <f>AJ301/125</f>
        <v/>
      </c>
      <c r="AQ301" s="37">
        <f>AK301/125</f>
        <v/>
      </c>
    </row>
    <row r="302" ht="15.75" customHeight="1" s="50">
      <c r="A302" s="32" t="n"/>
      <c r="B302" s="32" t="inlineStr">
        <is>
          <t>Shakti Chakra / 24 in</t>
        </is>
      </c>
      <c r="C302" s="32" t="inlineStr">
        <is>
          <t>MI-G-ET-SC-24</t>
        </is>
      </c>
      <c r="D302" s="32" t="inlineStr">
        <is>
          <t>Parasonjeet</t>
        </is>
      </c>
      <c r="E302" s="32" t="n">
        <v>350</v>
      </c>
      <c r="G302" s="32" t="n">
        <v>0</v>
      </c>
      <c r="H302" s="32" t="n">
        <v>10</v>
      </c>
      <c r="I302" s="41" t="n">
        <v>83061000</v>
      </c>
      <c r="J302" s="30" t="n">
        <v>0.05</v>
      </c>
      <c r="K302" s="32">
        <f>D302*J302</f>
        <v/>
      </c>
      <c r="M302" s="32">
        <f>D302*4%</f>
        <v/>
      </c>
      <c r="N302" s="49">
        <f>M302+L302+K302+H302+G302+F302+E302+D302</f>
        <v/>
      </c>
      <c r="O302" s="32">
        <f>D302*1%</f>
        <v/>
      </c>
      <c r="P302" s="7">
        <f>N302*8%</f>
        <v/>
      </c>
      <c r="Q302" s="7">
        <f>N302*10%</f>
        <v/>
      </c>
      <c r="R302" s="7">
        <f>N302*5%</f>
        <v/>
      </c>
      <c r="S302" s="7">
        <f>N302*2%</f>
        <v/>
      </c>
      <c r="T302" s="7">
        <f>AE302*0.5%</f>
        <v/>
      </c>
      <c r="U302" s="7">
        <f>N302*1%</f>
        <v/>
      </c>
      <c r="V302" s="49">
        <f>U302+S302+R302+Q302+P302+O302</f>
        <v/>
      </c>
      <c r="W302" s="32">
        <f>AE302*1%</f>
        <v/>
      </c>
      <c r="X302" s="32">
        <f>AE302*10%</f>
        <v/>
      </c>
      <c r="Y302" s="32">
        <f>AE302*1%</f>
        <v/>
      </c>
      <c r="Z302" s="32">
        <f>AE302*8%</f>
        <v/>
      </c>
      <c r="AA302" s="32">
        <f>W302+X302+Y302+Z302</f>
        <v/>
      </c>
      <c r="AB302" s="31">
        <f>AA302+V302+N302</f>
        <v/>
      </c>
      <c r="AC302" s="6">
        <f>AB302*20%</f>
        <v/>
      </c>
      <c r="AD302" s="32">
        <f>AB302+AC302</f>
        <v/>
      </c>
      <c r="AE302" s="32">
        <f>D302*2.1</f>
        <v/>
      </c>
      <c r="AF302" s="7">
        <f>AD302-AE302</f>
        <v/>
      </c>
      <c r="AG302" s="7">
        <f>AF302/AD302*100</f>
        <v/>
      </c>
      <c r="AH302" s="0" t="n">
        <v>32950</v>
      </c>
      <c r="AI302" s="33" t="n"/>
      <c r="AJ302" s="34">
        <f>AD302</f>
        <v/>
      </c>
      <c r="AK302" s="34">
        <f>AJ302-(AJ302*7%)</f>
        <v/>
      </c>
      <c r="AL302" s="35">
        <f>AJ302/94</f>
        <v/>
      </c>
      <c r="AM302" s="35">
        <f>AK302/94</f>
        <v/>
      </c>
      <c r="AN302" s="36">
        <f>AJ302/24</f>
        <v/>
      </c>
      <c r="AO302" s="36">
        <f>AK302/24</f>
        <v/>
      </c>
      <c r="AP302" s="37">
        <f>AJ302/125</f>
        <v/>
      </c>
      <c r="AQ302" s="37">
        <f>AK302/125</f>
        <v/>
      </c>
    </row>
    <row r="303" ht="15.75" customHeight="1" s="50">
      <c r="A303" s="32" t="n"/>
      <c r="B303" s="32" t="inlineStr">
        <is>
          <t>Shakti Chakra / 26 in</t>
        </is>
      </c>
      <c r="C303" s="32" t="inlineStr">
        <is>
          <t>MI-G-ET-SC-26</t>
        </is>
      </c>
      <c r="D303" s="32" t="inlineStr">
        <is>
          <t>Parasonjeet</t>
        </is>
      </c>
      <c r="E303" s="32" t="n">
        <v>350</v>
      </c>
      <c r="G303" s="32" t="n">
        <v>0</v>
      </c>
      <c r="H303" s="32" t="n">
        <v>10</v>
      </c>
      <c r="I303" s="41" t="n">
        <v>83061000</v>
      </c>
      <c r="J303" s="30" t="n">
        <v>0.05</v>
      </c>
      <c r="K303" s="32">
        <f>D303*J303</f>
        <v/>
      </c>
      <c r="M303" s="32">
        <f>D303*4%</f>
        <v/>
      </c>
      <c r="N303" s="49">
        <f>M303+L303+K303+H303+G303+F303+E303+D303</f>
        <v/>
      </c>
      <c r="O303" s="32">
        <f>D303*1%</f>
        <v/>
      </c>
      <c r="P303" s="7">
        <f>N303*8%</f>
        <v/>
      </c>
      <c r="Q303" s="7">
        <f>N303*10%</f>
        <v/>
      </c>
      <c r="R303" s="7">
        <f>N303*5%</f>
        <v/>
      </c>
      <c r="S303" s="7">
        <f>N303*2%</f>
        <v/>
      </c>
      <c r="T303" s="7">
        <f>AE303*0.5%</f>
        <v/>
      </c>
      <c r="U303" s="7">
        <f>N303*1%</f>
        <v/>
      </c>
      <c r="V303" s="49">
        <f>U303+S303+R303+Q303+P303+O303</f>
        <v/>
      </c>
      <c r="W303" s="32">
        <f>AE303*1%</f>
        <v/>
      </c>
      <c r="X303" s="32">
        <f>AE303*10%</f>
        <v/>
      </c>
      <c r="Y303" s="32">
        <f>AE303*1%</f>
        <v/>
      </c>
      <c r="Z303" s="32">
        <f>AE303*8%</f>
        <v/>
      </c>
      <c r="AA303" s="32">
        <f>W303+X303+Y303+Z303</f>
        <v/>
      </c>
      <c r="AB303" s="31">
        <f>AA303+V303+N303</f>
        <v/>
      </c>
      <c r="AC303" s="6">
        <f>AB303*20%</f>
        <v/>
      </c>
      <c r="AD303" s="32">
        <f>AB303+AC303</f>
        <v/>
      </c>
      <c r="AE303" s="32">
        <f>D303*2.1</f>
        <v/>
      </c>
      <c r="AF303" s="7">
        <f>AD303-AE303</f>
        <v/>
      </c>
      <c r="AG303" s="7">
        <f>AF303/AD303*100</f>
        <v/>
      </c>
      <c r="AH303" s="0" t="n">
        <v>37950</v>
      </c>
      <c r="AI303" s="33" t="n"/>
      <c r="AJ303" s="34">
        <f>AD303</f>
        <v/>
      </c>
      <c r="AK303" s="34">
        <f>AJ303-(AJ303*7%)</f>
        <v/>
      </c>
      <c r="AL303" s="35">
        <f>AJ303/94</f>
        <v/>
      </c>
      <c r="AM303" s="35">
        <f>AK303/94</f>
        <v/>
      </c>
      <c r="AN303" s="36">
        <f>AJ303/24</f>
        <v/>
      </c>
      <c r="AO303" s="36">
        <f>AK303/24</f>
        <v/>
      </c>
      <c r="AP303" s="37">
        <f>AJ303/125</f>
        <v/>
      </c>
      <c r="AQ303" s="37">
        <f>AK303/125</f>
        <v/>
      </c>
    </row>
    <row r="304" ht="15.75" customHeight="1" s="50">
      <c r="A304" s="32" t="n"/>
      <c r="B304" s="32" t="inlineStr">
        <is>
          <t>Shakti Chakra / 28 in</t>
        </is>
      </c>
      <c r="C304" s="32" t="inlineStr">
        <is>
          <t>MI-G-ET-SC-28</t>
        </is>
      </c>
      <c r="D304" s="32" t="inlineStr">
        <is>
          <t>Parasonjeet</t>
        </is>
      </c>
      <c r="E304" s="32" t="n">
        <v>350</v>
      </c>
      <c r="G304" s="32" t="n">
        <v>0</v>
      </c>
      <c r="H304" s="32" t="n">
        <v>10</v>
      </c>
      <c r="I304" s="41" t="n">
        <v>83061000</v>
      </c>
      <c r="J304" s="30" t="n">
        <v>0.05</v>
      </c>
      <c r="K304" s="32">
        <f>D304*J304</f>
        <v/>
      </c>
      <c r="M304" s="32">
        <f>D304*4%</f>
        <v/>
      </c>
      <c r="N304" s="49">
        <f>M304+L304+K304+H304+G304+F304+E304+D304</f>
        <v/>
      </c>
      <c r="O304" s="32">
        <f>D304*1%</f>
        <v/>
      </c>
      <c r="P304" s="7">
        <f>N304*8%</f>
        <v/>
      </c>
      <c r="Q304" s="7">
        <f>N304*10%</f>
        <v/>
      </c>
      <c r="R304" s="7">
        <f>N304*5%</f>
        <v/>
      </c>
      <c r="S304" s="7">
        <f>N304*2%</f>
        <v/>
      </c>
      <c r="T304" s="7">
        <f>AE304*0.5%</f>
        <v/>
      </c>
      <c r="U304" s="7">
        <f>N304*1%</f>
        <v/>
      </c>
      <c r="V304" s="49">
        <f>U304+S304+R304+Q304+P304+O304</f>
        <v/>
      </c>
      <c r="W304" s="32">
        <f>AE304*1%</f>
        <v/>
      </c>
      <c r="X304" s="32">
        <f>AE304*10%</f>
        <v/>
      </c>
      <c r="Y304" s="32">
        <f>AE304*1%</f>
        <v/>
      </c>
      <c r="Z304" s="32">
        <f>AE304*8%</f>
        <v/>
      </c>
      <c r="AA304" s="32">
        <f>W304+X304+Y304+Z304</f>
        <v/>
      </c>
      <c r="AB304" s="31">
        <f>AA304+V304+N304</f>
        <v/>
      </c>
      <c r="AC304" s="6">
        <f>AB304*20%</f>
        <v/>
      </c>
      <c r="AD304" s="32">
        <f>AB304+AC304</f>
        <v/>
      </c>
      <c r="AE304" s="32">
        <f>D304*2.1</f>
        <v/>
      </c>
      <c r="AF304" s="7">
        <f>AD304-AE304</f>
        <v/>
      </c>
      <c r="AG304" s="7">
        <f>AF304/AD304*100</f>
        <v/>
      </c>
      <c r="AH304" s="0" t="n">
        <v>42950</v>
      </c>
      <c r="AI304" s="33" t="n"/>
      <c r="AJ304" s="34">
        <f>AD304</f>
        <v/>
      </c>
      <c r="AK304" s="34">
        <f>AJ304-(AJ304*7%)</f>
        <v/>
      </c>
      <c r="AL304" s="35">
        <f>AJ304/94</f>
        <v/>
      </c>
      <c r="AM304" s="35">
        <f>AK304/94</f>
        <v/>
      </c>
      <c r="AN304" s="36">
        <f>AJ304/24</f>
        <v/>
      </c>
      <c r="AO304" s="36">
        <f>AK304/24</f>
        <v/>
      </c>
      <c r="AP304" s="37">
        <f>AJ304/125</f>
        <v/>
      </c>
      <c r="AQ304" s="37">
        <f>AK304/125</f>
        <v/>
      </c>
    </row>
    <row r="305" ht="15.75" customHeight="1" s="50">
      <c r="A305" s="32" t="n"/>
      <c r="B305" s="32" t="inlineStr">
        <is>
          <t>Dorje / 14 in</t>
        </is>
      </c>
      <c r="C305" s="32" t="inlineStr">
        <is>
          <t>MI-SB-H-ET-DJ-14</t>
        </is>
      </c>
      <c r="D305" s="32" t="inlineStr">
        <is>
          <t>Parasonjeet</t>
        </is>
      </c>
      <c r="E305" s="32" t="n">
        <v>190</v>
      </c>
      <c r="G305" s="32" t="n">
        <v>0</v>
      </c>
      <c r="H305" s="32" t="n">
        <v>10</v>
      </c>
      <c r="I305" s="41" t="n">
        <v>83061000</v>
      </c>
      <c r="J305" s="30" t="n">
        <v>0.05</v>
      </c>
      <c r="K305" s="32">
        <f>D305*J305</f>
        <v/>
      </c>
      <c r="M305" s="32">
        <f>D305*4%</f>
        <v/>
      </c>
      <c r="N305" s="49">
        <f>M305+L305+K305+H305+G305+F305+E305+D305</f>
        <v/>
      </c>
      <c r="O305" s="32">
        <f>D305*1%</f>
        <v/>
      </c>
      <c r="P305" s="7">
        <f>N305*8%</f>
        <v/>
      </c>
      <c r="Q305" s="7">
        <f>N305*10%</f>
        <v/>
      </c>
      <c r="R305" s="7">
        <f>N305*5%</f>
        <v/>
      </c>
      <c r="S305" s="7">
        <f>N305*2%</f>
        <v/>
      </c>
      <c r="T305" s="7">
        <f>AE305*0.5%</f>
        <v/>
      </c>
      <c r="U305" s="7">
        <f>N305*1%</f>
        <v/>
      </c>
      <c r="V305" s="49">
        <f>U305+S305+R305+Q305+P305+O305</f>
        <v/>
      </c>
      <c r="W305" s="32">
        <f>AE305*1%</f>
        <v/>
      </c>
      <c r="X305" s="32">
        <f>AE305*10%</f>
        <v/>
      </c>
      <c r="Y305" s="32">
        <f>AE305*1%</f>
        <v/>
      </c>
      <c r="Z305" s="32">
        <f>AE305*8%</f>
        <v/>
      </c>
      <c r="AA305" s="32">
        <f>W305+X305+Y305+Z305</f>
        <v/>
      </c>
      <c r="AB305" s="31">
        <f>AA305+V305+N305</f>
        <v/>
      </c>
      <c r="AC305" s="6">
        <f>AB305*20%</f>
        <v/>
      </c>
      <c r="AD305" s="32">
        <f>AB305+AC305</f>
        <v/>
      </c>
      <c r="AE305" s="32">
        <f>D305*2.1</f>
        <v/>
      </c>
      <c r="AF305" s="7">
        <f>AD305-AE305</f>
        <v/>
      </c>
      <c r="AG305" s="7">
        <f>AF305/AD305*100</f>
        <v/>
      </c>
      <c r="AH305" s="0" t="n">
        <v>12450</v>
      </c>
      <c r="AI305" s="33" t="n"/>
      <c r="AJ305" s="34">
        <f>AD305</f>
        <v/>
      </c>
      <c r="AK305" s="34">
        <f>AJ305-(AJ305*7%)</f>
        <v/>
      </c>
      <c r="AL305" s="35">
        <f>AJ305/94</f>
        <v/>
      </c>
      <c r="AM305" s="35">
        <f>AK305/94</f>
        <v/>
      </c>
      <c r="AN305" s="36">
        <f>AJ305/24</f>
        <v/>
      </c>
      <c r="AO305" s="36">
        <f>AK305/24</f>
        <v/>
      </c>
      <c r="AP305" s="37">
        <f>AJ305/125</f>
        <v/>
      </c>
      <c r="AQ305" s="37">
        <f>AK305/125</f>
        <v/>
      </c>
    </row>
    <row r="306" ht="15.75" customHeight="1" s="50">
      <c r="A306" s="32" t="n"/>
      <c r="B306" s="32" t="inlineStr">
        <is>
          <t>Dorje / 16 in</t>
        </is>
      </c>
      <c r="C306" s="32" t="inlineStr">
        <is>
          <t>MI-SB-H-ET-DJ-16</t>
        </is>
      </c>
      <c r="D306" s="32" t="inlineStr">
        <is>
          <t>Parasonjeet</t>
        </is>
      </c>
      <c r="E306" s="32" t="n">
        <v>190</v>
      </c>
      <c r="G306" s="32" t="n">
        <v>0</v>
      </c>
      <c r="H306" s="32" t="n">
        <v>10</v>
      </c>
      <c r="I306" s="41" t="n">
        <v>83061000</v>
      </c>
      <c r="J306" s="30" t="n">
        <v>0.05</v>
      </c>
      <c r="K306" s="32">
        <f>D306*J306</f>
        <v/>
      </c>
      <c r="M306" s="32">
        <f>D306*4%</f>
        <v/>
      </c>
      <c r="N306" s="49">
        <f>M306+L306+K306+H306+G306+F306+E306+D306</f>
        <v/>
      </c>
      <c r="O306" s="32">
        <f>D306*1%</f>
        <v/>
      </c>
      <c r="P306" s="7">
        <f>N306*8%</f>
        <v/>
      </c>
      <c r="Q306" s="7">
        <f>N306*10%</f>
        <v/>
      </c>
      <c r="R306" s="7">
        <f>N306*5%</f>
        <v/>
      </c>
      <c r="S306" s="7">
        <f>N306*2%</f>
        <v/>
      </c>
      <c r="T306" s="7">
        <f>AE306*0.5%</f>
        <v/>
      </c>
      <c r="U306" s="7">
        <f>N306*1%</f>
        <v/>
      </c>
      <c r="V306" s="49">
        <f>U306+S306+R306+Q306+P306+O306</f>
        <v/>
      </c>
      <c r="W306" s="32">
        <f>AE306*1%</f>
        <v/>
      </c>
      <c r="X306" s="32">
        <f>AE306*10%</f>
        <v/>
      </c>
      <c r="Y306" s="32">
        <f>AE306*1%</f>
        <v/>
      </c>
      <c r="Z306" s="32">
        <f>AE306*8%</f>
        <v/>
      </c>
      <c r="AA306" s="32">
        <f>W306+X306+Y306+Z306</f>
        <v/>
      </c>
      <c r="AB306" s="31">
        <f>AA306+V306+N306</f>
        <v/>
      </c>
      <c r="AC306" s="6">
        <f>AB306*20%</f>
        <v/>
      </c>
      <c r="AD306" s="32">
        <f>AB306+AC306</f>
        <v/>
      </c>
      <c r="AE306" s="32">
        <f>D306*2.1</f>
        <v/>
      </c>
      <c r="AF306" s="7">
        <f>AD306-AE306</f>
        <v/>
      </c>
      <c r="AG306" s="7">
        <f>AF306/AD306*100</f>
        <v/>
      </c>
      <c r="AH306" s="0" t="n">
        <v>15950</v>
      </c>
      <c r="AI306" s="33" t="n"/>
      <c r="AJ306" s="34">
        <f>AD306</f>
        <v/>
      </c>
      <c r="AK306" s="34">
        <f>AJ306-(AJ306*7%)</f>
        <v/>
      </c>
      <c r="AL306" s="35">
        <f>AJ306/94</f>
        <v/>
      </c>
      <c r="AM306" s="35">
        <f>AK306/94</f>
        <v/>
      </c>
      <c r="AN306" s="36">
        <f>AJ306/24</f>
        <v/>
      </c>
      <c r="AO306" s="36">
        <f>AK306/24</f>
        <v/>
      </c>
      <c r="AP306" s="37">
        <f>AJ306/125</f>
        <v/>
      </c>
      <c r="AQ306" s="37">
        <f>AK306/125</f>
        <v/>
      </c>
    </row>
    <row r="307" ht="15.75" customHeight="1" s="50">
      <c r="A307" s="32" t="n"/>
      <c r="B307" s="32" t="inlineStr">
        <is>
          <t>18 in / Dorje</t>
        </is>
      </c>
      <c r="C307" s="32" t="inlineStr">
        <is>
          <t>MI-SB-H-ET-DJ-18</t>
        </is>
      </c>
      <c r="D307" s="32" t="inlineStr">
        <is>
          <t>Parasonjeet</t>
        </is>
      </c>
      <c r="E307" s="32" t="n">
        <v>190</v>
      </c>
      <c r="G307" s="32" t="n">
        <v>0</v>
      </c>
      <c r="H307" s="32" t="n">
        <v>10</v>
      </c>
      <c r="I307" s="41" t="n">
        <v>83061000</v>
      </c>
      <c r="J307" s="30" t="n">
        <v>0.05</v>
      </c>
      <c r="K307" s="32">
        <f>D307*J307</f>
        <v/>
      </c>
      <c r="M307" s="32">
        <f>D307*4%</f>
        <v/>
      </c>
      <c r="N307" s="49">
        <f>M307+L307+K307+H307+G307+F307+E307+D307</f>
        <v/>
      </c>
      <c r="O307" s="32">
        <f>D307*1%</f>
        <v/>
      </c>
      <c r="P307" s="7">
        <f>N307*8%</f>
        <v/>
      </c>
      <c r="Q307" s="7">
        <f>N307*10%</f>
        <v/>
      </c>
      <c r="R307" s="7">
        <f>N307*5%</f>
        <v/>
      </c>
      <c r="S307" s="7">
        <f>N307*2%</f>
        <v/>
      </c>
      <c r="T307" s="7">
        <f>AE307*0.5%</f>
        <v/>
      </c>
      <c r="U307" s="7">
        <f>N307*1%</f>
        <v/>
      </c>
      <c r="V307" s="49">
        <f>U307+S307+R307+Q307+P307+O307</f>
        <v/>
      </c>
      <c r="W307" s="32">
        <f>AE307*1%</f>
        <v/>
      </c>
      <c r="X307" s="32">
        <f>AE307*10%</f>
        <v/>
      </c>
      <c r="Y307" s="32">
        <f>AE307*1%</f>
        <v/>
      </c>
      <c r="Z307" s="32">
        <f>AE307*8%</f>
        <v/>
      </c>
      <c r="AA307" s="32">
        <f>W307+X307+Y307+Z307</f>
        <v/>
      </c>
      <c r="AB307" s="31">
        <f>AA307+V307+N307</f>
        <v/>
      </c>
      <c r="AC307" s="6">
        <f>AB307*20%</f>
        <v/>
      </c>
      <c r="AD307" s="32">
        <f>AB307+AC307</f>
        <v/>
      </c>
      <c r="AE307" s="32">
        <f>D307*2.1</f>
        <v/>
      </c>
      <c r="AF307" s="7">
        <f>AD307-AE307</f>
        <v/>
      </c>
      <c r="AG307" s="7">
        <f>AF307/AD307*100</f>
        <v/>
      </c>
      <c r="AH307" s="0" t="n">
        <v>18950</v>
      </c>
      <c r="AI307" s="33" t="n"/>
      <c r="AJ307" s="34">
        <f>AD307</f>
        <v/>
      </c>
      <c r="AK307" s="34">
        <f>AJ307-(AJ307*7%)</f>
        <v/>
      </c>
      <c r="AL307" s="35">
        <f>AJ307/94</f>
        <v/>
      </c>
      <c r="AM307" s="35">
        <f>AK307/94</f>
        <v/>
      </c>
      <c r="AN307" s="36">
        <f>AJ307/24</f>
        <v/>
      </c>
      <c r="AO307" s="36">
        <f>AK307/24</f>
        <v/>
      </c>
      <c r="AP307" s="37">
        <f>AJ307/125</f>
        <v/>
      </c>
      <c r="AQ307" s="37">
        <f>AK307/125</f>
        <v/>
      </c>
    </row>
    <row r="308" ht="15.75" customHeight="1" s="50">
      <c r="A308" s="32" t="n"/>
      <c r="B308" s="32" t="inlineStr">
        <is>
          <t>Dorje / 20 in</t>
        </is>
      </c>
      <c r="C308" s="32" t="inlineStr">
        <is>
          <t>MI-SB-H-ET-DJ-20</t>
        </is>
      </c>
      <c r="D308" s="32" t="inlineStr">
        <is>
          <t>Parasonjeet</t>
        </is>
      </c>
      <c r="E308" s="32" t="n">
        <v>190</v>
      </c>
      <c r="G308" s="32" t="n">
        <v>0</v>
      </c>
      <c r="H308" s="32" t="n">
        <v>10</v>
      </c>
      <c r="I308" s="41" t="n">
        <v>83061000</v>
      </c>
      <c r="J308" s="30" t="n">
        <v>0.05</v>
      </c>
      <c r="K308" s="32">
        <f>D308*J308</f>
        <v/>
      </c>
      <c r="M308" s="32">
        <f>D308*4%</f>
        <v/>
      </c>
      <c r="N308" s="49">
        <f>M308+L308+K308+H308+G308+F308+E308+D308</f>
        <v/>
      </c>
      <c r="O308" s="32">
        <f>D308*1%</f>
        <v/>
      </c>
      <c r="P308" s="7">
        <f>N308*8%</f>
        <v/>
      </c>
      <c r="Q308" s="7">
        <f>N308*10%</f>
        <v/>
      </c>
      <c r="R308" s="7">
        <f>N308*5%</f>
        <v/>
      </c>
      <c r="S308" s="7">
        <f>N308*2%</f>
        <v/>
      </c>
      <c r="T308" s="7">
        <f>AE308*0.5%</f>
        <v/>
      </c>
      <c r="U308" s="7">
        <f>N308*1%</f>
        <v/>
      </c>
      <c r="V308" s="49">
        <f>U308+S308+R308+Q308+P308+O308</f>
        <v/>
      </c>
      <c r="W308" s="32">
        <f>AE308*1%</f>
        <v/>
      </c>
      <c r="X308" s="32">
        <f>AE308*10%</f>
        <v/>
      </c>
      <c r="Y308" s="32">
        <f>AE308*1%</f>
        <v/>
      </c>
      <c r="Z308" s="32">
        <f>AE308*8%</f>
        <v/>
      </c>
      <c r="AA308" s="32">
        <f>W308+X308+Y308+Z308</f>
        <v/>
      </c>
      <c r="AB308" s="31">
        <f>AA308+V308+N308</f>
        <v/>
      </c>
      <c r="AC308" s="6">
        <f>AB308*20%</f>
        <v/>
      </c>
      <c r="AD308" s="32">
        <f>AB308+AC308</f>
        <v/>
      </c>
      <c r="AE308" s="32">
        <f>D308*2.1</f>
        <v/>
      </c>
      <c r="AF308" s="7">
        <f>AD308-AE308</f>
        <v/>
      </c>
      <c r="AG308" s="7">
        <f>AF308/AD308*100</f>
        <v/>
      </c>
      <c r="AH308" s="0" t="n">
        <v>23250</v>
      </c>
      <c r="AI308" s="33" t="n"/>
      <c r="AJ308" s="34">
        <f>AD308</f>
        <v/>
      </c>
      <c r="AK308" s="34">
        <f>AJ308-(AJ308*7%)</f>
        <v/>
      </c>
      <c r="AL308" s="35">
        <f>AJ308/94</f>
        <v/>
      </c>
      <c r="AM308" s="35">
        <f>AK308/94</f>
        <v/>
      </c>
      <c r="AN308" s="36">
        <f>AJ308/24</f>
        <v/>
      </c>
      <c r="AO308" s="36">
        <f>AK308/24</f>
        <v/>
      </c>
      <c r="AP308" s="37">
        <f>AJ308/125</f>
        <v/>
      </c>
      <c r="AQ308" s="37">
        <f>AK308/125</f>
        <v/>
      </c>
    </row>
    <row r="309" ht="15.75" customHeight="1" s="50">
      <c r="A309" s="32" t="n"/>
      <c r="B309" s="32" t="inlineStr">
        <is>
          <t>Dorje / 22 in</t>
        </is>
      </c>
      <c r="C309" s="32" t="inlineStr">
        <is>
          <t>MI-SB-H-ET-DJ-22</t>
        </is>
      </c>
      <c r="D309" s="32" t="inlineStr">
        <is>
          <t>Parasonjeet</t>
        </is>
      </c>
      <c r="E309" s="32" t="n">
        <v>350</v>
      </c>
      <c r="G309" s="32" t="n">
        <v>0</v>
      </c>
      <c r="H309" s="32" t="n">
        <v>10</v>
      </c>
      <c r="I309" s="41" t="n">
        <v>83061000</v>
      </c>
      <c r="J309" s="30" t="n">
        <v>0.05</v>
      </c>
      <c r="K309" s="32">
        <f>D309*J309</f>
        <v/>
      </c>
      <c r="M309" s="32">
        <f>D309*4%</f>
        <v/>
      </c>
      <c r="N309" s="49">
        <f>M309+L309+K309+H309+G309+F309+E309+D309</f>
        <v/>
      </c>
      <c r="O309" s="32">
        <f>D309*1%</f>
        <v/>
      </c>
      <c r="P309" s="7">
        <f>N309*8%</f>
        <v/>
      </c>
      <c r="Q309" s="7">
        <f>N309*10%</f>
        <v/>
      </c>
      <c r="R309" s="7">
        <f>N309*5%</f>
        <v/>
      </c>
      <c r="S309" s="7">
        <f>N309*2%</f>
        <v/>
      </c>
      <c r="T309" s="7">
        <f>AE309*0.5%</f>
        <v/>
      </c>
      <c r="U309" s="7">
        <f>N309*1%</f>
        <v/>
      </c>
      <c r="V309" s="49">
        <f>U309+S309+R309+Q309+P309+O309</f>
        <v/>
      </c>
      <c r="W309" s="32">
        <f>AE309*1%</f>
        <v/>
      </c>
      <c r="X309" s="32">
        <f>AE309*10%</f>
        <v/>
      </c>
      <c r="Y309" s="32">
        <f>AE309*1%</f>
        <v/>
      </c>
      <c r="Z309" s="32">
        <f>AE309*8%</f>
        <v/>
      </c>
      <c r="AA309" s="32">
        <f>W309+X309+Y309+Z309</f>
        <v/>
      </c>
      <c r="AB309" s="31">
        <f>AA309+V309+N309</f>
        <v/>
      </c>
      <c r="AC309" s="6">
        <f>AB309*20%</f>
        <v/>
      </c>
      <c r="AD309" s="32">
        <f>AB309+AC309</f>
        <v/>
      </c>
      <c r="AE309" s="32">
        <f>D309*2.1</f>
        <v/>
      </c>
      <c r="AF309" s="7">
        <f>AD309-AE309</f>
        <v/>
      </c>
      <c r="AG309" s="7">
        <f>AF309/AD309*100</f>
        <v/>
      </c>
      <c r="AH309" s="0" t="n">
        <v>27690</v>
      </c>
      <c r="AI309" s="33" t="n"/>
      <c r="AJ309" s="34">
        <f>AD309</f>
        <v/>
      </c>
      <c r="AK309" s="34">
        <f>AJ309-(AJ309*7%)</f>
        <v/>
      </c>
      <c r="AL309" s="35">
        <f>AJ309/94</f>
        <v/>
      </c>
      <c r="AM309" s="35">
        <f>AK309/94</f>
        <v/>
      </c>
      <c r="AN309" s="36">
        <f>AJ309/24</f>
        <v/>
      </c>
      <c r="AO309" s="36">
        <f>AK309/24</f>
        <v/>
      </c>
      <c r="AP309" s="37">
        <f>AJ309/125</f>
        <v/>
      </c>
      <c r="AQ309" s="37">
        <f>AK309/125</f>
        <v/>
      </c>
    </row>
    <row r="310" ht="15.75" customHeight="1" s="50">
      <c r="A310" s="32" t="n"/>
      <c r="B310" s="32" t="inlineStr">
        <is>
          <t>Dorje / 24 in</t>
        </is>
      </c>
      <c r="C310" s="32" t="inlineStr">
        <is>
          <t>MI-SB-H-ET-DJ-24</t>
        </is>
      </c>
      <c r="D310" s="32" t="inlineStr">
        <is>
          <t>Parasonjeet</t>
        </is>
      </c>
      <c r="E310" s="32" t="n">
        <v>350</v>
      </c>
      <c r="G310" s="32" t="n">
        <v>0</v>
      </c>
      <c r="H310" s="32" t="n">
        <v>10</v>
      </c>
      <c r="I310" s="41" t="n">
        <v>83061000</v>
      </c>
      <c r="J310" s="30" t="n">
        <v>0.05</v>
      </c>
      <c r="K310" s="32">
        <f>D310*J310</f>
        <v/>
      </c>
      <c r="M310" s="32">
        <f>D310*4%</f>
        <v/>
      </c>
      <c r="N310" s="49">
        <f>M310+L310+K310+H310+G310+F310+E310+D310</f>
        <v/>
      </c>
      <c r="O310" s="32">
        <f>D310*1%</f>
        <v/>
      </c>
      <c r="P310" s="7">
        <f>N310*8%</f>
        <v/>
      </c>
      <c r="Q310" s="7">
        <f>N310*10%</f>
        <v/>
      </c>
      <c r="R310" s="7">
        <f>N310*5%</f>
        <v/>
      </c>
      <c r="S310" s="7">
        <f>N310*2%</f>
        <v/>
      </c>
      <c r="T310" s="7">
        <f>AE310*0.5%</f>
        <v/>
      </c>
      <c r="U310" s="7">
        <f>N310*1%</f>
        <v/>
      </c>
      <c r="V310" s="49">
        <f>U310+S310+R310+Q310+P310+O310</f>
        <v/>
      </c>
      <c r="W310" s="32">
        <f>AE310*1%</f>
        <v/>
      </c>
      <c r="X310" s="32">
        <f>AE310*10%</f>
        <v/>
      </c>
      <c r="Y310" s="32">
        <f>AE310*1%</f>
        <v/>
      </c>
      <c r="Z310" s="32">
        <f>AE310*8%</f>
        <v/>
      </c>
      <c r="AA310" s="32">
        <f>W310+X310+Y310+Z310</f>
        <v/>
      </c>
      <c r="AB310" s="31">
        <f>AA310+V310+N310</f>
        <v/>
      </c>
      <c r="AC310" s="6">
        <f>AB310*20%</f>
        <v/>
      </c>
      <c r="AD310" s="32">
        <f>AB310+AC310</f>
        <v/>
      </c>
      <c r="AE310" s="32">
        <f>D310*2.1</f>
        <v/>
      </c>
      <c r="AF310" s="7">
        <f>AD310-AE310</f>
        <v/>
      </c>
      <c r="AG310" s="7">
        <f>AF310/AD310*100</f>
        <v/>
      </c>
      <c r="AH310" s="0" t="n">
        <v>32950</v>
      </c>
      <c r="AI310" s="33" t="n"/>
      <c r="AJ310" s="34">
        <f>AD310</f>
        <v/>
      </c>
      <c r="AK310" s="34">
        <f>AJ310-(AJ310*7%)</f>
        <v/>
      </c>
      <c r="AL310" s="35">
        <f>AJ310/94</f>
        <v/>
      </c>
      <c r="AM310" s="35">
        <f>AK310/94</f>
        <v/>
      </c>
      <c r="AN310" s="36">
        <f>AJ310/24</f>
        <v/>
      </c>
      <c r="AO310" s="36">
        <f>AK310/24</f>
        <v/>
      </c>
      <c r="AP310" s="37">
        <f>AJ310/125</f>
        <v/>
      </c>
      <c r="AQ310" s="37">
        <f>AK310/125</f>
        <v/>
      </c>
    </row>
    <row r="311" ht="15.75" customHeight="1" s="50">
      <c r="A311" s="32" t="n"/>
      <c r="B311" s="32" t="inlineStr">
        <is>
          <t>Dorje / 26 in</t>
        </is>
      </c>
      <c r="C311" s="32" t="inlineStr">
        <is>
          <t>MI-SB-H-ET-DJ-26</t>
        </is>
      </c>
      <c r="D311" s="32" t="inlineStr">
        <is>
          <t>Parasonjeet</t>
        </is>
      </c>
      <c r="E311" s="32" t="n">
        <v>350</v>
      </c>
      <c r="G311" s="32" t="n">
        <v>0</v>
      </c>
      <c r="H311" s="32" t="n">
        <v>10</v>
      </c>
      <c r="I311" s="41" t="n">
        <v>83061000</v>
      </c>
      <c r="J311" s="30" t="n">
        <v>0.05</v>
      </c>
      <c r="K311" s="32">
        <f>D311*J311</f>
        <v/>
      </c>
      <c r="M311" s="32">
        <f>D311*4%</f>
        <v/>
      </c>
      <c r="N311" s="49">
        <f>M311+L311+K311+H311+G311+F311+E311+D311</f>
        <v/>
      </c>
      <c r="O311" s="32">
        <f>D311*1%</f>
        <v/>
      </c>
      <c r="P311" s="7">
        <f>N311*8%</f>
        <v/>
      </c>
      <c r="Q311" s="7">
        <f>N311*10%</f>
        <v/>
      </c>
      <c r="R311" s="7">
        <f>N311*5%</f>
        <v/>
      </c>
      <c r="S311" s="7">
        <f>N311*2%</f>
        <v/>
      </c>
      <c r="T311" s="7">
        <f>AE311*0.5%</f>
        <v/>
      </c>
      <c r="U311" s="7">
        <f>N311*1%</f>
        <v/>
      </c>
      <c r="V311" s="49">
        <f>U311+S311+R311+Q311+P311+O311</f>
        <v/>
      </c>
      <c r="W311" s="32">
        <f>AE311*1%</f>
        <v/>
      </c>
      <c r="X311" s="32">
        <f>AE311*10%</f>
        <v/>
      </c>
      <c r="Y311" s="32">
        <f>AE311*1%</f>
        <v/>
      </c>
      <c r="Z311" s="32">
        <f>AE311*8%</f>
        <v/>
      </c>
      <c r="AA311" s="32">
        <f>W311+X311+Y311+Z311</f>
        <v/>
      </c>
      <c r="AB311" s="31">
        <f>AA311+V311+N311</f>
        <v/>
      </c>
      <c r="AC311" s="6">
        <f>AB311*20%</f>
        <v/>
      </c>
      <c r="AD311" s="32">
        <f>AB311+AC311</f>
        <v/>
      </c>
      <c r="AE311" s="32">
        <f>D311*2.1</f>
        <v/>
      </c>
      <c r="AF311" s="7">
        <f>AD311-AE311</f>
        <v/>
      </c>
      <c r="AG311" s="7">
        <f>AF311/AD311*100</f>
        <v/>
      </c>
      <c r="AH311" s="0" t="n">
        <v>37950</v>
      </c>
      <c r="AI311" s="33" t="n"/>
      <c r="AJ311" s="34">
        <f>AD311</f>
        <v/>
      </c>
      <c r="AK311" s="34">
        <f>AJ311-(AJ311*7%)</f>
        <v/>
      </c>
      <c r="AL311" s="35">
        <f>AJ311/94</f>
        <v/>
      </c>
      <c r="AM311" s="35">
        <f>AK311/94</f>
        <v/>
      </c>
      <c r="AN311" s="36">
        <f>AJ311/24</f>
        <v/>
      </c>
      <c r="AO311" s="36">
        <f>AK311/24</f>
        <v/>
      </c>
      <c r="AP311" s="37">
        <f>AJ311/125</f>
        <v/>
      </c>
      <c r="AQ311" s="37">
        <f>AK311/125</f>
        <v/>
      </c>
    </row>
    <row r="312" ht="15.75" customHeight="1" s="50">
      <c r="A312" s="32" t="n"/>
      <c r="B312" s="32" t="inlineStr">
        <is>
          <t>Dorje / 28 in</t>
        </is>
      </c>
      <c r="C312" s="32" t="inlineStr">
        <is>
          <t>MI-SB-H-ET-DJ-28</t>
        </is>
      </c>
      <c r="D312" s="32" t="inlineStr">
        <is>
          <t>Parasonjeet</t>
        </is>
      </c>
      <c r="E312" s="32" t="n">
        <v>350</v>
      </c>
      <c r="G312" s="32" t="n">
        <v>0</v>
      </c>
      <c r="H312" s="32" t="n">
        <v>10</v>
      </c>
      <c r="I312" s="41" t="n">
        <v>83061000</v>
      </c>
      <c r="J312" s="30" t="n">
        <v>0.05</v>
      </c>
      <c r="K312" s="32">
        <f>D312*J312</f>
        <v/>
      </c>
      <c r="M312" s="32">
        <f>D312*4%</f>
        <v/>
      </c>
      <c r="N312" s="49">
        <f>M312+L312+K312+H312+G312+F312+E312+D312</f>
        <v/>
      </c>
      <c r="O312" s="32">
        <f>D312*1%</f>
        <v/>
      </c>
      <c r="P312" s="7">
        <f>N312*8%</f>
        <v/>
      </c>
      <c r="Q312" s="7">
        <f>N312*10%</f>
        <v/>
      </c>
      <c r="R312" s="7">
        <f>N312*5%</f>
        <v/>
      </c>
      <c r="S312" s="7">
        <f>N312*2%</f>
        <v/>
      </c>
      <c r="T312" s="7">
        <f>AE312*0.5%</f>
        <v/>
      </c>
      <c r="U312" s="7">
        <f>N312*1%</f>
        <v/>
      </c>
      <c r="V312" s="49">
        <f>U312+S312+R312+Q312+P312+O312</f>
        <v/>
      </c>
      <c r="W312" s="32">
        <f>AE312*1%</f>
        <v/>
      </c>
      <c r="X312" s="32">
        <f>AE312*10%</f>
        <v/>
      </c>
      <c r="Y312" s="32">
        <f>AE312*1%</f>
        <v/>
      </c>
      <c r="Z312" s="32">
        <f>AE312*8%</f>
        <v/>
      </c>
      <c r="AA312" s="32">
        <f>W312+X312+Y312+Z312</f>
        <v/>
      </c>
      <c r="AB312" s="31">
        <f>AA312+V312+N312</f>
        <v/>
      </c>
      <c r="AC312" s="6">
        <f>AB312*20%</f>
        <v/>
      </c>
      <c r="AD312" s="32">
        <f>AB312+AC312</f>
        <v/>
      </c>
      <c r="AE312" s="32">
        <f>D312*2.1</f>
        <v/>
      </c>
      <c r="AF312" s="7">
        <f>AD312-AE312</f>
        <v/>
      </c>
      <c r="AG312" s="7">
        <f>AF312/AD312*100</f>
        <v/>
      </c>
      <c r="AH312" s="0" t="n">
        <v>42950</v>
      </c>
      <c r="AI312" s="33" t="n"/>
      <c r="AJ312" s="34">
        <f>AD312</f>
        <v/>
      </c>
      <c r="AK312" s="34">
        <f>AJ312-(AJ312*7%)</f>
        <v/>
      </c>
      <c r="AL312" s="35">
        <f>AJ312/94</f>
        <v/>
      </c>
      <c r="AM312" s="35">
        <f>AK312/94</f>
        <v/>
      </c>
      <c r="AN312" s="36">
        <f>AJ312/24</f>
        <v/>
      </c>
      <c r="AO312" s="36">
        <f>AK312/24</f>
        <v/>
      </c>
      <c r="AP312" s="37">
        <f>AJ312/125</f>
        <v/>
      </c>
      <c r="AQ312" s="37">
        <f>AK312/125</f>
        <v/>
      </c>
    </row>
    <row r="313" ht="15.75" customHeight="1" s="50">
      <c r="A313" s="32" t="n"/>
      <c r="B313" s="32" t="inlineStr">
        <is>
          <t>Tara / 14 in</t>
        </is>
      </c>
      <c r="C313" s="32" t="inlineStr">
        <is>
          <t>MI-SB-H-ET-TR-14</t>
        </is>
      </c>
      <c r="D313" s="32" t="inlineStr">
        <is>
          <t>Parasonjeet</t>
        </is>
      </c>
      <c r="E313" s="32" t="n">
        <v>190</v>
      </c>
      <c r="G313" s="32" t="n">
        <v>0</v>
      </c>
      <c r="H313" s="32" t="n">
        <v>10</v>
      </c>
      <c r="I313" s="41" t="n">
        <v>83061000</v>
      </c>
      <c r="J313" s="30" t="n">
        <v>0.05</v>
      </c>
      <c r="K313" s="32">
        <f>D313*J313</f>
        <v/>
      </c>
      <c r="M313" s="32">
        <f>D313*4%</f>
        <v/>
      </c>
      <c r="N313" s="49">
        <f>M313+L313+K313+H313+G313+F313+E313+D313</f>
        <v/>
      </c>
      <c r="O313" s="32">
        <f>D313*1%</f>
        <v/>
      </c>
      <c r="P313" s="7">
        <f>N313*8%</f>
        <v/>
      </c>
      <c r="Q313" s="7">
        <f>N313*10%</f>
        <v/>
      </c>
      <c r="R313" s="7">
        <f>N313*5%</f>
        <v/>
      </c>
      <c r="S313" s="7">
        <f>N313*2%</f>
        <v/>
      </c>
      <c r="T313" s="7">
        <f>AE313*0.5%</f>
        <v/>
      </c>
      <c r="U313" s="7">
        <f>N313*1%</f>
        <v/>
      </c>
      <c r="V313" s="49">
        <f>U313+S313+R313+Q313+P313+O313</f>
        <v/>
      </c>
      <c r="W313" s="32">
        <f>AE313*1%</f>
        <v/>
      </c>
      <c r="X313" s="32">
        <f>AE313*10%</f>
        <v/>
      </c>
      <c r="Y313" s="32">
        <f>AE313*1%</f>
        <v/>
      </c>
      <c r="Z313" s="32">
        <f>AE313*8%</f>
        <v/>
      </c>
      <c r="AA313" s="32">
        <f>W313+X313+Y313+Z313</f>
        <v/>
      </c>
      <c r="AB313" s="31">
        <f>AA313+V313+N313</f>
        <v/>
      </c>
      <c r="AC313" s="6">
        <f>AB313*20%</f>
        <v/>
      </c>
      <c r="AD313" s="32">
        <f>AB313+AC313</f>
        <v/>
      </c>
      <c r="AE313" s="32">
        <f>D313*2.1</f>
        <v/>
      </c>
      <c r="AF313" s="7">
        <f>AD313-AE313</f>
        <v/>
      </c>
      <c r="AG313" s="7">
        <f>AF313/AD313*100</f>
        <v/>
      </c>
      <c r="AH313" s="0" t="n">
        <v>12450</v>
      </c>
      <c r="AI313" s="33" t="n"/>
      <c r="AJ313" s="34">
        <f>AD313</f>
        <v/>
      </c>
      <c r="AK313" s="34">
        <f>AJ313-(AJ313*7%)</f>
        <v/>
      </c>
      <c r="AL313" s="35">
        <f>AJ313/94</f>
        <v/>
      </c>
      <c r="AM313" s="35">
        <f>AK313/94</f>
        <v/>
      </c>
      <c r="AN313" s="36">
        <f>AJ313/24</f>
        <v/>
      </c>
      <c r="AO313" s="36">
        <f>AK313/24</f>
        <v/>
      </c>
      <c r="AP313" s="37">
        <f>AJ313/125</f>
        <v/>
      </c>
      <c r="AQ313" s="37">
        <f>AK313/125</f>
        <v/>
      </c>
    </row>
    <row r="314" ht="15.75" customHeight="1" s="50">
      <c r="A314" s="32" t="n"/>
      <c r="B314" s="32" t="inlineStr">
        <is>
          <t>Tara / 16 in</t>
        </is>
      </c>
      <c r="C314" s="32" t="inlineStr">
        <is>
          <t>MI-SB-H-ET-TR-16</t>
        </is>
      </c>
      <c r="D314" s="32" t="inlineStr">
        <is>
          <t>Parasonjeet</t>
        </is>
      </c>
      <c r="E314" s="32" t="n">
        <v>190</v>
      </c>
      <c r="G314" s="32" t="n">
        <v>0</v>
      </c>
      <c r="H314" s="32" t="n">
        <v>10</v>
      </c>
      <c r="I314" s="41" t="n">
        <v>83061000</v>
      </c>
      <c r="J314" s="30" t="n">
        <v>0.05</v>
      </c>
      <c r="K314" s="32">
        <f>D314*J314</f>
        <v/>
      </c>
      <c r="M314" s="32">
        <f>D314*4%</f>
        <v/>
      </c>
      <c r="N314" s="49">
        <f>M314+L314+K314+H314+G314+F314+E314+D314</f>
        <v/>
      </c>
      <c r="O314" s="32">
        <f>D314*1%</f>
        <v/>
      </c>
      <c r="P314" s="7">
        <f>N314*8%</f>
        <v/>
      </c>
      <c r="Q314" s="7">
        <f>N314*10%</f>
        <v/>
      </c>
      <c r="R314" s="7">
        <f>N314*5%</f>
        <v/>
      </c>
      <c r="S314" s="7">
        <f>N314*2%</f>
        <v/>
      </c>
      <c r="T314" s="7">
        <f>AE314*0.5%</f>
        <v/>
      </c>
      <c r="U314" s="7">
        <f>N314*1%</f>
        <v/>
      </c>
      <c r="V314" s="49">
        <f>U314+S314+R314+Q314+P314+O314</f>
        <v/>
      </c>
      <c r="W314" s="32">
        <f>AE314*1%</f>
        <v/>
      </c>
      <c r="X314" s="32">
        <f>AE314*10%</f>
        <v/>
      </c>
      <c r="Y314" s="32">
        <f>AE314*1%</f>
        <v/>
      </c>
      <c r="Z314" s="32">
        <f>AE314*8%</f>
        <v/>
      </c>
      <c r="AA314" s="32">
        <f>W314+X314+Y314+Z314</f>
        <v/>
      </c>
      <c r="AB314" s="31">
        <f>AA314+V314+N314</f>
        <v/>
      </c>
      <c r="AC314" s="6">
        <f>AB314*20%</f>
        <v/>
      </c>
      <c r="AD314" s="32">
        <f>AB314+AC314</f>
        <v/>
      </c>
      <c r="AE314" s="32">
        <f>D314*2.1</f>
        <v/>
      </c>
      <c r="AF314" s="7">
        <f>AD314-AE314</f>
        <v/>
      </c>
      <c r="AG314" s="7">
        <f>AF314/AD314*100</f>
        <v/>
      </c>
      <c r="AH314" s="0" t="n">
        <v>15950</v>
      </c>
      <c r="AI314" s="33" t="n"/>
      <c r="AJ314" s="34">
        <f>AD314</f>
        <v/>
      </c>
      <c r="AK314" s="34">
        <f>AJ314-(AJ314*7%)</f>
        <v/>
      </c>
      <c r="AL314" s="35">
        <f>AJ314/94</f>
        <v/>
      </c>
      <c r="AM314" s="35">
        <f>AK314/94</f>
        <v/>
      </c>
      <c r="AN314" s="36">
        <f>AJ314/24</f>
        <v/>
      </c>
      <c r="AO314" s="36">
        <f>AK314/24</f>
        <v/>
      </c>
      <c r="AP314" s="37">
        <f>AJ314/125</f>
        <v/>
      </c>
      <c r="AQ314" s="37">
        <f>AK314/125</f>
        <v/>
      </c>
    </row>
    <row r="315" ht="15.75" customHeight="1" s="50">
      <c r="A315" s="32" t="n"/>
      <c r="B315" s="32" t="inlineStr">
        <is>
          <t>18 in / Tara</t>
        </is>
      </c>
      <c r="C315" s="32" t="inlineStr">
        <is>
          <t>MI-SB-H-ET-TR-18</t>
        </is>
      </c>
      <c r="D315" s="32" t="inlineStr">
        <is>
          <t>Parasonjeet</t>
        </is>
      </c>
      <c r="E315" s="32" t="n">
        <v>190</v>
      </c>
      <c r="G315" s="32" t="n">
        <v>0</v>
      </c>
      <c r="H315" s="32" t="n">
        <v>10</v>
      </c>
      <c r="I315" s="41" t="n">
        <v>83061000</v>
      </c>
      <c r="J315" s="30" t="n">
        <v>0.05</v>
      </c>
      <c r="K315" s="32">
        <f>D315*J315</f>
        <v/>
      </c>
      <c r="M315" s="32">
        <f>D315*4%</f>
        <v/>
      </c>
      <c r="N315" s="49">
        <f>M315+L315+K315+H315+G315+F315+E315+D315</f>
        <v/>
      </c>
      <c r="O315" s="32">
        <f>D315*1%</f>
        <v/>
      </c>
      <c r="P315" s="7">
        <f>N315*8%</f>
        <v/>
      </c>
      <c r="Q315" s="7">
        <f>N315*10%</f>
        <v/>
      </c>
      <c r="R315" s="7">
        <f>N315*5%</f>
        <v/>
      </c>
      <c r="S315" s="7">
        <f>N315*2%</f>
        <v/>
      </c>
      <c r="T315" s="7">
        <f>AE315*0.5%</f>
        <v/>
      </c>
      <c r="U315" s="7">
        <f>N315*1%</f>
        <v/>
      </c>
      <c r="V315" s="49">
        <f>U315+S315+R315+Q315+P315+O315</f>
        <v/>
      </c>
      <c r="W315" s="32">
        <f>AE315*1%</f>
        <v/>
      </c>
      <c r="X315" s="32">
        <f>AE315*10%</f>
        <v/>
      </c>
      <c r="Y315" s="32">
        <f>AE315*1%</f>
        <v/>
      </c>
      <c r="Z315" s="32">
        <f>AE315*8%</f>
        <v/>
      </c>
      <c r="AA315" s="32">
        <f>W315+X315+Y315+Z315</f>
        <v/>
      </c>
      <c r="AB315" s="31">
        <f>AA315+V315+N315</f>
        <v/>
      </c>
      <c r="AC315" s="6">
        <f>AB315*20%</f>
        <v/>
      </c>
      <c r="AD315" s="32">
        <f>AB315+AC315</f>
        <v/>
      </c>
      <c r="AE315" s="32">
        <f>D315*2.1</f>
        <v/>
      </c>
      <c r="AF315" s="7">
        <f>AD315-AE315</f>
        <v/>
      </c>
      <c r="AG315" s="7">
        <f>AF315/AD315*100</f>
        <v/>
      </c>
      <c r="AH315" s="0" t="n">
        <v>18950</v>
      </c>
      <c r="AI315" s="33" t="n"/>
      <c r="AJ315" s="34">
        <f>AD315</f>
        <v/>
      </c>
      <c r="AK315" s="34">
        <f>AJ315-(AJ315*7%)</f>
        <v/>
      </c>
      <c r="AL315" s="35">
        <f>AJ315/94</f>
        <v/>
      </c>
      <c r="AM315" s="35">
        <f>AK315/94</f>
        <v/>
      </c>
      <c r="AN315" s="36">
        <f>AJ315/24</f>
        <v/>
      </c>
      <c r="AO315" s="36">
        <f>AK315/24</f>
        <v/>
      </c>
      <c r="AP315" s="37">
        <f>AJ315/125</f>
        <v/>
      </c>
      <c r="AQ315" s="37">
        <f>AK315/125</f>
        <v/>
      </c>
    </row>
    <row r="316" ht="15.75" customHeight="1" s="50">
      <c r="A316" s="32" t="n"/>
      <c r="B316" s="32" t="inlineStr">
        <is>
          <t>Tara / 20 in</t>
        </is>
      </c>
      <c r="C316" s="32" t="inlineStr">
        <is>
          <t>MI-SB-H-ET-TR-20</t>
        </is>
      </c>
      <c r="D316" s="32" t="inlineStr">
        <is>
          <t>Parasonjeet</t>
        </is>
      </c>
      <c r="E316" s="32" t="n">
        <v>190</v>
      </c>
      <c r="G316" s="32" t="n">
        <v>0</v>
      </c>
      <c r="H316" s="32" t="n">
        <v>10</v>
      </c>
      <c r="I316" s="41" t="n">
        <v>83061000</v>
      </c>
      <c r="J316" s="30" t="n">
        <v>0.05</v>
      </c>
      <c r="K316" s="32">
        <f>D316*J316</f>
        <v/>
      </c>
      <c r="M316" s="32">
        <f>D316*4%</f>
        <v/>
      </c>
      <c r="N316" s="49">
        <f>M316+L316+K316+H316+G316+F316+E316+D316</f>
        <v/>
      </c>
      <c r="O316" s="32">
        <f>D316*1%</f>
        <v/>
      </c>
      <c r="P316" s="7">
        <f>N316*8%</f>
        <v/>
      </c>
      <c r="Q316" s="7">
        <f>N316*10%</f>
        <v/>
      </c>
      <c r="R316" s="7">
        <f>N316*5%</f>
        <v/>
      </c>
      <c r="S316" s="7">
        <f>N316*2%</f>
        <v/>
      </c>
      <c r="T316" s="7">
        <f>AE316*0.5%</f>
        <v/>
      </c>
      <c r="U316" s="7">
        <f>N316*1%</f>
        <v/>
      </c>
      <c r="V316" s="49">
        <f>U316+S316+R316+Q316+P316+O316</f>
        <v/>
      </c>
      <c r="W316" s="32">
        <f>AE316*1%</f>
        <v/>
      </c>
      <c r="X316" s="32">
        <f>AE316*10%</f>
        <v/>
      </c>
      <c r="Y316" s="32">
        <f>AE316*1%</f>
        <v/>
      </c>
      <c r="Z316" s="32">
        <f>AE316*8%</f>
        <v/>
      </c>
      <c r="AA316" s="32">
        <f>W316+X316+Y316+Z316</f>
        <v/>
      </c>
      <c r="AB316" s="31">
        <f>AA316+V316+N316</f>
        <v/>
      </c>
      <c r="AC316" s="6">
        <f>AB316*20%</f>
        <v/>
      </c>
      <c r="AD316" s="32">
        <f>AB316+AC316</f>
        <v/>
      </c>
      <c r="AE316" s="32">
        <f>D316*2.1</f>
        <v/>
      </c>
      <c r="AF316" s="7">
        <f>AD316-AE316</f>
        <v/>
      </c>
      <c r="AG316" s="7">
        <f>AF316/AD316*100</f>
        <v/>
      </c>
      <c r="AH316" s="0" t="n">
        <v>23250</v>
      </c>
      <c r="AI316" s="33" t="n"/>
      <c r="AJ316" s="34">
        <f>AD316</f>
        <v/>
      </c>
      <c r="AK316" s="34">
        <f>AJ316-(AJ316*7%)</f>
        <v/>
      </c>
      <c r="AL316" s="35">
        <f>AJ316/94</f>
        <v/>
      </c>
      <c r="AM316" s="35">
        <f>AK316/94</f>
        <v/>
      </c>
      <c r="AN316" s="36">
        <f>AJ316/24</f>
        <v/>
      </c>
      <c r="AO316" s="36">
        <f>AK316/24</f>
        <v/>
      </c>
      <c r="AP316" s="37">
        <f>AJ316/125</f>
        <v/>
      </c>
      <c r="AQ316" s="37">
        <f>AK316/125</f>
        <v/>
      </c>
    </row>
    <row r="317" ht="15.75" customHeight="1" s="50">
      <c r="A317" s="32" t="n"/>
      <c r="B317" s="32" t="inlineStr">
        <is>
          <t>Tara / 22 in</t>
        </is>
      </c>
      <c r="C317" s="32" t="inlineStr">
        <is>
          <t>MI-SB-H-ET-TR-22</t>
        </is>
      </c>
      <c r="D317" s="32" t="inlineStr">
        <is>
          <t>Parasonjeet</t>
        </is>
      </c>
      <c r="E317" s="32" t="n">
        <v>350</v>
      </c>
      <c r="G317" s="32" t="n">
        <v>0</v>
      </c>
      <c r="H317" s="32" t="n">
        <v>10</v>
      </c>
      <c r="I317" s="41" t="n">
        <v>83061000</v>
      </c>
      <c r="J317" s="30" t="n">
        <v>0.05</v>
      </c>
      <c r="K317" s="32">
        <f>D317*J317</f>
        <v/>
      </c>
      <c r="M317" s="32">
        <f>D317*4%</f>
        <v/>
      </c>
      <c r="N317" s="49">
        <f>M317+L317+K317+H317+G317+F317+E317+D317</f>
        <v/>
      </c>
      <c r="O317" s="32">
        <f>D317*1%</f>
        <v/>
      </c>
      <c r="P317" s="7">
        <f>N317*8%</f>
        <v/>
      </c>
      <c r="Q317" s="7">
        <f>N317*10%</f>
        <v/>
      </c>
      <c r="R317" s="7">
        <f>N317*5%</f>
        <v/>
      </c>
      <c r="S317" s="7">
        <f>N317*2%</f>
        <v/>
      </c>
      <c r="T317" s="7">
        <f>AE317*0.5%</f>
        <v/>
      </c>
      <c r="U317" s="7">
        <f>N317*1%</f>
        <v/>
      </c>
      <c r="V317" s="49">
        <f>U317+S317+R317+Q317+P317+O317</f>
        <v/>
      </c>
      <c r="W317" s="32">
        <f>AE317*1%</f>
        <v/>
      </c>
      <c r="X317" s="32">
        <f>AE317*10%</f>
        <v/>
      </c>
      <c r="Y317" s="32">
        <f>AE317*1%</f>
        <v/>
      </c>
      <c r="Z317" s="32">
        <f>AE317*8%</f>
        <v/>
      </c>
      <c r="AA317" s="32">
        <f>W317+X317+Y317+Z317</f>
        <v/>
      </c>
      <c r="AB317" s="31">
        <f>AA317+V317+N317</f>
        <v/>
      </c>
      <c r="AC317" s="6">
        <f>AB317*20%</f>
        <v/>
      </c>
      <c r="AD317" s="32">
        <f>AB317+AC317</f>
        <v/>
      </c>
      <c r="AE317" s="32">
        <f>D317*2.1</f>
        <v/>
      </c>
      <c r="AF317" s="7">
        <f>AD317-AE317</f>
        <v/>
      </c>
      <c r="AG317" s="7">
        <f>AF317/AD317*100</f>
        <v/>
      </c>
      <c r="AH317" s="0" t="n">
        <v>27690</v>
      </c>
      <c r="AI317" s="33" t="n"/>
      <c r="AJ317" s="34">
        <f>AD317</f>
        <v/>
      </c>
      <c r="AK317" s="34">
        <f>AJ317-(AJ317*7%)</f>
        <v/>
      </c>
      <c r="AL317" s="35">
        <f>AJ317/94</f>
        <v/>
      </c>
      <c r="AM317" s="35">
        <f>AK317/94</f>
        <v/>
      </c>
      <c r="AN317" s="36">
        <f>AJ317/24</f>
        <v/>
      </c>
      <c r="AO317" s="36">
        <f>AK317/24</f>
        <v/>
      </c>
      <c r="AP317" s="37">
        <f>AJ317/125</f>
        <v/>
      </c>
      <c r="AQ317" s="37">
        <f>AK317/125</f>
        <v/>
      </c>
    </row>
    <row r="318" ht="15.75" customHeight="1" s="50">
      <c r="A318" s="32" t="n"/>
      <c r="B318" s="32" t="inlineStr">
        <is>
          <t>Tara / 24 in</t>
        </is>
      </c>
      <c r="C318" s="32" t="inlineStr">
        <is>
          <t>MI-SB-H-ET-TR-24</t>
        </is>
      </c>
      <c r="D318" s="32" t="inlineStr">
        <is>
          <t>Parasonjeet</t>
        </is>
      </c>
      <c r="E318" s="32" t="n">
        <v>350</v>
      </c>
      <c r="G318" s="32" t="n">
        <v>0</v>
      </c>
      <c r="H318" s="32" t="n">
        <v>10</v>
      </c>
      <c r="I318" s="41" t="n">
        <v>83061000</v>
      </c>
      <c r="J318" s="30" t="n">
        <v>0.05</v>
      </c>
      <c r="K318" s="32">
        <f>D318*J318</f>
        <v/>
      </c>
      <c r="M318" s="32">
        <f>D318*4%</f>
        <v/>
      </c>
      <c r="N318" s="49">
        <f>M318+L318+K318+H318+G318+F318+E318+D318</f>
        <v/>
      </c>
      <c r="O318" s="32">
        <f>D318*1%</f>
        <v/>
      </c>
      <c r="P318" s="7">
        <f>N318*8%</f>
        <v/>
      </c>
      <c r="Q318" s="7">
        <f>N318*10%</f>
        <v/>
      </c>
      <c r="R318" s="7">
        <f>N318*5%</f>
        <v/>
      </c>
      <c r="S318" s="7">
        <f>N318*2%</f>
        <v/>
      </c>
      <c r="T318" s="7">
        <f>AE318*0.5%</f>
        <v/>
      </c>
      <c r="U318" s="7">
        <f>N318*1%</f>
        <v/>
      </c>
      <c r="V318" s="49">
        <f>U318+S318+R318+Q318+P318+O318</f>
        <v/>
      </c>
      <c r="W318" s="32">
        <f>AE318*1%</f>
        <v/>
      </c>
      <c r="X318" s="32">
        <f>AE318*10%</f>
        <v/>
      </c>
      <c r="Y318" s="32">
        <f>AE318*1%</f>
        <v/>
      </c>
      <c r="Z318" s="32">
        <f>AE318*8%</f>
        <v/>
      </c>
      <c r="AA318" s="32">
        <f>W318+X318+Y318+Z318</f>
        <v/>
      </c>
      <c r="AB318" s="31">
        <f>AA318+V318+N318</f>
        <v/>
      </c>
      <c r="AC318" s="6">
        <f>AB318*20%</f>
        <v/>
      </c>
      <c r="AD318" s="32">
        <f>AB318+AC318</f>
        <v/>
      </c>
      <c r="AE318" s="32">
        <f>D318*2.1</f>
        <v/>
      </c>
      <c r="AF318" s="7">
        <f>AD318-AE318</f>
        <v/>
      </c>
      <c r="AG318" s="7">
        <f>AF318/AD318*100</f>
        <v/>
      </c>
      <c r="AH318" s="0" t="n">
        <v>32950</v>
      </c>
      <c r="AI318" s="33" t="n"/>
      <c r="AJ318" s="34">
        <f>AD318</f>
        <v/>
      </c>
      <c r="AK318" s="34">
        <f>AJ318-(AJ318*7%)</f>
        <v/>
      </c>
      <c r="AL318" s="35">
        <f>AJ318/94</f>
        <v/>
      </c>
      <c r="AM318" s="35">
        <f>AK318/94</f>
        <v/>
      </c>
      <c r="AN318" s="36">
        <f>AJ318/24</f>
        <v/>
      </c>
      <c r="AO318" s="36">
        <f>AK318/24</f>
        <v/>
      </c>
      <c r="AP318" s="37">
        <f>AJ318/125</f>
        <v/>
      </c>
      <c r="AQ318" s="37">
        <f>AK318/125</f>
        <v/>
      </c>
    </row>
    <row r="319" ht="15.75" customHeight="1" s="50">
      <c r="A319" s="32" t="n"/>
      <c r="B319" s="32" t="inlineStr">
        <is>
          <t>Tara / 26 in</t>
        </is>
      </c>
      <c r="C319" s="32" t="inlineStr">
        <is>
          <t>MI-SB-H-ET-TR-26</t>
        </is>
      </c>
      <c r="D319" s="32" t="inlineStr">
        <is>
          <t>Parasonjeet</t>
        </is>
      </c>
      <c r="E319" s="32" t="n">
        <v>350</v>
      </c>
      <c r="G319" s="32" t="n">
        <v>0</v>
      </c>
      <c r="H319" s="32" t="n">
        <v>10</v>
      </c>
      <c r="I319" s="41" t="n">
        <v>83061000</v>
      </c>
      <c r="J319" s="30" t="n">
        <v>0.05</v>
      </c>
      <c r="K319" s="32">
        <f>D319*J319</f>
        <v/>
      </c>
      <c r="M319" s="32">
        <f>D319*4%</f>
        <v/>
      </c>
      <c r="N319" s="49">
        <f>M319+L319+K319+H319+G319+F319+E319+D319</f>
        <v/>
      </c>
      <c r="O319" s="32">
        <f>D319*1%</f>
        <v/>
      </c>
      <c r="P319" s="7">
        <f>N319*8%</f>
        <v/>
      </c>
      <c r="Q319" s="7">
        <f>N319*10%</f>
        <v/>
      </c>
      <c r="R319" s="7">
        <f>N319*5%</f>
        <v/>
      </c>
      <c r="S319" s="7">
        <f>N319*2%</f>
        <v/>
      </c>
      <c r="T319" s="7">
        <f>AE319*0.5%</f>
        <v/>
      </c>
      <c r="U319" s="7">
        <f>N319*1%</f>
        <v/>
      </c>
      <c r="V319" s="49">
        <f>U319+S319+R319+Q319+P319+O319</f>
        <v/>
      </c>
      <c r="W319" s="32">
        <f>AE319*1%</f>
        <v/>
      </c>
      <c r="X319" s="32">
        <f>AE319*10%</f>
        <v/>
      </c>
      <c r="Y319" s="32">
        <f>AE319*1%</f>
        <v/>
      </c>
      <c r="Z319" s="32">
        <f>AE319*8%</f>
        <v/>
      </c>
      <c r="AA319" s="32">
        <f>W319+X319+Y319+Z319</f>
        <v/>
      </c>
      <c r="AB319" s="31">
        <f>AA319+V319+N319</f>
        <v/>
      </c>
      <c r="AC319" s="6">
        <f>AB319*20%</f>
        <v/>
      </c>
      <c r="AD319" s="32">
        <f>AB319+AC319</f>
        <v/>
      </c>
      <c r="AE319" s="32">
        <f>D319*2.1</f>
        <v/>
      </c>
      <c r="AF319" s="7">
        <f>AD319-AE319</f>
        <v/>
      </c>
      <c r="AG319" s="7">
        <f>AF319/AD319*100</f>
        <v/>
      </c>
      <c r="AH319" s="0" t="n">
        <v>37950</v>
      </c>
      <c r="AI319" s="33" t="n"/>
      <c r="AJ319" s="34">
        <f>AD319</f>
        <v/>
      </c>
      <c r="AK319" s="34">
        <f>AJ319-(AJ319*7%)</f>
        <v/>
      </c>
      <c r="AL319" s="35">
        <f>AJ319/94</f>
        <v/>
      </c>
      <c r="AM319" s="35">
        <f>AK319/94</f>
        <v/>
      </c>
      <c r="AN319" s="36">
        <f>AJ319/24</f>
        <v/>
      </c>
      <c r="AO319" s="36">
        <f>AK319/24</f>
        <v/>
      </c>
      <c r="AP319" s="37">
        <f>AJ319/125</f>
        <v/>
      </c>
      <c r="AQ319" s="37">
        <f>AK319/125</f>
        <v/>
      </c>
    </row>
    <row r="320" ht="15.75" customHeight="1" s="50">
      <c r="A320" s="32" t="n"/>
      <c r="B320" s="32" t="inlineStr">
        <is>
          <t>Tara / 28 in</t>
        </is>
      </c>
      <c r="C320" s="32" t="inlineStr">
        <is>
          <t>MI-SB-H-ET-TR-28</t>
        </is>
      </c>
      <c r="D320" s="32" t="inlineStr">
        <is>
          <t>Parasonjeet</t>
        </is>
      </c>
      <c r="E320" s="32" t="n">
        <v>350</v>
      </c>
      <c r="G320" s="32" t="n">
        <v>0</v>
      </c>
      <c r="H320" s="32" t="n">
        <v>10</v>
      </c>
      <c r="I320" s="41" t="n">
        <v>83061000</v>
      </c>
      <c r="J320" s="30" t="n">
        <v>0.05</v>
      </c>
      <c r="K320" s="32">
        <f>D320*J320</f>
        <v/>
      </c>
      <c r="M320" s="32">
        <f>D320*4%</f>
        <v/>
      </c>
      <c r="N320" s="49">
        <f>M320+L320+K320+H320+G320+F320+E320+D320</f>
        <v/>
      </c>
      <c r="O320" s="32">
        <f>D320*1%</f>
        <v/>
      </c>
      <c r="P320" s="7">
        <f>N320*8%</f>
        <v/>
      </c>
      <c r="Q320" s="7">
        <f>N320*10%</f>
        <v/>
      </c>
      <c r="R320" s="7">
        <f>N320*5%</f>
        <v/>
      </c>
      <c r="S320" s="7">
        <f>N320*2%</f>
        <v/>
      </c>
      <c r="T320" s="7">
        <f>AE320*0.5%</f>
        <v/>
      </c>
      <c r="U320" s="7">
        <f>N320*1%</f>
        <v/>
      </c>
      <c r="V320" s="49">
        <f>U320+S320+R320+Q320+P320+O320</f>
        <v/>
      </c>
      <c r="W320" s="32">
        <f>AE320*1%</f>
        <v/>
      </c>
      <c r="X320" s="32">
        <f>AE320*10%</f>
        <v/>
      </c>
      <c r="Y320" s="32">
        <f>AE320*1%</f>
        <v/>
      </c>
      <c r="Z320" s="32">
        <f>AE320*8%</f>
        <v/>
      </c>
      <c r="AA320" s="32">
        <f>W320+X320+Y320+Z320</f>
        <v/>
      </c>
      <c r="AB320" s="31">
        <f>AA320+V320+N320</f>
        <v/>
      </c>
      <c r="AC320" s="6">
        <f>AB320*20%</f>
        <v/>
      </c>
      <c r="AD320" s="32">
        <f>AB320+AC320</f>
        <v/>
      </c>
      <c r="AE320" s="32">
        <f>D320*2.1</f>
        <v/>
      </c>
      <c r="AF320" s="7">
        <f>AD320-AE320</f>
        <v/>
      </c>
      <c r="AG320" s="7">
        <f>AF320/AD320*100</f>
        <v/>
      </c>
      <c r="AH320" s="0" t="n">
        <v>42950</v>
      </c>
      <c r="AI320" s="33" t="n"/>
      <c r="AJ320" s="34">
        <f>AD320</f>
        <v/>
      </c>
      <c r="AK320" s="34">
        <f>AJ320-(AJ320*7%)</f>
        <v/>
      </c>
      <c r="AL320" s="35">
        <f>AJ320/94</f>
        <v/>
      </c>
      <c r="AM320" s="35">
        <f>AK320/94</f>
        <v/>
      </c>
      <c r="AN320" s="36">
        <f>AJ320/24</f>
        <v/>
      </c>
      <c r="AO320" s="36">
        <f>AK320/24</f>
        <v/>
      </c>
      <c r="AP320" s="37">
        <f>AJ320/125</f>
        <v/>
      </c>
      <c r="AQ320" s="37">
        <f>AK320/125</f>
        <v/>
      </c>
    </row>
    <row r="321" ht="15.75" customHeight="1" s="50">
      <c r="A321" s="32" t="n"/>
      <c r="B321" s="32" t="inlineStr">
        <is>
          <t>Flower of Life / 26 in</t>
        </is>
      </c>
      <c r="D321" s="32" t="inlineStr">
        <is>
          <t>Parasonjeet</t>
        </is>
      </c>
      <c r="E321" s="32" t="n">
        <v>350</v>
      </c>
      <c r="G321" s="32" t="n">
        <v>0</v>
      </c>
      <c r="H321" s="32" t="n">
        <v>10</v>
      </c>
      <c r="I321" s="41" t="n">
        <v>83061000</v>
      </c>
      <c r="J321" s="30" t="n">
        <v>0.05</v>
      </c>
      <c r="K321" s="32">
        <f>D321*J321</f>
        <v/>
      </c>
      <c r="M321" s="32">
        <f>D321*4%</f>
        <v/>
      </c>
      <c r="N321" s="49">
        <f>M321+L321+K321+H321+G321+F321+E321+D321</f>
        <v/>
      </c>
      <c r="O321" s="32">
        <f>D321*1%</f>
        <v/>
      </c>
      <c r="P321" s="7">
        <f>N321*8%</f>
        <v/>
      </c>
      <c r="Q321" s="7">
        <f>N321*10%</f>
        <v/>
      </c>
      <c r="R321" s="7">
        <f>N321*5%</f>
        <v/>
      </c>
      <c r="S321" s="7">
        <f>N321*2%</f>
        <v/>
      </c>
      <c r="T321" s="7">
        <f>AE321*0.5%</f>
        <v/>
      </c>
      <c r="U321" s="7">
        <f>N321*1%</f>
        <v/>
      </c>
      <c r="V321" s="49">
        <f>U321+S321+R321+Q321+P321+O321</f>
        <v/>
      </c>
      <c r="W321" s="32">
        <f>AE321*1%</f>
        <v/>
      </c>
      <c r="X321" s="32">
        <f>AE321*10%</f>
        <v/>
      </c>
      <c r="Y321" s="32">
        <f>AE321*1%</f>
        <v/>
      </c>
      <c r="Z321" s="32">
        <f>AE321*8%</f>
        <v/>
      </c>
      <c r="AA321" s="32">
        <f>W321+X321+Y321+Z321</f>
        <v/>
      </c>
      <c r="AB321" s="31">
        <f>AA321+V321+N321</f>
        <v/>
      </c>
      <c r="AC321" s="6">
        <f>AB321*20%</f>
        <v/>
      </c>
      <c r="AD321" s="32">
        <f>AB321+AC321</f>
        <v/>
      </c>
      <c r="AE321" s="32">
        <f>D321*2.1</f>
        <v/>
      </c>
      <c r="AF321" s="7">
        <f>AD321-AE321</f>
        <v/>
      </c>
      <c r="AG321" s="7">
        <f>AF321/AD321*100</f>
        <v/>
      </c>
      <c r="AI321" s="33" t="n"/>
      <c r="AJ321" s="34">
        <f>AD321</f>
        <v/>
      </c>
      <c r="AK321" s="34">
        <f>AJ321-(AJ321*7%)</f>
        <v/>
      </c>
      <c r="AL321" s="35">
        <f>AJ321/94</f>
        <v/>
      </c>
      <c r="AM321" s="35">
        <f>AK321/94</f>
        <v/>
      </c>
      <c r="AN321" s="36">
        <f>AJ321/24</f>
        <v/>
      </c>
      <c r="AO321" s="36">
        <f>AK321/24</f>
        <v/>
      </c>
      <c r="AP321" s="37">
        <f>AJ321/125</f>
        <v/>
      </c>
      <c r="AQ321" s="37">
        <f>AK321/125</f>
        <v/>
      </c>
    </row>
    <row r="322" ht="15.75" customHeight="1" s="50">
      <c r="A322" s="32" t="n"/>
      <c r="B322" s="32" t="inlineStr">
        <is>
          <t>Flower of Life / 28 in</t>
        </is>
      </c>
      <c r="D322" s="32" t="inlineStr">
        <is>
          <t>Parasonjeet</t>
        </is>
      </c>
      <c r="E322" s="32" t="n">
        <v>350</v>
      </c>
      <c r="G322" s="32" t="n">
        <v>0</v>
      </c>
      <c r="H322" s="32" t="n">
        <v>10</v>
      </c>
      <c r="I322" s="41" t="n">
        <v>83061000</v>
      </c>
      <c r="J322" s="30" t="n">
        <v>0.05</v>
      </c>
      <c r="K322" s="32">
        <f>D322*J322</f>
        <v/>
      </c>
      <c r="M322" s="32">
        <f>D322*4%</f>
        <v/>
      </c>
      <c r="N322" s="49">
        <f>M322+L322+K322+H322+G322+F322+E322+D322</f>
        <v/>
      </c>
      <c r="O322" s="32">
        <f>D322*1%</f>
        <v/>
      </c>
      <c r="P322" s="7">
        <f>N322*8%</f>
        <v/>
      </c>
      <c r="Q322" s="7">
        <f>N322*10%</f>
        <v/>
      </c>
      <c r="R322" s="7">
        <f>N322*5%</f>
        <v/>
      </c>
      <c r="S322" s="7">
        <f>N322*2%</f>
        <v/>
      </c>
      <c r="T322" s="7">
        <f>AE322*0.5%</f>
        <v/>
      </c>
      <c r="U322" s="7">
        <f>N322*1%</f>
        <v/>
      </c>
      <c r="V322" s="49">
        <f>U322+S322+R322+Q322+P322+O322</f>
        <v/>
      </c>
      <c r="W322" s="32">
        <f>AE322*1%</f>
        <v/>
      </c>
      <c r="X322" s="32">
        <f>AE322*10%</f>
        <v/>
      </c>
      <c r="Y322" s="32">
        <f>AE322*1%</f>
        <v/>
      </c>
      <c r="Z322" s="32">
        <f>AE322*8%</f>
        <v/>
      </c>
      <c r="AA322" s="32">
        <f>W322+X322+Y322+Z322</f>
        <v/>
      </c>
      <c r="AB322" s="31">
        <f>AA322+V322+N322</f>
        <v/>
      </c>
      <c r="AC322" s="6">
        <f>AB322*20%</f>
        <v/>
      </c>
      <c r="AD322" s="32">
        <f>AB322+AC322</f>
        <v/>
      </c>
      <c r="AE322" s="32">
        <f>D322*2.1</f>
        <v/>
      </c>
      <c r="AF322" s="7">
        <f>AD322-AE322</f>
        <v/>
      </c>
      <c r="AG322" s="7">
        <f>AF322/AD322*100</f>
        <v/>
      </c>
      <c r="AI322" s="33" t="n"/>
      <c r="AJ322" s="34">
        <f>AD322</f>
        <v/>
      </c>
      <c r="AK322" s="34">
        <f>AJ322-(AJ322*7%)</f>
        <v/>
      </c>
      <c r="AL322" s="35">
        <f>AJ322/94</f>
        <v/>
      </c>
      <c r="AM322" s="35">
        <f>AK322/94</f>
        <v/>
      </c>
      <c r="AN322" s="36">
        <f>AJ322/24</f>
        <v/>
      </c>
      <c r="AO322" s="36">
        <f>AK322/24</f>
        <v/>
      </c>
      <c r="AP322" s="37">
        <f>AJ322/125</f>
        <v/>
      </c>
      <c r="AQ322" s="37">
        <f>AK322/125</f>
        <v/>
      </c>
    </row>
    <row r="323" ht="15.75" customHeight="1" s="50">
      <c r="A323" s="32" t="n"/>
      <c r="B323" s="32" t="inlineStr">
        <is>
          <t>14 in / Flower of Life-Center</t>
        </is>
      </c>
      <c r="D323" s="32" t="inlineStr">
        <is>
          <t>Parasonjeet</t>
        </is>
      </c>
      <c r="E323" s="32" t="n">
        <v>190</v>
      </c>
      <c r="G323" s="32" t="n">
        <v>0</v>
      </c>
      <c r="H323" s="32" t="n">
        <v>10</v>
      </c>
      <c r="I323" s="41" t="n">
        <v>83061000</v>
      </c>
      <c r="J323" s="30" t="n">
        <v>0.05</v>
      </c>
      <c r="K323" s="32">
        <f>D323*J323</f>
        <v/>
      </c>
      <c r="M323" s="32">
        <f>D323*4%</f>
        <v/>
      </c>
      <c r="N323" s="49">
        <f>M323+L323+K323+H323+G323+F323+E323+D323</f>
        <v/>
      </c>
      <c r="O323" s="32">
        <f>D323*1%</f>
        <v/>
      </c>
      <c r="P323" s="7">
        <f>N323*8%</f>
        <v/>
      </c>
      <c r="Q323" s="7">
        <f>N323*10%</f>
        <v/>
      </c>
      <c r="R323" s="7">
        <f>N323*5%</f>
        <v/>
      </c>
      <c r="S323" s="7">
        <f>N323*2%</f>
        <v/>
      </c>
      <c r="T323" s="7">
        <f>AE323*0.5%</f>
        <v/>
      </c>
      <c r="U323" s="7">
        <f>N323*1%</f>
        <v/>
      </c>
      <c r="V323" s="49">
        <f>U323+S323+R323+Q323+P323+O323</f>
        <v/>
      </c>
      <c r="W323" s="32">
        <f>AE323*1%</f>
        <v/>
      </c>
      <c r="X323" s="32">
        <f>AE323*10%</f>
        <v/>
      </c>
      <c r="Y323" s="32">
        <f>AE323*1%</f>
        <v/>
      </c>
      <c r="Z323" s="32">
        <f>AE323*8%</f>
        <v/>
      </c>
      <c r="AA323" s="32">
        <f>W323+X323+Y323+Z323</f>
        <v/>
      </c>
      <c r="AB323" s="31">
        <f>AA323+V323+N323</f>
        <v/>
      </c>
      <c r="AC323" s="6">
        <f>AB323*20%</f>
        <v/>
      </c>
      <c r="AD323" s="32">
        <f>AB323+AC323</f>
        <v/>
      </c>
      <c r="AE323" s="32">
        <f>D323*2.1</f>
        <v/>
      </c>
      <c r="AF323" s="7">
        <f>AD323-AE323</f>
        <v/>
      </c>
      <c r="AG323" s="7">
        <f>AF323/AD323*100</f>
        <v/>
      </c>
      <c r="AI323" s="33" t="n"/>
      <c r="AJ323" s="34">
        <f>AD323</f>
        <v/>
      </c>
      <c r="AK323" s="34">
        <f>AJ323-(AJ323*7%)</f>
        <v/>
      </c>
      <c r="AL323" s="35">
        <f>AJ323/94</f>
        <v/>
      </c>
      <c r="AM323" s="35">
        <f>AK323/94</f>
        <v/>
      </c>
      <c r="AN323" s="36">
        <f>AJ323/24</f>
        <v/>
      </c>
      <c r="AO323" s="36">
        <f>AK323/24</f>
        <v/>
      </c>
      <c r="AP323" s="37">
        <f>AJ323/125</f>
        <v/>
      </c>
      <c r="AQ323" s="37">
        <f>AK323/125</f>
        <v/>
      </c>
    </row>
    <row r="324" ht="15.75" customHeight="1" s="50">
      <c r="A324" s="32" t="n"/>
      <c r="B324" s="32" t="inlineStr">
        <is>
          <t>16 in / Flower of Life-Center</t>
        </is>
      </c>
      <c r="D324" s="32" t="inlineStr">
        <is>
          <t>Parasonjeet</t>
        </is>
      </c>
      <c r="E324" s="32" t="n">
        <v>190</v>
      </c>
      <c r="G324" s="32" t="n">
        <v>0</v>
      </c>
      <c r="H324" s="32" t="n">
        <v>10</v>
      </c>
      <c r="I324" s="41" t="n">
        <v>83061000</v>
      </c>
      <c r="J324" s="30" t="n">
        <v>0.05</v>
      </c>
      <c r="K324" s="32">
        <f>D324*J324</f>
        <v/>
      </c>
      <c r="M324" s="32">
        <f>D324*4%</f>
        <v/>
      </c>
      <c r="N324" s="49">
        <f>M324+L324+K324+H324+G324+F324+E324+D324</f>
        <v/>
      </c>
      <c r="O324" s="32">
        <f>D324*1%</f>
        <v/>
      </c>
      <c r="P324" s="7">
        <f>N324*8%</f>
        <v/>
      </c>
      <c r="Q324" s="7">
        <f>N324*10%</f>
        <v/>
      </c>
      <c r="R324" s="7">
        <f>N324*5%</f>
        <v/>
      </c>
      <c r="S324" s="7">
        <f>N324*2%</f>
        <v/>
      </c>
      <c r="T324" s="7">
        <f>AE324*0.5%</f>
        <v/>
      </c>
      <c r="U324" s="7">
        <f>N324*1%</f>
        <v/>
      </c>
      <c r="V324" s="49">
        <f>U324+S324+R324+Q324+P324+O324</f>
        <v/>
      </c>
      <c r="W324" s="32">
        <f>AE324*1%</f>
        <v/>
      </c>
      <c r="X324" s="32">
        <f>AE324*10%</f>
        <v/>
      </c>
      <c r="Y324" s="32">
        <f>AE324*1%</f>
        <v/>
      </c>
      <c r="Z324" s="32">
        <f>AE324*8%</f>
        <v/>
      </c>
      <c r="AA324" s="32">
        <f>W324+X324+Y324+Z324</f>
        <v/>
      </c>
      <c r="AB324" s="31">
        <f>AA324+V324+N324</f>
        <v/>
      </c>
      <c r="AC324" s="6">
        <f>AB324*20%</f>
        <v/>
      </c>
      <c r="AD324" s="32">
        <f>AB324+AC324</f>
        <v/>
      </c>
      <c r="AE324" s="32">
        <f>D324*2.1</f>
        <v/>
      </c>
      <c r="AF324" s="7">
        <f>AD324-AE324</f>
        <v/>
      </c>
      <c r="AG324" s="7">
        <f>AF324/AD324*100</f>
        <v/>
      </c>
      <c r="AI324" s="33" t="n"/>
      <c r="AJ324" s="34">
        <f>AD324</f>
        <v/>
      </c>
      <c r="AK324" s="34">
        <f>AJ324-(AJ324*7%)</f>
        <v/>
      </c>
      <c r="AL324" s="35">
        <f>AJ324/94</f>
        <v/>
      </c>
      <c r="AM324" s="35">
        <f>AK324/94</f>
        <v/>
      </c>
      <c r="AN324" s="36">
        <f>AJ324/24</f>
        <v/>
      </c>
      <c r="AO324" s="36">
        <f>AK324/24</f>
        <v/>
      </c>
      <c r="AP324" s="37">
        <f>AJ324/125</f>
        <v/>
      </c>
      <c r="AQ324" s="37">
        <f>AK324/125</f>
        <v/>
      </c>
    </row>
    <row r="325" ht="15.75" customHeight="1" s="50">
      <c r="A325" s="32" t="n"/>
      <c r="B325" s="32" t="inlineStr">
        <is>
          <t>18 in / Flower of Life-Center</t>
        </is>
      </c>
      <c r="D325" s="32" t="inlineStr">
        <is>
          <t>Parasonjeet</t>
        </is>
      </c>
      <c r="E325" s="32" t="n">
        <v>190</v>
      </c>
      <c r="G325" s="32" t="n">
        <v>0</v>
      </c>
      <c r="H325" s="32" t="n">
        <v>10</v>
      </c>
      <c r="I325" s="41" t="n">
        <v>83061000</v>
      </c>
      <c r="J325" s="30" t="n">
        <v>0.05</v>
      </c>
      <c r="K325" s="32">
        <f>D325*J325</f>
        <v/>
      </c>
      <c r="M325" s="32">
        <f>D325*4%</f>
        <v/>
      </c>
      <c r="N325" s="49">
        <f>M325+L325+K325+H325+G325+F325+E325+D325</f>
        <v/>
      </c>
      <c r="O325" s="32">
        <f>D325*1%</f>
        <v/>
      </c>
      <c r="P325" s="7">
        <f>N325*8%</f>
        <v/>
      </c>
      <c r="Q325" s="7">
        <f>N325*10%</f>
        <v/>
      </c>
      <c r="R325" s="7">
        <f>N325*5%</f>
        <v/>
      </c>
      <c r="S325" s="7">
        <f>N325*2%</f>
        <v/>
      </c>
      <c r="T325" s="7">
        <f>AE325*0.5%</f>
        <v/>
      </c>
      <c r="U325" s="7">
        <f>N325*1%</f>
        <v/>
      </c>
      <c r="V325" s="49">
        <f>U325+S325+R325+Q325+P325+O325</f>
        <v/>
      </c>
      <c r="W325" s="32">
        <f>AE325*1%</f>
        <v/>
      </c>
      <c r="X325" s="32">
        <f>AE325*10%</f>
        <v/>
      </c>
      <c r="Y325" s="32">
        <f>AE325*1%</f>
        <v/>
      </c>
      <c r="Z325" s="32">
        <f>AE325*8%</f>
        <v/>
      </c>
      <c r="AA325" s="32">
        <f>W325+X325+Y325+Z325</f>
        <v/>
      </c>
      <c r="AB325" s="31">
        <f>AA325+V325+N325</f>
        <v/>
      </c>
      <c r="AC325" s="6">
        <f>AB325*20%</f>
        <v/>
      </c>
      <c r="AD325" s="32">
        <f>AB325+AC325</f>
        <v/>
      </c>
      <c r="AE325" s="32">
        <f>D325*2.1</f>
        <v/>
      </c>
      <c r="AF325" s="7">
        <f>AD325-AE325</f>
        <v/>
      </c>
      <c r="AG325" s="7">
        <f>AF325/AD325*100</f>
        <v/>
      </c>
      <c r="AI325" s="33" t="n"/>
      <c r="AJ325" s="34">
        <f>AD325</f>
        <v/>
      </c>
      <c r="AK325" s="34">
        <f>AJ325-(AJ325*7%)</f>
        <v/>
      </c>
      <c r="AL325" s="35">
        <f>AJ325/94</f>
        <v/>
      </c>
      <c r="AM325" s="35">
        <f>AK325/94</f>
        <v/>
      </c>
      <c r="AN325" s="36">
        <f>AJ325/24</f>
        <v/>
      </c>
      <c r="AO325" s="36">
        <f>AK325/24</f>
        <v/>
      </c>
      <c r="AP325" s="37">
        <f>AJ325/125</f>
        <v/>
      </c>
      <c r="AQ325" s="37">
        <f>AK325/125</f>
        <v/>
      </c>
    </row>
    <row r="326" ht="15.75" customHeight="1" s="50">
      <c r="A326" s="32" t="n"/>
      <c r="B326" s="32" t="inlineStr">
        <is>
          <t>Flower of Life-Center / 20 in</t>
        </is>
      </c>
      <c r="D326" s="32" t="inlineStr">
        <is>
          <t>Parasonjeet</t>
        </is>
      </c>
      <c r="E326" s="32" t="n">
        <v>190</v>
      </c>
      <c r="G326" s="32" t="n">
        <v>0</v>
      </c>
      <c r="H326" s="32" t="n">
        <v>10</v>
      </c>
      <c r="I326" s="41" t="n">
        <v>83061000</v>
      </c>
      <c r="J326" s="30" t="n">
        <v>0.05</v>
      </c>
      <c r="K326" s="32">
        <f>D326*J326</f>
        <v/>
      </c>
      <c r="M326" s="32">
        <f>D326*4%</f>
        <v/>
      </c>
      <c r="N326" s="49">
        <f>M326+L326+K326+H326+G326+F326+E326+D326</f>
        <v/>
      </c>
      <c r="O326" s="32">
        <f>D326*1%</f>
        <v/>
      </c>
      <c r="P326" s="7">
        <f>N326*8%</f>
        <v/>
      </c>
      <c r="Q326" s="7">
        <f>N326*10%</f>
        <v/>
      </c>
      <c r="R326" s="7">
        <f>N326*5%</f>
        <v/>
      </c>
      <c r="S326" s="7">
        <f>N326*2%</f>
        <v/>
      </c>
      <c r="T326" s="7">
        <f>AE326*0.5%</f>
        <v/>
      </c>
      <c r="U326" s="7">
        <f>N326*1%</f>
        <v/>
      </c>
      <c r="V326" s="49">
        <f>U326+S326+R326+Q326+P326+O326</f>
        <v/>
      </c>
      <c r="W326" s="32">
        <f>AE326*1%</f>
        <v/>
      </c>
      <c r="X326" s="32">
        <f>AE326*10%</f>
        <v/>
      </c>
      <c r="Y326" s="32">
        <f>AE326*1%</f>
        <v/>
      </c>
      <c r="Z326" s="32">
        <f>AE326*8%</f>
        <v/>
      </c>
      <c r="AA326" s="32">
        <f>W326+X326+Y326+Z326</f>
        <v/>
      </c>
      <c r="AB326" s="31">
        <f>AA326+V326+N326</f>
        <v/>
      </c>
      <c r="AC326" s="6">
        <f>AB326*20%</f>
        <v/>
      </c>
      <c r="AD326" s="32">
        <f>AB326+AC326</f>
        <v/>
      </c>
      <c r="AE326" s="32">
        <f>D326*2.1</f>
        <v/>
      </c>
      <c r="AF326" s="7">
        <f>AD326-AE326</f>
        <v/>
      </c>
      <c r="AG326" s="7">
        <f>AF326/AD326*100</f>
        <v/>
      </c>
      <c r="AI326" s="33" t="n"/>
      <c r="AJ326" s="34">
        <f>AD326</f>
        <v/>
      </c>
      <c r="AK326" s="34">
        <f>AJ326-(AJ326*7%)</f>
        <v/>
      </c>
      <c r="AL326" s="35">
        <f>AJ326/94</f>
        <v/>
      </c>
      <c r="AM326" s="35">
        <f>AK326/94</f>
        <v/>
      </c>
      <c r="AN326" s="36">
        <f>AJ326/24</f>
        <v/>
      </c>
      <c r="AO326" s="36">
        <f>AK326/24</f>
        <v/>
      </c>
      <c r="AP326" s="37">
        <f>AJ326/125</f>
        <v/>
      </c>
      <c r="AQ326" s="37">
        <f>AK326/125</f>
        <v/>
      </c>
    </row>
    <row r="327" ht="15.75" customHeight="1" s="50">
      <c r="A327" s="32" t="n"/>
      <c r="B327" s="32" t="inlineStr">
        <is>
          <t>22 in / Flower of Life-Center</t>
        </is>
      </c>
      <c r="D327" s="32" t="inlineStr">
        <is>
          <t>Parasonjeet</t>
        </is>
      </c>
      <c r="E327" s="32" t="n">
        <v>350</v>
      </c>
      <c r="G327" s="32" t="n">
        <v>0</v>
      </c>
      <c r="H327" s="32" t="n">
        <v>10</v>
      </c>
      <c r="I327" s="41" t="n">
        <v>83061000</v>
      </c>
      <c r="J327" s="30" t="n">
        <v>0.05</v>
      </c>
      <c r="K327" s="32">
        <f>D327*J327</f>
        <v/>
      </c>
      <c r="M327" s="32">
        <f>D327*4%</f>
        <v/>
      </c>
      <c r="N327" s="49">
        <f>M327+L327+K327+H327+G327+F327+E327+D327</f>
        <v/>
      </c>
      <c r="O327" s="32">
        <f>D327*1%</f>
        <v/>
      </c>
      <c r="P327" s="7">
        <f>N327*8%</f>
        <v/>
      </c>
      <c r="Q327" s="7">
        <f>N327*10%</f>
        <v/>
      </c>
      <c r="R327" s="7">
        <f>N327*5%</f>
        <v/>
      </c>
      <c r="S327" s="7">
        <f>N327*2%</f>
        <v/>
      </c>
      <c r="T327" s="7">
        <f>AE327*0.5%</f>
        <v/>
      </c>
      <c r="U327" s="7">
        <f>N327*1%</f>
        <v/>
      </c>
      <c r="V327" s="49">
        <f>U327+S327+R327+Q327+P327+O327</f>
        <v/>
      </c>
      <c r="W327" s="32">
        <f>AE327*1%</f>
        <v/>
      </c>
      <c r="X327" s="32">
        <f>AE327*10%</f>
        <v/>
      </c>
      <c r="Y327" s="32">
        <f>AE327*1%</f>
        <v/>
      </c>
      <c r="Z327" s="32">
        <f>AE327*8%</f>
        <v/>
      </c>
      <c r="AA327" s="32">
        <f>W327+X327+Y327+Z327</f>
        <v/>
      </c>
      <c r="AB327" s="31">
        <f>AA327+V327+N327</f>
        <v/>
      </c>
      <c r="AC327" s="6">
        <f>AB327*20%</f>
        <v/>
      </c>
      <c r="AD327" s="32">
        <f>AB327+AC327</f>
        <v/>
      </c>
      <c r="AE327" s="32">
        <f>D327*2.1</f>
        <v/>
      </c>
      <c r="AF327" s="7">
        <f>AD327-AE327</f>
        <v/>
      </c>
      <c r="AG327" s="7">
        <f>AF327/AD327*100</f>
        <v/>
      </c>
      <c r="AI327" s="33" t="n"/>
      <c r="AJ327" s="34">
        <f>AD327</f>
        <v/>
      </c>
      <c r="AK327" s="34">
        <f>AJ327-(AJ327*7%)</f>
        <v/>
      </c>
      <c r="AL327" s="35">
        <f>AJ327/94</f>
        <v/>
      </c>
      <c r="AM327" s="35">
        <f>AK327/94</f>
        <v/>
      </c>
      <c r="AN327" s="36">
        <f>AJ327/24</f>
        <v/>
      </c>
      <c r="AO327" s="36">
        <f>AK327/24</f>
        <v/>
      </c>
      <c r="AP327" s="37">
        <f>AJ327/125</f>
        <v/>
      </c>
      <c r="AQ327" s="37">
        <f>AK327/125</f>
        <v/>
      </c>
    </row>
    <row r="328" ht="15.75" customHeight="1" s="50">
      <c r="A328" s="32" t="n"/>
      <c r="B328" s="32" t="inlineStr">
        <is>
          <t>24 in / Flower of Life-Center</t>
        </is>
      </c>
      <c r="D328" s="32" t="inlineStr">
        <is>
          <t>Parasonjeet</t>
        </is>
      </c>
      <c r="E328" s="32" t="n">
        <v>350</v>
      </c>
      <c r="G328" s="32" t="n">
        <v>0</v>
      </c>
      <c r="H328" s="32" t="n">
        <v>10</v>
      </c>
      <c r="I328" s="41" t="n">
        <v>83061000</v>
      </c>
      <c r="J328" s="30" t="n">
        <v>0.05</v>
      </c>
      <c r="K328" s="32">
        <f>D328*J328</f>
        <v/>
      </c>
      <c r="M328" s="32">
        <f>D328*4%</f>
        <v/>
      </c>
      <c r="N328" s="49">
        <f>M328+L328+K328+H328+G328+F328+E328+D328</f>
        <v/>
      </c>
      <c r="O328" s="32">
        <f>D328*1%</f>
        <v/>
      </c>
      <c r="P328" s="7">
        <f>N328*8%</f>
        <v/>
      </c>
      <c r="Q328" s="7">
        <f>N328*10%</f>
        <v/>
      </c>
      <c r="R328" s="7">
        <f>N328*5%</f>
        <v/>
      </c>
      <c r="S328" s="7">
        <f>N328*2%</f>
        <v/>
      </c>
      <c r="T328" s="7">
        <f>AE328*0.5%</f>
        <v/>
      </c>
      <c r="U328" s="7">
        <f>N328*1%</f>
        <v/>
      </c>
      <c r="V328" s="49">
        <f>U328+S328+R328+Q328+P328+O328</f>
        <v/>
      </c>
      <c r="W328" s="32">
        <f>AE328*1%</f>
        <v/>
      </c>
      <c r="X328" s="32">
        <f>AE328*10%</f>
        <v/>
      </c>
      <c r="Y328" s="32">
        <f>AE328*1%</f>
        <v/>
      </c>
      <c r="Z328" s="32">
        <f>AE328*8%</f>
        <v/>
      </c>
      <c r="AA328" s="32">
        <f>W328+X328+Y328+Z328</f>
        <v/>
      </c>
      <c r="AB328" s="31">
        <f>AA328+V328+N328</f>
        <v/>
      </c>
      <c r="AC328" s="6">
        <f>AB328*20%</f>
        <v/>
      </c>
      <c r="AD328" s="32">
        <f>AB328+AC328</f>
        <v/>
      </c>
      <c r="AE328" s="32">
        <f>D328*2.1</f>
        <v/>
      </c>
      <c r="AF328" s="7">
        <f>AD328-AE328</f>
        <v/>
      </c>
      <c r="AG328" s="7">
        <f>AF328/AD328*100</f>
        <v/>
      </c>
      <c r="AI328" s="33" t="n"/>
      <c r="AJ328" s="34">
        <f>AD328</f>
        <v/>
      </c>
      <c r="AK328" s="34">
        <f>AJ328-(AJ328*7%)</f>
        <v/>
      </c>
      <c r="AL328" s="35">
        <f>AJ328/94</f>
        <v/>
      </c>
      <c r="AM328" s="35">
        <f>AK328/94</f>
        <v/>
      </c>
      <c r="AN328" s="36">
        <f>AJ328/24</f>
        <v/>
      </c>
      <c r="AO328" s="36">
        <f>AK328/24</f>
        <v/>
      </c>
      <c r="AP328" s="37">
        <f>AJ328/125</f>
        <v/>
      </c>
      <c r="AQ328" s="37">
        <f>AK328/125</f>
        <v/>
      </c>
    </row>
    <row r="329" ht="15.75" customHeight="1" s="50">
      <c r="A329" s="32" t="n"/>
      <c r="B329" s="32" t="inlineStr">
        <is>
          <t>Flower of Life-Center / 26 in</t>
        </is>
      </c>
      <c r="D329" s="32" t="inlineStr">
        <is>
          <t>Parasonjeet</t>
        </is>
      </c>
      <c r="E329" s="32" t="n">
        <v>350</v>
      </c>
      <c r="G329" s="32" t="n">
        <v>0</v>
      </c>
      <c r="H329" s="32" t="n">
        <v>10</v>
      </c>
      <c r="I329" s="41" t="n">
        <v>83061000</v>
      </c>
      <c r="J329" s="30" t="n">
        <v>0.05</v>
      </c>
      <c r="K329" s="32">
        <f>D329*J329</f>
        <v/>
      </c>
      <c r="M329" s="32">
        <f>D329*4%</f>
        <v/>
      </c>
      <c r="N329" s="49">
        <f>M329+L329+K329+H329+G329+F329+E329+D329</f>
        <v/>
      </c>
      <c r="O329" s="32">
        <f>D329*1%</f>
        <v/>
      </c>
      <c r="P329" s="7">
        <f>N329*8%</f>
        <v/>
      </c>
      <c r="Q329" s="7">
        <f>N329*10%</f>
        <v/>
      </c>
      <c r="R329" s="7">
        <f>N329*5%</f>
        <v/>
      </c>
      <c r="S329" s="7">
        <f>N329*2%</f>
        <v/>
      </c>
      <c r="T329" s="7">
        <f>AE329*0.5%</f>
        <v/>
      </c>
      <c r="U329" s="7">
        <f>N329*1%</f>
        <v/>
      </c>
      <c r="V329" s="49">
        <f>U329+S329+R329+Q329+P329+O329</f>
        <v/>
      </c>
      <c r="W329" s="32">
        <f>AE329*1%</f>
        <v/>
      </c>
      <c r="X329" s="32">
        <f>AE329*10%</f>
        <v/>
      </c>
      <c r="Y329" s="32">
        <f>AE329*1%</f>
        <v/>
      </c>
      <c r="Z329" s="32">
        <f>AE329*8%</f>
        <v/>
      </c>
      <c r="AA329" s="32">
        <f>W329+X329+Y329+Z329</f>
        <v/>
      </c>
      <c r="AB329" s="31">
        <f>AA329+V329+N329</f>
        <v/>
      </c>
      <c r="AC329" s="6">
        <f>AB329*20%</f>
        <v/>
      </c>
      <c r="AD329" s="32">
        <f>AB329+AC329</f>
        <v/>
      </c>
      <c r="AE329" s="32">
        <f>D329*2.1</f>
        <v/>
      </c>
      <c r="AF329" s="7">
        <f>AD329-AE329</f>
        <v/>
      </c>
      <c r="AG329" s="7">
        <f>AF329/AD329*100</f>
        <v/>
      </c>
      <c r="AI329" s="33" t="n"/>
      <c r="AJ329" s="34">
        <f>AD329</f>
        <v/>
      </c>
      <c r="AK329" s="34">
        <f>AJ329-(AJ329*7%)</f>
        <v/>
      </c>
      <c r="AL329" s="35">
        <f>AJ329/94</f>
        <v/>
      </c>
      <c r="AM329" s="35">
        <f>AK329/94</f>
        <v/>
      </c>
      <c r="AN329" s="36">
        <f>AJ329/24</f>
        <v/>
      </c>
      <c r="AO329" s="36">
        <f>AK329/24</f>
        <v/>
      </c>
      <c r="AP329" s="37">
        <f>AJ329/125</f>
        <v/>
      </c>
      <c r="AQ329" s="37">
        <f>AK329/125</f>
        <v/>
      </c>
    </row>
    <row r="330" ht="15.75" customHeight="1" s="50">
      <c r="A330" s="32" t="n"/>
      <c r="B330" s="32" t="inlineStr">
        <is>
          <t>28 in / Flower of Life-Center</t>
        </is>
      </c>
      <c r="D330" s="32" t="inlineStr">
        <is>
          <t>Parasonjeet</t>
        </is>
      </c>
      <c r="E330" s="32" t="n">
        <v>350</v>
      </c>
      <c r="G330" s="32" t="n">
        <v>0</v>
      </c>
      <c r="H330" s="32" t="n">
        <v>10</v>
      </c>
      <c r="I330" s="41" t="n">
        <v>83061000</v>
      </c>
      <c r="J330" s="30" t="n">
        <v>0.05</v>
      </c>
      <c r="K330" s="32">
        <f>D330*J330</f>
        <v/>
      </c>
      <c r="M330" s="32">
        <f>D330*4%</f>
        <v/>
      </c>
      <c r="N330" s="49">
        <f>M330+L330+K330+H330+G330+F330+E330+D330</f>
        <v/>
      </c>
      <c r="O330" s="32">
        <f>D330*1%</f>
        <v/>
      </c>
      <c r="P330" s="7">
        <f>N330*8%</f>
        <v/>
      </c>
      <c r="Q330" s="7">
        <f>N330*10%</f>
        <v/>
      </c>
      <c r="R330" s="7">
        <f>N330*5%</f>
        <v/>
      </c>
      <c r="S330" s="7">
        <f>N330*2%</f>
        <v/>
      </c>
      <c r="T330" s="7">
        <f>AE330*0.5%</f>
        <v/>
      </c>
      <c r="U330" s="7">
        <f>N330*1%</f>
        <v/>
      </c>
      <c r="V330" s="49">
        <f>U330+S330+R330+Q330+P330+O330</f>
        <v/>
      </c>
      <c r="W330" s="32">
        <f>AE330*1%</f>
        <v/>
      </c>
      <c r="X330" s="32">
        <f>AE330*10%</f>
        <v/>
      </c>
      <c r="Y330" s="32">
        <f>AE330*1%</f>
        <v/>
      </c>
      <c r="Z330" s="32">
        <f>AE330*8%</f>
        <v/>
      </c>
      <c r="AA330" s="32">
        <f>W330+X330+Y330+Z330</f>
        <v/>
      </c>
      <c r="AB330" s="31">
        <f>AA330+V330+N330</f>
        <v/>
      </c>
      <c r="AC330" s="6">
        <f>AB330*20%</f>
        <v/>
      </c>
      <c r="AD330" s="32">
        <f>AB330+AC330</f>
        <v/>
      </c>
      <c r="AE330" s="32">
        <f>D330*2.1</f>
        <v/>
      </c>
      <c r="AF330" s="7">
        <f>AD330-AE330</f>
        <v/>
      </c>
      <c r="AG330" s="7">
        <f>AF330/AD330*100</f>
        <v/>
      </c>
      <c r="AI330" s="33" t="n"/>
      <c r="AJ330" s="34">
        <f>AD330</f>
        <v/>
      </c>
      <c r="AK330" s="34">
        <f>AJ330-(AJ330*7%)</f>
        <v/>
      </c>
      <c r="AL330" s="35">
        <f>AJ330/94</f>
        <v/>
      </c>
      <c r="AM330" s="35">
        <f>AK330/94</f>
        <v/>
      </c>
      <c r="AN330" s="36">
        <f>AJ330/24</f>
        <v/>
      </c>
      <c r="AO330" s="36">
        <f>AK330/24</f>
        <v/>
      </c>
      <c r="AP330" s="37">
        <f>AJ330/125</f>
        <v/>
      </c>
      <c r="AQ330" s="37">
        <f>AK330/125</f>
        <v/>
      </c>
    </row>
    <row r="331" ht="15" customHeight="1" s="50">
      <c r="A331" s="32" t="inlineStr">
        <is>
          <t>Extra Large Meridian Singing Bowls</t>
        </is>
      </c>
      <c r="B331" s="32" t="inlineStr">
        <is>
          <t>Plain / 22 in</t>
        </is>
      </c>
      <c r="C331" s="32" t="inlineStr">
        <is>
          <t>Mi-SB-MD-P-22</t>
        </is>
      </c>
      <c r="D331" s="32" t="inlineStr">
        <is>
          <t>Parasonjeet</t>
        </is>
      </c>
      <c r="E331" s="32" t="n">
        <v>190</v>
      </c>
      <c r="G331" s="32" t="n">
        <v>0</v>
      </c>
      <c r="H331" s="32" t="n">
        <v>10</v>
      </c>
      <c r="I331" s="41" t="n">
        <v>83061000</v>
      </c>
      <c r="J331" s="30" t="n">
        <v>0.05</v>
      </c>
      <c r="K331" s="32">
        <f>D331*J331</f>
        <v/>
      </c>
      <c r="M331" s="32">
        <f>D331*4%</f>
        <v/>
      </c>
      <c r="N331" s="49">
        <f>M331+L331+K331+H331+G331+F331+E331+D331</f>
        <v/>
      </c>
      <c r="O331" s="32">
        <f>D331*1%</f>
        <v/>
      </c>
      <c r="P331" s="7">
        <f>N331*8%</f>
        <v/>
      </c>
      <c r="Q331" s="7">
        <f>N331*10%</f>
        <v/>
      </c>
      <c r="R331" s="7">
        <f>N331*5%</f>
        <v/>
      </c>
      <c r="S331" s="7">
        <f>N331*2%</f>
        <v/>
      </c>
      <c r="T331" s="7">
        <f>AE331*0.5%</f>
        <v/>
      </c>
      <c r="U331" s="7">
        <f>N331*1%</f>
        <v/>
      </c>
      <c r="V331" s="49">
        <f>U331+S331+R331+Q331+P331+O331</f>
        <v/>
      </c>
      <c r="W331" s="32">
        <f>AE331*1%</f>
        <v/>
      </c>
      <c r="X331" s="32">
        <f>AE331*10%</f>
        <v/>
      </c>
      <c r="Y331" s="32">
        <f>AE331*1%</f>
        <v/>
      </c>
      <c r="Z331" s="32">
        <f>AE331*8%</f>
        <v/>
      </c>
      <c r="AA331" s="32">
        <f>W331+X331+Y331+Z331</f>
        <v/>
      </c>
      <c r="AB331" s="31">
        <f>AA331+V331+N331</f>
        <v/>
      </c>
      <c r="AC331" s="6">
        <f>AB331*20%</f>
        <v/>
      </c>
      <c r="AD331" s="32">
        <f>AB331+AC331</f>
        <v/>
      </c>
      <c r="AE331" s="32">
        <f>D331*2.1</f>
        <v/>
      </c>
      <c r="AF331" s="7">
        <f>AD331-AE331</f>
        <v/>
      </c>
      <c r="AG331" s="7">
        <f>AF331/AD331*100</f>
        <v/>
      </c>
      <c r="AH331" s="0" t="n">
        <v>79500</v>
      </c>
      <c r="AI331" s="33" t="n"/>
      <c r="AJ331" s="34">
        <f>AD331</f>
        <v/>
      </c>
      <c r="AK331" s="34">
        <f>AJ331-(AJ331*7%)</f>
        <v/>
      </c>
      <c r="AL331" s="35">
        <f>AJ331/94</f>
        <v/>
      </c>
      <c r="AM331" s="35">
        <f>AK331/94</f>
        <v/>
      </c>
      <c r="AN331" s="36">
        <f>AJ331/24</f>
        <v/>
      </c>
      <c r="AO331" s="36">
        <f>AK331/24</f>
        <v/>
      </c>
      <c r="AP331" s="37">
        <f>AJ331/125</f>
        <v/>
      </c>
      <c r="AQ331" s="37">
        <f>AK331/125</f>
        <v/>
      </c>
    </row>
    <row r="332" ht="15.75" customHeight="1" s="50">
      <c r="A332" s="32" t="n"/>
      <c r="B332" s="32" t="inlineStr">
        <is>
          <t>18 in / Etched</t>
        </is>
      </c>
      <c r="C332" s="32" t="inlineStr">
        <is>
          <t>Mi-SB-MD-E-18</t>
        </is>
      </c>
      <c r="D332" s="32" t="inlineStr">
        <is>
          <t>Parasonjeet</t>
        </is>
      </c>
      <c r="E332" s="32" t="n">
        <v>190</v>
      </c>
      <c r="G332" s="32" t="n">
        <v>0</v>
      </c>
      <c r="H332" s="32" t="n">
        <v>10</v>
      </c>
      <c r="I332" s="41" t="n">
        <v>83061000</v>
      </c>
      <c r="J332" s="30" t="n">
        <v>0.05</v>
      </c>
      <c r="K332" s="32">
        <f>D332*J332</f>
        <v/>
      </c>
      <c r="M332" s="32">
        <f>D332*4%</f>
        <v/>
      </c>
      <c r="N332" s="49">
        <f>M332+L332+K332+H332+G332+F332+E332+D332</f>
        <v/>
      </c>
      <c r="O332" s="32">
        <f>D332*1%</f>
        <v/>
      </c>
      <c r="P332" s="7">
        <f>N332*8%</f>
        <v/>
      </c>
      <c r="Q332" s="7">
        <f>N332*10%</f>
        <v/>
      </c>
      <c r="R332" s="7">
        <f>N332*5%</f>
        <v/>
      </c>
      <c r="S332" s="7">
        <f>N332*2%</f>
        <v/>
      </c>
      <c r="T332" s="7">
        <f>AE332*0.5%</f>
        <v/>
      </c>
      <c r="U332" s="7">
        <f>N332*1%</f>
        <v/>
      </c>
      <c r="V332" s="49">
        <f>U332+S332+R332+Q332+P332+O332</f>
        <v/>
      </c>
      <c r="W332" s="32">
        <f>AE332*1%</f>
        <v/>
      </c>
      <c r="X332" s="32">
        <f>AE332*10%</f>
        <v/>
      </c>
      <c r="Y332" s="32">
        <f>AE332*1%</f>
        <v/>
      </c>
      <c r="Z332" s="32">
        <f>AE332*8%</f>
        <v/>
      </c>
      <c r="AA332" s="32">
        <f>W332+X332+Y332+Z332</f>
        <v/>
      </c>
      <c r="AB332" s="31">
        <f>AA332+V332+N332</f>
        <v/>
      </c>
      <c r="AC332" s="6">
        <f>AB332*20%</f>
        <v/>
      </c>
      <c r="AD332" s="32">
        <f>AB332+AC332</f>
        <v/>
      </c>
      <c r="AE332" s="32">
        <f>D332*2.1</f>
        <v/>
      </c>
      <c r="AF332" s="7">
        <f>AD332-AE332</f>
        <v/>
      </c>
      <c r="AG332" s="7">
        <f>AF332/AD332*100</f>
        <v/>
      </c>
      <c r="AH332" s="0" t="n">
        <v>68500</v>
      </c>
      <c r="AI332" s="33" t="n"/>
      <c r="AJ332" s="34">
        <f>AD332</f>
        <v/>
      </c>
      <c r="AK332" s="34">
        <f>AJ332-(AJ332*7%)</f>
        <v/>
      </c>
      <c r="AL332" s="35">
        <f>AJ332/94</f>
        <v/>
      </c>
      <c r="AM332" s="35">
        <f>AK332/94</f>
        <v/>
      </c>
      <c r="AN332" s="36">
        <f>AJ332/24</f>
        <v/>
      </c>
      <c r="AO332" s="36">
        <f>AK332/24</f>
        <v/>
      </c>
      <c r="AP332" s="37">
        <f>AJ332/125</f>
        <v/>
      </c>
      <c r="AQ332" s="37">
        <f>AK332/125</f>
        <v/>
      </c>
    </row>
    <row r="333" ht="15.75" customHeight="1" s="50">
      <c r="A333" s="32" t="n"/>
      <c r="B333" s="32" t="inlineStr">
        <is>
          <t>20 in / Etched</t>
        </is>
      </c>
      <c r="C333" s="32" t="inlineStr">
        <is>
          <t>Mi-SB-MD-E-20</t>
        </is>
      </c>
      <c r="D333" s="32" t="inlineStr">
        <is>
          <t>Parasonjeet</t>
        </is>
      </c>
      <c r="E333" s="32" t="n">
        <v>190</v>
      </c>
      <c r="G333" s="32" t="n">
        <v>0</v>
      </c>
      <c r="H333" s="32" t="n">
        <v>10</v>
      </c>
      <c r="I333" s="41" t="n">
        <v>83061000</v>
      </c>
      <c r="J333" s="30" t="n">
        <v>0.05</v>
      </c>
      <c r="K333" s="32">
        <f>D333*J333</f>
        <v/>
      </c>
      <c r="M333" s="32">
        <f>D333*4%</f>
        <v/>
      </c>
      <c r="N333" s="49">
        <f>M333+L333+K333+H333+G333+F333+E333+D333</f>
        <v/>
      </c>
      <c r="O333" s="32">
        <f>D333*1%</f>
        <v/>
      </c>
      <c r="P333" s="7">
        <f>N333*8%</f>
        <v/>
      </c>
      <c r="Q333" s="7">
        <f>N333*10%</f>
        <v/>
      </c>
      <c r="R333" s="7">
        <f>N333*5%</f>
        <v/>
      </c>
      <c r="S333" s="7">
        <f>N333*2%</f>
        <v/>
      </c>
      <c r="T333" s="7">
        <f>AE333*0.5%</f>
        <v/>
      </c>
      <c r="U333" s="7">
        <f>N333*1%</f>
        <v/>
      </c>
      <c r="V333" s="49">
        <f>U333+S333+R333+Q333+P333+O333</f>
        <v/>
      </c>
      <c r="W333" s="32">
        <f>AE333*1%</f>
        <v/>
      </c>
      <c r="X333" s="32">
        <f>AE333*10%</f>
        <v/>
      </c>
      <c r="Y333" s="32">
        <f>AE333*1%</f>
        <v/>
      </c>
      <c r="Z333" s="32">
        <f>AE333*8%</f>
        <v/>
      </c>
      <c r="AA333" s="32">
        <f>W333+X333+Y333+Z333</f>
        <v/>
      </c>
      <c r="AB333" s="31">
        <f>AA333+V333+N333</f>
        <v/>
      </c>
      <c r="AC333" s="6">
        <f>AB333*20%</f>
        <v/>
      </c>
      <c r="AD333" s="32">
        <f>AB333+AC333</f>
        <v/>
      </c>
      <c r="AE333" s="32">
        <f>D333*2.1</f>
        <v/>
      </c>
      <c r="AF333" s="7">
        <f>AD333-AE333</f>
        <v/>
      </c>
      <c r="AG333" s="7">
        <f>AF333/AD333*100</f>
        <v/>
      </c>
      <c r="AH333" s="0" t="n">
        <v>79500</v>
      </c>
      <c r="AI333" s="33" t="n"/>
      <c r="AJ333" s="34">
        <f>AD333</f>
        <v/>
      </c>
      <c r="AK333" s="34">
        <f>AJ333-(AJ333*7%)</f>
        <v/>
      </c>
      <c r="AL333" s="35">
        <f>AJ333/94</f>
        <v/>
      </c>
      <c r="AM333" s="35">
        <f>AK333/94</f>
        <v/>
      </c>
      <c r="AN333" s="36">
        <f>AJ333/24</f>
        <v/>
      </c>
      <c r="AO333" s="36">
        <f>AK333/24</f>
        <v/>
      </c>
      <c r="AP333" s="37">
        <f>AJ333/125</f>
        <v/>
      </c>
      <c r="AQ333" s="37">
        <f>AK333/125</f>
        <v/>
      </c>
    </row>
    <row r="334" ht="15.75" customHeight="1" s="50">
      <c r="A334" s="32" t="n"/>
      <c r="B334" s="32" t="inlineStr">
        <is>
          <t>22 in / Etched</t>
        </is>
      </c>
      <c r="C334" s="32" t="inlineStr">
        <is>
          <t>Mi-SB-MD-E-22</t>
        </is>
      </c>
      <c r="D334" s="32" t="inlineStr">
        <is>
          <t>Parasonjeet</t>
        </is>
      </c>
      <c r="E334" s="32" t="n">
        <v>190</v>
      </c>
      <c r="G334" s="32" t="n">
        <v>0</v>
      </c>
      <c r="H334" s="32" t="n">
        <v>10</v>
      </c>
      <c r="I334" s="41" t="n">
        <v>83061000</v>
      </c>
      <c r="J334" s="30" t="n">
        <v>0.05</v>
      </c>
      <c r="K334" s="32">
        <f>D334*J334</f>
        <v/>
      </c>
      <c r="M334" s="32">
        <f>D334*4%</f>
        <v/>
      </c>
      <c r="N334" s="49">
        <f>M334+L334+K334+H334+G334+F334+E334+D334</f>
        <v/>
      </c>
      <c r="O334" s="32">
        <f>D334*1%</f>
        <v/>
      </c>
      <c r="P334" s="7">
        <f>N334*8%</f>
        <v/>
      </c>
      <c r="Q334" s="7">
        <f>N334*10%</f>
        <v/>
      </c>
      <c r="R334" s="7">
        <f>N334*5%</f>
        <v/>
      </c>
      <c r="S334" s="7">
        <f>N334*2%</f>
        <v/>
      </c>
      <c r="T334" s="7">
        <f>AE334*0.5%</f>
        <v/>
      </c>
      <c r="U334" s="7">
        <f>N334*1%</f>
        <v/>
      </c>
      <c r="V334" s="49">
        <f>U334+S334+R334+Q334+P334+O334</f>
        <v/>
      </c>
      <c r="W334" s="32">
        <f>AE334*1%</f>
        <v/>
      </c>
      <c r="X334" s="32">
        <f>AE334*10%</f>
        <v/>
      </c>
      <c r="Y334" s="32">
        <f>AE334*1%</f>
        <v/>
      </c>
      <c r="Z334" s="32">
        <f>AE334*8%</f>
        <v/>
      </c>
      <c r="AA334" s="32">
        <f>W334+X334+Y334+Z334</f>
        <v/>
      </c>
      <c r="AB334" s="31">
        <f>AA334+V334+N334</f>
        <v/>
      </c>
      <c r="AC334" s="6">
        <f>AB334*20%</f>
        <v/>
      </c>
      <c r="AD334" s="32">
        <f>AB334+AC334</f>
        <v/>
      </c>
      <c r="AE334" s="32">
        <f>D334*2.1</f>
        <v/>
      </c>
      <c r="AF334" s="7">
        <f>AD334-AE334</f>
        <v/>
      </c>
      <c r="AG334" s="7">
        <f>AF334/AD334*100</f>
        <v/>
      </c>
      <c r="AH334" s="0" t="n">
        <v>97500</v>
      </c>
      <c r="AI334" s="33" t="n"/>
      <c r="AJ334" s="34">
        <f>AD334</f>
        <v/>
      </c>
      <c r="AK334" s="34">
        <f>AJ334-(AJ334*7%)</f>
        <v/>
      </c>
      <c r="AL334" s="35">
        <f>AJ334/94</f>
        <v/>
      </c>
      <c r="AM334" s="35">
        <f>AK334/94</f>
        <v/>
      </c>
      <c r="AN334" s="36">
        <f>AJ334/24</f>
        <v/>
      </c>
      <c r="AO334" s="36">
        <f>AK334/24</f>
        <v/>
      </c>
      <c r="AP334" s="37">
        <f>AJ334/125</f>
        <v/>
      </c>
      <c r="AQ334" s="37">
        <f>AK334/125</f>
        <v/>
      </c>
    </row>
    <row r="335" ht="15.75" customHeight="1" s="50">
      <c r="A335" s="32" t="n"/>
      <c r="B335" s="32" t="inlineStr">
        <is>
          <t>24 in / Etched</t>
        </is>
      </c>
      <c r="C335" s="32" t="inlineStr">
        <is>
          <t>Mi-SB-MD-E-24</t>
        </is>
      </c>
      <c r="D335" s="32" t="inlineStr">
        <is>
          <t>Parasonjeet</t>
        </is>
      </c>
      <c r="E335" s="32" t="n">
        <v>350</v>
      </c>
      <c r="G335" s="32" t="n">
        <v>0</v>
      </c>
      <c r="H335" s="32" t="n">
        <v>10</v>
      </c>
      <c r="I335" s="41" t="n">
        <v>83061000</v>
      </c>
      <c r="J335" s="30" t="n">
        <v>0.05</v>
      </c>
      <c r="K335" s="32">
        <f>D335*J335</f>
        <v/>
      </c>
      <c r="M335" s="32">
        <f>D335*4%</f>
        <v/>
      </c>
      <c r="N335" s="49">
        <f>M335+L335+K335+H335+G335+F335+E335+D335</f>
        <v/>
      </c>
      <c r="O335" s="32">
        <f>D335*1%</f>
        <v/>
      </c>
      <c r="P335" s="7">
        <f>N335*8%</f>
        <v/>
      </c>
      <c r="Q335" s="7">
        <f>N335*10%</f>
        <v/>
      </c>
      <c r="R335" s="7">
        <f>N335*5%</f>
        <v/>
      </c>
      <c r="S335" s="7">
        <f>N335*2%</f>
        <v/>
      </c>
      <c r="T335" s="7">
        <f>AE335*0.5%</f>
        <v/>
      </c>
      <c r="U335" s="7">
        <f>N335*1%</f>
        <v/>
      </c>
      <c r="V335" s="49">
        <f>U335+S335+R335+Q335+P335+O335</f>
        <v/>
      </c>
      <c r="W335" s="32">
        <f>AE335*1%</f>
        <v/>
      </c>
      <c r="X335" s="32">
        <f>AE335*10%</f>
        <v/>
      </c>
      <c r="Y335" s="32">
        <f>AE335*1%</f>
        <v/>
      </c>
      <c r="Z335" s="32">
        <f>AE335*8%</f>
        <v/>
      </c>
      <c r="AA335" s="32">
        <f>W335+X335+Y335+Z335</f>
        <v/>
      </c>
      <c r="AB335" s="31">
        <f>AA335+V335+N335</f>
        <v/>
      </c>
      <c r="AC335" s="6">
        <f>AB335*20%</f>
        <v/>
      </c>
      <c r="AD335" s="32">
        <f>AB335+AC335</f>
        <v/>
      </c>
      <c r="AE335" s="32">
        <f>D335*2.1</f>
        <v/>
      </c>
      <c r="AF335" s="7">
        <f>AD335-AE335</f>
        <v/>
      </c>
      <c r="AG335" s="7">
        <f>AF335/AD335*100</f>
        <v/>
      </c>
      <c r="AH335" s="0" t="n">
        <v>129500</v>
      </c>
      <c r="AI335" s="33" t="n"/>
      <c r="AJ335" s="34">
        <f>AD335</f>
        <v/>
      </c>
      <c r="AK335" s="34">
        <f>AJ335-(AJ335*7%)</f>
        <v/>
      </c>
      <c r="AL335" s="35">
        <f>AJ335/94</f>
        <v/>
      </c>
      <c r="AM335" s="35">
        <f>AK335/94</f>
        <v/>
      </c>
      <c r="AN335" s="36">
        <f>AJ335/24</f>
        <v/>
      </c>
      <c r="AO335" s="36">
        <f>AK335/24</f>
        <v/>
      </c>
      <c r="AP335" s="37">
        <f>AJ335/125</f>
        <v/>
      </c>
      <c r="AQ335" s="37">
        <f>AK335/125</f>
        <v/>
      </c>
    </row>
    <row r="336" ht="15.75" customHeight="1" s="50">
      <c r="A336" s="32" t="n"/>
      <c r="B336" s="32" t="inlineStr">
        <is>
          <t>23 In / Etched</t>
        </is>
      </c>
      <c r="C336" s="32" t="inlineStr">
        <is>
          <t>Mi-SB-MD-E-26</t>
        </is>
      </c>
      <c r="D336" s="32" t="inlineStr">
        <is>
          <t>Parasonjeet</t>
        </is>
      </c>
      <c r="E336" s="32" t="n">
        <v>350</v>
      </c>
      <c r="G336" s="32" t="n">
        <v>0</v>
      </c>
      <c r="H336" s="32" t="n">
        <v>10</v>
      </c>
      <c r="I336" s="41" t="n">
        <v>83061000</v>
      </c>
      <c r="J336" s="30" t="n">
        <v>0.05</v>
      </c>
      <c r="K336" s="32">
        <f>D336*J336</f>
        <v/>
      </c>
      <c r="M336" s="32">
        <f>D336*4%</f>
        <v/>
      </c>
      <c r="N336" s="49">
        <f>M336+L336+K336+H336+G336+F336+E336+D336</f>
        <v/>
      </c>
      <c r="O336" s="32">
        <f>D336*1%</f>
        <v/>
      </c>
      <c r="P336" s="7">
        <f>N336*8%</f>
        <v/>
      </c>
      <c r="Q336" s="7">
        <f>N336*10%</f>
        <v/>
      </c>
      <c r="R336" s="7">
        <f>N336*5%</f>
        <v/>
      </c>
      <c r="S336" s="7">
        <f>N336*2%</f>
        <v/>
      </c>
      <c r="T336" s="7">
        <f>AE336*0.5%</f>
        <v/>
      </c>
      <c r="U336" s="7">
        <f>N336*1%</f>
        <v/>
      </c>
      <c r="V336" s="49">
        <f>U336+S336+R336+Q336+P336+O336</f>
        <v/>
      </c>
      <c r="W336" s="32">
        <f>AE336*1%</f>
        <v/>
      </c>
      <c r="X336" s="32">
        <f>AE336*10%</f>
        <v/>
      </c>
      <c r="Y336" s="32">
        <f>AE336*1%</f>
        <v/>
      </c>
      <c r="Z336" s="32">
        <f>AE336*8%</f>
        <v/>
      </c>
      <c r="AA336" s="32">
        <f>W336+X336+Y336+Z336</f>
        <v/>
      </c>
      <c r="AB336" s="31">
        <f>AA336+V336+N336</f>
        <v/>
      </c>
      <c r="AC336" s="6">
        <f>AB336*20%</f>
        <v/>
      </c>
      <c r="AD336" s="32">
        <f>AB336+AC336</f>
        <v/>
      </c>
      <c r="AE336" s="32">
        <f>D336*2.1</f>
        <v/>
      </c>
      <c r="AF336" s="7">
        <f>AD336-AE336</f>
        <v/>
      </c>
      <c r="AG336" s="7">
        <f>AF336/AD336*100</f>
        <v/>
      </c>
      <c r="AH336" s="0" t="n">
        <v>114500</v>
      </c>
      <c r="AI336" s="33" t="n"/>
      <c r="AJ336" s="34">
        <f>AD336</f>
        <v/>
      </c>
      <c r="AK336" s="34">
        <f>AJ336-(AJ336*7%)</f>
        <v/>
      </c>
      <c r="AL336" s="35">
        <f>AJ336/94</f>
        <v/>
      </c>
      <c r="AM336" s="35">
        <f>AK336/94</f>
        <v/>
      </c>
      <c r="AN336" s="36">
        <f>AJ336/24</f>
        <v/>
      </c>
      <c r="AO336" s="36">
        <f>AK336/24</f>
        <v/>
      </c>
      <c r="AP336" s="37">
        <f>AJ336/125</f>
        <v/>
      </c>
      <c r="AQ336" s="37">
        <f>AK336/125</f>
        <v/>
      </c>
    </row>
    <row r="337" ht="15.75" customHeight="1" s="50">
      <c r="A337" s="32" t="n"/>
      <c r="B337" s="32" t="inlineStr">
        <is>
          <t>Plain / 18 in</t>
        </is>
      </c>
      <c r="C337" s="32" t="inlineStr">
        <is>
          <t>Mi-SB-MD-P-18</t>
        </is>
      </c>
      <c r="D337" s="32" t="inlineStr">
        <is>
          <t>Parasonjeet</t>
        </is>
      </c>
      <c r="E337" s="32" t="n">
        <v>190</v>
      </c>
      <c r="G337" s="32" t="n">
        <v>0</v>
      </c>
      <c r="H337" s="32" t="n">
        <v>10</v>
      </c>
      <c r="I337" s="41" t="n">
        <v>83061000</v>
      </c>
      <c r="J337" s="30" t="n">
        <v>0.05</v>
      </c>
      <c r="K337" s="32">
        <f>D337*J337</f>
        <v/>
      </c>
      <c r="M337" s="32">
        <f>D337*4%</f>
        <v/>
      </c>
      <c r="N337" s="49">
        <f>M337+L337+K337+H337+G337+F337+E337+D337</f>
        <v/>
      </c>
      <c r="O337" s="32">
        <f>D337*1%</f>
        <v/>
      </c>
      <c r="P337" s="7">
        <f>N337*8%</f>
        <v/>
      </c>
      <c r="Q337" s="7">
        <f>N337*10%</f>
        <v/>
      </c>
      <c r="R337" s="7">
        <f>N337*5%</f>
        <v/>
      </c>
      <c r="S337" s="7">
        <f>N337*2%</f>
        <v/>
      </c>
      <c r="T337" s="7">
        <f>AE337*0.5%</f>
        <v/>
      </c>
      <c r="U337" s="7">
        <f>N337*1%</f>
        <v/>
      </c>
      <c r="V337" s="49">
        <f>U337+S337+R337+Q337+P337+O337</f>
        <v/>
      </c>
      <c r="W337" s="32">
        <f>AE337*1%</f>
        <v/>
      </c>
      <c r="X337" s="32">
        <f>AE337*10%</f>
        <v/>
      </c>
      <c r="Y337" s="32">
        <f>AE337*1%</f>
        <v/>
      </c>
      <c r="Z337" s="32">
        <f>AE337*8%</f>
        <v/>
      </c>
      <c r="AA337" s="32">
        <f>W337+X337+Y337+Z337</f>
        <v/>
      </c>
      <c r="AB337" s="31">
        <f>AA337+V337+N337</f>
        <v/>
      </c>
      <c r="AC337" s="6">
        <f>AB337*20%</f>
        <v/>
      </c>
      <c r="AD337" s="32">
        <f>AB337+AC337</f>
        <v/>
      </c>
      <c r="AE337" s="32">
        <f>D337*2.1</f>
        <v/>
      </c>
      <c r="AF337" s="7">
        <f>AD337-AE337</f>
        <v/>
      </c>
      <c r="AG337" s="7">
        <f>AF337/AD337*100</f>
        <v/>
      </c>
      <c r="AH337" s="0" t="n">
        <v>53500</v>
      </c>
      <c r="AI337" s="33" t="n"/>
      <c r="AJ337" s="34">
        <f>AD337</f>
        <v/>
      </c>
      <c r="AK337" s="34">
        <f>AJ337-(AJ337*7%)</f>
        <v/>
      </c>
      <c r="AL337" s="35">
        <f>AJ337/94</f>
        <v/>
      </c>
      <c r="AM337" s="35">
        <f>AK337/94</f>
        <v/>
      </c>
      <c r="AN337" s="36">
        <f>AJ337/24</f>
        <v/>
      </c>
      <c r="AO337" s="36">
        <f>AK337/24</f>
        <v/>
      </c>
      <c r="AP337" s="37">
        <f>AJ337/125</f>
        <v/>
      </c>
      <c r="AQ337" s="37">
        <f>AK337/125</f>
        <v/>
      </c>
    </row>
    <row r="338" ht="15.75" customHeight="1" s="50">
      <c r="A338" s="32" t="n"/>
      <c r="B338" s="32" t="inlineStr">
        <is>
          <t>Plain / 20 in</t>
        </is>
      </c>
      <c r="C338" s="32" t="inlineStr">
        <is>
          <t>Mi-SB-MD-P-20</t>
        </is>
      </c>
      <c r="D338" s="32" t="inlineStr">
        <is>
          <t>Parasonjeet</t>
        </is>
      </c>
      <c r="E338" s="32" t="n">
        <v>190</v>
      </c>
      <c r="G338" s="32" t="n">
        <v>0</v>
      </c>
      <c r="H338" s="32" t="n">
        <v>10</v>
      </c>
      <c r="I338" s="41" t="n">
        <v>83061000</v>
      </c>
      <c r="J338" s="30" t="n">
        <v>0.05</v>
      </c>
      <c r="K338" s="32">
        <f>D338*J338</f>
        <v/>
      </c>
      <c r="M338" s="32">
        <f>D338*4%</f>
        <v/>
      </c>
      <c r="N338" s="49">
        <f>M338+L338+K338+H338+G338+F338+E338+D338</f>
        <v/>
      </c>
      <c r="O338" s="32">
        <f>D338*1%</f>
        <v/>
      </c>
      <c r="P338" s="7">
        <f>N338*8%</f>
        <v/>
      </c>
      <c r="Q338" s="7">
        <f>N338*10%</f>
        <v/>
      </c>
      <c r="R338" s="7">
        <f>N338*5%</f>
        <v/>
      </c>
      <c r="S338" s="7">
        <f>N338*2%</f>
        <v/>
      </c>
      <c r="T338" s="7">
        <f>AE338*0.5%</f>
        <v/>
      </c>
      <c r="U338" s="7">
        <f>N338*1%</f>
        <v/>
      </c>
      <c r="V338" s="49">
        <f>U338+S338+R338+Q338+P338+O338</f>
        <v/>
      </c>
      <c r="W338" s="32">
        <f>AE338*1%</f>
        <v/>
      </c>
      <c r="X338" s="32">
        <f>AE338*10%</f>
        <v/>
      </c>
      <c r="Y338" s="32">
        <f>AE338*1%</f>
        <v/>
      </c>
      <c r="Z338" s="32">
        <f>AE338*8%</f>
        <v/>
      </c>
      <c r="AA338" s="32">
        <f>W338+X338+Y338+Z338</f>
        <v/>
      </c>
      <c r="AB338" s="31">
        <f>AA338+V338+N338</f>
        <v/>
      </c>
      <c r="AC338" s="6">
        <f>AB338*20%</f>
        <v/>
      </c>
      <c r="AD338" s="32">
        <f>AB338+AC338</f>
        <v/>
      </c>
      <c r="AE338" s="32">
        <f>D338*2.1</f>
        <v/>
      </c>
      <c r="AF338" s="7">
        <f>AD338-AE338</f>
        <v/>
      </c>
      <c r="AG338" s="7">
        <f>AF338/AD338*100</f>
        <v/>
      </c>
      <c r="AH338" s="0" t="n">
        <v>65500</v>
      </c>
      <c r="AI338" s="33" t="n"/>
      <c r="AJ338" s="34">
        <f>AD338</f>
        <v/>
      </c>
      <c r="AK338" s="34">
        <f>AJ338-(AJ338*7%)</f>
        <v/>
      </c>
      <c r="AL338" s="35">
        <f>AJ338/94</f>
        <v/>
      </c>
      <c r="AM338" s="35">
        <f>AK338/94</f>
        <v/>
      </c>
      <c r="AN338" s="36">
        <f>AJ338/24</f>
        <v/>
      </c>
      <c r="AO338" s="36">
        <f>AK338/24</f>
        <v/>
      </c>
      <c r="AP338" s="37">
        <f>AJ338/125</f>
        <v/>
      </c>
      <c r="AQ338" s="37">
        <f>AK338/125</f>
        <v/>
      </c>
    </row>
    <row r="339" ht="15.75" customHeight="1" s="50">
      <c r="A339" s="32" t="n"/>
      <c r="B339" s="32" t="inlineStr">
        <is>
          <t>Plain / 24 in</t>
        </is>
      </c>
      <c r="C339" s="32" t="inlineStr">
        <is>
          <t>Mi-SB-MD-P-24</t>
        </is>
      </c>
      <c r="D339" s="32" t="inlineStr">
        <is>
          <t>Parasonjeet</t>
        </is>
      </c>
      <c r="E339" s="32" t="n">
        <v>190</v>
      </c>
      <c r="G339" s="32" t="n">
        <v>0</v>
      </c>
      <c r="H339" s="32" t="n">
        <v>10</v>
      </c>
      <c r="I339" s="41" t="n">
        <v>83061000</v>
      </c>
      <c r="J339" s="30" t="n">
        <v>0.05</v>
      </c>
      <c r="K339" s="32">
        <f>D339*J339</f>
        <v/>
      </c>
      <c r="M339" s="32">
        <f>D339*4%</f>
        <v/>
      </c>
      <c r="N339" s="49">
        <f>M339+L339+K339+H339+G339+F339+E339+D339</f>
        <v/>
      </c>
      <c r="O339" s="32">
        <f>D339*1%</f>
        <v/>
      </c>
      <c r="P339" s="7">
        <f>N339*8%</f>
        <v/>
      </c>
      <c r="Q339" s="7">
        <f>N339*10%</f>
        <v/>
      </c>
      <c r="R339" s="7">
        <f>N339*5%</f>
        <v/>
      </c>
      <c r="S339" s="7">
        <f>N339*2%</f>
        <v/>
      </c>
      <c r="T339" s="7">
        <f>AE339*0.5%</f>
        <v/>
      </c>
      <c r="U339" s="7">
        <f>N339*1%</f>
        <v/>
      </c>
      <c r="V339" s="49">
        <f>U339+S339+R339+Q339+P339+O339</f>
        <v/>
      </c>
      <c r="W339" s="32">
        <f>AE339*1%</f>
        <v/>
      </c>
      <c r="X339" s="32">
        <f>AE339*10%</f>
        <v/>
      </c>
      <c r="Y339" s="32">
        <f>AE339*1%</f>
        <v/>
      </c>
      <c r="Z339" s="32">
        <f>AE339*8%</f>
        <v/>
      </c>
      <c r="AA339" s="32">
        <f>W339+X339+Y339+Z339</f>
        <v/>
      </c>
      <c r="AB339" s="31">
        <f>AA339+V339+N339</f>
        <v/>
      </c>
      <c r="AC339" s="6">
        <f>AB339*20%</f>
        <v/>
      </c>
      <c r="AD339" s="32">
        <f>AB339+AC339</f>
        <v/>
      </c>
      <c r="AE339" s="32">
        <f>D339*2.1</f>
        <v/>
      </c>
      <c r="AF339" s="7">
        <f>AD339-AE339</f>
        <v/>
      </c>
      <c r="AG339" s="7">
        <f>AF339/AD339*100</f>
        <v/>
      </c>
      <c r="AH339" s="0" t="n">
        <v>114500</v>
      </c>
      <c r="AI339" s="33" t="n"/>
      <c r="AJ339" s="34">
        <f>AD339</f>
        <v/>
      </c>
      <c r="AK339" s="34">
        <f>AJ339-(AJ339*7%)</f>
        <v/>
      </c>
      <c r="AL339" s="35">
        <f>AJ339/94</f>
        <v/>
      </c>
      <c r="AM339" s="35">
        <f>AK339/94</f>
        <v/>
      </c>
      <c r="AN339" s="36">
        <f>AJ339/24</f>
        <v/>
      </c>
      <c r="AO339" s="36">
        <f>AK339/24</f>
        <v/>
      </c>
      <c r="AP339" s="37">
        <f>AJ339/125</f>
        <v/>
      </c>
      <c r="AQ339" s="37">
        <f>AK339/125</f>
        <v/>
      </c>
    </row>
    <row r="340" ht="15.75" customHeight="1" s="50">
      <c r="A340" s="32" t="n"/>
      <c r="B340" s="32" t="inlineStr">
        <is>
          <t>Plain / 23 In</t>
        </is>
      </c>
      <c r="C340" s="32" t="inlineStr">
        <is>
          <t>Mi-SB-MD-P-26</t>
        </is>
      </c>
      <c r="D340" s="32" t="inlineStr">
        <is>
          <t>Parasonjeet</t>
        </is>
      </c>
      <c r="E340" s="32" t="n">
        <v>190</v>
      </c>
      <c r="G340" s="32" t="n">
        <v>0</v>
      </c>
      <c r="H340" s="32" t="n">
        <v>10</v>
      </c>
      <c r="I340" s="41" t="n">
        <v>83061000</v>
      </c>
      <c r="J340" s="30" t="n">
        <v>0.0500000000000001</v>
      </c>
      <c r="K340" s="32">
        <f>D340*J340</f>
        <v/>
      </c>
      <c r="M340" s="32">
        <f>D340*4%</f>
        <v/>
      </c>
      <c r="N340" s="49">
        <f>M340+L340+K340+H340+G340+F340+E340+D340</f>
        <v/>
      </c>
      <c r="O340" s="32">
        <f>D340*1%</f>
        <v/>
      </c>
      <c r="P340" s="7">
        <f>N340*8%</f>
        <v/>
      </c>
      <c r="Q340" s="7">
        <f>N340*10%</f>
        <v/>
      </c>
      <c r="R340" s="7">
        <f>N340*5%</f>
        <v/>
      </c>
      <c r="S340" s="7">
        <f>N340*2%</f>
        <v/>
      </c>
      <c r="T340" s="7">
        <f>AE340*0.5%</f>
        <v/>
      </c>
      <c r="U340" s="7">
        <f>N340*1%</f>
        <v/>
      </c>
      <c r="V340" s="49">
        <f>U340+S340+R340+Q340+P340+O340</f>
        <v/>
      </c>
      <c r="W340" s="32">
        <f>AE340*1%</f>
        <v/>
      </c>
      <c r="X340" s="32">
        <f>AE340*10%</f>
        <v/>
      </c>
      <c r="Y340" s="32">
        <f>AE340*1%</f>
        <v/>
      </c>
      <c r="Z340" s="32">
        <f>AE340*8%</f>
        <v/>
      </c>
      <c r="AA340" s="32">
        <f>W340+X340+Y340+Z340</f>
        <v/>
      </c>
      <c r="AB340" s="31">
        <f>AA340+V340+N340</f>
        <v/>
      </c>
      <c r="AC340" s="6">
        <f>AB340*20%</f>
        <v/>
      </c>
      <c r="AD340" s="32">
        <f>AB340+AC340</f>
        <v/>
      </c>
      <c r="AE340" s="32">
        <f>D340*2.1</f>
        <v/>
      </c>
      <c r="AF340" s="7">
        <f>AD340-AE340</f>
        <v/>
      </c>
      <c r="AG340" s="7">
        <f>AF340/AD340*100</f>
        <v/>
      </c>
      <c r="AH340" s="0" t="n">
        <v>99500</v>
      </c>
      <c r="AI340" s="33" t="n"/>
      <c r="AJ340" s="34">
        <f>AD340</f>
        <v/>
      </c>
      <c r="AK340" s="34">
        <f>AJ340-(AJ340*7%)</f>
        <v/>
      </c>
      <c r="AL340" s="35">
        <f>AJ340/94</f>
        <v/>
      </c>
      <c r="AM340" s="35">
        <f>AK340/94</f>
        <v/>
      </c>
      <c r="AN340" s="36">
        <f>AJ340/24</f>
        <v/>
      </c>
      <c r="AO340" s="36">
        <f>AK340/24</f>
        <v/>
      </c>
      <c r="AP340" s="37">
        <f>AJ340/125</f>
        <v/>
      </c>
      <c r="AQ340" s="37">
        <f>AK340/125</f>
        <v/>
      </c>
    </row>
    <row r="341" ht="15" customHeight="1" s="50">
      <c r="A341" s="32" t="inlineStr">
        <is>
          <t>Eye Shaped Natural Lavender Scented Eye Pillows</t>
        </is>
      </c>
      <c r="B341" s="32" t="inlineStr">
        <is>
          <t>Rose</t>
        </is>
      </c>
      <c r="C341" s="32" t="inlineStr">
        <is>
          <t>Yo-P-E-RE-1</t>
        </is>
      </c>
      <c r="D341" s="32" t="n">
        <v>175</v>
      </c>
      <c r="G341" s="32" t="n">
        <v>0</v>
      </c>
      <c r="H341" s="32" t="n">
        <v>10</v>
      </c>
      <c r="I341" s="41" t="n">
        <v>94041000</v>
      </c>
      <c r="J341" s="30" t="n">
        <v>0.18</v>
      </c>
      <c r="K341" s="32">
        <f>D341*J341</f>
        <v/>
      </c>
      <c r="M341" s="32">
        <f>D341*4%</f>
        <v/>
      </c>
      <c r="N341" s="49">
        <f>M341+L341+K341+H341+G341+F341+E341+D341</f>
        <v/>
      </c>
      <c r="O341" s="32">
        <f>D341*1%</f>
        <v/>
      </c>
      <c r="P341" s="7">
        <f>N341*8%</f>
        <v/>
      </c>
      <c r="Q341" s="7">
        <f>N341*10%</f>
        <v/>
      </c>
      <c r="R341" s="7">
        <f>N341*5%</f>
        <v/>
      </c>
      <c r="S341" s="7">
        <f>N341*2%</f>
        <v/>
      </c>
      <c r="T341" s="7">
        <f>AE341*0.5%</f>
        <v/>
      </c>
      <c r="U341" s="7">
        <f>N341*1%</f>
        <v/>
      </c>
      <c r="V341" s="31">
        <f>U341+S341+R341+Q341+P341+O341</f>
        <v/>
      </c>
      <c r="W341" s="32">
        <f>AE341*1%</f>
        <v/>
      </c>
      <c r="X341" s="32">
        <f>AE341*10%</f>
        <v/>
      </c>
      <c r="Y341" s="32">
        <f>AE341*1%</f>
        <v/>
      </c>
      <c r="Z341" s="32">
        <f>AE341*8%</f>
        <v/>
      </c>
      <c r="AA341" s="32">
        <f>W341+X341+Y341+Z341</f>
        <v/>
      </c>
      <c r="AB341" s="31">
        <f>AA341+V341+N341</f>
        <v/>
      </c>
      <c r="AC341" s="6">
        <f>AB341*20%</f>
        <v/>
      </c>
      <c r="AD341" s="7">
        <f>AB341+AC341</f>
        <v/>
      </c>
      <c r="AE341" s="32">
        <f>D341*2.1</f>
        <v/>
      </c>
      <c r="AF341" s="7">
        <f>AD341-AE341</f>
        <v/>
      </c>
      <c r="AG341" s="7">
        <f>AF341/AD341*100</f>
        <v/>
      </c>
      <c r="AH341" s="0" t="n">
        <v>395</v>
      </c>
      <c r="AI341" s="33" t="n">
        <v>220</v>
      </c>
      <c r="AJ341" s="34">
        <f>AD341</f>
        <v/>
      </c>
      <c r="AK341" s="34">
        <f>AJ341-(AJ341*7%)</f>
        <v/>
      </c>
      <c r="AL341" s="35">
        <f>AJ341/94</f>
        <v/>
      </c>
      <c r="AM341" s="35">
        <f>AK341/94</f>
        <v/>
      </c>
      <c r="AN341" s="36">
        <f>AJ341/24</f>
        <v/>
      </c>
      <c r="AO341" s="36">
        <f>AK341/24</f>
        <v/>
      </c>
      <c r="AP341" s="37">
        <f>AJ341/125</f>
        <v/>
      </c>
      <c r="AQ341" s="37">
        <f>AK341/125</f>
        <v/>
      </c>
    </row>
    <row r="342" ht="15.75" customHeight="1" s="50">
      <c r="A342" s="32" t="n"/>
      <c r="B342" s="32" t="inlineStr">
        <is>
          <t>Dark Grey</t>
        </is>
      </c>
      <c r="C342" s="32" t="inlineStr">
        <is>
          <t>Yo-P-E-DG-1</t>
        </is>
      </c>
      <c r="D342" s="32" t="n">
        <v>175</v>
      </c>
      <c r="G342" s="32" t="n">
        <v>0</v>
      </c>
      <c r="H342" s="32" t="n">
        <v>10</v>
      </c>
      <c r="I342" s="41" t="n">
        <v>94041000</v>
      </c>
      <c r="J342" s="30" t="n">
        <v>0.18</v>
      </c>
      <c r="K342" s="32">
        <f>D342*J342</f>
        <v/>
      </c>
      <c r="M342" s="32">
        <f>D342*4%</f>
        <v/>
      </c>
      <c r="N342" s="49">
        <f>M342+L342+K342+H342+G342+F342+E342+D342</f>
        <v/>
      </c>
      <c r="O342" s="32">
        <f>D342*1%</f>
        <v/>
      </c>
      <c r="P342" s="7">
        <f>N342*8%</f>
        <v/>
      </c>
      <c r="Q342" s="7">
        <f>N342*10%</f>
        <v/>
      </c>
      <c r="R342" s="7">
        <f>N342*5%</f>
        <v/>
      </c>
      <c r="S342" s="7">
        <f>N342*2%</f>
        <v/>
      </c>
      <c r="T342" s="7">
        <f>AE342*0.5%</f>
        <v/>
      </c>
      <c r="U342" s="7">
        <f>N342*1%</f>
        <v/>
      </c>
      <c r="V342" s="31">
        <f>U342+S342+R342+Q342+P342+O342</f>
        <v/>
      </c>
      <c r="W342" s="32">
        <f>AE342*1%</f>
        <v/>
      </c>
      <c r="X342" s="32">
        <f>AE342*10%</f>
        <v/>
      </c>
      <c r="Y342" s="32">
        <f>AE342*1%</f>
        <v/>
      </c>
      <c r="Z342" s="32">
        <f>AE342*8%</f>
        <v/>
      </c>
      <c r="AA342" s="32">
        <f>W342+X342+Y342+Z342</f>
        <v/>
      </c>
      <c r="AB342" s="31">
        <f>AA342+V342+N342</f>
        <v/>
      </c>
      <c r="AC342" s="6">
        <f>AB342*20%</f>
        <v/>
      </c>
      <c r="AD342" s="7">
        <f>AB342+AC342</f>
        <v/>
      </c>
      <c r="AE342" s="32">
        <f>D342*2.1</f>
        <v/>
      </c>
      <c r="AF342" s="7">
        <f>AD342-AE342</f>
        <v/>
      </c>
      <c r="AG342" s="7">
        <f>AF342/AD342*100</f>
        <v/>
      </c>
      <c r="AH342" s="0" t="n">
        <v>395</v>
      </c>
      <c r="AI342" s="33" t="n">
        <v>220</v>
      </c>
      <c r="AJ342" s="34">
        <f>AD342</f>
        <v/>
      </c>
      <c r="AK342" s="34">
        <f>AJ342-(AJ342*7%)</f>
        <v/>
      </c>
      <c r="AL342" s="35">
        <f>AJ342/94</f>
        <v/>
      </c>
      <c r="AM342" s="35">
        <f>AK342/94</f>
        <v/>
      </c>
      <c r="AN342" s="36">
        <f>AJ342/24</f>
        <v/>
      </c>
      <c r="AO342" s="36">
        <f>AK342/24</f>
        <v/>
      </c>
      <c r="AP342" s="37">
        <f>AJ342/125</f>
        <v/>
      </c>
      <c r="AQ342" s="37">
        <f>AK342/125</f>
        <v/>
      </c>
    </row>
    <row r="343" ht="15.75" customHeight="1" s="50">
      <c r="A343" s="32" t="n"/>
      <c r="B343" s="32" t="inlineStr">
        <is>
          <t>Grey</t>
        </is>
      </c>
      <c r="C343" s="32" t="inlineStr">
        <is>
          <t>Yo-P-E-GY-1</t>
        </is>
      </c>
      <c r="D343" s="32" t="n">
        <v>175</v>
      </c>
      <c r="G343" s="32" t="n">
        <v>0</v>
      </c>
      <c r="H343" s="32" t="n">
        <v>10</v>
      </c>
      <c r="I343" s="41" t="n">
        <v>94041000</v>
      </c>
      <c r="J343" s="30" t="n">
        <v>0.18</v>
      </c>
      <c r="K343" s="32">
        <f>D343*J343</f>
        <v/>
      </c>
      <c r="M343" s="32">
        <f>D343*4%</f>
        <v/>
      </c>
      <c r="N343" s="49">
        <f>M343+L343+K343+H343+G343+F343+E343+D343</f>
        <v/>
      </c>
      <c r="O343" s="32">
        <f>D343*1%</f>
        <v/>
      </c>
      <c r="P343" s="7">
        <f>N343*8%</f>
        <v/>
      </c>
      <c r="Q343" s="7">
        <f>N343*10%</f>
        <v/>
      </c>
      <c r="R343" s="7">
        <f>N343*5%</f>
        <v/>
      </c>
      <c r="S343" s="7">
        <f>N343*2%</f>
        <v/>
      </c>
      <c r="T343" s="7">
        <f>AE343*0.5%</f>
        <v/>
      </c>
      <c r="U343" s="7">
        <f>N343*1%</f>
        <v/>
      </c>
      <c r="V343" s="31">
        <f>U343+S343+R343+Q343+P343+O343</f>
        <v/>
      </c>
      <c r="W343" s="32">
        <f>AE343*1%</f>
        <v/>
      </c>
      <c r="X343" s="32">
        <f>AE343*10%</f>
        <v/>
      </c>
      <c r="Y343" s="32">
        <f>AE343*1%</f>
        <v/>
      </c>
      <c r="Z343" s="32">
        <f>AE343*8%</f>
        <v/>
      </c>
      <c r="AA343" s="32">
        <f>W343+X343+Y343+Z343</f>
        <v/>
      </c>
      <c r="AB343" s="31">
        <f>AA343+V343+N343</f>
        <v/>
      </c>
      <c r="AC343" s="6">
        <f>AB343*20%</f>
        <v/>
      </c>
      <c r="AD343" s="7">
        <f>AB343+AC343</f>
        <v/>
      </c>
      <c r="AE343" s="32">
        <f>D343*2.1</f>
        <v/>
      </c>
      <c r="AF343" s="7">
        <f>AD343-AE343</f>
        <v/>
      </c>
      <c r="AG343" s="7">
        <f>AF343/AD343*100</f>
        <v/>
      </c>
      <c r="AH343" s="0" t="n">
        <v>395</v>
      </c>
      <c r="AI343" s="33" t="n">
        <v>220</v>
      </c>
      <c r="AJ343" s="34">
        <f>AD343</f>
        <v/>
      </c>
      <c r="AK343" s="34">
        <f>AJ343-(AJ343*7%)</f>
        <v/>
      </c>
      <c r="AL343" s="35">
        <f>AJ343/94</f>
        <v/>
      </c>
      <c r="AM343" s="35">
        <f>AK343/94</f>
        <v/>
      </c>
      <c r="AN343" s="36">
        <f>AJ343/24</f>
        <v/>
      </c>
      <c r="AO343" s="36">
        <f>AK343/24</f>
        <v/>
      </c>
      <c r="AP343" s="37">
        <f>AJ343/125</f>
        <v/>
      </c>
      <c r="AQ343" s="37">
        <f>AK343/125</f>
        <v/>
      </c>
    </row>
    <row r="344" ht="15.75" customHeight="1" s="50">
      <c r="A344" s="32" t="n"/>
      <c r="B344" s="32" t="inlineStr">
        <is>
          <t>Navy Blue</t>
        </is>
      </c>
      <c r="C344" s="32" t="inlineStr">
        <is>
          <t>Yo-P-E-NB-1</t>
        </is>
      </c>
      <c r="D344" s="32" t="n">
        <v>175</v>
      </c>
      <c r="G344" s="32" t="n">
        <v>0</v>
      </c>
      <c r="H344" s="32" t="n">
        <v>10</v>
      </c>
      <c r="I344" s="41" t="n">
        <v>94041000</v>
      </c>
      <c r="J344" s="30" t="n">
        <v>0.18</v>
      </c>
      <c r="K344" s="32">
        <f>D344*J344</f>
        <v/>
      </c>
      <c r="M344" s="32">
        <f>D344*4%</f>
        <v/>
      </c>
      <c r="N344" s="49">
        <f>M344+L344+K344+H344+G344+F344+E344+D344</f>
        <v/>
      </c>
      <c r="O344" s="32">
        <f>D344*1%</f>
        <v/>
      </c>
      <c r="P344" s="7">
        <f>N344*8%</f>
        <v/>
      </c>
      <c r="Q344" s="7">
        <f>N344*10%</f>
        <v/>
      </c>
      <c r="R344" s="7">
        <f>N344*5%</f>
        <v/>
      </c>
      <c r="S344" s="7">
        <f>N344*2%</f>
        <v/>
      </c>
      <c r="T344" s="7">
        <f>AE344*0.5%</f>
        <v/>
      </c>
      <c r="U344" s="7">
        <f>N344*1%</f>
        <v/>
      </c>
      <c r="V344" s="31">
        <f>U344+S344+R344+Q344+P344+O344</f>
        <v/>
      </c>
      <c r="W344" s="32">
        <f>AE344*1%</f>
        <v/>
      </c>
      <c r="X344" s="32">
        <f>AE344*10%</f>
        <v/>
      </c>
      <c r="Y344" s="32">
        <f>AE344*1%</f>
        <v/>
      </c>
      <c r="Z344" s="32">
        <f>AE344*8%</f>
        <v/>
      </c>
      <c r="AA344" s="32">
        <f>W344+X344+Y344+Z344</f>
        <v/>
      </c>
      <c r="AB344" s="31">
        <f>AA344+V344+N344</f>
        <v/>
      </c>
      <c r="AC344" s="6">
        <f>AB344*20%</f>
        <v/>
      </c>
      <c r="AD344" s="7">
        <f>AB344+AC344</f>
        <v/>
      </c>
      <c r="AE344" s="32">
        <f>D344*2.1</f>
        <v/>
      </c>
      <c r="AF344" s="7">
        <f>AD344-AE344</f>
        <v/>
      </c>
      <c r="AG344" s="7">
        <f>AF344/AD344*100</f>
        <v/>
      </c>
      <c r="AH344" s="0" t="n">
        <v>395</v>
      </c>
      <c r="AI344" s="33" t="n">
        <v>220</v>
      </c>
      <c r="AJ344" s="34">
        <f>AD344</f>
        <v/>
      </c>
      <c r="AK344" s="34">
        <f>AJ344-(AJ344*7%)</f>
        <v/>
      </c>
      <c r="AL344" s="35">
        <f>AJ344/94</f>
        <v/>
      </c>
      <c r="AM344" s="35">
        <f>AK344/94</f>
        <v/>
      </c>
      <c r="AN344" s="36">
        <f>AJ344/24</f>
        <v/>
      </c>
      <c r="AO344" s="36">
        <f>AK344/24</f>
        <v/>
      </c>
      <c r="AP344" s="37">
        <f>AJ344/125</f>
        <v/>
      </c>
      <c r="AQ344" s="37">
        <f>AK344/125</f>
        <v/>
      </c>
    </row>
    <row r="345" ht="15.75" customHeight="1" s="50">
      <c r="A345" s="32" t="n"/>
      <c r="B345" s="32" t="inlineStr">
        <is>
          <t>Sage</t>
        </is>
      </c>
      <c r="C345" s="32" t="inlineStr">
        <is>
          <t>Yo-P-E-SE-1</t>
        </is>
      </c>
      <c r="D345" s="32" t="n">
        <v>175</v>
      </c>
      <c r="G345" s="32" t="n">
        <v>0</v>
      </c>
      <c r="H345" s="32" t="n">
        <v>10</v>
      </c>
      <c r="I345" s="41" t="n">
        <v>94041000</v>
      </c>
      <c r="J345" s="30" t="n">
        <v>0.18</v>
      </c>
      <c r="K345" s="32">
        <f>D345*J345</f>
        <v/>
      </c>
      <c r="M345" s="32">
        <f>D345*4%</f>
        <v/>
      </c>
      <c r="N345" s="49">
        <f>M345+L345+K345+H345+G345+F345+E345+D345</f>
        <v/>
      </c>
      <c r="O345" s="32">
        <f>D345*1%</f>
        <v/>
      </c>
      <c r="P345" s="7">
        <f>N345*8%</f>
        <v/>
      </c>
      <c r="Q345" s="7">
        <f>N345*10%</f>
        <v/>
      </c>
      <c r="R345" s="7">
        <f>N345*5%</f>
        <v/>
      </c>
      <c r="S345" s="7">
        <f>N345*2%</f>
        <v/>
      </c>
      <c r="T345" s="7">
        <f>AE345*0.5%</f>
        <v/>
      </c>
      <c r="U345" s="7">
        <f>N345*1%</f>
        <v/>
      </c>
      <c r="V345" s="31">
        <f>U345+S345+R345+Q345+P345+O345</f>
        <v/>
      </c>
      <c r="W345" s="32">
        <f>AE345*1%</f>
        <v/>
      </c>
      <c r="X345" s="32">
        <f>AE345*10%</f>
        <v/>
      </c>
      <c r="Y345" s="32">
        <f>AE345*1%</f>
        <v/>
      </c>
      <c r="Z345" s="32">
        <f>AE345*8%</f>
        <v/>
      </c>
      <c r="AA345" s="32">
        <f>W345+X345+Y345+Z345</f>
        <v/>
      </c>
      <c r="AB345" s="31">
        <f>AA345+V345+N345</f>
        <v/>
      </c>
      <c r="AC345" s="6">
        <f>AB345*20%</f>
        <v/>
      </c>
      <c r="AD345" s="7">
        <f>AB345+AC345</f>
        <v/>
      </c>
      <c r="AE345" s="32">
        <f>D345*2.1</f>
        <v/>
      </c>
      <c r="AF345" s="7">
        <f>AD345-AE345</f>
        <v/>
      </c>
      <c r="AG345" s="7">
        <f>AF345/AD345*100</f>
        <v/>
      </c>
      <c r="AH345" s="0" t="n">
        <v>395</v>
      </c>
      <c r="AI345" s="33" t="n">
        <v>220</v>
      </c>
      <c r="AJ345" s="34">
        <f>AD345</f>
        <v/>
      </c>
      <c r="AK345" s="34">
        <f>AJ345-(AJ345*7%)</f>
        <v/>
      </c>
      <c r="AL345" s="35">
        <f>AJ345/94</f>
        <v/>
      </c>
      <c r="AM345" s="35">
        <f>AK345/94</f>
        <v/>
      </c>
      <c r="AN345" s="36">
        <f>AJ345/24</f>
        <v/>
      </c>
      <c r="AO345" s="36">
        <f>AK345/24</f>
        <v/>
      </c>
      <c r="AP345" s="37">
        <f>AJ345/125</f>
        <v/>
      </c>
      <c r="AQ345" s="37">
        <f>AK345/125</f>
        <v/>
      </c>
    </row>
    <row r="346" ht="15" customHeight="1" s="50">
      <c r="A346" s="32" t="inlineStr">
        <is>
          <t>Flower of Life with Sacred Symbols Singing Bowls</t>
        </is>
      </c>
      <c r="B346" s="32" t="inlineStr">
        <is>
          <t>8 in / Blue</t>
        </is>
      </c>
      <c r="C346" s="32" t="inlineStr">
        <is>
          <t>MI-SB-RFL-B-8</t>
        </is>
      </c>
      <c r="D346" s="32" t="n">
        <v>780</v>
      </c>
      <c r="E346" s="32" t="n">
        <v>65</v>
      </c>
      <c r="F346" s="32" t="n">
        <v>55</v>
      </c>
      <c r="G346" s="32" t="n">
        <v>0</v>
      </c>
      <c r="H346" s="32" t="n">
        <v>10</v>
      </c>
      <c r="I346" s="41" t="n">
        <v>83061000</v>
      </c>
      <c r="J346" s="30" t="n">
        <v>0.05</v>
      </c>
      <c r="K346" s="32">
        <f>D346*J346</f>
        <v/>
      </c>
      <c r="M346" s="32">
        <f>D346*4%</f>
        <v/>
      </c>
      <c r="N346" s="49">
        <f>M346+L346+K346+H346+G346+F346+E346+D346</f>
        <v/>
      </c>
      <c r="O346" s="32">
        <f>D346*1%</f>
        <v/>
      </c>
      <c r="P346" s="7">
        <f>N346*8%</f>
        <v/>
      </c>
      <c r="Q346" s="7">
        <f>N346*10%</f>
        <v/>
      </c>
      <c r="R346" s="7">
        <f>N346*5%</f>
        <v/>
      </c>
      <c r="S346" s="7">
        <f>N346*2%</f>
        <v/>
      </c>
      <c r="T346" s="7">
        <f>AE346*0.5%</f>
        <v/>
      </c>
      <c r="U346" s="7">
        <f>N346*1%</f>
        <v/>
      </c>
      <c r="V346" s="31">
        <f>U346+S346+R346+Q346+P346+O346</f>
        <v/>
      </c>
      <c r="W346" s="32">
        <f>AE346*1%</f>
        <v/>
      </c>
      <c r="X346" s="32">
        <f>AE346*10%</f>
        <v/>
      </c>
      <c r="Y346" s="32">
        <f>AE346*1%</f>
        <v/>
      </c>
      <c r="Z346" s="32">
        <f>AE346*8%</f>
        <v/>
      </c>
      <c r="AA346" s="32">
        <f>W346+X346+Y346+Z346</f>
        <v/>
      </c>
      <c r="AB346" s="31">
        <f>AA346+V346+N346</f>
        <v/>
      </c>
      <c r="AC346" s="6">
        <f>AB346*20%</f>
        <v/>
      </c>
      <c r="AD346" s="7">
        <f>AB346+AC346</f>
        <v/>
      </c>
      <c r="AE346" s="32">
        <f>D346*2.1</f>
        <v/>
      </c>
      <c r="AF346" s="7">
        <f>AD346-AE346</f>
        <v/>
      </c>
      <c r="AG346" s="7">
        <f>AF346/AD346*100</f>
        <v/>
      </c>
      <c r="AH346" s="0" t="n">
        <v>1550</v>
      </c>
      <c r="AI346" s="33" t="n">
        <v>770</v>
      </c>
      <c r="AJ346" s="34">
        <f>AD346</f>
        <v/>
      </c>
      <c r="AK346" s="34">
        <f>AJ346-(AJ346*7%)</f>
        <v/>
      </c>
      <c r="AL346" s="35">
        <f>AJ346/94</f>
        <v/>
      </c>
      <c r="AM346" s="35">
        <f>AK346/94</f>
        <v/>
      </c>
      <c r="AN346" s="36">
        <f>AJ346/24</f>
        <v/>
      </c>
      <c r="AO346" s="36">
        <f>AK346/24</f>
        <v/>
      </c>
      <c r="AP346" s="37">
        <f>AJ346/125</f>
        <v/>
      </c>
      <c r="AQ346" s="37">
        <f>AK346/125</f>
        <v/>
      </c>
    </row>
    <row r="347" ht="15.75" customHeight="1" s="50">
      <c r="A347" s="32" t="n"/>
      <c r="B347" s="32" t="inlineStr">
        <is>
          <t>10.5 in / Blue</t>
        </is>
      </c>
      <c r="C347" s="32" t="inlineStr">
        <is>
          <t>MI-SB-RFL-B-10.5</t>
        </is>
      </c>
      <c r="D347" s="32" t="n">
        <v>1235</v>
      </c>
      <c r="E347" s="32" t="n">
        <v>65</v>
      </c>
      <c r="F347" s="32" t="n">
        <v>90</v>
      </c>
      <c r="G347" s="32" t="n">
        <v>0</v>
      </c>
      <c r="H347" s="32" t="n">
        <v>10</v>
      </c>
      <c r="I347" s="41" t="n">
        <v>83061000</v>
      </c>
      <c r="J347" s="30" t="n">
        <v>0.05</v>
      </c>
      <c r="K347" s="32">
        <f>D347*J347</f>
        <v/>
      </c>
      <c r="M347" s="32">
        <f>D347*4%</f>
        <v/>
      </c>
      <c r="N347" s="49">
        <f>M347+L347+K347+H347+G347+F347+E347+D347</f>
        <v/>
      </c>
      <c r="O347" s="32">
        <f>D347*1%</f>
        <v/>
      </c>
      <c r="P347" s="7">
        <f>N347*8%</f>
        <v/>
      </c>
      <c r="Q347" s="7">
        <f>N347*10%</f>
        <v/>
      </c>
      <c r="R347" s="7">
        <f>N347*5%</f>
        <v/>
      </c>
      <c r="S347" s="7">
        <f>N347*2%</f>
        <v/>
      </c>
      <c r="T347" s="7">
        <f>AE347*0.5%</f>
        <v/>
      </c>
      <c r="U347" s="7">
        <f>N347*1%</f>
        <v/>
      </c>
      <c r="V347" s="31">
        <f>U347+S347+R347+Q347+P347+O347</f>
        <v/>
      </c>
      <c r="W347" s="32">
        <f>AE347*1%</f>
        <v/>
      </c>
      <c r="X347" s="32">
        <f>AE347*10%</f>
        <v/>
      </c>
      <c r="Y347" s="32">
        <f>AE347*1%</f>
        <v/>
      </c>
      <c r="Z347" s="32">
        <f>AE347*8%</f>
        <v/>
      </c>
      <c r="AA347" s="32">
        <f>W347+X347+Y347+Z347</f>
        <v/>
      </c>
      <c r="AB347" s="31">
        <f>AA347+V347+N347</f>
        <v/>
      </c>
      <c r="AC347" s="6">
        <f>AB347*20%</f>
        <v/>
      </c>
      <c r="AD347" s="7">
        <f>AB347+AC347</f>
        <v/>
      </c>
      <c r="AE347" s="32">
        <f>D347*2.1</f>
        <v/>
      </c>
      <c r="AF347" s="7">
        <f>AD347-AE347</f>
        <v/>
      </c>
      <c r="AG347" s="7">
        <f>AF347/AD347*100</f>
        <v/>
      </c>
      <c r="AH347" s="0" t="n">
        <v>2190</v>
      </c>
      <c r="AI347" s="33" t="n">
        <v>955</v>
      </c>
      <c r="AJ347" s="34">
        <f>AD347</f>
        <v/>
      </c>
      <c r="AK347" s="34">
        <f>AJ347-(AJ347*7%)</f>
        <v/>
      </c>
      <c r="AL347" s="35">
        <f>AJ347/94</f>
        <v/>
      </c>
      <c r="AM347" s="35">
        <f>AK347/94</f>
        <v/>
      </c>
      <c r="AN347" s="36">
        <f>AJ347/24</f>
        <v/>
      </c>
      <c r="AO347" s="36">
        <f>AK347/24</f>
        <v/>
      </c>
      <c r="AP347" s="37">
        <f>AJ347/125</f>
        <v/>
      </c>
      <c r="AQ347" s="37">
        <f>AK347/125</f>
        <v/>
      </c>
    </row>
    <row r="348" ht="15.75" customHeight="1" s="50">
      <c r="A348" s="32" t="n"/>
      <c r="B348" s="32" t="inlineStr">
        <is>
          <t>Blue / 9 in</t>
        </is>
      </c>
      <c r="C348" s="32" t="inlineStr">
        <is>
          <t>MI-SB-RFL-B-9</t>
        </is>
      </c>
      <c r="D348" s="32" t="n">
        <v>910</v>
      </c>
      <c r="E348" s="32" t="n">
        <v>65</v>
      </c>
      <c r="F348" s="32" t="n">
        <v>80</v>
      </c>
      <c r="G348" s="32" t="n">
        <v>0</v>
      </c>
      <c r="H348" s="32" t="n">
        <v>10</v>
      </c>
      <c r="I348" s="41" t="n">
        <v>83061000</v>
      </c>
      <c r="J348" s="30" t="n">
        <v>0.05</v>
      </c>
      <c r="K348" s="32">
        <f>D348*J348</f>
        <v/>
      </c>
      <c r="M348" s="32">
        <f>D348*4%</f>
        <v/>
      </c>
      <c r="N348" s="49">
        <f>M348+L348+K348+H348+G348+F348+E348+D348</f>
        <v/>
      </c>
      <c r="O348" s="32">
        <f>D348*1%</f>
        <v/>
      </c>
      <c r="P348" s="7">
        <f>N348*8%</f>
        <v/>
      </c>
      <c r="Q348" s="7">
        <f>N348*10%</f>
        <v/>
      </c>
      <c r="R348" s="7">
        <f>N348*5%</f>
        <v/>
      </c>
      <c r="S348" s="7">
        <f>N348*2%</f>
        <v/>
      </c>
      <c r="T348" s="7">
        <f>AE348*0.5%</f>
        <v/>
      </c>
      <c r="U348" s="7">
        <f>N348*1%</f>
        <v/>
      </c>
      <c r="V348" s="31">
        <f>U348+S348+R348+Q348+P348+O348</f>
        <v/>
      </c>
      <c r="W348" s="32">
        <f>AE348*1%</f>
        <v/>
      </c>
      <c r="X348" s="32">
        <f>AE348*10%</f>
        <v/>
      </c>
      <c r="Y348" s="32">
        <f>AE348*1%</f>
        <v/>
      </c>
      <c r="Z348" s="32">
        <f>AE348*8%</f>
        <v/>
      </c>
      <c r="AA348" s="32">
        <f>W348+X348+Y348+Z348</f>
        <v/>
      </c>
      <c r="AB348" s="31">
        <f>AA348+V348+N348</f>
        <v/>
      </c>
      <c r="AC348" s="6">
        <f>AB348*20%</f>
        <v/>
      </c>
      <c r="AD348" s="7">
        <f>AB348+AC348</f>
        <v/>
      </c>
      <c r="AE348" s="32">
        <f>D348*2.1</f>
        <v/>
      </c>
      <c r="AF348" s="7">
        <f>AD348-AE348</f>
        <v/>
      </c>
      <c r="AG348" s="7">
        <f>AF348/AD348*100</f>
        <v/>
      </c>
      <c r="AH348" s="0" t="n">
        <v>1750</v>
      </c>
      <c r="AI348" s="33" t="n">
        <v>840</v>
      </c>
      <c r="AJ348" s="34">
        <f>AD348</f>
        <v/>
      </c>
      <c r="AK348" s="34">
        <f>AJ348-(AJ348*7%)</f>
        <v/>
      </c>
      <c r="AL348" s="35">
        <f>AJ348/94</f>
        <v/>
      </c>
      <c r="AM348" s="35">
        <f>AK348/94</f>
        <v/>
      </c>
      <c r="AN348" s="36">
        <f>AJ348/24</f>
        <v/>
      </c>
      <c r="AO348" s="36">
        <f>AK348/24</f>
        <v/>
      </c>
      <c r="AP348" s="37">
        <f>AJ348/125</f>
        <v/>
      </c>
      <c r="AQ348" s="37">
        <f>AK348/125</f>
        <v/>
      </c>
    </row>
    <row r="349" ht="15.75" customHeight="1" s="50">
      <c r="A349" s="32" t="n"/>
      <c r="B349" s="32" t="inlineStr">
        <is>
          <t>10.5 in / Brown</t>
        </is>
      </c>
      <c r="C349" s="32" t="inlineStr">
        <is>
          <t>MI-SB-RFL-BR-10.5</t>
        </is>
      </c>
      <c r="D349" s="32" t="n">
        <v>1235</v>
      </c>
      <c r="E349" s="32" t="n">
        <v>65</v>
      </c>
      <c r="F349" s="32" t="n">
        <v>90</v>
      </c>
      <c r="G349" s="32" t="n">
        <v>0</v>
      </c>
      <c r="H349" s="32" t="n">
        <v>10</v>
      </c>
      <c r="I349" s="41" t="n">
        <v>83061000</v>
      </c>
      <c r="J349" s="30" t="n">
        <v>0.05</v>
      </c>
      <c r="K349" s="32">
        <f>D349*J349</f>
        <v/>
      </c>
      <c r="M349" s="32">
        <f>D349*4%</f>
        <v/>
      </c>
      <c r="N349" s="49">
        <f>M349+L349+K349+H349+G349+F349+E349+D349</f>
        <v/>
      </c>
      <c r="O349" s="32">
        <f>D349*1%</f>
        <v/>
      </c>
      <c r="P349" s="7">
        <f>N349*8%</f>
        <v/>
      </c>
      <c r="Q349" s="7">
        <f>N349*10%</f>
        <v/>
      </c>
      <c r="R349" s="7">
        <f>N349*5%</f>
        <v/>
      </c>
      <c r="S349" s="7">
        <f>N349*2%</f>
        <v/>
      </c>
      <c r="T349" s="7">
        <f>AE349*0.5%</f>
        <v/>
      </c>
      <c r="U349" s="7">
        <f>N349*1%</f>
        <v/>
      </c>
      <c r="V349" s="31">
        <f>U349+S349+R349+Q349+P349+O349</f>
        <v/>
      </c>
      <c r="W349" s="32">
        <f>AE349*1%</f>
        <v/>
      </c>
      <c r="X349" s="32">
        <f>AE349*10%</f>
        <v/>
      </c>
      <c r="Y349" s="32">
        <f>AE349*1%</f>
        <v/>
      </c>
      <c r="Z349" s="32">
        <f>AE349*8%</f>
        <v/>
      </c>
      <c r="AA349" s="32">
        <f>W349+X349+Y349+Z349</f>
        <v/>
      </c>
      <c r="AB349" s="31">
        <f>AA349+V349+N349</f>
        <v/>
      </c>
      <c r="AC349" s="6">
        <f>AB349*20%</f>
        <v/>
      </c>
      <c r="AD349" s="7">
        <f>AB349+AC349</f>
        <v/>
      </c>
      <c r="AE349" s="32">
        <f>D349*2.1</f>
        <v/>
      </c>
      <c r="AF349" s="7">
        <f>AD349-AE349</f>
        <v/>
      </c>
      <c r="AG349" s="7">
        <f>AF349/AD349*100</f>
        <v/>
      </c>
      <c r="AH349" s="0" t="n">
        <v>2190</v>
      </c>
      <c r="AI349" s="33" t="n">
        <v>955</v>
      </c>
      <c r="AJ349" s="34">
        <f>AD349</f>
        <v/>
      </c>
      <c r="AK349" s="34">
        <f>AJ349-(AJ349*7%)</f>
        <v/>
      </c>
      <c r="AL349" s="35">
        <f>AJ349/94</f>
        <v/>
      </c>
      <c r="AM349" s="35">
        <f>AK349/94</f>
        <v/>
      </c>
      <c r="AN349" s="36">
        <f>AJ349/24</f>
        <v/>
      </c>
      <c r="AO349" s="36">
        <f>AK349/24</f>
        <v/>
      </c>
      <c r="AP349" s="37">
        <f>AJ349/125</f>
        <v/>
      </c>
      <c r="AQ349" s="37">
        <f>AK349/125</f>
        <v/>
      </c>
    </row>
    <row r="350" ht="15.75" customHeight="1" s="50">
      <c r="A350" s="32" t="n"/>
      <c r="B350" s="32" t="inlineStr">
        <is>
          <t>8 in / Brown</t>
        </is>
      </c>
      <c r="C350" s="32" t="inlineStr">
        <is>
          <t>MI-SB-RFL-BR-8</t>
        </is>
      </c>
      <c r="D350" s="32" t="n">
        <v>780</v>
      </c>
      <c r="E350" s="32" t="n">
        <v>65</v>
      </c>
      <c r="F350" s="32" t="n">
        <v>55</v>
      </c>
      <c r="G350" s="32" t="n">
        <v>0</v>
      </c>
      <c r="H350" s="32" t="n">
        <v>10</v>
      </c>
      <c r="I350" s="41" t="n">
        <v>83061000</v>
      </c>
      <c r="J350" s="30" t="n">
        <v>0.05</v>
      </c>
      <c r="K350" s="32">
        <f>D350*J350</f>
        <v/>
      </c>
      <c r="M350" s="32">
        <f>D350*4%</f>
        <v/>
      </c>
      <c r="N350" s="49">
        <f>M350+L350+K350+H350+G350+F350+E350+D350</f>
        <v/>
      </c>
      <c r="O350" s="32">
        <f>D350*1%</f>
        <v/>
      </c>
      <c r="P350" s="7">
        <f>N350*8%</f>
        <v/>
      </c>
      <c r="Q350" s="7">
        <f>N350*10%</f>
        <v/>
      </c>
      <c r="R350" s="7">
        <f>N350*5%</f>
        <v/>
      </c>
      <c r="S350" s="7">
        <f>N350*2%</f>
        <v/>
      </c>
      <c r="T350" s="7">
        <f>AE350*0.5%</f>
        <v/>
      </c>
      <c r="U350" s="7">
        <f>N350*1%</f>
        <v/>
      </c>
      <c r="V350" s="31">
        <f>U350+S350+R350+Q350+P350+O350</f>
        <v/>
      </c>
      <c r="W350" s="32">
        <f>AE350*1%</f>
        <v/>
      </c>
      <c r="X350" s="32">
        <f>AE350*10%</f>
        <v/>
      </c>
      <c r="Y350" s="32">
        <f>AE350*1%</f>
        <v/>
      </c>
      <c r="Z350" s="32">
        <f>AE350*8%</f>
        <v/>
      </c>
      <c r="AA350" s="32">
        <f>W350+X350+Y350+Z350</f>
        <v/>
      </c>
      <c r="AB350" s="31">
        <f>AA350+V350+N350</f>
        <v/>
      </c>
      <c r="AC350" s="6">
        <f>AB350*20%</f>
        <v/>
      </c>
      <c r="AD350" s="7">
        <f>AB350+AC350</f>
        <v/>
      </c>
      <c r="AE350" s="32">
        <f>D350*2.1</f>
        <v/>
      </c>
      <c r="AF350" s="7">
        <f>AD350-AE350</f>
        <v/>
      </c>
      <c r="AG350" s="7">
        <f>AF350/AD350*100</f>
        <v/>
      </c>
      <c r="AH350" s="0" t="n">
        <v>1550</v>
      </c>
      <c r="AI350" s="33" t="n">
        <v>770</v>
      </c>
      <c r="AJ350" s="34">
        <f>AD350</f>
        <v/>
      </c>
      <c r="AK350" s="34">
        <f>AJ350-(AJ350*7%)</f>
        <v/>
      </c>
      <c r="AL350" s="35">
        <f>AJ350/94</f>
        <v/>
      </c>
      <c r="AM350" s="35">
        <f>AK350/94</f>
        <v/>
      </c>
      <c r="AN350" s="36">
        <f>AJ350/24</f>
        <v/>
      </c>
      <c r="AO350" s="36">
        <f>AK350/24</f>
        <v/>
      </c>
      <c r="AP350" s="37">
        <f>AJ350/125</f>
        <v/>
      </c>
      <c r="AQ350" s="37">
        <f>AK350/125</f>
        <v/>
      </c>
    </row>
    <row r="351" ht="15.75" customHeight="1" s="50">
      <c r="A351" s="32" t="n"/>
      <c r="B351" s="32" t="inlineStr">
        <is>
          <t>Brown / 9 in</t>
        </is>
      </c>
      <c r="C351" s="32" t="inlineStr">
        <is>
          <t>MI-SB-RFL-BR-9</t>
        </is>
      </c>
      <c r="D351" s="32" t="n">
        <v>910</v>
      </c>
      <c r="E351" s="32" t="n">
        <v>65</v>
      </c>
      <c r="F351" s="32" t="n">
        <v>80</v>
      </c>
      <c r="G351" s="32" t="n">
        <v>0</v>
      </c>
      <c r="H351" s="32" t="n">
        <v>10</v>
      </c>
      <c r="I351" s="41" t="n">
        <v>83061000</v>
      </c>
      <c r="J351" s="30" t="n">
        <v>0.05</v>
      </c>
      <c r="K351" s="32">
        <f>D351*J351</f>
        <v/>
      </c>
      <c r="M351" s="32">
        <f>D351*4%</f>
        <v/>
      </c>
      <c r="N351" s="49">
        <f>M351+L351+K351+H351+G351+F351+E351+D351</f>
        <v/>
      </c>
      <c r="O351" s="32">
        <f>D351*1%</f>
        <v/>
      </c>
      <c r="P351" s="7">
        <f>N351*8%</f>
        <v/>
      </c>
      <c r="Q351" s="7">
        <f>N351*10%</f>
        <v/>
      </c>
      <c r="R351" s="7">
        <f>N351*5%</f>
        <v/>
      </c>
      <c r="S351" s="7">
        <f>N351*2%</f>
        <v/>
      </c>
      <c r="T351" s="7">
        <f>AE351*0.5%</f>
        <v/>
      </c>
      <c r="U351" s="7">
        <f>N351*1%</f>
        <v/>
      </c>
      <c r="V351" s="31">
        <f>U351+S351+R351+Q351+P351+O351</f>
        <v/>
      </c>
      <c r="W351" s="32">
        <f>AE351*1%</f>
        <v/>
      </c>
      <c r="X351" s="32">
        <f>AE351*10%</f>
        <v/>
      </c>
      <c r="Y351" s="32">
        <f>AE351*1%</f>
        <v/>
      </c>
      <c r="Z351" s="32">
        <f>AE351*8%</f>
        <v/>
      </c>
      <c r="AA351" s="32">
        <f>W351+X351+Y351+Z351</f>
        <v/>
      </c>
      <c r="AB351" s="31">
        <f>AA351+V351+N351</f>
        <v/>
      </c>
      <c r="AC351" s="6">
        <f>AB351*20%</f>
        <v/>
      </c>
      <c r="AD351" s="7">
        <f>AB351+AC351</f>
        <v/>
      </c>
      <c r="AE351" s="32">
        <f>D351*2.1</f>
        <v/>
      </c>
      <c r="AF351" s="7">
        <f>AD351-AE351</f>
        <v/>
      </c>
      <c r="AG351" s="7">
        <f>AF351/AD351*100</f>
        <v/>
      </c>
      <c r="AH351" s="0" t="n">
        <v>1750</v>
      </c>
      <c r="AI351" s="33" t="n">
        <v>840</v>
      </c>
      <c r="AJ351" s="34">
        <f>AD351</f>
        <v/>
      </c>
      <c r="AK351" s="34">
        <f>AJ351-(AJ351*7%)</f>
        <v/>
      </c>
      <c r="AL351" s="35">
        <f>AJ351/94</f>
        <v/>
      </c>
      <c r="AM351" s="35">
        <f>AK351/94</f>
        <v/>
      </c>
      <c r="AN351" s="36">
        <f>AJ351/24</f>
        <v/>
      </c>
      <c r="AO351" s="36">
        <f>AK351/24</f>
        <v/>
      </c>
      <c r="AP351" s="37">
        <f>AJ351/125</f>
        <v/>
      </c>
      <c r="AQ351" s="37">
        <f>AK351/125</f>
        <v/>
      </c>
    </row>
    <row r="352" ht="15.75" customHeight="1" s="50">
      <c r="A352" s="32" t="n"/>
      <c r="B352" s="32" t="inlineStr">
        <is>
          <t>10.5 in / Green</t>
        </is>
      </c>
      <c r="C352" s="32" t="inlineStr">
        <is>
          <t>MI-SB-RFL-G-10.5</t>
        </is>
      </c>
      <c r="D352" s="32" t="n">
        <v>1235</v>
      </c>
      <c r="E352" s="32" t="n">
        <v>65</v>
      </c>
      <c r="F352" s="32" t="n">
        <v>90</v>
      </c>
      <c r="G352" s="32" t="n">
        <v>0</v>
      </c>
      <c r="H352" s="32" t="n">
        <v>10</v>
      </c>
      <c r="I352" s="41" t="n">
        <v>83061000</v>
      </c>
      <c r="J352" s="30" t="n">
        <v>0.05</v>
      </c>
      <c r="K352" s="32">
        <f>D352*J352</f>
        <v/>
      </c>
      <c r="M352" s="32">
        <f>D352*4%</f>
        <v/>
      </c>
      <c r="N352" s="49">
        <f>M352+L352+K352+H352+G352+F352+E352+D352</f>
        <v/>
      </c>
      <c r="O352" s="32">
        <f>D352*1%</f>
        <v/>
      </c>
      <c r="P352" s="7">
        <f>N352*8%</f>
        <v/>
      </c>
      <c r="Q352" s="7">
        <f>N352*10%</f>
        <v/>
      </c>
      <c r="R352" s="7">
        <f>N352*5%</f>
        <v/>
      </c>
      <c r="S352" s="7">
        <f>N352*2%</f>
        <v/>
      </c>
      <c r="T352" s="7">
        <f>AE352*0.5%</f>
        <v/>
      </c>
      <c r="U352" s="7">
        <f>N352*1%</f>
        <v/>
      </c>
      <c r="V352" s="31">
        <f>U352+S352+R352+Q352+P352+O352</f>
        <v/>
      </c>
      <c r="W352" s="32">
        <f>AE352*1%</f>
        <v/>
      </c>
      <c r="X352" s="32">
        <f>AE352*10%</f>
        <v/>
      </c>
      <c r="Y352" s="32">
        <f>AE352*1%</f>
        <v/>
      </c>
      <c r="Z352" s="32">
        <f>AE352*8%</f>
        <v/>
      </c>
      <c r="AA352" s="32">
        <f>W352+X352+Y352+Z352</f>
        <v/>
      </c>
      <c r="AB352" s="31">
        <f>AA352+V352+N352</f>
        <v/>
      </c>
      <c r="AC352" s="6">
        <f>AB352*20%</f>
        <v/>
      </c>
      <c r="AD352" s="7">
        <f>AB352+AC352</f>
        <v/>
      </c>
      <c r="AE352" s="32">
        <f>D352*2.1</f>
        <v/>
      </c>
      <c r="AF352" s="7">
        <f>AD352-AE352</f>
        <v/>
      </c>
      <c r="AG352" s="7">
        <f>AF352/AD352*100</f>
        <v/>
      </c>
      <c r="AH352" s="0" t="n">
        <v>2190</v>
      </c>
      <c r="AI352" s="33" t="n">
        <v>955</v>
      </c>
      <c r="AJ352" s="34">
        <f>AD352</f>
        <v/>
      </c>
      <c r="AK352" s="34">
        <f>AJ352-(AJ352*7%)</f>
        <v/>
      </c>
      <c r="AL352" s="35">
        <f>AJ352/94</f>
        <v/>
      </c>
      <c r="AM352" s="35">
        <f>AK352/94</f>
        <v/>
      </c>
      <c r="AN352" s="36">
        <f>AJ352/24</f>
        <v/>
      </c>
      <c r="AO352" s="36">
        <f>AK352/24</f>
        <v/>
      </c>
      <c r="AP352" s="37">
        <f>AJ352/125</f>
        <v/>
      </c>
      <c r="AQ352" s="37">
        <f>AK352/125</f>
        <v/>
      </c>
    </row>
    <row r="353" ht="15.75" customHeight="1" s="50">
      <c r="A353" s="32" t="n"/>
      <c r="B353" s="32" t="inlineStr">
        <is>
          <t>8 in / Green</t>
        </is>
      </c>
      <c r="C353" s="32" t="inlineStr">
        <is>
          <t>MI-SB-RFL-G-8</t>
        </is>
      </c>
      <c r="D353" s="32" t="n">
        <v>780</v>
      </c>
      <c r="E353" s="32" t="n">
        <v>65</v>
      </c>
      <c r="F353" s="32" t="n">
        <v>55</v>
      </c>
      <c r="G353" s="32" t="n">
        <v>0</v>
      </c>
      <c r="H353" s="32" t="n">
        <v>10</v>
      </c>
      <c r="I353" s="41" t="n">
        <v>83061000</v>
      </c>
      <c r="J353" s="30" t="n">
        <v>0.05</v>
      </c>
      <c r="K353" s="32">
        <f>D353*J353</f>
        <v/>
      </c>
      <c r="M353" s="32">
        <f>D353*4%</f>
        <v/>
      </c>
      <c r="N353" s="49">
        <f>M353+L353+K353+H353+G353+F353+E353+D353</f>
        <v/>
      </c>
      <c r="O353" s="32">
        <f>D353*1%</f>
        <v/>
      </c>
      <c r="P353" s="7">
        <f>N353*8%</f>
        <v/>
      </c>
      <c r="Q353" s="7">
        <f>N353*10%</f>
        <v/>
      </c>
      <c r="R353" s="7">
        <f>N353*5%</f>
        <v/>
      </c>
      <c r="S353" s="7">
        <f>N353*2%</f>
        <v/>
      </c>
      <c r="T353" s="7">
        <f>AE353*0.5%</f>
        <v/>
      </c>
      <c r="U353" s="7">
        <f>N353*1%</f>
        <v/>
      </c>
      <c r="V353" s="31">
        <f>U353+S353+R353+Q353+P353+O353</f>
        <v/>
      </c>
      <c r="W353" s="32">
        <f>AE353*1%</f>
        <v/>
      </c>
      <c r="X353" s="32">
        <f>AE353*10%</f>
        <v/>
      </c>
      <c r="Y353" s="32">
        <f>AE353*1%</f>
        <v/>
      </c>
      <c r="Z353" s="32">
        <f>AE353*8%</f>
        <v/>
      </c>
      <c r="AA353" s="32">
        <f>W353+X353+Y353+Z353</f>
        <v/>
      </c>
      <c r="AB353" s="31">
        <f>AA353+V353+N353</f>
        <v/>
      </c>
      <c r="AC353" s="6">
        <f>AB353*20%</f>
        <v/>
      </c>
      <c r="AD353" s="7">
        <f>AB353+AC353</f>
        <v/>
      </c>
      <c r="AE353" s="32">
        <f>D353*2.1</f>
        <v/>
      </c>
      <c r="AF353" s="7">
        <f>AD353-AE353</f>
        <v/>
      </c>
      <c r="AG353" s="7">
        <f>AF353/AD353*100</f>
        <v/>
      </c>
      <c r="AH353" s="0" t="n">
        <v>1550</v>
      </c>
      <c r="AI353" s="33" t="n">
        <v>770</v>
      </c>
      <c r="AJ353" s="34">
        <f>AD353</f>
        <v/>
      </c>
      <c r="AK353" s="34">
        <f>AJ353-(AJ353*7%)</f>
        <v/>
      </c>
      <c r="AL353" s="35">
        <f>AJ353/94</f>
        <v/>
      </c>
      <c r="AM353" s="35">
        <f>AK353/94</f>
        <v/>
      </c>
      <c r="AN353" s="36">
        <f>AJ353/24</f>
        <v/>
      </c>
      <c r="AO353" s="36">
        <f>AK353/24</f>
        <v/>
      </c>
      <c r="AP353" s="37">
        <f>AJ353/125</f>
        <v/>
      </c>
      <c r="AQ353" s="37">
        <f>AK353/125</f>
        <v/>
      </c>
    </row>
    <row r="354" ht="15.75" customHeight="1" s="50">
      <c r="A354" s="32" t="n"/>
      <c r="B354" s="32" t="inlineStr">
        <is>
          <t>9 in / Green</t>
        </is>
      </c>
      <c r="C354" s="32" t="inlineStr">
        <is>
          <t>MI-SB-RFL-G-9</t>
        </is>
      </c>
      <c r="D354" s="32" t="n">
        <v>910</v>
      </c>
      <c r="E354" s="32" t="n">
        <v>65</v>
      </c>
      <c r="F354" s="32" t="n">
        <v>80</v>
      </c>
      <c r="G354" s="32" t="n">
        <v>0</v>
      </c>
      <c r="H354" s="32" t="n">
        <v>10</v>
      </c>
      <c r="I354" s="41" t="n">
        <v>83061000</v>
      </c>
      <c r="J354" s="30" t="n">
        <v>0.05</v>
      </c>
      <c r="K354" s="32">
        <f>D354*J354</f>
        <v/>
      </c>
      <c r="M354" s="32">
        <f>D354*4%</f>
        <v/>
      </c>
      <c r="N354" s="49">
        <f>M354+L354+K354+H354+G354+F354+E354+D354</f>
        <v/>
      </c>
      <c r="O354" s="32">
        <f>D354*1%</f>
        <v/>
      </c>
      <c r="P354" s="7">
        <f>N354*8%</f>
        <v/>
      </c>
      <c r="Q354" s="7">
        <f>N354*10%</f>
        <v/>
      </c>
      <c r="R354" s="7">
        <f>N354*5%</f>
        <v/>
      </c>
      <c r="S354" s="7">
        <f>N354*2%</f>
        <v/>
      </c>
      <c r="T354" s="7">
        <f>AE354*0.5%</f>
        <v/>
      </c>
      <c r="U354" s="7">
        <f>N354*1%</f>
        <v/>
      </c>
      <c r="V354" s="31">
        <f>U354+S354+R354+Q354+P354+O354</f>
        <v/>
      </c>
      <c r="W354" s="32">
        <f>AE354*1%</f>
        <v/>
      </c>
      <c r="X354" s="32">
        <f>AE354*10%</f>
        <v/>
      </c>
      <c r="Y354" s="32">
        <f>AE354*1%</f>
        <v/>
      </c>
      <c r="Z354" s="32">
        <f>AE354*8%</f>
        <v/>
      </c>
      <c r="AA354" s="32">
        <f>W354+X354+Y354+Z354</f>
        <v/>
      </c>
      <c r="AB354" s="31">
        <f>AA354+V354+N354</f>
        <v/>
      </c>
      <c r="AC354" s="6">
        <f>AB354*20%</f>
        <v/>
      </c>
      <c r="AD354" s="7">
        <f>AB354+AC354</f>
        <v/>
      </c>
      <c r="AE354" s="32">
        <f>D354*2.1</f>
        <v/>
      </c>
      <c r="AF354" s="7">
        <f>AD354-AE354</f>
        <v/>
      </c>
      <c r="AG354" s="7">
        <f>AF354/AD354*100</f>
        <v/>
      </c>
      <c r="AH354" s="0" t="n">
        <v>1750</v>
      </c>
      <c r="AI354" s="33" t="n">
        <v>840</v>
      </c>
      <c r="AJ354" s="34">
        <f>AD354</f>
        <v/>
      </c>
      <c r="AK354" s="34">
        <f>AJ354-(AJ354*7%)</f>
        <v/>
      </c>
      <c r="AL354" s="35">
        <f>AJ354/94</f>
        <v/>
      </c>
      <c r="AM354" s="35">
        <f>AK354/94</f>
        <v/>
      </c>
      <c r="AN354" s="36">
        <f>AJ354/24</f>
        <v/>
      </c>
      <c r="AO354" s="36">
        <f>AK354/24</f>
        <v/>
      </c>
      <c r="AP354" s="37">
        <f>AJ354/125</f>
        <v/>
      </c>
      <c r="AQ354" s="37">
        <f>AK354/125</f>
        <v/>
      </c>
    </row>
    <row r="355" ht="15.75" customHeight="1" s="50">
      <c r="A355" s="32" t="n"/>
      <c r="B355" s="32" t="inlineStr">
        <is>
          <t>10.5 in / Olive green</t>
        </is>
      </c>
      <c r="C355" s="32" t="inlineStr">
        <is>
          <t>MI-SB-RFL-O-10.5</t>
        </is>
      </c>
      <c r="D355" s="32" t="n">
        <v>1235</v>
      </c>
      <c r="E355" s="32" t="n">
        <v>65</v>
      </c>
      <c r="F355" s="32" t="n">
        <v>90</v>
      </c>
      <c r="G355" s="32" t="n">
        <v>0</v>
      </c>
      <c r="H355" s="32" t="n">
        <v>10</v>
      </c>
      <c r="I355" s="41" t="n">
        <v>83061000</v>
      </c>
      <c r="J355" s="30" t="n">
        <v>0.05</v>
      </c>
      <c r="K355" s="32">
        <f>D355*J355</f>
        <v/>
      </c>
      <c r="M355" s="32">
        <f>D355*4%</f>
        <v/>
      </c>
      <c r="N355" s="49">
        <f>M355+L355+K355+H355+G355+F355+E355+D355</f>
        <v/>
      </c>
      <c r="O355" s="32">
        <f>D355*1%</f>
        <v/>
      </c>
      <c r="P355" s="7">
        <f>N355*8%</f>
        <v/>
      </c>
      <c r="Q355" s="7">
        <f>N355*10%</f>
        <v/>
      </c>
      <c r="R355" s="7">
        <f>N355*5%</f>
        <v/>
      </c>
      <c r="S355" s="7">
        <f>N355*2%</f>
        <v/>
      </c>
      <c r="T355" s="7">
        <f>AE355*0.5%</f>
        <v/>
      </c>
      <c r="U355" s="7">
        <f>N355*1%</f>
        <v/>
      </c>
      <c r="V355" s="31">
        <f>U355+S355+R355+Q355+P355+O355</f>
        <v/>
      </c>
      <c r="W355" s="32">
        <f>AE355*1%</f>
        <v/>
      </c>
      <c r="X355" s="32">
        <f>AE355*10%</f>
        <v/>
      </c>
      <c r="Y355" s="32">
        <f>AE355*1%</f>
        <v/>
      </c>
      <c r="Z355" s="32">
        <f>AE355*8%</f>
        <v/>
      </c>
      <c r="AA355" s="32">
        <f>W355+X355+Y355+Z355</f>
        <v/>
      </c>
      <c r="AB355" s="31">
        <f>AA355+V355+N355</f>
        <v/>
      </c>
      <c r="AC355" s="6">
        <f>AB355*20%</f>
        <v/>
      </c>
      <c r="AD355" s="7">
        <f>AB355+AC355</f>
        <v/>
      </c>
      <c r="AE355" s="32">
        <f>D355*2.1</f>
        <v/>
      </c>
      <c r="AF355" s="7">
        <f>AD355-AE355</f>
        <v/>
      </c>
      <c r="AG355" s="7">
        <f>AF355/AD355*100</f>
        <v/>
      </c>
      <c r="AH355" s="0" t="n">
        <v>2190</v>
      </c>
      <c r="AI355" s="33" t="n">
        <v>955</v>
      </c>
      <c r="AJ355" s="34">
        <f>AD355</f>
        <v/>
      </c>
      <c r="AK355" s="34">
        <f>AJ355-(AJ355*7%)</f>
        <v/>
      </c>
      <c r="AL355" s="35">
        <f>AJ355/94</f>
        <v/>
      </c>
      <c r="AM355" s="35">
        <f>AK355/94</f>
        <v/>
      </c>
      <c r="AN355" s="36">
        <f>AJ355/24</f>
        <v/>
      </c>
      <c r="AO355" s="36">
        <f>AK355/24</f>
        <v/>
      </c>
      <c r="AP355" s="37">
        <f>AJ355/125</f>
        <v/>
      </c>
      <c r="AQ355" s="37">
        <f>AK355/125</f>
        <v/>
      </c>
    </row>
    <row r="356" ht="15.75" customHeight="1" s="50">
      <c r="A356" s="32" t="n"/>
      <c r="B356" s="32" t="inlineStr">
        <is>
          <t>8 in / Olive green</t>
        </is>
      </c>
      <c r="C356" s="32" t="inlineStr">
        <is>
          <t>MI-SB-RFL-O-8</t>
        </is>
      </c>
      <c r="D356" s="32" t="n">
        <v>780</v>
      </c>
      <c r="E356" s="32" t="n">
        <v>65</v>
      </c>
      <c r="F356" s="32" t="n">
        <v>55</v>
      </c>
      <c r="G356" s="32" t="n">
        <v>0</v>
      </c>
      <c r="H356" s="32" t="n">
        <v>10</v>
      </c>
      <c r="I356" s="41" t="n">
        <v>83061000</v>
      </c>
      <c r="J356" s="30" t="n">
        <v>0.05</v>
      </c>
      <c r="K356" s="32">
        <f>D356*J356</f>
        <v/>
      </c>
      <c r="M356" s="32">
        <f>D356*4%</f>
        <v/>
      </c>
      <c r="N356" s="49">
        <f>M356+L356+K356+H356+G356+F356+E356+D356</f>
        <v/>
      </c>
      <c r="O356" s="32">
        <f>D356*1%</f>
        <v/>
      </c>
      <c r="P356" s="7">
        <f>N356*8%</f>
        <v/>
      </c>
      <c r="Q356" s="7">
        <f>N356*10%</f>
        <v/>
      </c>
      <c r="R356" s="7">
        <f>N356*5%</f>
        <v/>
      </c>
      <c r="S356" s="7">
        <f>N356*2%</f>
        <v/>
      </c>
      <c r="T356" s="7">
        <f>AE356*0.5%</f>
        <v/>
      </c>
      <c r="U356" s="7">
        <f>N356*1%</f>
        <v/>
      </c>
      <c r="V356" s="31">
        <f>U356+S356+R356+Q356+P356+O356</f>
        <v/>
      </c>
      <c r="W356" s="32">
        <f>AE356*1%</f>
        <v/>
      </c>
      <c r="X356" s="32">
        <f>AE356*10%</f>
        <v/>
      </c>
      <c r="Y356" s="32">
        <f>AE356*1%</f>
        <v/>
      </c>
      <c r="Z356" s="32">
        <f>AE356*8%</f>
        <v/>
      </c>
      <c r="AA356" s="32">
        <f>W356+X356+Y356+Z356</f>
        <v/>
      </c>
      <c r="AB356" s="31">
        <f>AA356+V356+N356</f>
        <v/>
      </c>
      <c r="AC356" s="6">
        <f>AB356*20%</f>
        <v/>
      </c>
      <c r="AD356" s="7">
        <f>AB356+AC356</f>
        <v/>
      </c>
      <c r="AE356" s="32">
        <f>D356*2.1</f>
        <v/>
      </c>
      <c r="AF356" s="7">
        <f>AD356-AE356</f>
        <v/>
      </c>
      <c r="AG356" s="7">
        <f>AF356/AD356*100</f>
        <v/>
      </c>
      <c r="AH356" s="0" t="n">
        <v>1550</v>
      </c>
      <c r="AI356" s="33" t="n">
        <v>770</v>
      </c>
      <c r="AJ356" s="34">
        <f>AD356</f>
        <v/>
      </c>
      <c r="AK356" s="34">
        <f>AJ356-(AJ356*7%)</f>
        <v/>
      </c>
      <c r="AL356" s="35">
        <f>AJ356/94</f>
        <v/>
      </c>
      <c r="AM356" s="35">
        <f>AK356/94</f>
        <v/>
      </c>
      <c r="AN356" s="36">
        <f>AJ356/24</f>
        <v/>
      </c>
      <c r="AO356" s="36">
        <f>AK356/24</f>
        <v/>
      </c>
      <c r="AP356" s="37">
        <f>AJ356/125</f>
        <v/>
      </c>
      <c r="AQ356" s="37">
        <f>AK356/125</f>
        <v/>
      </c>
    </row>
    <row r="357" ht="15.75" customHeight="1" s="50">
      <c r="A357" s="32" t="n"/>
      <c r="B357" s="32" t="inlineStr">
        <is>
          <t>Olive green / 9 in</t>
        </is>
      </c>
      <c r="C357" s="32" t="inlineStr">
        <is>
          <t>MI-SB-RFL-O-9</t>
        </is>
      </c>
      <c r="D357" s="32" t="n">
        <v>910</v>
      </c>
      <c r="E357" s="32" t="n">
        <v>65</v>
      </c>
      <c r="F357" s="32" t="n">
        <v>80</v>
      </c>
      <c r="G357" s="32" t="n">
        <v>0</v>
      </c>
      <c r="H357" s="32" t="n">
        <v>10</v>
      </c>
      <c r="I357" s="41" t="n">
        <v>83061000</v>
      </c>
      <c r="J357" s="30" t="n">
        <v>0.0500000000000001</v>
      </c>
      <c r="K357" s="32">
        <f>D357*J357</f>
        <v/>
      </c>
      <c r="M357" s="32">
        <f>D357*4%</f>
        <v/>
      </c>
      <c r="N357" s="49">
        <f>M357+L357+K357+H357+G357+F357+E357+D357</f>
        <v/>
      </c>
      <c r="O357" s="32">
        <f>D357*1%</f>
        <v/>
      </c>
      <c r="P357" s="7">
        <f>N357*8%</f>
        <v/>
      </c>
      <c r="Q357" s="7">
        <f>N357*10%</f>
        <v/>
      </c>
      <c r="R357" s="7">
        <f>N357*5%</f>
        <v/>
      </c>
      <c r="S357" s="7">
        <f>N357*2%</f>
        <v/>
      </c>
      <c r="T357" s="7">
        <f>AE357*0.5%</f>
        <v/>
      </c>
      <c r="U357" s="7">
        <f>N357*1%</f>
        <v/>
      </c>
      <c r="V357" s="31">
        <f>U357+S357+R357+Q357+P357+O357</f>
        <v/>
      </c>
      <c r="W357" s="32">
        <f>AE357*1%</f>
        <v/>
      </c>
      <c r="X357" s="32">
        <f>AE357*10%</f>
        <v/>
      </c>
      <c r="Y357" s="32">
        <f>AE357*1%</f>
        <v/>
      </c>
      <c r="Z357" s="32">
        <f>AE357*8%</f>
        <v/>
      </c>
      <c r="AA357" s="32">
        <f>W357+X357+Y357+Z357</f>
        <v/>
      </c>
      <c r="AB357" s="31">
        <f>AA357+V357+N357</f>
        <v/>
      </c>
      <c r="AC357" s="6">
        <f>AB357*20%</f>
        <v/>
      </c>
      <c r="AD357" s="7">
        <f>AB357+AC357</f>
        <v/>
      </c>
      <c r="AE357" s="32">
        <f>D357*2.1</f>
        <v/>
      </c>
      <c r="AF357" s="7">
        <f>AD357-AE357</f>
        <v/>
      </c>
      <c r="AG357" s="7">
        <f>AF357/AD357*100</f>
        <v/>
      </c>
      <c r="AH357" s="0" t="n">
        <v>1750</v>
      </c>
      <c r="AI357" s="33" t="n">
        <v>840</v>
      </c>
      <c r="AJ357" s="34">
        <f>AD357</f>
        <v/>
      </c>
      <c r="AK357" s="34">
        <f>AJ357-(AJ357*7%)</f>
        <v/>
      </c>
      <c r="AL357" s="35">
        <f>AJ357/94</f>
        <v/>
      </c>
      <c r="AM357" s="35">
        <f>AK357/94</f>
        <v/>
      </c>
      <c r="AN357" s="36">
        <f>AJ357/24</f>
        <v/>
      </c>
      <c r="AO357" s="36">
        <f>AK357/24</f>
        <v/>
      </c>
      <c r="AP357" s="37">
        <f>AJ357/125</f>
        <v/>
      </c>
      <c r="AQ357" s="37">
        <f>AK357/125</f>
        <v/>
      </c>
    </row>
    <row r="358" ht="15" customHeight="1" s="50">
      <c r="A358" s="32" t="inlineStr">
        <is>
          <t>Full Moon Singing Bowls - All Sizes</t>
        </is>
      </c>
      <c r="B358" s="32" t="inlineStr">
        <is>
          <t>5 Inches</t>
        </is>
      </c>
      <c r="C358" s="32" t="inlineStr">
        <is>
          <t>MI-SB-H-FM-5</t>
        </is>
      </c>
      <c r="D358" s="32" t="inlineStr">
        <is>
          <t>Parasonjeet</t>
        </is>
      </c>
      <c r="E358" s="32" t="n">
        <v>55</v>
      </c>
      <c r="F358" s="32" t="n">
        <v>45</v>
      </c>
      <c r="G358" s="32" t="n">
        <v>0</v>
      </c>
      <c r="H358" s="32" t="n">
        <v>10</v>
      </c>
      <c r="I358" s="41" t="n">
        <v>83061000</v>
      </c>
      <c r="J358" s="30" t="n">
        <v>0.05</v>
      </c>
      <c r="K358" s="32">
        <f>D358*J358</f>
        <v/>
      </c>
      <c r="M358" s="32">
        <f>D358*4%</f>
        <v/>
      </c>
      <c r="N358" s="49">
        <f>M358+L358+K358+H358+G358+F358+E358+D358</f>
        <v/>
      </c>
      <c r="O358" s="32">
        <f>D358*1%</f>
        <v/>
      </c>
      <c r="P358" s="7">
        <f>N358*8%</f>
        <v/>
      </c>
      <c r="Q358" s="7">
        <f>N358*10%</f>
        <v/>
      </c>
      <c r="R358" s="7">
        <f>N358*5%</f>
        <v/>
      </c>
      <c r="S358" s="7">
        <f>N358*2%</f>
        <v/>
      </c>
      <c r="T358" s="7">
        <f>AE358*0.5%</f>
        <v/>
      </c>
      <c r="U358" s="7">
        <f>N358*1%</f>
        <v/>
      </c>
      <c r="V358" s="49">
        <f>U358+S358+R358+Q358+P358+O358</f>
        <v/>
      </c>
      <c r="W358" s="32">
        <f>AE358*1%</f>
        <v/>
      </c>
      <c r="X358" s="32">
        <f>AE358*10%</f>
        <v/>
      </c>
      <c r="Y358" s="32">
        <f>AE358*1%</f>
        <v/>
      </c>
      <c r="Z358" s="32">
        <f>AE358*8%</f>
        <v/>
      </c>
      <c r="AA358" s="32">
        <f>W358+X358+Y358+Z358</f>
        <v/>
      </c>
      <c r="AB358" s="31">
        <f>AA358+V358+N358</f>
        <v/>
      </c>
      <c r="AC358" s="6">
        <f>AB358*20%</f>
        <v/>
      </c>
      <c r="AD358" s="32">
        <f>AB358+AC358</f>
        <v/>
      </c>
      <c r="AE358" s="32">
        <f>D358*2.1</f>
        <v/>
      </c>
      <c r="AF358" s="7">
        <f>AD358-AE358</f>
        <v/>
      </c>
      <c r="AG358" s="7">
        <f>AF358/AD358*100</f>
        <v/>
      </c>
      <c r="AH358" s="0" t="n">
        <v>6950</v>
      </c>
      <c r="AI358" s="33" t="n"/>
      <c r="AJ358" s="34">
        <f>AD358</f>
        <v/>
      </c>
      <c r="AK358" s="34">
        <f>AJ358-(AJ358*7%)</f>
        <v/>
      </c>
      <c r="AL358" s="35">
        <f>AJ358/94</f>
        <v/>
      </c>
      <c r="AM358" s="35">
        <f>AK358/94</f>
        <v/>
      </c>
      <c r="AN358" s="36">
        <f>AJ358/24</f>
        <v/>
      </c>
      <c r="AO358" s="36">
        <f>AK358/24</f>
        <v/>
      </c>
      <c r="AP358" s="37">
        <f>AJ358/125</f>
        <v/>
      </c>
      <c r="AQ358" s="37">
        <f>AK358/125</f>
        <v/>
      </c>
    </row>
    <row r="359" ht="15.75" customHeight="1" s="50">
      <c r="A359" s="32" t="n"/>
      <c r="B359" s="32" t="inlineStr">
        <is>
          <t>10 inches</t>
        </is>
      </c>
      <c r="C359" s="32" t="inlineStr">
        <is>
          <t>MI-SB-H-FM-10</t>
        </is>
      </c>
      <c r="D359" s="32" t="inlineStr">
        <is>
          <t>Parasonjeet</t>
        </is>
      </c>
      <c r="E359" s="32" t="n">
        <v>145</v>
      </c>
      <c r="F359" s="32" t="n">
        <v>90</v>
      </c>
      <c r="G359" s="32" t="n">
        <v>0</v>
      </c>
      <c r="H359" s="32" t="n">
        <v>10</v>
      </c>
      <c r="I359" s="41" t="n">
        <v>83061000</v>
      </c>
      <c r="J359" s="30" t="n">
        <v>0.05</v>
      </c>
      <c r="K359" s="32">
        <f>D359*J359</f>
        <v/>
      </c>
      <c r="M359" s="32">
        <f>D359*4%</f>
        <v/>
      </c>
      <c r="N359" s="49">
        <f>M359+L359+K359+H359+G359+F359+E359+D359</f>
        <v/>
      </c>
      <c r="O359" s="32">
        <f>D359*1%</f>
        <v/>
      </c>
      <c r="P359" s="7">
        <f>N359*8%</f>
        <v/>
      </c>
      <c r="Q359" s="7">
        <f>N359*10%</f>
        <v/>
      </c>
      <c r="R359" s="7">
        <f>N359*5%</f>
        <v/>
      </c>
      <c r="S359" s="7">
        <f>N359*2%</f>
        <v/>
      </c>
      <c r="T359" s="7">
        <f>AE359*0.5%</f>
        <v/>
      </c>
      <c r="U359" s="7">
        <f>N359*1%</f>
        <v/>
      </c>
      <c r="V359" s="49">
        <f>U359+S359+R359+Q359+P359+O359</f>
        <v/>
      </c>
      <c r="W359" s="32">
        <f>AE359*1%</f>
        <v/>
      </c>
      <c r="X359" s="32">
        <f>AE359*10%</f>
        <v/>
      </c>
      <c r="Y359" s="32">
        <f>AE359*1%</f>
        <v/>
      </c>
      <c r="Z359" s="32">
        <f>AE359*8%</f>
        <v/>
      </c>
      <c r="AA359" s="32">
        <f>W359+X359+Y359+Z359</f>
        <v/>
      </c>
      <c r="AB359" s="31">
        <f>AA359+V359+N359</f>
        <v/>
      </c>
      <c r="AC359" s="6">
        <f>AB359*20%</f>
        <v/>
      </c>
      <c r="AD359" s="32">
        <f>AB359+AC359</f>
        <v/>
      </c>
      <c r="AE359" s="32">
        <f>D359*2.1</f>
        <v/>
      </c>
      <c r="AF359" s="7">
        <f>AD359-AE359</f>
        <v/>
      </c>
      <c r="AG359" s="7">
        <f>AF359/AD359*100</f>
        <v/>
      </c>
      <c r="AH359" s="0" t="n">
        <v>12450</v>
      </c>
      <c r="AI359" s="33" t="n"/>
      <c r="AJ359" s="34">
        <f>AD359</f>
        <v/>
      </c>
      <c r="AK359" s="34">
        <f>AJ359-(AJ359*7%)</f>
        <v/>
      </c>
      <c r="AL359" s="35">
        <f>AJ359/94</f>
        <v/>
      </c>
      <c r="AM359" s="35">
        <f>AK359/94</f>
        <v/>
      </c>
      <c r="AN359" s="36">
        <f>AJ359/24</f>
        <v/>
      </c>
      <c r="AO359" s="36">
        <f>AK359/24</f>
        <v/>
      </c>
      <c r="AP359" s="37">
        <f>AJ359/125</f>
        <v/>
      </c>
      <c r="AQ359" s="37">
        <f>AK359/125</f>
        <v/>
      </c>
    </row>
    <row r="360" ht="15.75" customHeight="1" s="50">
      <c r="A360" s="32" t="n"/>
      <c r="B360" s="32" t="inlineStr">
        <is>
          <t>11 Inches</t>
        </is>
      </c>
      <c r="C360" s="32" t="inlineStr">
        <is>
          <t>MI-SB-H-FM-11</t>
        </is>
      </c>
      <c r="D360" s="32" t="inlineStr">
        <is>
          <t>Parasonjeet</t>
        </is>
      </c>
      <c r="E360" s="32" t="n">
        <v>145</v>
      </c>
      <c r="F360" s="32" t="n">
        <v>90</v>
      </c>
      <c r="G360" s="32" t="n">
        <v>0</v>
      </c>
      <c r="H360" s="32" t="n">
        <v>10</v>
      </c>
      <c r="I360" s="41" t="n">
        <v>83061000</v>
      </c>
      <c r="J360" s="30" t="n">
        <v>0.05</v>
      </c>
      <c r="K360" s="32">
        <f>D360*J360</f>
        <v/>
      </c>
      <c r="M360" s="32">
        <f>D360*4%</f>
        <v/>
      </c>
      <c r="N360" s="49">
        <f>M360+L360+K360+H360+G360+F360+E360+D360</f>
        <v/>
      </c>
      <c r="O360" s="32">
        <f>D360*1%</f>
        <v/>
      </c>
      <c r="P360" s="7">
        <f>N360*8%</f>
        <v/>
      </c>
      <c r="Q360" s="7">
        <f>N360*10%</f>
        <v/>
      </c>
      <c r="R360" s="7">
        <f>N360*5%</f>
        <v/>
      </c>
      <c r="S360" s="7">
        <f>N360*2%</f>
        <v/>
      </c>
      <c r="T360" s="7">
        <f>AE360*0.5%</f>
        <v/>
      </c>
      <c r="U360" s="7">
        <f>N360*1%</f>
        <v/>
      </c>
      <c r="V360" s="49">
        <f>U360+S360+R360+Q360+P360+O360</f>
        <v/>
      </c>
      <c r="W360" s="32">
        <f>AE360*1%</f>
        <v/>
      </c>
      <c r="X360" s="32">
        <f>AE360*10%</f>
        <v/>
      </c>
      <c r="Y360" s="32">
        <f>AE360*1%</f>
        <v/>
      </c>
      <c r="Z360" s="32">
        <f>AE360*8%</f>
        <v/>
      </c>
      <c r="AA360" s="32">
        <f>W360+X360+Y360+Z360</f>
        <v/>
      </c>
      <c r="AB360" s="31">
        <f>AA360+V360+N360</f>
        <v/>
      </c>
      <c r="AC360" s="6">
        <f>AB360*20%</f>
        <v/>
      </c>
      <c r="AD360" s="32">
        <f>AB360+AC360</f>
        <v/>
      </c>
      <c r="AE360" s="32">
        <f>D360*2.1</f>
        <v/>
      </c>
      <c r="AF360" s="7">
        <f>AD360-AE360</f>
        <v/>
      </c>
      <c r="AG360" s="7">
        <f>AF360/AD360*100</f>
        <v/>
      </c>
      <c r="AH360" s="0" t="n">
        <v>13750</v>
      </c>
      <c r="AI360" s="33" t="n"/>
      <c r="AJ360" s="34">
        <f>AD360</f>
        <v/>
      </c>
      <c r="AK360" s="34">
        <f>AJ360-(AJ360*7%)</f>
        <v/>
      </c>
      <c r="AL360" s="35">
        <f>AJ360/94</f>
        <v/>
      </c>
      <c r="AM360" s="35">
        <f>AK360/94</f>
        <v/>
      </c>
      <c r="AN360" s="36">
        <f>AJ360/24</f>
        <v/>
      </c>
      <c r="AO360" s="36">
        <f>AK360/24</f>
        <v/>
      </c>
      <c r="AP360" s="37">
        <f>AJ360/125</f>
        <v/>
      </c>
      <c r="AQ360" s="37">
        <f>AK360/125</f>
        <v/>
      </c>
    </row>
    <row r="361" ht="15.75" customHeight="1" s="50">
      <c r="A361" s="32" t="n"/>
      <c r="B361" s="32" t="inlineStr">
        <is>
          <t>12 inches</t>
        </is>
      </c>
      <c r="C361" s="32" t="inlineStr">
        <is>
          <t>MI-SB-H-FM-12</t>
        </is>
      </c>
      <c r="D361" s="32" t="inlineStr">
        <is>
          <t>Parasonjeet</t>
        </is>
      </c>
      <c r="E361" s="32" t="n">
        <v>145</v>
      </c>
      <c r="F361" s="32" t="n">
        <v>90</v>
      </c>
      <c r="G361" s="32" t="n">
        <v>0</v>
      </c>
      <c r="H361" s="32" t="n">
        <v>10</v>
      </c>
      <c r="I361" s="41" t="n">
        <v>83061000</v>
      </c>
      <c r="J361" s="30" t="n">
        <v>0.05</v>
      </c>
      <c r="K361" s="32">
        <f>D361*J361</f>
        <v/>
      </c>
      <c r="M361" s="32">
        <f>D361*4%</f>
        <v/>
      </c>
      <c r="N361" s="49">
        <f>M361+L361+K361+H361+G361+F361+E361+D361</f>
        <v/>
      </c>
      <c r="O361" s="32">
        <f>D361*1%</f>
        <v/>
      </c>
      <c r="P361" s="7">
        <f>N361*8%</f>
        <v/>
      </c>
      <c r="Q361" s="7">
        <f>N361*10%</f>
        <v/>
      </c>
      <c r="R361" s="7">
        <f>N361*5%</f>
        <v/>
      </c>
      <c r="S361" s="7">
        <f>N361*2%</f>
        <v/>
      </c>
      <c r="T361" s="7">
        <f>AE361*0.5%</f>
        <v/>
      </c>
      <c r="U361" s="7">
        <f>N361*1%</f>
        <v/>
      </c>
      <c r="V361" s="49">
        <f>U361+S361+R361+Q361+P361+O361</f>
        <v/>
      </c>
      <c r="W361" s="32">
        <f>AE361*1%</f>
        <v/>
      </c>
      <c r="X361" s="32">
        <f>AE361*10%</f>
        <v/>
      </c>
      <c r="Y361" s="32">
        <f>AE361*1%</f>
        <v/>
      </c>
      <c r="Z361" s="32">
        <f>AE361*8%</f>
        <v/>
      </c>
      <c r="AA361" s="32">
        <f>W361+X361+Y361+Z361</f>
        <v/>
      </c>
      <c r="AB361" s="31">
        <f>AA361+V361+N361</f>
        <v/>
      </c>
      <c r="AC361" s="6">
        <f>AB361*20%</f>
        <v/>
      </c>
      <c r="AD361" s="32">
        <f>AB361+AC361</f>
        <v/>
      </c>
      <c r="AE361" s="32">
        <f>D361*2.1</f>
        <v/>
      </c>
      <c r="AF361" s="7">
        <f>AD361-AE361</f>
        <v/>
      </c>
      <c r="AG361" s="7">
        <f>AF361/AD361*100</f>
        <v/>
      </c>
      <c r="AH361" s="0" t="n">
        <v>14850</v>
      </c>
      <c r="AI361" s="33" t="n"/>
      <c r="AJ361" s="34">
        <f>AD361</f>
        <v/>
      </c>
      <c r="AK361" s="34">
        <f>AJ361-(AJ361*7%)</f>
        <v/>
      </c>
      <c r="AL361" s="35">
        <f>AJ361/94</f>
        <v/>
      </c>
      <c r="AM361" s="35">
        <f>AK361/94</f>
        <v/>
      </c>
      <c r="AN361" s="36">
        <f>AJ361/24</f>
        <v/>
      </c>
      <c r="AO361" s="36">
        <f>AK361/24</f>
        <v/>
      </c>
      <c r="AP361" s="37">
        <f>AJ361/125</f>
        <v/>
      </c>
      <c r="AQ361" s="37">
        <f>AK361/125</f>
        <v/>
      </c>
    </row>
    <row r="362" ht="15.75" customHeight="1" s="50">
      <c r="A362" s="32" t="n"/>
      <c r="B362" s="32" t="inlineStr">
        <is>
          <t>13 Inches</t>
        </is>
      </c>
      <c r="C362" s="32" t="inlineStr">
        <is>
          <t>MI-SB-H-FM-13</t>
        </is>
      </c>
      <c r="D362" s="32" t="inlineStr">
        <is>
          <t>Parasonjeet</t>
        </is>
      </c>
      <c r="E362" s="32" t="n">
        <v>145</v>
      </c>
      <c r="F362" s="32" t="n">
        <v>90</v>
      </c>
      <c r="G362" s="32" t="n">
        <v>0</v>
      </c>
      <c r="H362" s="32" t="n">
        <v>10</v>
      </c>
      <c r="I362" s="41" t="n">
        <v>83061000</v>
      </c>
      <c r="J362" s="30" t="n">
        <v>0.05</v>
      </c>
      <c r="K362" s="32">
        <f>D362*J362</f>
        <v/>
      </c>
      <c r="M362" s="32">
        <f>D362*4%</f>
        <v/>
      </c>
      <c r="N362" s="49">
        <f>M362+L362+K362+H362+G362+F362+E362+D362</f>
        <v/>
      </c>
      <c r="O362" s="32">
        <f>D362*1%</f>
        <v/>
      </c>
      <c r="P362" s="7">
        <f>N362*8%</f>
        <v/>
      </c>
      <c r="Q362" s="7">
        <f>N362*10%</f>
        <v/>
      </c>
      <c r="R362" s="7">
        <f>N362*5%</f>
        <v/>
      </c>
      <c r="S362" s="7">
        <f>N362*2%</f>
        <v/>
      </c>
      <c r="T362" s="7">
        <f>AE362*0.5%</f>
        <v/>
      </c>
      <c r="U362" s="7">
        <f>N362*1%</f>
        <v/>
      </c>
      <c r="V362" s="49">
        <f>U362+S362+R362+Q362+P362+O362</f>
        <v/>
      </c>
      <c r="W362" s="32">
        <f>AE362*1%</f>
        <v/>
      </c>
      <c r="X362" s="32">
        <f>AE362*10%</f>
        <v/>
      </c>
      <c r="Y362" s="32">
        <f>AE362*1%</f>
        <v/>
      </c>
      <c r="Z362" s="32">
        <f>AE362*8%</f>
        <v/>
      </c>
      <c r="AA362" s="32">
        <f>W362+X362+Y362+Z362</f>
        <v/>
      </c>
      <c r="AB362" s="31">
        <f>AA362+V362+N362</f>
        <v/>
      </c>
      <c r="AC362" s="6">
        <f>AB362*20%</f>
        <v/>
      </c>
      <c r="AD362" s="32">
        <f>AB362+AC362</f>
        <v/>
      </c>
      <c r="AE362" s="32">
        <f>D362*2.1</f>
        <v/>
      </c>
      <c r="AF362" s="7">
        <f>AD362-AE362</f>
        <v/>
      </c>
      <c r="AG362" s="7">
        <f>AF362/AD362*100</f>
        <v/>
      </c>
      <c r="AH362" s="0" t="n">
        <v>15950</v>
      </c>
      <c r="AI362" s="33" t="n"/>
      <c r="AJ362" s="34">
        <f>AD362</f>
        <v/>
      </c>
      <c r="AK362" s="34">
        <f>AJ362-(AJ362*7%)</f>
        <v/>
      </c>
      <c r="AL362" s="35">
        <f>AJ362/94</f>
        <v/>
      </c>
      <c r="AM362" s="35">
        <f>AK362/94</f>
        <v/>
      </c>
      <c r="AN362" s="36">
        <f>AJ362/24</f>
        <v/>
      </c>
      <c r="AO362" s="36">
        <f>AK362/24</f>
        <v/>
      </c>
      <c r="AP362" s="37">
        <f>AJ362/125</f>
        <v/>
      </c>
      <c r="AQ362" s="37">
        <f>AK362/125</f>
        <v/>
      </c>
    </row>
    <row r="363" ht="15.75" customHeight="1" s="50">
      <c r="A363" s="32" t="n"/>
      <c r="B363" s="32" t="inlineStr">
        <is>
          <t>6 inches</t>
        </is>
      </c>
      <c r="C363" s="32" t="inlineStr">
        <is>
          <t>MI-SB-H-FM-6</t>
        </is>
      </c>
      <c r="D363" s="32" t="inlineStr">
        <is>
          <t>Parasonjeet</t>
        </is>
      </c>
      <c r="E363" s="32" t="n">
        <v>125</v>
      </c>
      <c r="F363" s="32" t="n">
        <v>65</v>
      </c>
      <c r="G363" s="32" t="n">
        <v>0</v>
      </c>
      <c r="H363" s="32" t="n">
        <v>10</v>
      </c>
      <c r="I363" s="41" t="n">
        <v>83061000</v>
      </c>
      <c r="J363" s="30" t="n">
        <v>0.05</v>
      </c>
      <c r="K363" s="32">
        <f>D363*J363</f>
        <v/>
      </c>
      <c r="M363" s="32">
        <f>D363*4%</f>
        <v/>
      </c>
      <c r="N363" s="49">
        <f>M363+L363+K363+H363+G363+F363+E363+D363</f>
        <v/>
      </c>
      <c r="O363" s="32">
        <f>D363*1%</f>
        <v/>
      </c>
      <c r="P363" s="7">
        <f>N363*8%</f>
        <v/>
      </c>
      <c r="Q363" s="7">
        <f>N363*10%</f>
        <v/>
      </c>
      <c r="R363" s="7">
        <f>N363*5%</f>
        <v/>
      </c>
      <c r="S363" s="7">
        <f>N363*2%</f>
        <v/>
      </c>
      <c r="T363" s="7">
        <f>AE363*0.5%</f>
        <v/>
      </c>
      <c r="U363" s="7">
        <f>N363*1%</f>
        <v/>
      </c>
      <c r="V363" s="49">
        <f>U363+S363+R363+Q363+P363+O363</f>
        <v/>
      </c>
      <c r="W363" s="32">
        <f>AE363*1%</f>
        <v/>
      </c>
      <c r="X363" s="32">
        <f>AE363*10%</f>
        <v/>
      </c>
      <c r="Y363" s="32">
        <f>AE363*1%</f>
        <v/>
      </c>
      <c r="Z363" s="32">
        <f>AE363*8%</f>
        <v/>
      </c>
      <c r="AA363" s="32">
        <f>W363+X363+Y363+Z363</f>
        <v/>
      </c>
      <c r="AB363" s="31">
        <f>AA363+V363+N363</f>
        <v/>
      </c>
      <c r="AC363" s="6">
        <f>AB363*20%</f>
        <v/>
      </c>
      <c r="AD363" s="32">
        <f>AB363+AC363</f>
        <v/>
      </c>
      <c r="AE363" s="32">
        <f>D363*2.1</f>
        <v/>
      </c>
      <c r="AF363" s="7">
        <f>AD363-AE363</f>
        <v/>
      </c>
      <c r="AG363" s="7">
        <f>AF363/AD363*100</f>
        <v/>
      </c>
      <c r="AH363" s="0" t="n">
        <v>7950</v>
      </c>
      <c r="AI363" s="33" t="n"/>
      <c r="AJ363" s="34">
        <f>AD363</f>
        <v/>
      </c>
      <c r="AK363" s="34">
        <f>AJ363-(AJ363*7%)</f>
        <v/>
      </c>
      <c r="AL363" s="35">
        <f>AJ363/94</f>
        <v/>
      </c>
      <c r="AM363" s="35">
        <f>AK363/94</f>
        <v/>
      </c>
      <c r="AN363" s="36">
        <f>AJ363/24</f>
        <v/>
      </c>
      <c r="AO363" s="36">
        <f>AK363/24</f>
        <v/>
      </c>
      <c r="AP363" s="37">
        <f>AJ363/125</f>
        <v/>
      </c>
      <c r="AQ363" s="37">
        <f>AK363/125</f>
        <v/>
      </c>
    </row>
    <row r="364" ht="15.75" customHeight="1" s="50">
      <c r="A364" s="32" t="n"/>
      <c r="B364" s="32" t="inlineStr">
        <is>
          <t>7 Inches</t>
        </is>
      </c>
      <c r="C364" s="32" t="inlineStr">
        <is>
          <t>MI-SB-H-FM-7</t>
        </is>
      </c>
      <c r="D364" s="32" t="inlineStr">
        <is>
          <t>Parasonjeet</t>
        </is>
      </c>
      <c r="E364" s="32" t="n">
        <v>125</v>
      </c>
      <c r="F364" s="32" t="n">
        <v>65</v>
      </c>
      <c r="G364" s="32" t="n">
        <v>0</v>
      </c>
      <c r="H364" s="32" t="n">
        <v>10</v>
      </c>
      <c r="I364" s="41" t="n">
        <v>83061000</v>
      </c>
      <c r="J364" s="30" t="n">
        <v>0.05</v>
      </c>
      <c r="K364" s="32">
        <f>D364*J364</f>
        <v/>
      </c>
      <c r="M364" s="32">
        <f>D364*4%</f>
        <v/>
      </c>
      <c r="N364" s="49">
        <f>M364+L364+K364+H364+G364+F364+E364+D364</f>
        <v/>
      </c>
      <c r="O364" s="32">
        <f>D364*1%</f>
        <v/>
      </c>
      <c r="P364" s="7">
        <f>N364*8%</f>
        <v/>
      </c>
      <c r="Q364" s="7">
        <f>N364*10%</f>
        <v/>
      </c>
      <c r="R364" s="7">
        <f>N364*5%</f>
        <v/>
      </c>
      <c r="S364" s="7">
        <f>N364*2%</f>
        <v/>
      </c>
      <c r="T364" s="7">
        <f>AE364*0.5%</f>
        <v/>
      </c>
      <c r="U364" s="7">
        <f>N364*1%</f>
        <v/>
      </c>
      <c r="V364" s="49">
        <f>U364+S364+R364+Q364+P364+O364</f>
        <v/>
      </c>
      <c r="W364" s="32">
        <f>AE364*1%</f>
        <v/>
      </c>
      <c r="X364" s="32">
        <f>AE364*10%</f>
        <v/>
      </c>
      <c r="Y364" s="32">
        <f>AE364*1%</f>
        <v/>
      </c>
      <c r="Z364" s="32">
        <f>AE364*8%</f>
        <v/>
      </c>
      <c r="AA364" s="32">
        <f>W364+X364+Y364+Z364</f>
        <v/>
      </c>
      <c r="AB364" s="31">
        <f>AA364+V364+N364</f>
        <v/>
      </c>
      <c r="AC364" s="6">
        <f>AB364*20%</f>
        <v/>
      </c>
      <c r="AD364" s="32">
        <f>AB364+AC364</f>
        <v/>
      </c>
      <c r="AE364" s="32">
        <f>D364*2.1</f>
        <v/>
      </c>
      <c r="AF364" s="7">
        <f>AD364-AE364</f>
        <v/>
      </c>
      <c r="AG364" s="7">
        <f>AF364/AD364*100</f>
        <v/>
      </c>
      <c r="AH364" s="0" t="n">
        <v>8950</v>
      </c>
      <c r="AI364" s="33" t="n"/>
      <c r="AJ364" s="34">
        <f>AD364</f>
        <v/>
      </c>
      <c r="AK364" s="34">
        <f>AJ364-(AJ364*7%)</f>
        <v/>
      </c>
      <c r="AL364" s="35">
        <f>AJ364/94</f>
        <v/>
      </c>
      <c r="AM364" s="35">
        <f>AK364/94</f>
        <v/>
      </c>
      <c r="AN364" s="36">
        <f>AJ364/24</f>
        <v/>
      </c>
      <c r="AO364" s="36">
        <f>AK364/24</f>
        <v/>
      </c>
      <c r="AP364" s="37">
        <f>AJ364/125</f>
        <v/>
      </c>
      <c r="AQ364" s="37">
        <f>AK364/125</f>
        <v/>
      </c>
    </row>
    <row r="365" ht="15.75" customHeight="1" s="50">
      <c r="A365" s="32" t="n"/>
      <c r="B365" s="32" t="inlineStr">
        <is>
          <t>8 inches</t>
        </is>
      </c>
      <c r="C365" s="32" t="inlineStr">
        <is>
          <t>MI-SB-H-FM-8</t>
        </is>
      </c>
      <c r="D365" s="32" t="inlineStr">
        <is>
          <t>Parasonjeet</t>
        </is>
      </c>
      <c r="E365" s="32" t="n">
        <v>125</v>
      </c>
      <c r="F365" s="32" t="n">
        <v>80</v>
      </c>
      <c r="G365" s="32" t="n">
        <v>0</v>
      </c>
      <c r="H365" s="32" t="n">
        <v>10</v>
      </c>
      <c r="I365" s="41" t="n">
        <v>83061000</v>
      </c>
      <c r="J365" s="30" t="n">
        <v>0.05</v>
      </c>
      <c r="K365" s="32">
        <f>D365*J365</f>
        <v/>
      </c>
      <c r="M365" s="32">
        <f>D365*4%</f>
        <v/>
      </c>
      <c r="N365" s="49">
        <f>M365+L365+K365+H365+G365+F365+E365+D365</f>
        <v/>
      </c>
      <c r="O365" s="32">
        <f>D365*1%</f>
        <v/>
      </c>
      <c r="P365" s="7">
        <f>N365*8%</f>
        <v/>
      </c>
      <c r="Q365" s="7">
        <f>N365*10%</f>
        <v/>
      </c>
      <c r="R365" s="7">
        <f>N365*5%</f>
        <v/>
      </c>
      <c r="S365" s="7">
        <f>N365*2%</f>
        <v/>
      </c>
      <c r="T365" s="7">
        <f>AE365*0.5%</f>
        <v/>
      </c>
      <c r="U365" s="7">
        <f>N365*1%</f>
        <v/>
      </c>
      <c r="V365" s="49">
        <f>U365+S365+R365+Q365+P365+O365</f>
        <v/>
      </c>
      <c r="W365" s="32">
        <f>AE365*1%</f>
        <v/>
      </c>
      <c r="X365" s="32">
        <f>AE365*10%</f>
        <v/>
      </c>
      <c r="Y365" s="32">
        <f>AE365*1%</f>
        <v/>
      </c>
      <c r="Z365" s="32">
        <f>AE365*8%</f>
        <v/>
      </c>
      <c r="AA365" s="32">
        <f>W365+X365+Y365+Z365</f>
        <v/>
      </c>
      <c r="AB365" s="31">
        <f>AA365+V365+N365</f>
        <v/>
      </c>
      <c r="AC365" s="6">
        <f>AB365*20%</f>
        <v/>
      </c>
      <c r="AD365" s="32">
        <f>AB365+AC365</f>
        <v/>
      </c>
      <c r="AE365" s="32">
        <f>D365*2.1</f>
        <v/>
      </c>
      <c r="AF365" s="7">
        <f>AD365-AE365</f>
        <v/>
      </c>
      <c r="AG365" s="7">
        <f>AF365/AD365*100</f>
        <v/>
      </c>
      <c r="AH365" s="0" t="n">
        <v>10250</v>
      </c>
      <c r="AI365" s="33" t="n"/>
      <c r="AJ365" s="34">
        <f>AD365</f>
        <v/>
      </c>
      <c r="AK365" s="34">
        <f>AJ365-(AJ365*7%)</f>
        <v/>
      </c>
      <c r="AL365" s="35">
        <f>AJ365/94</f>
        <v/>
      </c>
      <c r="AM365" s="35">
        <f>AK365/94</f>
        <v/>
      </c>
      <c r="AN365" s="36">
        <f>AJ365/24</f>
        <v/>
      </c>
      <c r="AO365" s="36">
        <f>AK365/24</f>
        <v/>
      </c>
      <c r="AP365" s="37">
        <f>AJ365/125</f>
        <v/>
      </c>
      <c r="AQ365" s="37">
        <f>AK365/125</f>
        <v/>
      </c>
    </row>
    <row r="366" ht="15.75" customHeight="1" s="50">
      <c r="A366" s="32" t="n"/>
      <c r="B366" s="32" t="inlineStr">
        <is>
          <t>9 Inches</t>
        </is>
      </c>
      <c r="C366" s="32" t="inlineStr">
        <is>
          <t>MI-SB-H-FM-9</t>
        </is>
      </c>
      <c r="D366" s="32" t="inlineStr">
        <is>
          <t>Parasonjeet</t>
        </is>
      </c>
      <c r="E366" s="32" t="n">
        <v>125</v>
      </c>
      <c r="F366" s="32" t="n">
        <v>80</v>
      </c>
      <c r="G366" s="32" t="n">
        <v>0</v>
      </c>
      <c r="H366" s="32" t="n">
        <v>10</v>
      </c>
      <c r="I366" s="41" t="n">
        <v>83061000</v>
      </c>
      <c r="J366" s="30" t="n">
        <v>0.05</v>
      </c>
      <c r="K366" s="32">
        <f>D366*J366</f>
        <v/>
      </c>
      <c r="M366" s="32">
        <f>D366*4%</f>
        <v/>
      </c>
      <c r="N366" s="49">
        <f>M366+L366+K366+H366+G366+F366+E366+D366</f>
        <v/>
      </c>
      <c r="O366" s="32">
        <f>D366*1%</f>
        <v/>
      </c>
      <c r="P366" s="7">
        <f>N366*8%</f>
        <v/>
      </c>
      <c r="Q366" s="7">
        <f>N366*10%</f>
        <v/>
      </c>
      <c r="R366" s="7">
        <f>N366*5%</f>
        <v/>
      </c>
      <c r="S366" s="7">
        <f>N366*2%</f>
        <v/>
      </c>
      <c r="T366" s="7">
        <f>AE366*0.5%</f>
        <v/>
      </c>
      <c r="U366" s="7">
        <f>N366*1%</f>
        <v/>
      </c>
      <c r="V366" s="49">
        <f>U366+S366+R366+Q366+P366+O366</f>
        <v/>
      </c>
      <c r="W366" s="32">
        <f>AE366*1%</f>
        <v/>
      </c>
      <c r="X366" s="32">
        <f>AE366*10%</f>
        <v/>
      </c>
      <c r="Y366" s="32">
        <f>AE366*1%</f>
        <v/>
      </c>
      <c r="Z366" s="32">
        <f>AE366*8%</f>
        <v/>
      </c>
      <c r="AA366" s="32">
        <f>W366+X366+Y366+Z366</f>
        <v/>
      </c>
      <c r="AB366" s="31">
        <f>AA366+V366+N366</f>
        <v/>
      </c>
      <c r="AC366" s="6">
        <f>AB366*20%</f>
        <v/>
      </c>
      <c r="AD366" s="32">
        <f>AB366+AC366</f>
        <v/>
      </c>
      <c r="AE366" s="32">
        <f>D366*2.1</f>
        <v/>
      </c>
      <c r="AF366" s="7">
        <f>AD366-AE366</f>
        <v/>
      </c>
      <c r="AG366" s="7">
        <f>AF366/AD366*100</f>
        <v/>
      </c>
      <c r="AH366" s="0" t="n">
        <v>11250</v>
      </c>
      <c r="AI366" s="33" t="n"/>
      <c r="AJ366" s="34">
        <f>AD366</f>
        <v/>
      </c>
      <c r="AK366" s="34">
        <f>AJ366-(AJ366*7%)</f>
        <v/>
      </c>
      <c r="AL366" s="35">
        <f>AJ366/94</f>
        <v/>
      </c>
      <c r="AM366" s="35">
        <f>AK366/94</f>
        <v/>
      </c>
      <c r="AN366" s="36">
        <f>AJ366/24</f>
        <v/>
      </c>
      <c r="AO366" s="36">
        <f>AK366/24</f>
        <v/>
      </c>
      <c r="AP366" s="37">
        <f>AJ366/125</f>
        <v/>
      </c>
      <c r="AQ366" s="37">
        <f>AK366/125</f>
        <v/>
      </c>
    </row>
    <row r="367" ht="15" customHeight="1" s="50">
      <c r="A367" s="32" t="inlineStr">
        <is>
          <t>Gong Bags</t>
        </is>
      </c>
      <c r="B367" s="32" t="inlineStr">
        <is>
          <t>Standard</t>
        </is>
      </c>
      <c r="C367" s="32" t="inlineStr">
        <is>
          <t>MI-Gg-Bag-S</t>
        </is>
      </c>
      <c r="D367" s="32" t="n">
        <v>700</v>
      </c>
      <c r="G367" s="32" t="n">
        <v>0</v>
      </c>
      <c r="H367" s="32" t="n">
        <v>10</v>
      </c>
      <c r="I367" s="41" t="n">
        <v>442100</v>
      </c>
      <c r="J367" s="30" t="n">
        <v>0.12</v>
      </c>
      <c r="K367" s="32">
        <f>D367*J367</f>
        <v/>
      </c>
      <c r="M367" s="32">
        <f>D367*4%</f>
        <v/>
      </c>
      <c r="N367" s="49">
        <f>M367+L367+K367+H367+G367+F367+E367+D367</f>
        <v/>
      </c>
      <c r="O367" s="32">
        <f>D367*1%</f>
        <v/>
      </c>
      <c r="P367" s="7">
        <f>N367*8%</f>
        <v/>
      </c>
      <c r="Q367" s="7">
        <f>N367*10%</f>
        <v/>
      </c>
      <c r="R367" s="7">
        <f>N367*5%</f>
        <v/>
      </c>
      <c r="S367" s="7">
        <f>N367*2%</f>
        <v/>
      </c>
      <c r="T367" s="7">
        <f>AE367*0.5%</f>
        <v/>
      </c>
      <c r="U367" s="7">
        <f>N367*1%</f>
        <v/>
      </c>
      <c r="V367" s="31">
        <f>U367+S367+R367+Q367+P367+O367</f>
        <v/>
      </c>
      <c r="W367" s="32">
        <f>AE367*1%</f>
        <v/>
      </c>
      <c r="X367" s="32">
        <f>AE367*10%</f>
        <v/>
      </c>
      <c r="Y367" s="32">
        <f>AE367*1%</f>
        <v/>
      </c>
      <c r="Z367" s="32">
        <f>AE367*8%</f>
        <v/>
      </c>
      <c r="AA367" s="32">
        <f>W367+X367+Y367+Z367</f>
        <v/>
      </c>
      <c r="AB367" s="31">
        <f>AA367+V367+N367</f>
        <v/>
      </c>
      <c r="AC367" s="6">
        <f>AB367*20%</f>
        <v/>
      </c>
      <c r="AD367" s="7">
        <f>AB367+AC367</f>
        <v/>
      </c>
      <c r="AE367" s="32">
        <f>D367*2.1</f>
        <v/>
      </c>
      <c r="AF367" s="7">
        <f>AD367-AE367</f>
        <v/>
      </c>
      <c r="AG367" s="7">
        <f>AF367/AD367*100</f>
        <v/>
      </c>
      <c r="AH367" s="0" t="n">
        <v>1950</v>
      </c>
      <c r="AI367" s="33" t="n">
        <v>1250</v>
      </c>
      <c r="AJ367" s="34">
        <f>AD367</f>
        <v/>
      </c>
      <c r="AK367" s="34">
        <f>AJ367-(AJ367*7%)</f>
        <v/>
      </c>
      <c r="AL367" s="35">
        <f>AJ367/94</f>
        <v/>
      </c>
      <c r="AM367" s="35">
        <f>AK367/94</f>
        <v/>
      </c>
      <c r="AN367" s="36">
        <f>AJ367/24</f>
        <v/>
      </c>
      <c r="AO367" s="36">
        <f>AK367/24</f>
        <v/>
      </c>
      <c r="AP367" s="37">
        <f>AJ367/125</f>
        <v/>
      </c>
      <c r="AQ367" s="37">
        <f>AK367/125</f>
        <v/>
      </c>
    </row>
    <row r="368" ht="15.75" customHeight="1" s="50">
      <c r="A368" s="32" t="n"/>
      <c r="B368" s="32" t="inlineStr">
        <is>
          <t>Large</t>
        </is>
      </c>
      <c r="C368" s="32" t="inlineStr">
        <is>
          <t>MI-Gg-Bag-L</t>
        </is>
      </c>
      <c r="D368" s="32" t="n">
        <v>900</v>
      </c>
      <c r="G368" s="32" t="n">
        <v>0</v>
      </c>
      <c r="H368" s="32" t="n">
        <v>10</v>
      </c>
      <c r="I368" s="41" t="n">
        <v>442100</v>
      </c>
      <c r="J368" s="30" t="n">
        <v>0.12</v>
      </c>
      <c r="K368" s="32">
        <f>D368*J368</f>
        <v/>
      </c>
      <c r="M368" s="32">
        <f>D368*4%</f>
        <v/>
      </c>
      <c r="N368" s="49">
        <f>M368+L368+K368+H368+G368+F368+E368+D368</f>
        <v/>
      </c>
      <c r="O368" s="32">
        <f>D368*1%</f>
        <v/>
      </c>
      <c r="P368" s="7">
        <f>N368*8%</f>
        <v/>
      </c>
      <c r="Q368" s="7">
        <f>N368*10%</f>
        <v/>
      </c>
      <c r="R368" s="7">
        <f>N368*5%</f>
        <v/>
      </c>
      <c r="S368" s="7">
        <f>N368*2%</f>
        <v/>
      </c>
      <c r="T368" s="7">
        <f>AE368*0.5%</f>
        <v/>
      </c>
      <c r="U368" s="7">
        <f>N368*1%</f>
        <v/>
      </c>
      <c r="V368" s="31">
        <f>U368+S368+R368+Q368+P368+O368</f>
        <v/>
      </c>
      <c r="W368" s="32">
        <f>AE368*1%</f>
        <v/>
      </c>
      <c r="X368" s="32">
        <f>AE368*10%</f>
        <v/>
      </c>
      <c r="Y368" s="32">
        <f>AE368*1%</f>
        <v/>
      </c>
      <c r="Z368" s="32">
        <f>AE368*8%</f>
        <v/>
      </c>
      <c r="AA368" s="32">
        <f>W368+X368+Y368+Z368</f>
        <v/>
      </c>
      <c r="AB368" s="31">
        <f>AA368+V368+N368</f>
        <v/>
      </c>
      <c r="AC368" s="6">
        <f>AB368*20%</f>
        <v/>
      </c>
      <c r="AD368" s="7">
        <f>AB368+AC368</f>
        <v/>
      </c>
      <c r="AE368" s="32">
        <f>D368*2.1</f>
        <v/>
      </c>
      <c r="AF368" s="7">
        <f>AD368-AE368</f>
        <v/>
      </c>
      <c r="AG368" s="7">
        <f>AF368/AD368*100</f>
        <v/>
      </c>
      <c r="AH368" s="0" t="n">
        <v>2350</v>
      </c>
      <c r="AI368" s="33" t="n">
        <v>1450</v>
      </c>
      <c r="AJ368" s="34">
        <f>AD368</f>
        <v/>
      </c>
      <c r="AK368" s="34">
        <f>AJ368-(AJ368*7%)</f>
        <v/>
      </c>
      <c r="AL368" s="35">
        <f>AJ368/94</f>
        <v/>
      </c>
      <c r="AM368" s="35">
        <f>AK368/94</f>
        <v/>
      </c>
      <c r="AN368" s="36">
        <f>AJ368/24</f>
        <v/>
      </c>
      <c r="AO368" s="36">
        <f>AK368/24</f>
        <v/>
      </c>
      <c r="AP368" s="37">
        <f>AJ368/125</f>
        <v/>
      </c>
      <c r="AQ368" s="37">
        <f>AK368/125</f>
        <v/>
      </c>
    </row>
    <row r="369" ht="15" customHeight="1" s="50">
      <c r="A369" s="32" t="inlineStr">
        <is>
          <t>Gong Stand</t>
        </is>
      </c>
      <c r="B369" s="32" t="inlineStr">
        <is>
          <t>Light / Small</t>
        </is>
      </c>
      <c r="D369" s="32" t="n">
        <v>3800</v>
      </c>
      <c r="E369" s="32" t="n">
        <v>385</v>
      </c>
      <c r="G369" s="32" t="n">
        <v>0</v>
      </c>
      <c r="H369" s="32" t="n">
        <v>10</v>
      </c>
      <c r="I369" s="41" t="n">
        <v>442100</v>
      </c>
      <c r="J369" s="30" t="n">
        <v>0.12</v>
      </c>
      <c r="K369" s="32">
        <f>D369*J369</f>
        <v/>
      </c>
      <c r="M369" s="32">
        <f>D369*4%</f>
        <v/>
      </c>
      <c r="N369" s="49">
        <f>M369+L369+K369+H369+G369+F369+E369+#REF!</f>
        <v/>
      </c>
      <c r="O369" s="32">
        <f>#REF!*1%</f>
        <v/>
      </c>
      <c r="P369" s="7">
        <f>N369*8%</f>
        <v/>
      </c>
      <c r="Q369" s="7">
        <f>N369*10%</f>
        <v/>
      </c>
      <c r="R369" s="7">
        <f>N369*5%</f>
        <v/>
      </c>
      <c r="S369" s="7">
        <f>N369*2%</f>
        <v/>
      </c>
      <c r="T369" s="7">
        <f>AE369*0.5%</f>
        <v/>
      </c>
      <c r="U369" s="7">
        <f>N369*1%</f>
        <v/>
      </c>
      <c r="V369" s="49">
        <f>U369+S369+R369+Q369+P369+O369</f>
        <v/>
      </c>
      <c r="W369" s="32">
        <f>AE369*1%</f>
        <v/>
      </c>
      <c r="X369" s="32">
        <f>AE369*10%</f>
        <v/>
      </c>
      <c r="Y369" s="32">
        <f>AE369*1%</f>
        <v/>
      </c>
      <c r="Z369" s="32">
        <f>AE369*8%</f>
        <v/>
      </c>
      <c r="AA369" s="32">
        <f>W369+X369+Y369+Z369</f>
        <v/>
      </c>
      <c r="AB369" s="31">
        <f>AA369+V369+N369</f>
        <v/>
      </c>
      <c r="AC369" s="6">
        <f>AB369*20%</f>
        <v/>
      </c>
      <c r="AD369" s="32">
        <f>AB369+AC369</f>
        <v/>
      </c>
      <c r="AE369" s="32">
        <f>D369*2.1</f>
        <v/>
      </c>
      <c r="AF369" s="7">
        <f>AD369-AE369</f>
        <v/>
      </c>
      <c r="AG369" s="7">
        <f>AF369/AD369*100</f>
        <v/>
      </c>
      <c r="AI369" s="33" t="n"/>
      <c r="AJ369" s="34">
        <f>AD369</f>
        <v/>
      </c>
      <c r="AK369" s="34">
        <f>AJ369-(AJ369*7%)</f>
        <v/>
      </c>
      <c r="AL369" s="35">
        <f>AJ369/94</f>
        <v/>
      </c>
      <c r="AM369" s="35">
        <f>AK369/94</f>
        <v/>
      </c>
      <c r="AN369" s="36">
        <f>AJ369/24</f>
        <v/>
      </c>
      <c r="AO369" s="36">
        <f>AK369/24</f>
        <v/>
      </c>
      <c r="AP369" s="37">
        <f>AJ369/125</f>
        <v/>
      </c>
      <c r="AQ369" s="37">
        <f>AK369/125</f>
        <v/>
      </c>
    </row>
    <row r="370" ht="15.75" customHeight="1" s="50">
      <c r="A370" s="32" t="n"/>
      <c r="B370" s="32" t="inlineStr">
        <is>
          <t>Light / Medium</t>
        </is>
      </c>
      <c r="D370" s="32" t="n">
        <v>4000</v>
      </c>
      <c r="E370" s="32" t="n">
        <v>425</v>
      </c>
      <c r="G370" s="32" t="n">
        <v>0</v>
      </c>
      <c r="H370" s="32" t="n">
        <v>10</v>
      </c>
      <c r="I370" s="41" t="n">
        <v>442100</v>
      </c>
      <c r="J370" s="30" t="n">
        <v>0.12</v>
      </c>
      <c r="K370" s="32">
        <f>D370*J370</f>
        <v/>
      </c>
      <c r="M370" s="32">
        <f>D370*4%</f>
        <v/>
      </c>
      <c r="N370" s="49">
        <f>M370+L370+K370+H370+G370+F370+E370+#REF!</f>
        <v/>
      </c>
      <c r="O370" s="32">
        <f>#REF!*1%</f>
        <v/>
      </c>
      <c r="P370" s="7">
        <f>N370*8%</f>
        <v/>
      </c>
      <c r="Q370" s="7">
        <f>N370*10%</f>
        <v/>
      </c>
      <c r="R370" s="7">
        <f>N370*5%</f>
        <v/>
      </c>
      <c r="S370" s="7">
        <f>N370*2%</f>
        <v/>
      </c>
      <c r="T370" s="7">
        <f>AE370*0.5%</f>
        <v/>
      </c>
      <c r="U370" s="7">
        <f>N370*1%</f>
        <v/>
      </c>
      <c r="V370" s="49">
        <f>U370+S370+R370+Q370+P370+O370</f>
        <v/>
      </c>
      <c r="W370" s="32">
        <f>AE370*1%</f>
        <v/>
      </c>
      <c r="X370" s="32">
        <f>AE370*10%</f>
        <v/>
      </c>
      <c r="Y370" s="32">
        <f>AE370*1%</f>
        <v/>
      </c>
      <c r="Z370" s="32">
        <f>AE370*8%</f>
        <v/>
      </c>
      <c r="AA370" s="32">
        <f>W370+X370+Y370+Z370</f>
        <v/>
      </c>
      <c r="AB370" s="31">
        <f>AA370+V370+N370</f>
        <v/>
      </c>
      <c r="AC370" s="6">
        <f>AB370*20%</f>
        <v/>
      </c>
      <c r="AD370" s="32">
        <f>AB370+AC370</f>
        <v/>
      </c>
      <c r="AE370" s="32">
        <f>D370*2.1</f>
        <v/>
      </c>
      <c r="AF370" s="7">
        <f>AD370-AE370</f>
        <v/>
      </c>
      <c r="AG370" s="7">
        <f>AF370/AD370*100</f>
        <v/>
      </c>
      <c r="AI370" s="33" t="n"/>
      <c r="AJ370" s="34">
        <f>AD370</f>
        <v/>
      </c>
      <c r="AK370" s="34">
        <f>AJ370-(AJ370*7%)</f>
        <v/>
      </c>
      <c r="AL370" s="35">
        <f>AJ370/94</f>
        <v/>
      </c>
      <c r="AM370" s="35">
        <f>AK370/94</f>
        <v/>
      </c>
      <c r="AN370" s="36">
        <f>AJ370/24</f>
        <v/>
      </c>
      <c r="AO370" s="36">
        <f>AK370/24</f>
        <v/>
      </c>
      <c r="AP370" s="37">
        <f>AJ370/125</f>
        <v/>
      </c>
      <c r="AQ370" s="37">
        <f>AK370/125</f>
        <v/>
      </c>
    </row>
    <row r="371" ht="15.75" customHeight="1" s="50">
      <c r="A371" s="32" t="n"/>
      <c r="B371" s="32" t="inlineStr">
        <is>
          <t>Large / Light</t>
        </is>
      </c>
      <c r="D371" s="32" t="n">
        <v>4200</v>
      </c>
      <c r="E371" s="32" t="n">
        <v>425</v>
      </c>
      <c r="G371" s="32" t="n">
        <v>0</v>
      </c>
      <c r="H371" s="32" t="n">
        <v>10</v>
      </c>
      <c r="I371" s="41" t="n">
        <v>442100</v>
      </c>
      <c r="J371" s="30" t="n">
        <v>0.12</v>
      </c>
      <c r="K371" s="32">
        <f>D371*J371</f>
        <v/>
      </c>
      <c r="M371" s="32">
        <f>D371*4%</f>
        <v/>
      </c>
      <c r="N371" s="49">
        <f>M371+L371+K371+H371+G371+F371+E371+#REF!</f>
        <v/>
      </c>
      <c r="O371" s="32">
        <f>#REF!*1%</f>
        <v/>
      </c>
      <c r="P371" s="7">
        <f>N371*8%</f>
        <v/>
      </c>
      <c r="Q371" s="7">
        <f>N371*10%</f>
        <v/>
      </c>
      <c r="R371" s="7">
        <f>N371*5%</f>
        <v/>
      </c>
      <c r="S371" s="7">
        <f>N371*2%</f>
        <v/>
      </c>
      <c r="T371" s="7">
        <f>AE371*0.5%</f>
        <v/>
      </c>
      <c r="U371" s="7">
        <f>N371*1%</f>
        <v/>
      </c>
      <c r="V371" s="49">
        <f>U371+S371+R371+Q371+P371+O371</f>
        <v/>
      </c>
      <c r="W371" s="32">
        <f>AE371*1%</f>
        <v/>
      </c>
      <c r="X371" s="32">
        <f>AE371*10%</f>
        <v/>
      </c>
      <c r="Y371" s="32">
        <f>AE371*1%</f>
        <v/>
      </c>
      <c r="Z371" s="32">
        <f>AE371*8%</f>
        <v/>
      </c>
      <c r="AA371" s="32">
        <f>W371+X371+Y371+Z371</f>
        <v/>
      </c>
      <c r="AB371" s="31">
        <f>AA371+V371+N371</f>
        <v/>
      </c>
      <c r="AC371" s="6">
        <f>AB371*20%</f>
        <v/>
      </c>
      <c r="AD371" s="32">
        <f>AB371+AC371</f>
        <v/>
      </c>
      <c r="AE371" s="32">
        <f>D371*2.1</f>
        <v/>
      </c>
      <c r="AF371" s="7">
        <f>AD371-AE371</f>
        <v/>
      </c>
      <c r="AG371" s="7">
        <f>AF371/AD371*100</f>
        <v/>
      </c>
      <c r="AI371" s="33" t="n"/>
      <c r="AJ371" s="34">
        <f>AD371</f>
        <v/>
      </c>
      <c r="AK371" s="34">
        <f>AJ371-(AJ371*7%)</f>
        <v/>
      </c>
      <c r="AL371" s="35">
        <f>AJ371/94</f>
        <v/>
      </c>
      <c r="AM371" s="35">
        <f>AK371/94</f>
        <v/>
      </c>
      <c r="AN371" s="36">
        <f>AJ371/24</f>
        <v/>
      </c>
      <c r="AO371" s="36">
        <f>AK371/24</f>
        <v/>
      </c>
      <c r="AP371" s="37">
        <f>AJ371/125</f>
        <v/>
      </c>
      <c r="AQ371" s="37">
        <f>AK371/125</f>
        <v/>
      </c>
    </row>
    <row r="372" ht="15.75" customHeight="1" s="50">
      <c r="A372" s="32" t="n"/>
      <c r="B372" s="32" t="inlineStr">
        <is>
          <t>Small / Dark</t>
        </is>
      </c>
      <c r="D372" s="32" t="n">
        <v>3800</v>
      </c>
      <c r="E372" s="32" t="n">
        <v>385</v>
      </c>
      <c r="G372" s="32" t="n">
        <v>0</v>
      </c>
      <c r="H372" s="32" t="n">
        <v>10</v>
      </c>
      <c r="I372" s="41" t="n">
        <v>442100</v>
      </c>
      <c r="J372" s="30" t="n">
        <v>0.12</v>
      </c>
      <c r="K372" s="32">
        <f>D372*J372</f>
        <v/>
      </c>
      <c r="M372" s="32">
        <f>D372*4%</f>
        <v/>
      </c>
      <c r="N372" s="49">
        <f>M372+L372+K372+H372+G372+F372+E372+#REF!</f>
        <v/>
      </c>
      <c r="O372" s="32">
        <f>#REF!*1%</f>
        <v/>
      </c>
      <c r="P372" s="7">
        <f>N372*8%</f>
        <v/>
      </c>
      <c r="Q372" s="7">
        <f>N372*10%</f>
        <v/>
      </c>
      <c r="R372" s="7">
        <f>N372*5%</f>
        <v/>
      </c>
      <c r="S372" s="7">
        <f>N372*2%</f>
        <v/>
      </c>
      <c r="T372" s="7">
        <f>AE372*0.5%</f>
        <v/>
      </c>
      <c r="U372" s="7">
        <f>N372*1%</f>
        <v/>
      </c>
      <c r="V372" s="49">
        <f>U372+S372+R372+Q372+P372+O372</f>
        <v/>
      </c>
      <c r="W372" s="32">
        <f>AE372*1%</f>
        <v/>
      </c>
      <c r="X372" s="32">
        <f>AE372*10%</f>
        <v/>
      </c>
      <c r="Y372" s="32">
        <f>AE372*1%</f>
        <v/>
      </c>
      <c r="Z372" s="32">
        <f>AE372*8%</f>
        <v/>
      </c>
      <c r="AA372" s="32">
        <f>W372+X372+Y372+Z372</f>
        <v/>
      </c>
      <c r="AB372" s="31">
        <f>AA372+V372+N372</f>
        <v/>
      </c>
      <c r="AC372" s="6">
        <f>AB372*20%</f>
        <v/>
      </c>
      <c r="AD372" s="32">
        <f>AB372+AC372</f>
        <v/>
      </c>
      <c r="AE372" s="32">
        <f>D372*2.1</f>
        <v/>
      </c>
      <c r="AF372" s="7">
        <f>AD372-AE372</f>
        <v/>
      </c>
      <c r="AG372" s="7">
        <f>AF372/AD372*100</f>
        <v/>
      </c>
      <c r="AI372" s="33" t="n"/>
      <c r="AJ372" s="34">
        <f>AD372</f>
        <v/>
      </c>
      <c r="AK372" s="34">
        <f>AJ372-(AJ372*7%)</f>
        <v/>
      </c>
      <c r="AL372" s="35">
        <f>AJ372/94</f>
        <v/>
      </c>
      <c r="AM372" s="35">
        <f>AK372/94</f>
        <v/>
      </c>
      <c r="AN372" s="36">
        <f>AJ372/24</f>
        <v/>
      </c>
      <c r="AO372" s="36">
        <f>AK372/24</f>
        <v/>
      </c>
      <c r="AP372" s="37">
        <f>AJ372/125</f>
        <v/>
      </c>
      <c r="AQ372" s="37">
        <f>AK372/125</f>
        <v/>
      </c>
    </row>
    <row r="373" ht="15.75" customHeight="1" s="50">
      <c r="A373" s="32" t="n"/>
      <c r="B373" s="32" t="inlineStr">
        <is>
          <t>Medium / Dark</t>
        </is>
      </c>
      <c r="D373" s="32" t="n">
        <v>4000</v>
      </c>
      <c r="E373" s="32" t="n">
        <v>425</v>
      </c>
      <c r="G373" s="32" t="n">
        <v>0</v>
      </c>
      <c r="H373" s="32" t="n">
        <v>10</v>
      </c>
      <c r="I373" s="41" t="n">
        <v>442100</v>
      </c>
      <c r="J373" s="30" t="n">
        <v>0.12</v>
      </c>
      <c r="K373" s="32">
        <f>D373*J373</f>
        <v/>
      </c>
      <c r="M373" s="32">
        <f>D373*4%</f>
        <v/>
      </c>
      <c r="N373" s="49">
        <f>M373+L373+K373+H373+G373+F373+E373+#REF!</f>
        <v/>
      </c>
      <c r="O373" s="32">
        <f>#REF!*1%</f>
        <v/>
      </c>
      <c r="P373" s="7">
        <f>N373*8%</f>
        <v/>
      </c>
      <c r="Q373" s="7">
        <f>N373*10%</f>
        <v/>
      </c>
      <c r="R373" s="7">
        <f>N373*5%</f>
        <v/>
      </c>
      <c r="S373" s="7">
        <f>N373*2%</f>
        <v/>
      </c>
      <c r="T373" s="7">
        <f>AE373*0.5%</f>
        <v/>
      </c>
      <c r="U373" s="7">
        <f>N373*1%</f>
        <v/>
      </c>
      <c r="V373" s="49">
        <f>U373+S373+R373+Q373+P373+O373</f>
        <v/>
      </c>
      <c r="W373" s="32">
        <f>AE373*1%</f>
        <v/>
      </c>
      <c r="X373" s="32">
        <f>AE373*10%</f>
        <v/>
      </c>
      <c r="Y373" s="32">
        <f>AE373*1%</f>
        <v/>
      </c>
      <c r="Z373" s="32">
        <f>AE373*8%</f>
        <v/>
      </c>
      <c r="AA373" s="32">
        <f>W373+X373+Y373+Z373</f>
        <v/>
      </c>
      <c r="AB373" s="31">
        <f>AA373+V373+N373</f>
        <v/>
      </c>
      <c r="AC373" s="6">
        <f>AB373*20%</f>
        <v/>
      </c>
      <c r="AD373" s="32">
        <f>AB373+AC373</f>
        <v/>
      </c>
      <c r="AE373" s="32">
        <f>D373*2.1</f>
        <v/>
      </c>
      <c r="AF373" s="7">
        <f>AD373-AE373</f>
        <v/>
      </c>
      <c r="AG373" s="7">
        <f>AF373/AD373*100</f>
        <v/>
      </c>
      <c r="AI373" s="33" t="n"/>
      <c r="AJ373" s="34">
        <f>AD373</f>
        <v/>
      </c>
      <c r="AK373" s="34">
        <f>AJ373-(AJ373*7%)</f>
        <v/>
      </c>
      <c r="AL373" s="35">
        <f>AJ373/94</f>
        <v/>
      </c>
      <c r="AM373" s="35">
        <f>AK373/94</f>
        <v/>
      </c>
      <c r="AN373" s="36">
        <f>AJ373/24</f>
        <v/>
      </c>
      <c r="AO373" s="36">
        <f>AK373/24</f>
        <v/>
      </c>
      <c r="AP373" s="37">
        <f>AJ373/125</f>
        <v/>
      </c>
      <c r="AQ373" s="37">
        <f>AK373/125</f>
        <v/>
      </c>
    </row>
    <row r="374" ht="15.75" customHeight="1" s="50">
      <c r="A374" s="32" t="n"/>
      <c r="B374" s="32" t="inlineStr">
        <is>
          <t>Large / Dark</t>
        </is>
      </c>
      <c r="D374" s="32" t="n">
        <v>4200</v>
      </c>
      <c r="E374" s="32" t="n">
        <v>425</v>
      </c>
      <c r="G374" s="32" t="n">
        <v>0</v>
      </c>
      <c r="H374" s="32" t="n">
        <v>10</v>
      </c>
      <c r="I374" s="41" t="n">
        <v>442100</v>
      </c>
      <c r="J374" s="30" t="n">
        <v>0.12</v>
      </c>
      <c r="K374" s="32">
        <f>D374*J374</f>
        <v/>
      </c>
      <c r="M374" s="32">
        <f>D374*4%</f>
        <v/>
      </c>
      <c r="N374" s="49">
        <f>M374+L374+K374+H374+G374+F374+E374+#REF!</f>
        <v/>
      </c>
      <c r="O374" s="32">
        <f>#REF!*1%</f>
        <v/>
      </c>
      <c r="P374" s="7">
        <f>N374*8%</f>
        <v/>
      </c>
      <c r="Q374" s="7">
        <f>N374*10%</f>
        <v/>
      </c>
      <c r="R374" s="7">
        <f>N374*5%</f>
        <v/>
      </c>
      <c r="S374" s="7">
        <f>N374*2%</f>
        <v/>
      </c>
      <c r="T374" s="7">
        <f>AE374*0.5%</f>
        <v/>
      </c>
      <c r="U374" s="7">
        <f>N374*1%</f>
        <v/>
      </c>
      <c r="V374" s="49">
        <f>U374+S374+R374+Q374+P374+O374</f>
        <v/>
      </c>
      <c r="W374" s="32">
        <f>AE374*1%</f>
        <v/>
      </c>
      <c r="X374" s="32">
        <f>AE374*10%</f>
        <v/>
      </c>
      <c r="Y374" s="32">
        <f>AE374*1%</f>
        <v/>
      </c>
      <c r="Z374" s="32">
        <f>AE374*8%</f>
        <v/>
      </c>
      <c r="AA374" s="32">
        <f>W374+X374+Y374+Z374</f>
        <v/>
      </c>
      <c r="AB374" s="31">
        <f>AA374+V374+N374</f>
        <v/>
      </c>
      <c r="AC374" s="6">
        <f>AB374*20%</f>
        <v/>
      </c>
      <c r="AD374" s="32">
        <f>AB374+AC374</f>
        <v/>
      </c>
      <c r="AE374" s="32">
        <f>D374*2.1</f>
        <v/>
      </c>
      <c r="AF374" s="7">
        <f>AD374-AE374</f>
        <v/>
      </c>
      <c r="AG374" s="7">
        <f>AF374/AD374*100</f>
        <v/>
      </c>
      <c r="AI374" s="33" t="n"/>
      <c r="AJ374" s="34">
        <f>AD374</f>
        <v/>
      </c>
      <c r="AK374" s="34">
        <f>AJ374-(AJ374*7%)</f>
        <v/>
      </c>
      <c r="AL374" s="35">
        <f>AJ374/94</f>
        <v/>
      </c>
      <c r="AM374" s="35">
        <f>AK374/94</f>
        <v/>
      </c>
      <c r="AN374" s="36">
        <f>AJ374/24</f>
        <v/>
      </c>
      <c r="AO374" s="36">
        <f>AK374/24</f>
        <v/>
      </c>
      <c r="AP374" s="37">
        <f>AJ374/125</f>
        <v/>
      </c>
      <c r="AQ374" s="37">
        <f>AK374/125</f>
        <v/>
      </c>
    </row>
    <row r="375" ht="15.75" customHeight="1" s="50">
      <c r="A375" s="32" t="n"/>
      <c r="B375" s="32" t="inlineStr">
        <is>
          <t>Extra Large / Light</t>
        </is>
      </c>
      <c r="D375" s="32" t="n">
        <v>4800</v>
      </c>
      <c r="E375" s="32" t="n">
        <v>495</v>
      </c>
      <c r="G375" s="32" t="n">
        <v>0</v>
      </c>
      <c r="H375" s="32" t="n">
        <v>10</v>
      </c>
      <c r="I375" s="41" t="n">
        <v>442100</v>
      </c>
      <c r="J375" s="30" t="n">
        <v>0.12</v>
      </c>
      <c r="K375" s="32">
        <f>D375*J375</f>
        <v/>
      </c>
      <c r="M375" s="32">
        <f>D375*4%</f>
        <v/>
      </c>
      <c r="N375" s="49">
        <f>M375+L375+K375+H375+G375+F375+E375+#REF!</f>
        <v/>
      </c>
      <c r="O375" s="32">
        <f>#REF!*1%</f>
        <v/>
      </c>
      <c r="P375" s="7">
        <f>N375*8%</f>
        <v/>
      </c>
      <c r="Q375" s="7">
        <f>N375*10%</f>
        <v/>
      </c>
      <c r="R375" s="7">
        <f>N375*5%</f>
        <v/>
      </c>
      <c r="S375" s="7">
        <f>N375*2%</f>
        <v/>
      </c>
      <c r="T375" s="7">
        <f>AE375*0.5%</f>
        <v/>
      </c>
      <c r="U375" s="7">
        <f>N375*1%</f>
        <v/>
      </c>
      <c r="V375" s="49">
        <f>U375+S375+R375+Q375+P375+O375</f>
        <v/>
      </c>
      <c r="W375" s="32">
        <f>AE375*1%</f>
        <v/>
      </c>
      <c r="X375" s="32">
        <f>AE375*10%</f>
        <v/>
      </c>
      <c r="Y375" s="32">
        <f>AE375*1%</f>
        <v/>
      </c>
      <c r="Z375" s="32">
        <f>AE375*8%</f>
        <v/>
      </c>
      <c r="AA375" s="32">
        <f>W375+X375+Y375+Z375</f>
        <v/>
      </c>
      <c r="AB375" s="31">
        <f>AA375+V375+N375</f>
        <v/>
      </c>
      <c r="AC375" s="6">
        <f>AB375*20%</f>
        <v/>
      </c>
      <c r="AD375" s="32">
        <f>AB375+AC375</f>
        <v/>
      </c>
      <c r="AE375" s="32">
        <f>D375*2.1</f>
        <v/>
      </c>
      <c r="AF375" s="7">
        <f>AD375-AE375</f>
        <v/>
      </c>
      <c r="AG375" s="7">
        <f>AF375/AD375*100</f>
        <v/>
      </c>
      <c r="AI375" s="33" t="n"/>
      <c r="AJ375" s="34">
        <f>AD375</f>
        <v/>
      </c>
      <c r="AK375" s="34">
        <f>AJ375-(AJ375*7%)</f>
        <v/>
      </c>
      <c r="AL375" s="35">
        <f>AJ375/94</f>
        <v/>
      </c>
      <c r="AM375" s="35">
        <f>AK375/94</f>
        <v/>
      </c>
      <c r="AN375" s="36">
        <f>AJ375/24</f>
        <v/>
      </c>
      <c r="AO375" s="36">
        <f>AK375/24</f>
        <v/>
      </c>
      <c r="AP375" s="37">
        <f>AJ375/125</f>
        <v/>
      </c>
      <c r="AQ375" s="37">
        <f>AK375/125</f>
        <v/>
      </c>
    </row>
    <row r="376" ht="15.75" customHeight="1" s="50">
      <c r="A376" s="32" t="n"/>
      <c r="B376" s="32" t="inlineStr">
        <is>
          <t>Extra Large / Dark</t>
        </is>
      </c>
      <c r="D376" s="32" t="n">
        <v>4800</v>
      </c>
      <c r="E376" s="32" t="n">
        <v>495</v>
      </c>
      <c r="G376" s="32" t="n">
        <v>0</v>
      </c>
      <c r="H376" s="32" t="n">
        <v>10</v>
      </c>
      <c r="I376" s="41" t="n">
        <v>442100</v>
      </c>
      <c r="J376" s="30" t="n">
        <v>0.12</v>
      </c>
      <c r="K376" s="32">
        <f>D376*J376</f>
        <v/>
      </c>
      <c r="M376" s="32">
        <f>D376*4%</f>
        <v/>
      </c>
      <c r="N376" s="49">
        <f>M376+L376+K376+H376+G376+F376+E376+#REF!</f>
        <v/>
      </c>
      <c r="O376" s="32">
        <f>#REF!*1%</f>
        <v/>
      </c>
      <c r="P376" s="7">
        <f>N376*8%</f>
        <v/>
      </c>
      <c r="Q376" s="7">
        <f>N376*10%</f>
        <v/>
      </c>
      <c r="R376" s="7">
        <f>N376*5%</f>
        <v/>
      </c>
      <c r="S376" s="7">
        <f>N376*2%</f>
        <v/>
      </c>
      <c r="T376" s="7">
        <f>AE376*0.5%</f>
        <v/>
      </c>
      <c r="U376" s="7">
        <f>N376*1%</f>
        <v/>
      </c>
      <c r="V376" s="49">
        <f>U376+S376+R376+Q376+P376+O376</f>
        <v/>
      </c>
      <c r="W376" s="32">
        <f>AE376*1%</f>
        <v/>
      </c>
      <c r="X376" s="32">
        <f>AE376*10%</f>
        <v/>
      </c>
      <c r="Y376" s="32">
        <f>AE376*1%</f>
        <v/>
      </c>
      <c r="Z376" s="32">
        <f>AE376*8%</f>
        <v/>
      </c>
      <c r="AA376" s="32">
        <f>W376+X376+Y376+Z376</f>
        <v/>
      </c>
      <c r="AB376" s="31">
        <f>AA376+V376+N376</f>
        <v/>
      </c>
      <c r="AC376" s="6">
        <f>AB376*20%</f>
        <v/>
      </c>
      <c r="AD376" s="32">
        <f>AB376+AC376</f>
        <v/>
      </c>
      <c r="AE376" s="32">
        <f>D376*2.1</f>
        <v/>
      </c>
      <c r="AF376" s="7">
        <f>AD376-AE376</f>
        <v/>
      </c>
      <c r="AG376" s="7">
        <f>AF376/AD376*100</f>
        <v/>
      </c>
      <c r="AI376" s="33" t="n"/>
      <c r="AJ376" s="34">
        <f>AD376</f>
        <v/>
      </c>
      <c r="AK376" s="34">
        <f>AJ376-(AJ376*7%)</f>
        <v/>
      </c>
      <c r="AL376" s="35">
        <f>AJ376/94</f>
        <v/>
      </c>
      <c r="AM376" s="35">
        <f>AK376/94</f>
        <v/>
      </c>
      <c r="AN376" s="36">
        <f>AJ376/24</f>
        <v/>
      </c>
      <c r="AO376" s="36">
        <f>AK376/24</f>
        <v/>
      </c>
      <c r="AP376" s="37">
        <f>AJ376/125</f>
        <v/>
      </c>
      <c r="AQ376" s="37">
        <f>AK376/125</f>
        <v/>
      </c>
    </row>
    <row r="377" ht="15" customHeight="1" s="50">
      <c r="A377" s="32" t="inlineStr">
        <is>
          <t>Grooved, Hammered &amp; Plain Copper Bottle</t>
        </is>
      </c>
      <c r="B377" s="32" t="inlineStr">
        <is>
          <t>Gold / Curved / With Brush</t>
        </is>
      </c>
      <c r="C377" s="32" t="inlineStr">
        <is>
          <t>CB-CP-B</t>
        </is>
      </c>
      <c r="D377" s="32" t="n">
        <v>510</v>
      </c>
      <c r="E377" s="32" t="n">
        <v>50</v>
      </c>
      <c r="G377" s="32" t="n">
        <v>0</v>
      </c>
      <c r="H377" s="32" t="n">
        <v>10</v>
      </c>
      <c r="I377" s="41" t="n">
        <v>741810</v>
      </c>
      <c r="J377" s="30" t="n">
        <v>0.05</v>
      </c>
      <c r="K377" s="32">
        <f>D377*J377</f>
        <v/>
      </c>
      <c r="M377" s="32">
        <f>C377*4%</f>
        <v/>
      </c>
      <c r="N377" s="49">
        <f>M377+L377+K377+H377+G377+F377+E377+#REF!</f>
        <v/>
      </c>
      <c r="O377" s="32">
        <f>#REF!*1%</f>
        <v/>
      </c>
      <c r="P377" s="7">
        <f>N377*8%</f>
        <v/>
      </c>
      <c r="Q377" s="7">
        <f>N377*10%</f>
        <v/>
      </c>
      <c r="R377" s="7">
        <f>N377*5%</f>
        <v/>
      </c>
      <c r="S377" s="7">
        <f>N377*2%</f>
        <v/>
      </c>
      <c r="T377" s="7">
        <f>AE377*0.5%</f>
        <v/>
      </c>
      <c r="U377" s="7">
        <f>N377*1%</f>
        <v/>
      </c>
      <c r="V377" s="49">
        <f>U377+S377+R377+Q377+P377+O377</f>
        <v/>
      </c>
      <c r="W377" s="32">
        <f>AE377*1%</f>
        <v/>
      </c>
      <c r="X377" s="32">
        <f>AE377*10%</f>
        <v/>
      </c>
      <c r="Y377" s="32">
        <f>AE377*1%</f>
        <v/>
      </c>
      <c r="Z377" s="32">
        <f>AE377*8%</f>
        <v/>
      </c>
      <c r="AA377" s="32">
        <f>W377+X377+Y377+Z377</f>
        <v/>
      </c>
      <c r="AB377" s="31">
        <f>AA377+V377+N377</f>
        <v/>
      </c>
      <c r="AC377" s="6">
        <f>AB377*20%</f>
        <v/>
      </c>
      <c r="AD377" s="32">
        <f>AB377+AC377</f>
        <v/>
      </c>
      <c r="AE377" s="32">
        <f>D377*2.1</f>
        <v/>
      </c>
      <c r="AF377" s="7">
        <f>AD377-AE377</f>
        <v/>
      </c>
      <c r="AG377" s="7">
        <f>AF377/AD377*100</f>
        <v/>
      </c>
      <c r="AH377" s="0" t="n">
        <v>1199</v>
      </c>
      <c r="AI377" s="33" t="n">
        <v>689</v>
      </c>
      <c r="AJ377" s="34">
        <f>AD377</f>
        <v/>
      </c>
      <c r="AK377" s="34">
        <f>AJ377-(AJ377*7%)</f>
        <v/>
      </c>
      <c r="AL377" s="35">
        <f>AJ377/94</f>
        <v/>
      </c>
      <c r="AM377" s="35">
        <f>AK377/94</f>
        <v/>
      </c>
      <c r="AN377" s="36">
        <f>AJ377/24</f>
        <v/>
      </c>
      <c r="AO377" s="36">
        <f>AK377/24</f>
        <v/>
      </c>
      <c r="AP377" s="37">
        <f>AJ377/125</f>
        <v/>
      </c>
      <c r="AQ377" s="37">
        <f>AK377/125</f>
        <v/>
      </c>
    </row>
    <row r="378" ht="15.75" customHeight="1" s="50">
      <c r="A378" s="32" t="n"/>
      <c r="B378" s="32" t="inlineStr">
        <is>
          <t>Diamond Groove / Without Brush / Gold</t>
        </is>
      </c>
      <c r="C378" s="32" t="inlineStr">
        <is>
          <t>CB-CDG</t>
        </is>
      </c>
      <c r="D378" s="32" t="n">
        <v>510</v>
      </c>
      <c r="G378" s="32" t="n">
        <v>0</v>
      </c>
      <c r="H378" s="32" t="n">
        <v>10</v>
      </c>
      <c r="I378" s="41" t="n">
        <v>741810</v>
      </c>
      <c r="J378" s="30" t="n">
        <v>0.05</v>
      </c>
      <c r="K378" s="32">
        <f>D378*J378</f>
        <v/>
      </c>
      <c r="M378" s="32">
        <f>C378*4%</f>
        <v/>
      </c>
      <c r="N378" s="49">
        <f>M378+L378+K378+H378+G378+F378+E378+#REF!</f>
        <v/>
      </c>
      <c r="O378" s="32">
        <f>#REF!*1%</f>
        <v/>
      </c>
      <c r="P378" s="7">
        <f>N378*8%</f>
        <v/>
      </c>
      <c r="Q378" s="7">
        <f>N378*10%</f>
        <v/>
      </c>
      <c r="R378" s="7">
        <f>N378*5%</f>
        <v/>
      </c>
      <c r="S378" s="7">
        <f>N378*2%</f>
        <v/>
      </c>
      <c r="T378" s="7">
        <f>AE378*0.5%</f>
        <v/>
      </c>
      <c r="U378" s="7">
        <f>N378*1%</f>
        <v/>
      </c>
      <c r="V378" s="49">
        <f>U378+S378+R378+Q378+P378+O378</f>
        <v/>
      </c>
      <c r="W378" s="32">
        <f>AE378*1%</f>
        <v/>
      </c>
      <c r="X378" s="32">
        <f>AE378*10%</f>
        <v/>
      </c>
      <c r="Y378" s="32">
        <f>AE378*1%</f>
        <v/>
      </c>
      <c r="Z378" s="32">
        <f>AE378*8%</f>
        <v/>
      </c>
      <c r="AA378" s="32">
        <f>W378+X378+Y378+Z378</f>
        <v/>
      </c>
      <c r="AB378" s="31">
        <f>AA378+V378+N378</f>
        <v/>
      </c>
      <c r="AC378" s="6">
        <f>AB378*20%</f>
        <v/>
      </c>
      <c r="AD378" s="32">
        <f>AB378+AC378</f>
        <v/>
      </c>
      <c r="AE378" s="32">
        <f>D378*2.1</f>
        <v/>
      </c>
      <c r="AF378" s="7">
        <f>AD378-AE378</f>
        <v/>
      </c>
      <c r="AG378" s="7">
        <f>AF378/AD378*100</f>
        <v/>
      </c>
      <c r="AH378" s="0" t="n">
        <v>1099</v>
      </c>
      <c r="AI378" s="33" t="n">
        <v>589</v>
      </c>
      <c r="AJ378" s="34">
        <f>AD378</f>
        <v/>
      </c>
      <c r="AK378" s="34">
        <f>AJ378-(AJ378*7%)</f>
        <v/>
      </c>
      <c r="AL378" s="35">
        <f>AJ378/94</f>
        <v/>
      </c>
      <c r="AM378" s="35">
        <f>AK378/94</f>
        <v/>
      </c>
      <c r="AN378" s="36">
        <f>AJ378/24</f>
        <v/>
      </c>
      <c r="AO378" s="36">
        <f>AK378/24</f>
        <v/>
      </c>
      <c r="AP378" s="37">
        <f>AJ378/125</f>
        <v/>
      </c>
      <c r="AQ378" s="37">
        <f>AK378/125</f>
        <v/>
      </c>
    </row>
    <row r="379" ht="15.75" customHeight="1" s="50">
      <c r="A379" s="32" t="n"/>
      <c r="B379" s="32" t="inlineStr">
        <is>
          <t>Diamond Groove / Gold / With Brush</t>
        </is>
      </c>
      <c r="C379" s="32" t="inlineStr">
        <is>
          <t>CB-CDG-B</t>
        </is>
      </c>
      <c r="D379" s="32" t="n">
        <v>510</v>
      </c>
      <c r="E379" s="32" t="n">
        <v>50</v>
      </c>
      <c r="G379" s="32" t="n">
        <v>0</v>
      </c>
      <c r="H379" s="32" t="n">
        <v>10</v>
      </c>
      <c r="I379" s="41" t="n">
        <v>741810</v>
      </c>
      <c r="J379" s="30" t="n">
        <v>0.05</v>
      </c>
      <c r="K379" s="32">
        <f>D379*J379</f>
        <v/>
      </c>
      <c r="M379" s="32">
        <f>C379*4%</f>
        <v/>
      </c>
      <c r="N379" s="49">
        <f>M379+L379+K379+H379+G379+F379+E379+#REF!</f>
        <v/>
      </c>
      <c r="O379" s="32">
        <f>#REF!*1%</f>
        <v/>
      </c>
      <c r="P379" s="7">
        <f>N379*8%</f>
        <v/>
      </c>
      <c r="Q379" s="7">
        <f>N379*10%</f>
        <v/>
      </c>
      <c r="R379" s="7">
        <f>N379*5%</f>
        <v/>
      </c>
      <c r="S379" s="7">
        <f>N379*2%</f>
        <v/>
      </c>
      <c r="T379" s="7">
        <f>AE379*0.5%</f>
        <v/>
      </c>
      <c r="U379" s="7">
        <f>N379*1%</f>
        <v/>
      </c>
      <c r="V379" s="49">
        <f>U379+S379+R379+Q379+P379+O379</f>
        <v/>
      </c>
      <c r="W379" s="32">
        <f>AE379*1%</f>
        <v/>
      </c>
      <c r="X379" s="32">
        <f>AE379*10%</f>
        <v/>
      </c>
      <c r="Y379" s="32">
        <f>AE379*1%</f>
        <v/>
      </c>
      <c r="Z379" s="32">
        <f>AE379*8%</f>
        <v/>
      </c>
      <c r="AA379" s="32">
        <f>W379+X379+Y379+Z379</f>
        <v/>
      </c>
      <c r="AB379" s="31">
        <f>AA379+V379+N379</f>
        <v/>
      </c>
      <c r="AC379" s="6">
        <f>AB379*20%</f>
        <v/>
      </c>
      <c r="AD379" s="32">
        <f>AB379+AC379</f>
        <v/>
      </c>
      <c r="AE379" s="32">
        <f>D379*2.1</f>
        <v/>
      </c>
      <c r="AF379" s="7">
        <f>AD379-AE379</f>
        <v/>
      </c>
      <c r="AG379" s="7">
        <f>AF379/AD379*100</f>
        <v/>
      </c>
      <c r="AH379" s="0" t="n">
        <v>1199</v>
      </c>
      <c r="AI379" s="33" t="n">
        <v>689</v>
      </c>
      <c r="AJ379" s="34">
        <f>AD379</f>
        <v/>
      </c>
      <c r="AK379" s="34">
        <f>AJ379-(AJ379*7%)</f>
        <v/>
      </c>
      <c r="AL379" s="35">
        <f>AJ379/94</f>
        <v/>
      </c>
      <c r="AM379" s="35">
        <f>AK379/94</f>
        <v/>
      </c>
      <c r="AN379" s="36">
        <f>AJ379/24</f>
        <v/>
      </c>
      <c r="AO379" s="36">
        <f>AK379/24</f>
        <v/>
      </c>
      <c r="AP379" s="37">
        <f>AJ379/125</f>
        <v/>
      </c>
      <c r="AQ379" s="37">
        <f>AK379/125</f>
        <v/>
      </c>
    </row>
    <row r="380" ht="15.75" customHeight="1" s="50">
      <c r="A380" s="32" t="n"/>
      <c r="B380" s="32" t="inlineStr">
        <is>
          <t>Without Brush / Gold / Curved</t>
        </is>
      </c>
      <c r="C380" s="32" t="inlineStr">
        <is>
          <t>CB-CP</t>
        </is>
      </c>
      <c r="D380" s="32" t="n">
        <v>510</v>
      </c>
      <c r="G380" s="32" t="n">
        <v>0</v>
      </c>
      <c r="H380" s="32" t="n">
        <v>10</v>
      </c>
      <c r="I380" s="41" t="n">
        <v>741810</v>
      </c>
      <c r="J380" s="30" t="n">
        <v>0.05</v>
      </c>
      <c r="K380" s="32">
        <f>D380*J380</f>
        <v/>
      </c>
      <c r="M380" s="32">
        <f>C380*4%</f>
        <v/>
      </c>
      <c r="N380" s="49">
        <f>M380+L380+K380+H380+G380+F380+E380+#REF!</f>
        <v/>
      </c>
      <c r="O380" s="32">
        <f>#REF!*1%</f>
        <v/>
      </c>
      <c r="P380" s="7">
        <f>N380*8%</f>
        <v/>
      </c>
      <c r="Q380" s="7">
        <f>N380*10%</f>
        <v/>
      </c>
      <c r="R380" s="7">
        <f>N380*5%</f>
        <v/>
      </c>
      <c r="S380" s="7">
        <f>N380*2%</f>
        <v/>
      </c>
      <c r="T380" s="7">
        <f>AE380*0.5%</f>
        <v/>
      </c>
      <c r="U380" s="7">
        <f>N380*1%</f>
        <v/>
      </c>
      <c r="V380" s="49">
        <f>U380+S380+R380+Q380+P380+O380</f>
        <v/>
      </c>
      <c r="W380" s="32">
        <f>AE380*1%</f>
        <v/>
      </c>
      <c r="X380" s="32">
        <f>AE380*10%</f>
        <v/>
      </c>
      <c r="Y380" s="32">
        <f>AE380*1%</f>
        <v/>
      </c>
      <c r="Z380" s="32">
        <f>AE380*8%</f>
        <v/>
      </c>
      <c r="AA380" s="32">
        <f>W380+X380+Y380+Z380</f>
        <v/>
      </c>
      <c r="AB380" s="31">
        <f>AA380+V380+N380</f>
        <v/>
      </c>
      <c r="AC380" s="6">
        <f>AB380*20%</f>
        <v/>
      </c>
      <c r="AD380" s="32">
        <f>AB380+AC380</f>
        <v/>
      </c>
      <c r="AE380" s="32">
        <f>D380*2.1</f>
        <v/>
      </c>
      <c r="AF380" s="7">
        <f>AD380-AE380</f>
        <v/>
      </c>
      <c r="AG380" s="7">
        <f>AF380/AD380*100</f>
        <v/>
      </c>
      <c r="AH380" s="0" t="n">
        <v>1099</v>
      </c>
      <c r="AI380" s="33" t="n">
        <v>589</v>
      </c>
      <c r="AJ380" s="34">
        <f>AD380</f>
        <v/>
      </c>
      <c r="AK380" s="34">
        <f>AJ380-(AJ380*7%)</f>
        <v/>
      </c>
      <c r="AL380" s="35">
        <f>AJ380/94</f>
        <v/>
      </c>
      <c r="AM380" s="35">
        <f>AK380/94</f>
        <v/>
      </c>
      <c r="AN380" s="36">
        <f>AJ380/24</f>
        <v/>
      </c>
      <c r="AO380" s="36">
        <f>AK380/24</f>
        <v/>
      </c>
      <c r="AP380" s="37">
        <f>AJ380/125</f>
        <v/>
      </c>
      <c r="AQ380" s="37">
        <f>AK380/125</f>
        <v/>
      </c>
    </row>
    <row r="381" ht="15.75" customHeight="1" s="50">
      <c r="A381" s="32" t="n"/>
      <c r="B381" s="32" t="inlineStr">
        <is>
          <t>Without Brush / Gold / Hammered</t>
        </is>
      </c>
      <c r="C381" s="32" t="inlineStr">
        <is>
          <t>CB-CPH</t>
        </is>
      </c>
      <c r="D381" s="32" t="n">
        <v>510</v>
      </c>
      <c r="G381" s="32" t="n">
        <v>0</v>
      </c>
      <c r="H381" s="32" t="n">
        <v>10</v>
      </c>
      <c r="I381" s="41" t="n">
        <v>741810</v>
      </c>
      <c r="J381" s="30" t="n">
        <v>0.05</v>
      </c>
      <c r="K381" s="32">
        <f>D381*J381</f>
        <v/>
      </c>
      <c r="M381" s="32">
        <f>C381*4%</f>
        <v/>
      </c>
      <c r="N381" s="49">
        <f>M381+L381+K381+H381+G381+F381+E381+#REF!</f>
        <v/>
      </c>
      <c r="O381" s="32">
        <f>#REF!*1%</f>
        <v/>
      </c>
      <c r="P381" s="7">
        <f>N381*8%</f>
        <v/>
      </c>
      <c r="Q381" s="7">
        <f>N381*10%</f>
        <v/>
      </c>
      <c r="R381" s="7">
        <f>N381*5%</f>
        <v/>
      </c>
      <c r="S381" s="7">
        <f>N381*2%</f>
        <v/>
      </c>
      <c r="T381" s="7">
        <f>AE381*0.5%</f>
        <v/>
      </c>
      <c r="U381" s="7">
        <f>N381*1%</f>
        <v/>
      </c>
      <c r="V381" s="49">
        <f>U381+S381+R381+Q381+P381+O381</f>
        <v/>
      </c>
      <c r="W381" s="32">
        <f>AE381*1%</f>
        <v/>
      </c>
      <c r="X381" s="32">
        <f>AE381*10%</f>
        <v/>
      </c>
      <c r="Y381" s="32">
        <f>AE381*1%</f>
        <v/>
      </c>
      <c r="Z381" s="32">
        <f>AE381*8%</f>
        <v/>
      </c>
      <c r="AA381" s="32">
        <f>W381+X381+Y381+Z381</f>
        <v/>
      </c>
      <c r="AB381" s="31">
        <f>AA381+V381+N381</f>
        <v/>
      </c>
      <c r="AC381" s="6">
        <f>AB381*20%</f>
        <v/>
      </c>
      <c r="AD381" s="32">
        <f>AB381+AC381</f>
        <v/>
      </c>
      <c r="AE381" s="32">
        <f>D381*2.1</f>
        <v/>
      </c>
      <c r="AF381" s="7">
        <f>AD381-AE381</f>
        <v/>
      </c>
      <c r="AG381" s="7">
        <f>AF381/AD381*100</f>
        <v/>
      </c>
      <c r="AH381" s="0" t="n">
        <v>1099</v>
      </c>
      <c r="AI381" s="33" t="n">
        <v>589</v>
      </c>
      <c r="AJ381" s="34">
        <f>AD381</f>
        <v/>
      </c>
      <c r="AK381" s="34">
        <f>AJ381-(AJ381*7%)</f>
        <v/>
      </c>
      <c r="AL381" s="35">
        <f>AJ381/94</f>
        <v/>
      </c>
      <c r="AM381" s="35">
        <f>AK381/94</f>
        <v/>
      </c>
      <c r="AN381" s="36">
        <f>AJ381/24</f>
        <v/>
      </c>
      <c r="AO381" s="36">
        <f>AK381/24</f>
        <v/>
      </c>
      <c r="AP381" s="37">
        <f>AJ381/125</f>
        <v/>
      </c>
      <c r="AQ381" s="37">
        <f>AK381/125</f>
        <v/>
      </c>
    </row>
    <row r="382" ht="15.75" customHeight="1" s="50">
      <c r="A382" s="32" t="n"/>
      <c r="B382" s="32" t="inlineStr">
        <is>
          <t>Gold / Hammered / With Brush</t>
        </is>
      </c>
      <c r="C382" s="32" t="inlineStr">
        <is>
          <t>CB-CPH-B</t>
        </is>
      </c>
      <c r="D382" s="32" t="n">
        <v>510</v>
      </c>
      <c r="E382" s="32" t="n">
        <v>50</v>
      </c>
      <c r="G382" s="32" t="n">
        <v>0</v>
      </c>
      <c r="H382" s="32" t="n">
        <v>10</v>
      </c>
      <c r="I382" s="41" t="n">
        <v>741810</v>
      </c>
      <c r="J382" s="30" t="n">
        <v>0.05</v>
      </c>
      <c r="K382" s="32">
        <f>D382*J382</f>
        <v/>
      </c>
      <c r="M382" s="32">
        <f>C382*4%</f>
        <v/>
      </c>
      <c r="N382" s="49">
        <f>M382+L382+K382+H382+G382+F382+E382+#REF!</f>
        <v/>
      </c>
      <c r="O382" s="32">
        <f>#REF!*1%</f>
        <v/>
      </c>
      <c r="P382" s="7">
        <f>N382*8%</f>
        <v/>
      </c>
      <c r="Q382" s="7">
        <f>N382*10%</f>
        <v/>
      </c>
      <c r="R382" s="7">
        <f>N382*5%</f>
        <v/>
      </c>
      <c r="S382" s="7">
        <f>N382*2%</f>
        <v/>
      </c>
      <c r="T382" s="7">
        <f>AE382*0.5%</f>
        <v/>
      </c>
      <c r="U382" s="7">
        <f>N382*1%</f>
        <v/>
      </c>
      <c r="V382" s="49">
        <f>U382+S382+R382+Q382+P382+O382</f>
        <v/>
      </c>
      <c r="W382" s="32">
        <f>AE382*1%</f>
        <v/>
      </c>
      <c r="X382" s="32">
        <f>AE382*10%</f>
        <v/>
      </c>
      <c r="Y382" s="32">
        <f>AE382*1%</f>
        <v/>
      </c>
      <c r="Z382" s="32">
        <f>AE382*8%</f>
        <v/>
      </c>
      <c r="AA382" s="32">
        <f>W382+X382+Y382+Z382</f>
        <v/>
      </c>
      <c r="AB382" s="31">
        <f>AA382+V382+N382</f>
        <v/>
      </c>
      <c r="AC382" s="6">
        <f>AB382*20%</f>
        <v/>
      </c>
      <c r="AD382" s="32">
        <f>AB382+AC382</f>
        <v/>
      </c>
      <c r="AE382" s="32">
        <f>D382*2.1</f>
        <v/>
      </c>
      <c r="AF382" s="7">
        <f>AD382-AE382</f>
        <v/>
      </c>
      <c r="AG382" s="7">
        <f>AF382/AD382*100</f>
        <v/>
      </c>
      <c r="AH382" s="0" t="n">
        <v>1199</v>
      </c>
      <c r="AI382" s="33" t="n">
        <v>689</v>
      </c>
      <c r="AJ382" s="34">
        <f>AD382</f>
        <v/>
      </c>
      <c r="AK382" s="34">
        <f>AJ382-(AJ382*7%)</f>
        <v/>
      </c>
      <c r="AL382" s="35">
        <f>AJ382/94</f>
        <v/>
      </c>
      <c r="AM382" s="35">
        <f>AK382/94</f>
        <v/>
      </c>
      <c r="AN382" s="36">
        <f>AJ382/24</f>
        <v/>
      </c>
      <c r="AO382" s="36">
        <f>AK382/24</f>
        <v/>
      </c>
      <c r="AP382" s="37">
        <f>AJ382/125</f>
        <v/>
      </c>
      <c r="AQ382" s="37">
        <f>AK382/125</f>
        <v/>
      </c>
    </row>
    <row r="383" ht="15.75" customHeight="1" s="50">
      <c r="A383" s="32" t="n"/>
      <c r="B383" s="32" t="inlineStr">
        <is>
          <t>Without Brush / Curved / Vintage</t>
        </is>
      </c>
      <c r="C383" s="32" t="inlineStr">
        <is>
          <t>CB-CV</t>
        </is>
      </c>
      <c r="D383" s="32" t="n">
        <v>520</v>
      </c>
      <c r="G383" s="32" t="n">
        <v>0</v>
      </c>
      <c r="H383" s="32" t="n">
        <v>10</v>
      </c>
      <c r="I383" s="41" t="n">
        <v>741810</v>
      </c>
      <c r="J383" s="30" t="n">
        <v>0.05</v>
      </c>
      <c r="K383" s="32">
        <f>D383*J383</f>
        <v/>
      </c>
      <c r="M383" s="32">
        <f>C383*4%</f>
        <v/>
      </c>
      <c r="N383" s="49">
        <f>M383+L383+K383+H383+G383+F383+E383+#REF!</f>
        <v/>
      </c>
      <c r="O383" s="32">
        <f>#REF!*1%</f>
        <v/>
      </c>
      <c r="P383" s="7">
        <f>N383*8%</f>
        <v/>
      </c>
      <c r="Q383" s="7">
        <f>N383*10%</f>
        <v/>
      </c>
      <c r="R383" s="7">
        <f>N383*5%</f>
        <v/>
      </c>
      <c r="S383" s="7">
        <f>N383*2%</f>
        <v/>
      </c>
      <c r="T383" s="7">
        <f>AE383*0.5%</f>
        <v/>
      </c>
      <c r="U383" s="7">
        <f>N383*1%</f>
        <v/>
      </c>
      <c r="V383" s="49">
        <f>U383+S383+R383+Q383+P383+O383</f>
        <v/>
      </c>
      <c r="W383" s="32">
        <f>AE383*1%</f>
        <v/>
      </c>
      <c r="X383" s="32">
        <f>AE383*10%</f>
        <v/>
      </c>
      <c r="Y383" s="32">
        <f>AE383*1%</f>
        <v/>
      </c>
      <c r="Z383" s="32">
        <f>AE383*8%</f>
        <v/>
      </c>
      <c r="AA383" s="32">
        <f>W383+X383+Y383+Z383</f>
        <v/>
      </c>
      <c r="AB383" s="31">
        <f>AA383+V383+N383</f>
        <v/>
      </c>
      <c r="AC383" s="6">
        <f>AB383*20%</f>
        <v/>
      </c>
      <c r="AD383" s="32">
        <f>AB383+AC383</f>
        <v/>
      </c>
      <c r="AE383" s="32">
        <f>D383*2.1</f>
        <v/>
      </c>
      <c r="AF383" s="7">
        <f>AD383-AE383</f>
        <v/>
      </c>
      <c r="AG383" s="7">
        <f>AF383/AD383*100</f>
        <v/>
      </c>
      <c r="AH383" s="0" t="n">
        <v>1099</v>
      </c>
      <c r="AI383" s="33" t="n">
        <v>579</v>
      </c>
      <c r="AJ383" s="34">
        <f>AD383</f>
        <v/>
      </c>
      <c r="AK383" s="34">
        <f>AJ383-(AJ383*7%)</f>
        <v/>
      </c>
      <c r="AL383" s="35">
        <f>AJ383/94</f>
        <v/>
      </c>
      <c r="AM383" s="35">
        <f>AK383/94</f>
        <v/>
      </c>
      <c r="AN383" s="36">
        <f>AJ383/24</f>
        <v/>
      </c>
      <c r="AO383" s="36">
        <f>AK383/24</f>
        <v/>
      </c>
      <c r="AP383" s="37">
        <f>AJ383/125</f>
        <v/>
      </c>
      <c r="AQ383" s="37">
        <f>AK383/125</f>
        <v/>
      </c>
    </row>
    <row r="384" ht="15.75" customHeight="1" s="50">
      <c r="A384" s="32" t="n"/>
      <c r="B384" s="32" t="inlineStr">
        <is>
          <t>Without Brush / Curved / Vintage</t>
        </is>
      </c>
      <c r="C384" s="32" t="inlineStr">
        <is>
          <t>CB-CV-B</t>
        </is>
      </c>
      <c r="D384" s="32" t="n">
        <v>520</v>
      </c>
      <c r="G384" s="32" t="n">
        <v>0</v>
      </c>
      <c r="H384" s="32" t="n">
        <v>10</v>
      </c>
      <c r="I384" s="41" t="n">
        <v>741810</v>
      </c>
      <c r="J384" s="30" t="n">
        <v>0.05</v>
      </c>
      <c r="K384" s="32">
        <f>D384*J384</f>
        <v/>
      </c>
      <c r="M384" s="32">
        <f>C384*4%</f>
        <v/>
      </c>
      <c r="N384" s="49">
        <f>M384+L384+K384+H384+G384+F384+E384+#REF!</f>
        <v/>
      </c>
      <c r="O384" s="32">
        <f>#REF!*1%</f>
        <v/>
      </c>
      <c r="P384" s="7">
        <f>N384*8%</f>
        <v/>
      </c>
      <c r="Q384" s="7">
        <f>N384*10%</f>
        <v/>
      </c>
      <c r="R384" s="7">
        <f>N384*5%</f>
        <v/>
      </c>
      <c r="S384" s="7">
        <f>N384*2%</f>
        <v/>
      </c>
      <c r="T384" s="7">
        <f>AE384*0.5%</f>
        <v/>
      </c>
      <c r="U384" s="7">
        <f>N384*1%</f>
        <v/>
      </c>
      <c r="V384" s="49">
        <f>U384+S384+R384+Q384+P384+O384</f>
        <v/>
      </c>
      <c r="W384" s="32">
        <f>AE384*1%</f>
        <v/>
      </c>
      <c r="X384" s="32">
        <f>AE384*10%</f>
        <v/>
      </c>
      <c r="Y384" s="32">
        <f>AE384*1%</f>
        <v/>
      </c>
      <c r="Z384" s="32">
        <f>AE384*8%</f>
        <v/>
      </c>
      <c r="AA384" s="32">
        <f>W384+X384+Y384+Z384</f>
        <v/>
      </c>
      <c r="AB384" s="31">
        <f>AA384+V384+N384</f>
        <v/>
      </c>
      <c r="AC384" s="6">
        <f>AB384*20%</f>
        <v/>
      </c>
      <c r="AD384" s="32">
        <f>AB384+AC384</f>
        <v/>
      </c>
      <c r="AE384" s="32">
        <f>D384*2.1</f>
        <v/>
      </c>
      <c r="AF384" s="7">
        <f>AD384-AE384</f>
        <v/>
      </c>
      <c r="AG384" s="7">
        <f>AF384/AD384*100</f>
        <v/>
      </c>
      <c r="AH384" s="0" t="n">
        <v>1199</v>
      </c>
      <c r="AI384" s="33" t="n">
        <v>679</v>
      </c>
      <c r="AJ384" s="34">
        <f>AD384</f>
        <v/>
      </c>
      <c r="AK384" s="34">
        <f>AJ384-(AJ384*7%)</f>
        <v/>
      </c>
      <c r="AL384" s="35">
        <f>AJ384/94</f>
        <v/>
      </c>
      <c r="AM384" s="35">
        <f>AK384/94</f>
        <v/>
      </c>
      <c r="AN384" s="36">
        <f>AJ384/24</f>
        <v/>
      </c>
      <c r="AO384" s="36">
        <f>AK384/24</f>
        <v/>
      </c>
      <c r="AP384" s="37">
        <f>AJ384/125</f>
        <v/>
      </c>
      <c r="AQ384" s="37">
        <f>AK384/125</f>
        <v/>
      </c>
    </row>
    <row r="385" ht="15.75" customHeight="1" s="50">
      <c r="A385" s="32" t="n"/>
      <c r="B385" s="32" t="inlineStr">
        <is>
          <t>Diamond Groove / Without Brush / Vintage</t>
        </is>
      </c>
      <c r="C385" s="32" t="inlineStr">
        <is>
          <t>CB-CVDG</t>
        </is>
      </c>
      <c r="D385" s="32" t="n">
        <v>510</v>
      </c>
      <c r="G385" s="32" t="n">
        <v>0</v>
      </c>
      <c r="H385" s="32" t="n">
        <v>10</v>
      </c>
      <c r="I385" s="41" t="n">
        <v>741810</v>
      </c>
      <c r="J385" s="30" t="n">
        <v>0.05</v>
      </c>
      <c r="K385" s="32">
        <f>D385*J385</f>
        <v/>
      </c>
      <c r="M385" s="32">
        <f>C385*4%</f>
        <v/>
      </c>
      <c r="N385" s="49">
        <f>M385+L385+K385+H385+G385+F385+E385+#REF!</f>
        <v/>
      </c>
      <c r="O385" s="32">
        <f>#REF!*1%</f>
        <v/>
      </c>
      <c r="P385" s="7">
        <f>N385*8%</f>
        <v/>
      </c>
      <c r="Q385" s="7">
        <f>N385*10%</f>
        <v/>
      </c>
      <c r="R385" s="7">
        <f>N385*5%</f>
        <v/>
      </c>
      <c r="S385" s="7">
        <f>N385*2%</f>
        <v/>
      </c>
      <c r="T385" s="7">
        <f>AE385*0.5%</f>
        <v/>
      </c>
      <c r="U385" s="7">
        <f>N385*1%</f>
        <v/>
      </c>
      <c r="V385" s="49">
        <f>U385+S385+R385+Q385+P385+O385</f>
        <v/>
      </c>
      <c r="W385" s="32">
        <f>AE385*1%</f>
        <v/>
      </c>
      <c r="X385" s="32">
        <f>AE385*10%</f>
        <v/>
      </c>
      <c r="Y385" s="32">
        <f>AE385*1%</f>
        <v/>
      </c>
      <c r="Z385" s="32">
        <f>AE385*8%</f>
        <v/>
      </c>
      <c r="AA385" s="32">
        <f>W385+X385+Y385+Z385</f>
        <v/>
      </c>
      <c r="AB385" s="31">
        <f>AA385+V385+N385</f>
        <v/>
      </c>
      <c r="AC385" s="6">
        <f>AB385*20%</f>
        <v/>
      </c>
      <c r="AD385" s="32">
        <f>AB385+AC385</f>
        <v/>
      </c>
      <c r="AE385" s="32">
        <f>D385*2.1</f>
        <v/>
      </c>
      <c r="AF385" s="7">
        <f>AD385-AE385</f>
        <v/>
      </c>
      <c r="AG385" s="7">
        <f>AF385/AD385*100</f>
        <v/>
      </c>
      <c r="AH385" s="0" t="n">
        <v>1099</v>
      </c>
      <c r="AI385" s="33" t="n">
        <v>589</v>
      </c>
      <c r="AJ385" s="34">
        <f>AD385</f>
        <v/>
      </c>
      <c r="AK385" s="34">
        <f>AJ385-(AJ385*7%)</f>
        <v/>
      </c>
      <c r="AL385" s="35">
        <f>AJ385/94</f>
        <v/>
      </c>
      <c r="AM385" s="35">
        <f>AK385/94</f>
        <v/>
      </c>
      <c r="AN385" s="36">
        <f>AJ385/24</f>
        <v/>
      </c>
      <c r="AO385" s="36">
        <f>AK385/24</f>
        <v/>
      </c>
      <c r="AP385" s="37">
        <f>AJ385/125</f>
        <v/>
      </c>
      <c r="AQ385" s="37">
        <f>AK385/125</f>
        <v/>
      </c>
    </row>
    <row r="386" ht="15.75" customHeight="1" s="50">
      <c r="A386" s="32" t="n"/>
      <c r="B386" s="32" t="inlineStr">
        <is>
          <t>Diamond Groove / Vintage / With Brush</t>
        </is>
      </c>
      <c r="C386" s="32" t="inlineStr">
        <is>
          <t>CB-CVDG-B</t>
        </is>
      </c>
      <c r="D386" s="32" t="n">
        <v>520</v>
      </c>
      <c r="E386" s="32" t="n">
        <v>50</v>
      </c>
      <c r="G386" s="32" t="n">
        <v>0</v>
      </c>
      <c r="H386" s="32" t="n">
        <v>10</v>
      </c>
      <c r="I386" s="41" t="n">
        <v>741810</v>
      </c>
      <c r="J386" s="30" t="n">
        <v>0.05</v>
      </c>
      <c r="K386" s="32">
        <f>D386*J386</f>
        <v/>
      </c>
      <c r="M386" s="32">
        <f>C386*4%</f>
        <v/>
      </c>
      <c r="N386" s="49">
        <f>M386+L386+K386+H386+G386+F386+E386+#REF!</f>
        <v/>
      </c>
      <c r="O386" s="32">
        <f>#REF!*1%</f>
        <v/>
      </c>
      <c r="P386" s="7">
        <f>N386*8%</f>
        <v/>
      </c>
      <c r="Q386" s="7">
        <f>N386*10%</f>
        <v/>
      </c>
      <c r="R386" s="7">
        <f>N386*5%</f>
        <v/>
      </c>
      <c r="S386" s="7">
        <f>N386*2%</f>
        <v/>
      </c>
      <c r="T386" s="7">
        <f>AE386*0.5%</f>
        <v/>
      </c>
      <c r="U386" s="7">
        <f>N386*1%</f>
        <v/>
      </c>
      <c r="V386" s="49">
        <f>U386+S386+R386+Q386+P386+O386</f>
        <v/>
      </c>
      <c r="W386" s="32">
        <f>AE386*1%</f>
        <v/>
      </c>
      <c r="X386" s="32">
        <f>AE386*10%</f>
        <v/>
      </c>
      <c r="Y386" s="32">
        <f>AE386*1%</f>
        <v/>
      </c>
      <c r="Z386" s="32">
        <f>AE386*8%</f>
        <v/>
      </c>
      <c r="AA386" s="32">
        <f>W386+X386+Y386+Z386</f>
        <v/>
      </c>
      <c r="AB386" s="31">
        <f>AA386+V386+N386</f>
        <v/>
      </c>
      <c r="AC386" s="6">
        <f>AB386*20%</f>
        <v/>
      </c>
      <c r="AD386" s="32">
        <f>AB386+AC386</f>
        <v/>
      </c>
      <c r="AE386" s="32">
        <f>D386*2.1</f>
        <v/>
      </c>
      <c r="AF386" s="7">
        <f>AD386-AE386</f>
        <v/>
      </c>
      <c r="AG386" s="7">
        <f>AF386/AD386*100</f>
        <v/>
      </c>
      <c r="AH386" s="0" t="n">
        <v>1199</v>
      </c>
      <c r="AI386" s="33" t="n">
        <v>679</v>
      </c>
      <c r="AJ386" s="34">
        <f>AD386</f>
        <v/>
      </c>
      <c r="AK386" s="34">
        <f>AJ386-(AJ386*7%)</f>
        <v/>
      </c>
      <c r="AL386" s="35">
        <f>AJ386/94</f>
        <v/>
      </c>
      <c r="AM386" s="35">
        <f>AK386/94</f>
        <v/>
      </c>
      <c r="AN386" s="36">
        <f>AJ386/24</f>
        <v/>
      </c>
      <c r="AO386" s="36">
        <f>AK386/24</f>
        <v/>
      </c>
      <c r="AP386" s="37">
        <f>AJ386/125</f>
        <v/>
      </c>
      <c r="AQ386" s="37">
        <f>AK386/125</f>
        <v/>
      </c>
    </row>
    <row r="387" ht="15.75" customHeight="1" s="50">
      <c r="A387" s="32" t="n"/>
      <c r="B387" s="32" t="inlineStr">
        <is>
          <t>Without Brush / Curved Hammered / Vintage</t>
        </is>
      </c>
      <c r="C387" s="32" t="inlineStr">
        <is>
          <t>CB-CVH</t>
        </is>
      </c>
      <c r="D387" s="32" t="n">
        <v>520</v>
      </c>
      <c r="G387" s="32" t="n">
        <v>0</v>
      </c>
      <c r="H387" s="32" t="n">
        <v>10</v>
      </c>
      <c r="I387" s="41" t="n">
        <v>741810</v>
      </c>
      <c r="J387" s="30" t="n">
        <v>0.05</v>
      </c>
      <c r="K387" s="32">
        <f>D387*J387</f>
        <v/>
      </c>
      <c r="M387" s="32">
        <f>C387*4%</f>
        <v/>
      </c>
      <c r="N387" s="49">
        <f>M387+L387+K387+H387+G387+F387+E387+#REF!</f>
        <v/>
      </c>
      <c r="O387" s="32">
        <f>#REF!*1%</f>
        <v/>
      </c>
      <c r="P387" s="7">
        <f>N387*8%</f>
        <v/>
      </c>
      <c r="Q387" s="7">
        <f>N387*10%</f>
        <v/>
      </c>
      <c r="R387" s="7">
        <f>N387*5%</f>
        <v/>
      </c>
      <c r="S387" s="7">
        <f>N387*2%</f>
        <v/>
      </c>
      <c r="T387" s="7">
        <f>AE387*0.5%</f>
        <v/>
      </c>
      <c r="U387" s="7">
        <f>N387*1%</f>
        <v/>
      </c>
      <c r="V387" s="49">
        <f>U387+S387+R387+Q387+P387+O387</f>
        <v/>
      </c>
      <c r="W387" s="32">
        <f>AE387*1%</f>
        <v/>
      </c>
      <c r="X387" s="32">
        <f>AE387*10%</f>
        <v/>
      </c>
      <c r="Y387" s="32">
        <f>AE387*1%</f>
        <v/>
      </c>
      <c r="Z387" s="32">
        <f>AE387*8%</f>
        <v/>
      </c>
      <c r="AA387" s="32">
        <f>W387+X387+Y387+Z387</f>
        <v/>
      </c>
      <c r="AB387" s="31">
        <f>AA387+V387+N387</f>
        <v/>
      </c>
      <c r="AC387" s="6">
        <f>AB387*20%</f>
        <v/>
      </c>
      <c r="AD387" s="32">
        <f>AB387+AC387</f>
        <v/>
      </c>
      <c r="AE387" s="32">
        <f>D387*2.1</f>
        <v/>
      </c>
      <c r="AF387" s="7">
        <f>AD387-AE387</f>
        <v/>
      </c>
      <c r="AG387" s="7">
        <f>AF387/AD387*100</f>
        <v/>
      </c>
      <c r="AH387" s="0" t="n">
        <v>1099</v>
      </c>
      <c r="AI387" s="33" t="n">
        <v>579</v>
      </c>
      <c r="AJ387" s="34">
        <f>AD387</f>
        <v/>
      </c>
      <c r="AK387" s="34">
        <f>AJ387-(AJ387*7%)</f>
        <v/>
      </c>
      <c r="AL387" s="35">
        <f>AJ387/94</f>
        <v/>
      </c>
      <c r="AM387" s="35">
        <f>AK387/94</f>
        <v/>
      </c>
      <c r="AN387" s="36">
        <f>AJ387/24</f>
        <v/>
      </c>
      <c r="AO387" s="36">
        <f>AK387/24</f>
        <v/>
      </c>
      <c r="AP387" s="37">
        <f>AJ387/125</f>
        <v/>
      </c>
      <c r="AQ387" s="37">
        <f>AK387/125</f>
        <v/>
      </c>
    </row>
    <row r="388" ht="15.75" customHeight="1" s="50">
      <c r="A388" s="32" t="n"/>
      <c r="B388" s="32" t="inlineStr">
        <is>
          <t>Curved Hammered / Vintage / With Brush</t>
        </is>
      </c>
      <c r="C388" s="32" t="inlineStr">
        <is>
          <t>CB-CVH-B</t>
        </is>
      </c>
      <c r="D388" s="32" t="n">
        <v>510</v>
      </c>
      <c r="G388" s="32" t="n">
        <v>0</v>
      </c>
      <c r="H388" s="32" t="n">
        <v>10</v>
      </c>
      <c r="I388" s="41" t="n">
        <v>741810</v>
      </c>
      <c r="J388" s="30" t="n">
        <v>0.05</v>
      </c>
      <c r="K388" s="32">
        <f>D388*J388</f>
        <v/>
      </c>
      <c r="M388" s="32">
        <f>C388*4%</f>
        <v/>
      </c>
      <c r="N388" s="49">
        <f>M388+L388+K388+H388+G388+F388+E388+#REF!</f>
        <v/>
      </c>
      <c r="O388" s="32">
        <f>#REF!*1%</f>
        <v/>
      </c>
      <c r="P388" s="7">
        <f>N388*8%</f>
        <v/>
      </c>
      <c r="Q388" s="7">
        <f>N388*10%</f>
        <v/>
      </c>
      <c r="R388" s="7">
        <f>N388*5%</f>
        <v/>
      </c>
      <c r="S388" s="7">
        <f>N388*2%</f>
        <v/>
      </c>
      <c r="T388" s="7">
        <f>AE388*0.5%</f>
        <v/>
      </c>
      <c r="U388" s="7">
        <f>N388*1%</f>
        <v/>
      </c>
      <c r="V388" s="49">
        <f>U388+S388+R388+Q388+P388+O388</f>
        <v/>
      </c>
      <c r="W388" s="32">
        <f>AE388*1%</f>
        <v/>
      </c>
      <c r="X388" s="32">
        <f>AE388*10%</f>
        <v/>
      </c>
      <c r="Y388" s="32">
        <f>AE388*1%</f>
        <v/>
      </c>
      <c r="Z388" s="32">
        <f>AE388*8%</f>
        <v/>
      </c>
      <c r="AA388" s="32">
        <f>W388+X388+Y388+Z388</f>
        <v/>
      </c>
      <c r="AB388" s="31">
        <f>AA388+V388+N388</f>
        <v/>
      </c>
      <c r="AC388" s="6">
        <f>AB388*20%</f>
        <v/>
      </c>
      <c r="AD388" s="32">
        <f>AB388+AC388</f>
        <v/>
      </c>
      <c r="AE388" s="32">
        <f>D388*2.1</f>
        <v/>
      </c>
      <c r="AF388" s="7">
        <f>AD388-AE388</f>
        <v/>
      </c>
      <c r="AG388" s="7">
        <f>AF388/AD388*100</f>
        <v/>
      </c>
      <c r="AH388" s="0" t="n">
        <v>1199</v>
      </c>
      <c r="AI388" s="33" t="n">
        <v>689</v>
      </c>
      <c r="AJ388" s="34">
        <f>AD388</f>
        <v/>
      </c>
      <c r="AK388" s="34">
        <f>AJ388-(AJ388*7%)</f>
        <v/>
      </c>
      <c r="AL388" s="35">
        <f>AJ388/94</f>
        <v/>
      </c>
      <c r="AM388" s="35">
        <f>AK388/94</f>
        <v/>
      </c>
      <c r="AN388" s="36">
        <f>AJ388/24</f>
        <v/>
      </c>
      <c r="AO388" s="36">
        <f>AK388/24</f>
        <v/>
      </c>
      <c r="AP388" s="37">
        <f>AJ388/125</f>
        <v/>
      </c>
      <c r="AQ388" s="37">
        <f>AK388/125</f>
        <v/>
      </c>
    </row>
    <row r="389" ht="15" customHeight="1" s="50">
      <c r="A389" s="32" t="inlineStr">
        <is>
          <t>Hammered Copper Bottle</t>
        </is>
      </c>
      <c r="B389" s="32" t="inlineStr">
        <is>
          <t>copper / without-brush</t>
        </is>
      </c>
      <c r="D389" s="32" t="n">
        <v>510</v>
      </c>
      <c r="G389" s="32" t="n">
        <v>0</v>
      </c>
      <c r="H389" s="32" t="n">
        <v>10</v>
      </c>
      <c r="I389" s="41" t="n">
        <v>741810</v>
      </c>
      <c r="J389" s="30" t="n">
        <v>0.05</v>
      </c>
      <c r="K389" s="32">
        <f>D389*J389</f>
        <v/>
      </c>
      <c r="M389" s="32">
        <f>D389*4%</f>
        <v/>
      </c>
      <c r="N389" s="49">
        <f>M389+L389+K389+H389+G389+F389+E389+#REF!</f>
        <v/>
      </c>
      <c r="O389" s="32">
        <f>#REF!*1%</f>
        <v/>
      </c>
      <c r="P389" s="7">
        <f>N389*8%</f>
        <v/>
      </c>
      <c r="Q389" s="7">
        <f>N389*10%</f>
        <v/>
      </c>
      <c r="R389" s="7">
        <f>N389*5%</f>
        <v/>
      </c>
      <c r="S389" s="7">
        <f>N389*2%</f>
        <v/>
      </c>
      <c r="T389" s="7">
        <f>AE389*0.5%</f>
        <v/>
      </c>
      <c r="U389" s="7">
        <f>N389*1%</f>
        <v/>
      </c>
      <c r="V389" s="49">
        <f>U389+S389+R389+Q389+P389+O389</f>
        <v/>
      </c>
      <c r="W389" s="32">
        <f>AE389*1%</f>
        <v/>
      </c>
      <c r="X389" s="32">
        <f>AE389*10%</f>
        <v/>
      </c>
      <c r="Y389" s="32">
        <f>AE389*1%</f>
        <v/>
      </c>
      <c r="Z389" s="32">
        <f>AE389*8%</f>
        <v/>
      </c>
      <c r="AA389" s="32">
        <f>W389+X389+Y389+Z389</f>
        <v/>
      </c>
      <c r="AB389" s="31">
        <f>AA389+V389+N389</f>
        <v/>
      </c>
      <c r="AC389" s="6">
        <f>AB389*20%</f>
        <v/>
      </c>
      <c r="AD389" s="32">
        <f>AB389+AC389</f>
        <v/>
      </c>
      <c r="AE389" s="32">
        <f>D389*2.1</f>
        <v/>
      </c>
      <c r="AF389" s="7">
        <f>AD389-AE389</f>
        <v/>
      </c>
      <c r="AG389" s="7">
        <f>AF389/AD389*100</f>
        <v/>
      </c>
      <c r="AI389" s="33" t="n"/>
      <c r="AJ389" s="34">
        <f>AD389</f>
        <v/>
      </c>
      <c r="AK389" s="34">
        <f>AJ389-(AJ389*7%)</f>
        <v/>
      </c>
      <c r="AL389" s="35">
        <f>AJ389/94</f>
        <v/>
      </c>
      <c r="AM389" s="35">
        <f>AK389/94</f>
        <v/>
      </c>
      <c r="AN389" s="36">
        <f>AJ389/24</f>
        <v/>
      </c>
      <c r="AO389" s="36">
        <f>AK389/24</f>
        <v/>
      </c>
      <c r="AP389" s="37">
        <f>AJ389/125</f>
        <v/>
      </c>
      <c r="AQ389" s="37">
        <f>AK389/125</f>
        <v/>
      </c>
    </row>
    <row r="390" ht="15.75" customHeight="1" s="50">
      <c r="A390" s="32" t="n"/>
      <c r="B390" s="32" t="inlineStr">
        <is>
          <t>with-brush / copper</t>
        </is>
      </c>
      <c r="D390" s="32" t="n">
        <v>510</v>
      </c>
      <c r="E390" s="32" t="n">
        <v>50</v>
      </c>
      <c r="G390" s="32" t="n">
        <v>0</v>
      </c>
      <c r="H390" s="32" t="n">
        <v>10</v>
      </c>
      <c r="I390" s="41" t="n">
        <v>741810</v>
      </c>
      <c r="J390" s="30" t="n">
        <v>0.05</v>
      </c>
      <c r="K390" s="32">
        <f>D390*J390</f>
        <v/>
      </c>
      <c r="M390" s="32">
        <f>D390*4%</f>
        <v/>
      </c>
      <c r="N390" s="49">
        <f>M390+L390+K390+H390+G390+F390+E390+#REF!</f>
        <v/>
      </c>
      <c r="O390" s="32">
        <f>#REF!*1%</f>
        <v/>
      </c>
      <c r="P390" s="7">
        <f>N390*8%</f>
        <v/>
      </c>
      <c r="Q390" s="7">
        <f>N390*10%</f>
        <v/>
      </c>
      <c r="R390" s="7">
        <f>N390*5%</f>
        <v/>
      </c>
      <c r="S390" s="7">
        <f>N390*2%</f>
        <v/>
      </c>
      <c r="T390" s="7">
        <f>AE390*0.5%</f>
        <v/>
      </c>
      <c r="U390" s="7">
        <f>N390*1%</f>
        <v/>
      </c>
      <c r="V390" s="49">
        <f>U390+S390+R390+Q390+P390+O390</f>
        <v/>
      </c>
      <c r="W390" s="32">
        <f>AE390*1%</f>
        <v/>
      </c>
      <c r="X390" s="32">
        <f>AE390*10%</f>
        <v/>
      </c>
      <c r="Y390" s="32">
        <f>AE390*1%</f>
        <v/>
      </c>
      <c r="Z390" s="32">
        <f>AE390*8%</f>
        <v/>
      </c>
      <c r="AA390" s="32">
        <f>W390+X390+Y390+Z390</f>
        <v/>
      </c>
      <c r="AB390" s="31">
        <f>AA390+V390+N390</f>
        <v/>
      </c>
      <c r="AC390" s="6">
        <f>AB390*20%</f>
        <v/>
      </c>
      <c r="AD390" s="32">
        <f>AB390+AC390</f>
        <v/>
      </c>
      <c r="AE390" s="32">
        <f>D390*2.1</f>
        <v/>
      </c>
      <c r="AF390" s="7">
        <f>AD390-AE390</f>
        <v/>
      </c>
      <c r="AG390" s="7">
        <f>AF390/AD390*100</f>
        <v/>
      </c>
      <c r="AI390" s="33" t="n"/>
      <c r="AJ390" s="34">
        <f>AD390</f>
        <v/>
      </c>
      <c r="AK390" s="34">
        <f>AJ390-(AJ390*7%)</f>
        <v/>
      </c>
      <c r="AL390" s="35">
        <f>AJ390/94</f>
        <v/>
      </c>
      <c r="AM390" s="35">
        <f>AK390/94</f>
        <v/>
      </c>
      <c r="AN390" s="36">
        <f>AJ390/24</f>
        <v/>
      </c>
      <c r="AO390" s="36">
        <f>AK390/24</f>
        <v/>
      </c>
      <c r="AP390" s="37">
        <f>AJ390/125</f>
        <v/>
      </c>
      <c r="AQ390" s="37">
        <f>AK390/125</f>
        <v/>
      </c>
    </row>
    <row r="391" ht="15" customHeight="1" s="50">
      <c r="A391" s="32" t="inlineStr">
        <is>
          <t>Handcrafted Set of 7 Bowls for Sound Therapy</t>
        </is>
      </c>
      <c r="B391" s="32" t="inlineStr">
        <is>
          <t>Full Moon / Large-Octave 2</t>
        </is>
      </c>
      <c r="C391" s="32" t="inlineStr">
        <is>
          <t>MI-SB-7C Set-L-FM</t>
        </is>
      </c>
      <c r="D391" s="32" t="inlineStr">
        <is>
          <t>Prasonjit</t>
        </is>
      </c>
      <c r="E391" s="32" t="n">
        <v>525</v>
      </c>
      <c r="F391" s="32" t="n">
        <v>720</v>
      </c>
      <c r="G391" s="32" t="n">
        <v>0</v>
      </c>
      <c r="H391" s="32" t="n">
        <v>10</v>
      </c>
      <c r="I391" s="41" t="n">
        <v>83061000</v>
      </c>
      <c r="J391" s="30" t="n">
        <v>0.05</v>
      </c>
      <c r="K391" s="32">
        <f>D391*J391</f>
        <v/>
      </c>
      <c r="M391" s="32">
        <f>C391*4%</f>
        <v/>
      </c>
      <c r="N391" s="49">
        <f>M391+L391+K391+H391+G391+F391+E391+#REF!</f>
        <v/>
      </c>
      <c r="O391" s="32">
        <f>#REF!*1%</f>
        <v/>
      </c>
      <c r="P391" s="7">
        <f>N391*8%</f>
        <v/>
      </c>
      <c r="Q391" s="7">
        <f>N391*10%</f>
        <v/>
      </c>
      <c r="R391" s="7">
        <f>N391*5%</f>
        <v/>
      </c>
      <c r="S391" s="7">
        <f>N391*2%</f>
        <v/>
      </c>
      <c r="T391" s="7">
        <f>AE391*0.5%</f>
        <v/>
      </c>
      <c r="U391" s="7">
        <f>N391*1%</f>
        <v/>
      </c>
      <c r="V391" s="49">
        <f>U391+S391+R391+Q391+P391+O391</f>
        <v/>
      </c>
      <c r="W391" s="32">
        <f>AE391*1%</f>
        <v/>
      </c>
      <c r="X391" s="32">
        <f>AE391*10%</f>
        <v/>
      </c>
      <c r="Y391" s="32">
        <f>AE391*1%</f>
        <v/>
      </c>
      <c r="Z391" s="32">
        <f>AE391*8%</f>
        <v/>
      </c>
      <c r="AA391" s="32">
        <f>W391+X391+Y391+Z391</f>
        <v/>
      </c>
      <c r="AB391" s="31">
        <f>AA391+V391+N391</f>
        <v/>
      </c>
      <c r="AC391" s="6">
        <f>AB391*20%</f>
        <v/>
      </c>
      <c r="AD391" s="32">
        <f>AB391+AC391</f>
        <v/>
      </c>
      <c r="AE391" s="32">
        <f>C391*2.1</f>
        <v/>
      </c>
      <c r="AF391" s="7">
        <f>AD391-AE391</f>
        <v/>
      </c>
      <c r="AG391" s="7">
        <f>AF391/AD391*100</f>
        <v/>
      </c>
      <c r="AH391" s="0" t="n">
        <v>92500</v>
      </c>
      <c r="AI391" s="33" t="n"/>
      <c r="AJ391" s="34">
        <f>AD391</f>
        <v/>
      </c>
      <c r="AK391" s="34">
        <f>AJ391-(AJ391*7%)</f>
        <v/>
      </c>
      <c r="AL391" s="35">
        <f>AJ391/94</f>
        <v/>
      </c>
      <c r="AM391" s="35">
        <f>AK391/94</f>
        <v/>
      </c>
      <c r="AN391" s="36">
        <f>AJ391/24</f>
        <v/>
      </c>
      <c r="AO391" s="36">
        <f>AK391/24</f>
        <v/>
      </c>
      <c r="AP391" s="37">
        <f>AJ391/125</f>
        <v/>
      </c>
      <c r="AQ391" s="37">
        <f>AK391/125</f>
        <v/>
      </c>
    </row>
    <row r="392" ht="15.75" customHeight="1" s="50">
      <c r="A392" s="32" t="n"/>
      <c r="B392" s="32" t="inlineStr">
        <is>
          <t>Chakra Etching / Large-Octave 2</t>
        </is>
      </c>
      <c r="C392" s="32" t="inlineStr">
        <is>
          <t>MI-SB-7C Set-L-EC</t>
        </is>
      </c>
      <c r="D392" s="32" t="inlineStr">
        <is>
          <t>Prasonjit</t>
        </is>
      </c>
      <c r="E392" s="32" t="n">
        <v>525</v>
      </c>
      <c r="F392" s="32" t="n">
        <v>720</v>
      </c>
      <c r="G392" s="32" t="n">
        <v>0</v>
      </c>
      <c r="H392" s="32" t="n">
        <v>10</v>
      </c>
      <c r="I392" s="41" t="n">
        <v>83061000</v>
      </c>
      <c r="J392" s="30" t="n">
        <v>0.05</v>
      </c>
      <c r="K392" s="32">
        <f>D392*J392</f>
        <v/>
      </c>
      <c r="M392" s="32">
        <f>C392*4%</f>
        <v/>
      </c>
      <c r="N392" s="49">
        <f>M392+L392+K392+H392+G392+F392+E392+#REF!</f>
        <v/>
      </c>
      <c r="O392" s="32">
        <f>#REF!*1%</f>
        <v/>
      </c>
      <c r="P392" s="7">
        <f>N392*8%</f>
        <v/>
      </c>
      <c r="Q392" s="7">
        <f>N392*10%</f>
        <v/>
      </c>
      <c r="R392" s="7">
        <f>N392*5%</f>
        <v/>
      </c>
      <c r="S392" s="7">
        <f>N392*2%</f>
        <v/>
      </c>
      <c r="T392" s="7">
        <f>AE392*0.5%</f>
        <v/>
      </c>
      <c r="U392" s="7">
        <f>N392*1%</f>
        <v/>
      </c>
      <c r="V392" s="49">
        <f>U392+S392+R392+Q392+P392+O392</f>
        <v/>
      </c>
      <c r="W392" s="32">
        <f>AE392*1%</f>
        <v/>
      </c>
      <c r="X392" s="32">
        <f>AE392*10%</f>
        <v/>
      </c>
      <c r="Y392" s="32">
        <f>AE392*1%</f>
        <v/>
      </c>
      <c r="Z392" s="32">
        <f>AE392*8%</f>
        <v/>
      </c>
      <c r="AA392" s="32">
        <f>W392+X392+Y392+Z392</f>
        <v/>
      </c>
      <c r="AB392" s="31">
        <f>AA392+V392+N392</f>
        <v/>
      </c>
      <c r="AC392" s="6">
        <f>AB392*20%</f>
        <v/>
      </c>
      <c r="AD392" s="32">
        <f>AB392+AC392</f>
        <v/>
      </c>
      <c r="AE392" s="32">
        <f>C392*2.1</f>
        <v/>
      </c>
      <c r="AF392" s="7">
        <f>AD392-AE392</f>
        <v/>
      </c>
      <c r="AG392" s="7">
        <f>AF392/AD392*100</f>
        <v/>
      </c>
      <c r="AH392" s="0" t="n">
        <v>96500</v>
      </c>
      <c r="AI392" s="33" t="n"/>
      <c r="AJ392" s="34">
        <f>AD392</f>
        <v/>
      </c>
      <c r="AK392" s="34">
        <f>AJ392-(AJ392*7%)</f>
        <v/>
      </c>
      <c r="AL392" s="35">
        <f>AJ392/94</f>
        <v/>
      </c>
      <c r="AM392" s="35">
        <f>AK392/94</f>
        <v/>
      </c>
      <c r="AN392" s="36">
        <f>AJ392/24</f>
        <v/>
      </c>
      <c r="AO392" s="36">
        <f>AK392/24</f>
        <v/>
      </c>
      <c r="AP392" s="37">
        <f>AJ392/125</f>
        <v/>
      </c>
      <c r="AQ392" s="37">
        <f>AK392/125</f>
        <v/>
      </c>
    </row>
    <row r="393" ht="15.75" customHeight="1" s="50">
      <c r="A393" s="32" t="n"/>
      <c r="B393" s="32" t="inlineStr">
        <is>
          <t>Large-Octave 2 / Matte</t>
        </is>
      </c>
      <c r="C393" s="32" t="inlineStr">
        <is>
          <t>MI-SB-7C Set-L-M</t>
        </is>
      </c>
      <c r="D393" s="32" t="inlineStr">
        <is>
          <t>Prasonjit</t>
        </is>
      </c>
      <c r="E393" s="32" t="n">
        <v>525</v>
      </c>
      <c r="F393" s="32" t="n">
        <v>720</v>
      </c>
      <c r="G393" s="32" t="n">
        <v>0</v>
      </c>
      <c r="H393" s="32" t="n">
        <v>10</v>
      </c>
      <c r="I393" s="41" t="n">
        <v>83061000</v>
      </c>
      <c r="J393" s="30" t="n">
        <v>0.05</v>
      </c>
      <c r="K393" s="32">
        <f>D393*J393</f>
        <v/>
      </c>
      <c r="M393" s="32">
        <f>C393*4%</f>
        <v/>
      </c>
      <c r="N393" s="49">
        <f>M393+L393+K393+H393+G393+F393+E393+#REF!</f>
        <v/>
      </c>
      <c r="O393" s="32">
        <f>#REF!*1%</f>
        <v/>
      </c>
      <c r="P393" s="7">
        <f>N393*8%</f>
        <v/>
      </c>
      <c r="Q393" s="7">
        <f>N393*10%</f>
        <v/>
      </c>
      <c r="R393" s="7">
        <f>N393*5%</f>
        <v/>
      </c>
      <c r="S393" s="7">
        <f>N393*2%</f>
        <v/>
      </c>
      <c r="T393" s="7">
        <f>AE393*0.5%</f>
        <v/>
      </c>
      <c r="U393" s="7">
        <f>N393*1%</f>
        <v/>
      </c>
      <c r="V393" s="49">
        <f>U393+S393+R393+Q393+P393+O393</f>
        <v/>
      </c>
      <c r="W393" s="32">
        <f>AE393*1%</f>
        <v/>
      </c>
      <c r="X393" s="32">
        <f>AE393*10%</f>
        <v/>
      </c>
      <c r="Y393" s="32">
        <f>AE393*1%</f>
        <v/>
      </c>
      <c r="Z393" s="32">
        <f>AE393*8%</f>
        <v/>
      </c>
      <c r="AA393" s="32">
        <f>W393+X393+Y393+Z393</f>
        <v/>
      </c>
      <c r="AB393" s="31">
        <f>AA393+V393+N393</f>
        <v/>
      </c>
      <c r="AC393" s="6">
        <f>AB393*20%</f>
        <v/>
      </c>
      <c r="AD393" s="32">
        <f>AB393+AC393</f>
        <v/>
      </c>
      <c r="AE393" s="32">
        <f>C393*2.1</f>
        <v/>
      </c>
      <c r="AF393" s="7">
        <f>AD393-AE393</f>
        <v/>
      </c>
      <c r="AG393" s="7">
        <f>AF393/AD393*100</f>
        <v/>
      </c>
      <c r="AH393" s="0" t="n">
        <v>82500</v>
      </c>
      <c r="AI393" s="33" t="n"/>
      <c r="AJ393" s="34">
        <f>AD393</f>
        <v/>
      </c>
      <c r="AK393" s="34">
        <f>AJ393-(AJ393*7%)</f>
        <v/>
      </c>
      <c r="AL393" s="35">
        <f>AJ393/94</f>
        <v/>
      </c>
      <c r="AM393" s="35">
        <f>AK393/94</f>
        <v/>
      </c>
      <c r="AN393" s="36">
        <f>AJ393/24</f>
        <v/>
      </c>
      <c r="AO393" s="36">
        <f>AK393/24</f>
        <v/>
      </c>
      <c r="AP393" s="37">
        <f>AJ393/125</f>
        <v/>
      </c>
      <c r="AQ393" s="37">
        <f>AK393/125</f>
        <v/>
      </c>
    </row>
    <row r="394" ht="15.75" customHeight="1" s="50">
      <c r="A394" s="32" t="n"/>
      <c r="B394" s="32" t="inlineStr">
        <is>
          <t>Chakra Etching / Standard-Octave 3</t>
        </is>
      </c>
      <c r="C394" s="32" t="inlineStr">
        <is>
          <t>MI-SB-7C Set-S-EC</t>
        </is>
      </c>
      <c r="D394" s="32" t="inlineStr">
        <is>
          <t>Prasonjit</t>
        </is>
      </c>
      <c r="E394" s="32" t="n">
        <v>480</v>
      </c>
      <c r="F394" s="32" t="n">
        <v>580</v>
      </c>
      <c r="G394" s="32" t="n">
        <v>0</v>
      </c>
      <c r="H394" s="32" t="n">
        <v>10</v>
      </c>
      <c r="I394" s="41" t="n">
        <v>83061000</v>
      </c>
      <c r="J394" s="30" t="n">
        <v>0.05</v>
      </c>
      <c r="K394" s="32">
        <f>D394*J394</f>
        <v/>
      </c>
      <c r="M394" s="32">
        <f>C394*4%</f>
        <v/>
      </c>
      <c r="N394" s="49">
        <f>M394+L394+K394+H394+G394+F394+E394+#REF!</f>
        <v/>
      </c>
      <c r="O394" s="32">
        <f>#REF!*1%</f>
        <v/>
      </c>
      <c r="P394" s="7">
        <f>N394*8%</f>
        <v/>
      </c>
      <c r="Q394" s="7">
        <f>N394*10%</f>
        <v/>
      </c>
      <c r="R394" s="7">
        <f>N394*5%</f>
        <v/>
      </c>
      <c r="S394" s="7">
        <f>N394*2%</f>
        <v/>
      </c>
      <c r="T394" s="7">
        <f>AE394*0.5%</f>
        <v/>
      </c>
      <c r="U394" s="7">
        <f>N394*1%</f>
        <v/>
      </c>
      <c r="V394" s="49">
        <f>U394+S394+R394+Q394+P394+O394</f>
        <v/>
      </c>
      <c r="W394" s="32">
        <f>AE394*1%</f>
        <v/>
      </c>
      <c r="X394" s="32">
        <f>AE394*10%</f>
        <v/>
      </c>
      <c r="Y394" s="32">
        <f>AE394*1%</f>
        <v/>
      </c>
      <c r="Z394" s="32">
        <f>AE394*8%</f>
        <v/>
      </c>
      <c r="AA394" s="32">
        <f>W394+X394+Y394+Z394</f>
        <v/>
      </c>
      <c r="AB394" s="31">
        <f>AA394+V394+N394</f>
        <v/>
      </c>
      <c r="AC394" s="6">
        <f>AB394*20%</f>
        <v/>
      </c>
      <c r="AD394" s="32">
        <f>AB394+AC394</f>
        <v/>
      </c>
      <c r="AE394" s="32">
        <f>C394*2.1</f>
        <v/>
      </c>
      <c r="AF394" s="7">
        <f>AD394-AE394</f>
        <v/>
      </c>
      <c r="AG394" s="7">
        <f>AF394/AD394*100</f>
        <v/>
      </c>
      <c r="AH394" s="0" t="n">
        <v>69500</v>
      </c>
      <c r="AI394" s="33" t="n"/>
      <c r="AJ394" s="34">
        <f>AD394</f>
        <v/>
      </c>
      <c r="AK394" s="34">
        <f>AJ394-(AJ394*7%)</f>
        <v/>
      </c>
      <c r="AL394" s="35">
        <f>AJ394/94</f>
        <v/>
      </c>
      <c r="AM394" s="35">
        <f>AK394/94</f>
        <v/>
      </c>
      <c r="AN394" s="36">
        <f>AJ394/24</f>
        <v/>
      </c>
      <c r="AO394" s="36">
        <f>AK394/24</f>
        <v/>
      </c>
      <c r="AP394" s="37">
        <f>AJ394/125</f>
        <v/>
      </c>
      <c r="AQ394" s="37">
        <f>AK394/125</f>
        <v/>
      </c>
    </row>
    <row r="395" ht="15.75" customHeight="1" s="50">
      <c r="A395" s="32" t="n"/>
      <c r="B395" s="32" t="inlineStr">
        <is>
          <t>Full Moon / Standard-Octave 3</t>
        </is>
      </c>
      <c r="C395" s="32" t="inlineStr">
        <is>
          <t>MI-SB-7C Set-S-FM</t>
        </is>
      </c>
      <c r="D395" s="32" t="inlineStr">
        <is>
          <t>Prasonjit</t>
        </is>
      </c>
      <c r="E395" s="32" t="n">
        <v>480</v>
      </c>
      <c r="F395" s="32" t="n">
        <v>580</v>
      </c>
      <c r="G395" s="32" t="n">
        <v>0</v>
      </c>
      <c r="H395" s="32" t="n">
        <v>10</v>
      </c>
      <c r="I395" s="41" t="n">
        <v>83061000</v>
      </c>
      <c r="J395" s="30" t="n">
        <v>0.05</v>
      </c>
      <c r="K395" s="32">
        <f>D395*J395</f>
        <v/>
      </c>
      <c r="M395" s="32">
        <f>C395*4%</f>
        <v/>
      </c>
      <c r="N395" s="49">
        <f>M395+L395+K395+H395+G395+F395+E395+#REF!</f>
        <v/>
      </c>
      <c r="O395" s="32">
        <f>#REF!*1%</f>
        <v/>
      </c>
      <c r="P395" s="7">
        <f>N395*8%</f>
        <v/>
      </c>
      <c r="Q395" s="7">
        <f>N395*10%</f>
        <v/>
      </c>
      <c r="R395" s="7">
        <f>N395*5%</f>
        <v/>
      </c>
      <c r="S395" s="7">
        <f>N395*2%</f>
        <v/>
      </c>
      <c r="T395" s="7">
        <f>AE395*0.5%</f>
        <v/>
      </c>
      <c r="U395" s="7">
        <f>N395*1%</f>
        <v/>
      </c>
      <c r="V395" s="49">
        <f>U395+S395+R395+Q395+P395+O395</f>
        <v/>
      </c>
      <c r="W395" s="32">
        <f>AE395*1%</f>
        <v/>
      </c>
      <c r="X395" s="32">
        <f>AE395*10%</f>
        <v/>
      </c>
      <c r="Y395" s="32">
        <f>AE395*1%</f>
        <v/>
      </c>
      <c r="Z395" s="32">
        <f>AE395*8%</f>
        <v/>
      </c>
      <c r="AA395" s="32">
        <f>W395+X395+Y395+Z395</f>
        <v/>
      </c>
      <c r="AB395" s="31">
        <f>AA395+V395+N395</f>
        <v/>
      </c>
      <c r="AC395" s="6">
        <f>AB395*20%</f>
        <v/>
      </c>
      <c r="AD395" s="32">
        <f>AB395+AC395</f>
        <v/>
      </c>
      <c r="AE395" s="32">
        <f>C395*2.1</f>
        <v/>
      </c>
      <c r="AF395" s="7">
        <f>AD395-AE395</f>
        <v/>
      </c>
      <c r="AG395" s="7">
        <f>AF395/AD395*100</f>
        <v/>
      </c>
      <c r="AH395" s="0" t="n">
        <v>65500</v>
      </c>
      <c r="AI395" s="33" t="n"/>
      <c r="AJ395" s="34">
        <f>AD395</f>
        <v/>
      </c>
      <c r="AK395" s="34">
        <f>AJ395-(AJ395*7%)</f>
        <v/>
      </c>
      <c r="AL395" s="35">
        <f>AJ395/94</f>
        <v/>
      </c>
      <c r="AM395" s="35">
        <f>AK395/94</f>
        <v/>
      </c>
      <c r="AN395" s="36">
        <f>AJ395/24</f>
        <v/>
      </c>
      <c r="AO395" s="36">
        <f>AK395/24</f>
        <v/>
      </c>
      <c r="AP395" s="37">
        <f>AJ395/125</f>
        <v/>
      </c>
      <c r="AQ395" s="37">
        <f>AK395/125</f>
        <v/>
      </c>
    </row>
    <row r="396" ht="15.75" customHeight="1" s="50">
      <c r="A396" s="32" t="n"/>
      <c r="B396" s="32" t="inlineStr">
        <is>
          <t>Standard-Octave 3 / Matte</t>
        </is>
      </c>
      <c r="C396" s="32" t="inlineStr">
        <is>
          <t>MI-SB-7C Set-S-M</t>
        </is>
      </c>
      <c r="D396" s="32" t="inlineStr">
        <is>
          <t>Prasonjit</t>
        </is>
      </c>
      <c r="E396" s="32" t="n">
        <v>480</v>
      </c>
      <c r="F396" s="32" t="n">
        <v>580</v>
      </c>
      <c r="G396" s="32" t="n">
        <v>0</v>
      </c>
      <c r="H396" s="32" t="n">
        <v>10</v>
      </c>
      <c r="I396" s="41" t="n">
        <v>83061000</v>
      </c>
      <c r="J396" s="30" t="n">
        <v>0.05</v>
      </c>
      <c r="K396" s="32">
        <f>D396*J396</f>
        <v/>
      </c>
      <c r="M396" s="32">
        <f>C396*4%</f>
        <v/>
      </c>
      <c r="N396" s="49">
        <f>M396+L396+K396+H396+G396+F396+E396+#REF!</f>
        <v/>
      </c>
      <c r="O396" s="32">
        <f>#REF!*1%</f>
        <v/>
      </c>
      <c r="P396" s="7">
        <f>N396*8%</f>
        <v/>
      </c>
      <c r="Q396" s="7">
        <f>N396*10%</f>
        <v/>
      </c>
      <c r="R396" s="7">
        <f>N396*5%</f>
        <v/>
      </c>
      <c r="S396" s="7">
        <f>N396*2%</f>
        <v/>
      </c>
      <c r="T396" s="7">
        <f>AE396*0.5%</f>
        <v/>
      </c>
      <c r="U396" s="7">
        <f>N396*1%</f>
        <v/>
      </c>
      <c r="V396" s="49">
        <f>U396+S396+R396+Q396+P396+O396</f>
        <v/>
      </c>
      <c r="W396" s="32">
        <f>AE396*1%</f>
        <v/>
      </c>
      <c r="X396" s="32">
        <f>AE396*10%</f>
        <v/>
      </c>
      <c r="Y396" s="32">
        <f>AE396*1%</f>
        <v/>
      </c>
      <c r="Z396" s="32">
        <f>AE396*8%</f>
        <v/>
      </c>
      <c r="AA396" s="32">
        <f>W396+X396+Y396+Z396</f>
        <v/>
      </c>
      <c r="AB396" s="31">
        <f>AA396+V396+N396</f>
        <v/>
      </c>
      <c r="AC396" s="6">
        <f>AB396*20%</f>
        <v/>
      </c>
      <c r="AD396" s="32">
        <f>AB396+AC396</f>
        <v/>
      </c>
      <c r="AE396" s="32">
        <f>C396*2.1</f>
        <v/>
      </c>
      <c r="AF396" s="7">
        <f>AD396-AE396</f>
        <v/>
      </c>
      <c r="AG396" s="7">
        <f>AF396/AD396*100</f>
        <v/>
      </c>
      <c r="AH396" s="0" t="n">
        <v>56500</v>
      </c>
      <c r="AI396" s="33" t="n"/>
      <c r="AJ396" s="34">
        <f>AD396</f>
        <v/>
      </c>
      <c r="AK396" s="34">
        <f>AJ396-(AJ396*7%)</f>
        <v/>
      </c>
      <c r="AL396" s="35">
        <f>AJ396/94</f>
        <v/>
      </c>
      <c r="AM396" s="35">
        <f>AK396/94</f>
        <v/>
      </c>
      <c r="AN396" s="36">
        <f>AJ396/24</f>
        <v/>
      </c>
      <c r="AO396" s="36">
        <f>AK396/24</f>
        <v/>
      </c>
      <c r="AP396" s="37">
        <f>AJ396/125</f>
        <v/>
      </c>
      <c r="AQ396" s="37">
        <f>AK396/125</f>
        <v/>
      </c>
    </row>
    <row r="397" ht="15.75" customHeight="1" s="50">
      <c r="A397" s="32" t="inlineStr">
        <is>
          <t>Handheld Natural Coconut Shaker</t>
        </is>
      </c>
      <c r="B397" s="32" t="inlineStr">
        <is>
          <t>Standard</t>
        </is>
      </c>
      <c r="C397" s="32" t="inlineStr">
        <is>
          <t>MI-CS-H</t>
        </is>
      </c>
      <c r="G397" s="32" t="n">
        <v>0</v>
      </c>
      <c r="H397" s="32" t="n">
        <v>10</v>
      </c>
      <c r="I397" s="41" t="n">
        <v>44201900</v>
      </c>
      <c r="J397" s="30" t="n">
        <v>0.05</v>
      </c>
      <c r="K397" s="32">
        <f>D397*J397</f>
        <v/>
      </c>
      <c r="M397" s="32">
        <f>C397*4%</f>
        <v/>
      </c>
      <c r="N397" s="49">
        <f>M397+L397+K397+H397+G397+F397+E397+#REF!</f>
        <v/>
      </c>
      <c r="O397" s="32">
        <f>#REF!*1%</f>
        <v/>
      </c>
      <c r="P397" s="7">
        <f>N397*8%</f>
        <v/>
      </c>
      <c r="Q397" s="7">
        <f>N397*10%</f>
        <v/>
      </c>
      <c r="R397" s="7">
        <f>N397*5%</f>
        <v/>
      </c>
      <c r="S397" s="7">
        <f>N397*2%</f>
        <v/>
      </c>
      <c r="T397" s="7">
        <f>AE397*0.5%</f>
        <v/>
      </c>
      <c r="U397" s="7">
        <f>N397*1%</f>
        <v/>
      </c>
      <c r="V397" s="49">
        <f>U397+S397+R397+Q397+P397+O397</f>
        <v/>
      </c>
      <c r="W397" s="32">
        <f>AE397*1%</f>
        <v/>
      </c>
      <c r="X397" s="32">
        <f>AE397*10%</f>
        <v/>
      </c>
      <c r="Y397" s="32">
        <f>AE397*1%</f>
        <v/>
      </c>
      <c r="Z397" s="32">
        <f>AE397*8%</f>
        <v/>
      </c>
      <c r="AA397" s="32">
        <f>W397+X397+Y397+Z397</f>
        <v/>
      </c>
      <c r="AB397" s="31">
        <f>AA397+V397+N397</f>
        <v/>
      </c>
      <c r="AC397" s="6">
        <f>AB397*20%</f>
        <v/>
      </c>
      <c r="AD397" s="32">
        <f>AB397+AC397</f>
        <v/>
      </c>
      <c r="AE397" s="32">
        <f>C397*2.1</f>
        <v/>
      </c>
      <c r="AF397" s="7">
        <f>AD397-AE397</f>
        <v/>
      </c>
      <c r="AG397" s="7">
        <f>AF397/AD397*100</f>
        <v/>
      </c>
      <c r="AH397" s="0" t="n">
        <v>945</v>
      </c>
      <c r="AI397" s="33" t="n"/>
      <c r="AJ397" s="34">
        <f>AD397</f>
        <v/>
      </c>
      <c r="AK397" s="34">
        <f>AJ397-(AJ397*7%)</f>
        <v/>
      </c>
      <c r="AL397" s="35">
        <f>AJ397/94</f>
        <v/>
      </c>
      <c r="AM397" s="35">
        <f>AK397/94</f>
        <v/>
      </c>
      <c r="AN397" s="36">
        <f>AJ397/24</f>
        <v/>
      </c>
      <c r="AO397" s="36">
        <f>AK397/24</f>
        <v/>
      </c>
      <c r="AP397" s="37">
        <f>AJ397/125</f>
        <v/>
      </c>
      <c r="AQ397" s="37">
        <f>AK397/125</f>
        <v/>
      </c>
    </row>
    <row r="398" ht="15" customHeight="1" s="50">
      <c r="A398" s="32" t="inlineStr">
        <is>
          <t>Handmade Singing Bowls - All Sizes</t>
        </is>
      </c>
      <c r="B398" s="32" t="inlineStr">
        <is>
          <t>Matte / 5 in</t>
        </is>
      </c>
      <c r="C398" s="32" t="inlineStr">
        <is>
          <t>Mi-SB-H-P-5</t>
        </is>
      </c>
      <c r="D398" s="32" t="inlineStr">
        <is>
          <t>Prasonjit</t>
        </is>
      </c>
      <c r="E398" s="32" t="n">
        <v>55</v>
      </c>
      <c r="F398" s="32" t="n">
        <v>45</v>
      </c>
      <c r="G398" s="32" t="n">
        <v>0</v>
      </c>
      <c r="H398" s="32" t="n">
        <v>10</v>
      </c>
      <c r="I398" s="41" t="n">
        <v>83061000</v>
      </c>
      <c r="J398" s="30" t="n">
        <v>0.05</v>
      </c>
      <c r="K398" s="32">
        <f>D398*J398</f>
        <v/>
      </c>
      <c r="M398" s="32">
        <f>C398*4%</f>
        <v/>
      </c>
      <c r="N398" s="49">
        <f>M398+L398+K398+H398+G398+F398+E398+#REF!</f>
        <v/>
      </c>
      <c r="O398" s="32">
        <f>#REF!*1%</f>
        <v/>
      </c>
      <c r="P398" s="7">
        <f>N398*8%</f>
        <v/>
      </c>
      <c r="Q398" s="7">
        <f>N398*10%</f>
        <v/>
      </c>
      <c r="R398" s="7">
        <f>N398*5%</f>
        <v/>
      </c>
      <c r="S398" s="7">
        <f>N398*2%</f>
        <v/>
      </c>
      <c r="T398" s="7">
        <f>AE398*0.5%</f>
        <v/>
      </c>
      <c r="U398" s="7">
        <f>N398*1%</f>
        <v/>
      </c>
      <c r="V398" s="49">
        <f>U398+S398+R398+Q398+P398+O398</f>
        <v/>
      </c>
      <c r="W398" s="32">
        <f>AE398*1%</f>
        <v/>
      </c>
      <c r="X398" s="32">
        <f>AE398*10%</f>
        <v/>
      </c>
      <c r="Y398" s="32">
        <f>AE398*1%</f>
        <v/>
      </c>
      <c r="Z398" s="32">
        <f>AE398*8%</f>
        <v/>
      </c>
      <c r="AA398" s="32">
        <f>W398+X398+Y398+Z398</f>
        <v/>
      </c>
      <c r="AB398" s="31">
        <f>AA398+V398+N398</f>
        <v/>
      </c>
      <c r="AC398" s="6">
        <f>AB398*20%</f>
        <v/>
      </c>
      <c r="AD398" s="32">
        <f>AB398+AC398</f>
        <v/>
      </c>
      <c r="AE398" s="32">
        <f>C398*2.1</f>
        <v/>
      </c>
      <c r="AF398" s="7">
        <f>AD398-AE398</f>
        <v/>
      </c>
      <c r="AG398" s="7">
        <f>AF398/AD398*100</f>
        <v/>
      </c>
      <c r="AH398" s="0" t="n">
        <v>5950</v>
      </c>
      <c r="AI398" s="33" t="n"/>
      <c r="AJ398" s="34">
        <f>AD398</f>
        <v/>
      </c>
      <c r="AK398" s="34">
        <f>AJ398-(AJ398*7%)</f>
        <v/>
      </c>
      <c r="AL398" s="35">
        <f>AJ398/94</f>
        <v/>
      </c>
      <c r="AM398" s="35">
        <f>AK398/94</f>
        <v/>
      </c>
      <c r="AN398" s="36">
        <f>AJ398/24</f>
        <v/>
      </c>
      <c r="AO398" s="36">
        <f>AK398/24</f>
        <v/>
      </c>
      <c r="AP398" s="37">
        <f>AJ398/125</f>
        <v/>
      </c>
      <c r="AQ398" s="37">
        <f>AK398/125</f>
        <v/>
      </c>
    </row>
    <row r="399" ht="15.75" customHeight="1" s="50">
      <c r="A399" s="32" t="n"/>
      <c r="B399" s="32" t="inlineStr">
        <is>
          <t>Matte / 10 in</t>
        </is>
      </c>
      <c r="C399" s="32" t="inlineStr">
        <is>
          <t>Mi-SB-H-M-10</t>
        </is>
      </c>
      <c r="D399" s="32" t="inlineStr">
        <is>
          <t>Prasonjit</t>
        </is>
      </c>
      <c r="E399" s="32" t="n">
        <v>145</v>
      </c>
      <c r="F399" s="32" t="n">
        <v>90</v>
      </c>
      <c r="G399" s="32" t="n">
        <v>0</v>
      </c>
      <c r="H399" s="32" t="n">
        <v>10</v>
      </c>
      <c r="I399" s="41" t="n">
        <v>83061000</v>
      </c>
      <c r="J399" s="30" t="n">
        <v>0.05</v>
      </c>
      <c r="K399" s="32">
        <f>D399*J399</f>
        <v/>
      </c>
      <c r="M399" s="32">
        <f>C399*4%</f>
        <v/>
      </c>
      <c r="N399" s="49">
        <f>M399+L399+K399+H399+G399+F399+E399+#REF!</f>
        <v/>
      </c>
      <c r="O399" s="32">
        <f>#REF!*1%</f>
        <v/>
      </c>
      <c r="P399" s="7">
        <f>N399*8%</f>
        <v/>
      </c>
      <c r="Q399" s="7">
        <f>N399*10%</f>
        <v/>
      </c>
      <c r="R399" s="7">
        <f>N399*5%</f>
        <v/>
      </c>
      <c r="S399" s="7">
        <f>N399*2%</f>
        <v/>
      </c>
      <c r="T399" s="7">
        <f>AE399*0.5%</f>
        <v/>
      </c>
      <c r="U399" s="7">
        <f>N399*1%</f>
        <v/>
      </c>
      <c r="V399" s="49">
        <f>U399+S399+R399+Q399+P399+O399</f>
        <v/>
      </c>
      <c r="W399" s="32">
        <f>AE399*1%</f>
        <v/>
      </c>
      <c r="X399" s="32">
        <f>AE399*10%</f>
        <v/>
      </c>
      <c r="Y399" s="32">
        <f>AE399*1%</f>
        <v/>
      </c>
      <c r="Z399" s="32">
        <f>AE399*8%</f>
        <v/>
      </c>
      <c r="AA399" s="32">
        <f>W399+X399+Y399+Z399</f>
        <v/>
      </c>
      <c r="AB399" s="31">
        <f>AA399+V399+N399</f>
        <v/>
      </c>
      <c r="AC399" s="6">
        <f>AB399*20%</f>
        <v/>
      </c>
      <c r="AD399" s="32">
        <f>AB399+AC399</f>
        <v/>
      </c>
      <c r="AE399" s="32">
        <f>C399*2.1</f>
        <v/>
      </c>
      <c r="AF399" s="7">
        <f>AD399-AE399</f>
        <v/>
      </c>
      <c r="AG399" s="7">
        <f>AF399/AD399*100</f>
        <v/>
      </c>
      <c r="AH399" s="0" t="n">
        <v>10750</v>
      </c>
      <c r="AI399" s="33" t="n"/>
      <c r="AJ399" s="34">
        <f>AD399</f>
        <v/>
      </c>
      <c r="AK399" s="34">
        <f>AJ399-(AJ399*7%)</f>
        <v/>
      </c>
      <c r="AL399" s="35">
        <f>AJ399/94</f>
        <v/>
      </c>
      <c r="AM399" s="35">
        <f>AK399/94</f>
        <v/>
      </c>
      <c r="AN399" s="36">
        <f>AJ399/24</f>
        <v/>
      </c>
      <c r="AO399" s="36">
        <f>AK399/24</f>
        <v/>
      </c>
      <c r="AP399" s="37">
        <f>AJ399/125</f>
        <v/>
      </c>
      <c r="AQ399" s="37">
        <f>AK399/125</f>
        <v/>
      </c>
    </row>
    <row r="400" ht="15.75" customHeight="1" s="50">
      <c r="A400" s="32" t="n"/>
      <c r="B400" s="32" t="inlineStr">
        <is>
          <t>Matte / 11 in</t>
        </is>
      </c>
      <c r="C400" s="32" t="inlineStr">
        <is>
          <t>Mi-SB-H-M-11</t>
        </is>
      </c>
      <c r="D400" s="32" t="inlineStr">
        <is>
          <t>Prasonjit</t>
        </is>
      </c>
      <c r="E400" s="32" t="n">
        <v>145</v>
      </c>
      <c r="F400" s="32" t="n">
        <v>90</v>
      </c>
      <c r="G400" s="32" t="n">
        <v>0</v>
      </c>
      <c r="H400" s="32" t="n">
        <v>10</v>
      </c>
      <c r="I400" s="41" t="n">
        <v>83061000</v>
      </c>
      <c r="J400" s="30" t="n">
        <v>0.05</v>
      </c>
      <c r="K400" s="32">
        <f>D400*J400</f>
        <v/>
      </c>
      <c r="M400" s="32">
        <f>C400*4%</f>
        <v/>
      </c>
      <c r="N400" s="49">
        <f>M400+L400+K400+H400+G400+F400+E400+#REF!</f>
        <v/>
      </c>
      <c r="O400" s="32">
        <f>#REF!*1%</f>
        <v/>
      </c>
      <c r="P400" s="7">
        <f>N400*8%</f>
        <v/>
      </c>
      <c r="Q400" s="7">
        <f>N400*10%</f>
        <v/>
      </c>
      <c r="R400" s="7">
        <f>N400*5%</f>
        <v/>
      </c>
      <c r="S400" s="7">
        <f>N400*2%</f>
        <v/>
      </c>
      <c r="T400" s="7">
        <f>AE400*0.5%</f>
        <v/>
      </c>
      <c r="U400" s="7">
        <f>N400*1%</f>
        <v/>
      </c>
      <c r="V400" s="49">
        <f>U400+S400+R400+Q400+P400+O400</f>
        <v/>
      </c>
      <c r="W400" s="32">
        <f>AE400*1%</f>
        <v/>
      </c>
      <c r="X400" s="32">
        <f>AE400*10%</f>
        <v/>
      </c>
      <c r="Y400" s="32">
        <f>AE400*1%</f>
        <v/>
      </c>
      <c r="Z400" s="32">
        <f>AE400*8%</f>
        <v/>
      </c>
      <c r="AA400" s="32">
        <f>W400+X400+Y400+Z400</f>
        <v/>
      </c>
      <c r="AB400" s="31">
        <f>AA400+V400+N400</f>
        <v/>
      </c>
      <c r="AC400" s="6">
        <f>AB400*20%</f>
        <v/>
      </c>
      <c r="AD400" s="32">
        <f>AB400+AC400</f>
        <v/>
      </c>
      <c r="AE400" s="32">
        <f>C400*2.1</f>
        <v/>
      </c>
      <c r="AF400" s="7">
        <f>AD400-AE400</f>
        <v/>
      </c>
      <c r="AG400" s="7">
        <f>AF400/AD400*100</f>
        <v/>
      </c>
      <c r="AH400" s="0" t="n">
        <v>11950</v>
      </c>
      <c r="AI400" s="33" t="n"/>
      <c r="AJ400" s="34">
        <f>AD400</f>
        <v/>
      </c>
      <c r="AK400" s="34">
        <f>AJ400-(AJ400*7%)</f>
        <v/>
      </c>
      <c r="AL400" s="35">
        <f>AJ400/94</f>
        <v/>
      </c>
      <c r="AM400" s="35">
        <f>AK400/94</f>
        <v/>
      </c>
      <c r="AN400" s="36">
        <f>AJ400/24</f>
        <v/>
      </c>
      <c r="AO400" s="36">
        <f>AK400/24</f>
        <v/>
      </c>
      <c r="AP400" s="37">
        <f>AJ400/125</f>
        <v/>
      </c>
      <c r="AQ400" s="37">
        <f>AK400/125</f>
        <v/>
      </c>
    </row>
    <row r="401" ht="15.75" customHeight="1" s="50">
      <c r="A401" s="32" t="n"/>
      <c r="B401" s="32" t="inlineStr">
        <is>
          <t>Matte / 5 in</t>
        </is>
      </c>
      <c r="C401" s="32" t="inlineStr">
        <is>
          <t>Mi-SB-H-M-5</t>
        </is>
      </c>
      <c r="D401" s="32" t="inlineStr">
        <is>
          <t>Prasonjit</t>
        </is>
      </c>
      <c r="E401" s="32" t="n">
        <v>55</v>
      </c>
      <c r="F401" s="32" t="n">
        <v>45</v>
      </c>
      <c r="G401" s="32" t="n">
        <v>0</v>
      </c>
      <c r="H401" s="32" t="n">
        <v>10</v>
      </c>
      <c r="I401" s="41" t="n">
        <v>83061000</v>
      </c>
      <c r="J401" s="30" t="n">
        <v>0.05</v>
      </c>
      <c r="K401" s="32">
        <f>D401*J401</f>
        <v/>
      </c>
      <c r="M401" s="32">
        <f>C401*4%</f>
        <v/>
      </c>
      <c r="N401" s="49">
        <f>M401+L401+K401+H401+G401+F401+E401+#REF!</f>
        <v/>
      </c>
      <c r="O401" s="32">
        <f>#REF!*1%</f>
        <v/>
      </c>
      <c r="P401" s="7">
        <f>N401*8%</f>
        <v/>
      </c>
      <c r="Q401" s="7">
        <f>N401*10%</f>
        <v/>
      </c>
      <c r="R401" s="7">
        <f>N401*5%</f>
        <v/>
      </c>
      <c r="S401" s="7">
        <f>N401*2%</f>
        <v/>
      </c>
      <c r="T401" s="7">
        <f>AE401*0.5%</f>
        <v/>
      </c>
      <c r="U401" s="7">
        <f>N401*1%</f>
        <v/>
      </c>
      <c r="V401" s="49">
        <f>U401+S401+R401+Q401+P401+O401</f>
        <v/>
      </c>
      <c r="W401" s="32">
        <f>AE401*1%</f>
        <v/>
      </c>
      <c r="X401" s="32">
        <f>AE401*10%</f>
        <v/>
      </c>
      <c r="Y401" s="32">
        <f>AE401*1%</f>
        <v/>
      </c>
      <c r="Z401" s="32">
        <f>AE401*8%</f>
        <v/>
      </c>
      <c r="AA401" s="32">
        <f>W401+X401+Y401+Z401</f>
        <v/>
      </c>
      <c r="AB401" s="31">
        <f>AA401+V401+N401</f>
        <v/>
      </c>
      <c r="AC401" s="6">
        <f>AB401*20%</f>
        <v/>
      </c>
      <c r="AD401" s="32">
        <f>AB401+AC401</f>
        <v/>
      </c>
      <c r="AE401" s="32">
        <f>C401*2.1</f>
        <v/>
      </c>
      <c r="AF401" s="7">
        <f>AD401-AE401</f>
        <v/>
      </c>
      <c r="AG401" s="7">
        <f>AF401/AD401*100</f>
        <v/>
      </c>
      <c r="AH401" s="0" t="n">
        <v>5950</v>
      </c>
      <c r="AI401" s="33" t="n"/>
      <c r="AJ401" s="34">
        <f>AD401</f>
        <v/>
      </c>
      <c r="AK401" s="34">
        <f>AJ401-(AJ401*7%)</f>
        <v/>
      </c>
      <c r="AL401" s="35">
        <f>AJ401/94</f>
        <v/>
      </c>
      <c r="AM401" s="35">
        <f>AK401/94</f>
        <v/>
      </c>
      <c r="AN401" s="36">
        <f>AJ401/24</f>
        <v/>
      </c>
      <c r="AO401" s="36">
        <f>AK401/24</f>
        <v/>
      </c>
      <c r="AP401" s="37">
        <f>AJ401/125</f>
        <v/>
      </c>
      <c r="AQ401" s="37">
        <f>AK401/125</f>
        <v/>
      </c>
    </row>
    <row r="402" ht="15.75" customHeight="1" s="50">
      <c r="A402" s="32" t="n"/>
      <c r="B402" s="32" t="inlineStr">
        <is>
          <t>8 in / Matte</t>
        </is>
      </c>
      <c r="C402" s="32" t="inlineStr">
        <is>
          <t>Mi-SB-H-M-8</t>
        </is>
      </c>
      <c r="D402" s="32" t="inlineStr">
        <is>
          <t>Prasonjit</t>
        </is>
      </c>
      <c r="E402" s="32" t="n">
        <v>145</v>
      </c>
      <c r="F402" s="32" t="n">
        <v>80</v>
      </c>
      <c r="G402" s="32" t="n">
        <v>0</v>
      </c>
      <c r="H402" s="32" t="n">
        <v>10</v>
      </c>
      <c r="I402" s="41" t="n">
        <v>83061000</v>
      </c>
      <c r="J402" s="30" t="n">
        <v>0.05</v>
      </c>
      <c r="K402" s="32">
        <f>D402*J402</f>
        <v/>
      </c>
      <c r="M402" s="32">
        <f>C402*4%</f>
        <v/>
      </c>
      <c r="N402" s="49">
        <f>M402+L402+K402+H402+G402+F402+E402+#REF!</f>
        <v/>
      </c>
      <c r="O402" s="32">
        <f>#REF!*1%</f>
        <v/>
      </c>
      <c r="P402" s="7">
        <f>N402*8%</f>
        <v/>
      </c>
      <c r="Q402" s="7">
        <f>N402*10%</f>
        <v/>
      </c>
      <c r="R402" s="7">
        <f>N402*5%</f>
        <v/>
      </c>
      <c r="S402" s="7">
        <f>N402*2%</f>
        <v/>
      </c>
      <c r="T402" s="7">
        <f>AE402*0.5%</f>
        <v/>
      </c>
      <c r="U402" s="7">
        <f>N402*1%</f>
        <v/>
      </c>
      <c r="V402" s="49">
        <f>U402+S402+R402+Q402+P402+O402</f>
        <v/>
      </c>
      <c r="W402" s="32">
        <f>AE402*1%</f>
        <v/>
      </c>
      <c r="X402" s="32">
        <f>AE402*10%</f>
        <v/>
      </c>
      <c r="Y402" s="32">
        <f>AE402*1%</f>
        <v/>
      </c>
      <c r="Z402" s="32">
        <f>AE402*8%</f>
        <v/>
      </c>
      <c r="AA402" s="32">
        <f>W402+X402+Y402+Z402</f>
        <v/>
      </c>
      <c r="AB402" s="31">
        <f>AA402+V402+N402</f>
        <v/>
      </c>
      <c r="AC402" s="6">
        <f>AB402*20%</f>
        <v/>
      </c>
      <c r="AD402" s="32">
        <f>AB402+AC402</f>
        <v/>
      </c>
      <c r="AE402" s="32">
        <f>C402*2.1</f>
        <v/>
      </c>
      <c r="AF402" s="7">
        <f>AD402-AE402</f>
        <v/>
      </c>
      <c r="AG402" s="7">
        <f>AF402/AD402*100</f>
        <v/>
      </c>
      <c r="AH402" s="0" t="n">
        <v>8250</v>
      </c>
      <c r="AI402" s="33" t="n"/>
      <c r="AJ402" s="34">
        <f>AD402</f>
        <v/>
      </c>
      <c r="AK402" s="34">
        <f>AJ402-(AJ402*7%)</f>
        <v/>
      </c>
      <c r="AL402" s="35">
        <f>AJ402/94</f>
        <v/>
      </c>
      <c r="AM402" s="35">
        <f>AK402/94</f>
        <v/>
      </c>
      <c r="AN402" s="36">
        <f>AJ402/24</f>
        <v/>
      </c>
      <c r="AO402" s="36">
        <f>AK402/24</f>
        <v/>
      </c>
      <c r="AP402" s="37">
        <f>AJ402/125</f>
        <v/>
      </c>
      <c r="AQ402" s="37">
        <f>AK402/125</f>
        <v/>
      </c>
    </row>
    <row r="403" ht="15.75" customHeight="1" s="50">
      <c r="A403" s="32" t="n"/>
      <c r="B403" s="32" t="inlineStr">
        <is>
          <t>Matte / 9 in</t>
        </is>
      </c>
      <c r="C403" s="32" t="inlineStr">
        <is>
          <t>Mi-SB-H-M-9</t>
        </is>
      </c>
      <c r="D403" s="32" t="inlineStr">
        <is>
          <t>Prasonjit</t>
        </is>
      </c>
      <c r="E403" s="32" t="n">
        <v>145</v>
      </c>
      <c r="F403" s="32" t="n">
        <v>80</v>
      </c>
      <c r="G403" s="32" t="n">
        <v>0</v>
      </c>
      <c r="H403" s="32" t="n">
        <v>10</v>
      </c>
      <c r="I403" s="41" t="n">
        <v>83061000</v>
      </c>
      <c r="J403" s="30" t="n">
        <v>0.05</v>
      </c>
      <c r="K403" s="32">
        <f>D403*J403</f>
        <v/>
      </c>
      <c r="M403" s="32">
        <f>C403*4%</f>
        <v/>
      </c>
      <c r="N403" s="49">
        <f>M403+L403+K403+H403+G403+F403+E403+#REF!</f>
        <v/>
      </c>
      <c r="O403" s="32">
        <f>#REF!*1%</f>
        <v/>
      </c>
      <c r="P403" s="7">
        <f>N403*8%</f>
        <v/>
      </c>
      <c r="Q403" s="7">
        <f>N403*10%</f>
        <v/>
      </c>
      <c r="R403" s="7">
        <f>N403*5%</f>
        <v/>
      </c>
      <c r="S403" s="7">
        <f>N403*2%</f>
        <v/>
      </c>
      <c r="T403" s="7">
        <f>AE403*0.5%</f>
        <v/>
      </c>
      <c r="U403" s="7">
        <f>N403*1%</f>
        <v/>
      </c>
      <c r="V403" s="49">
        <f>U403+S403+R403+Q403+P403+O403</f>
        <v/>
      </c>
      <c r="W403" s="32">
        <f>AE403*1%</f>
        <v/>
      </c>
      <c r="X403" s="32">
        <f>AE403*10%</f>
        <v/>
      </c>
      <c r="Y403" s="32">
        <f>AE403*1%</f>
        <v/>
      </c>
      <c r="Z403" s="32">
        <f>AE403*8%</f>
        <v/>
      </c>
      <c r="AA403" s="32">
        <f>W403+X403+Y403+Z403</f>
        <v/>
      </c>
      <c r="AB403" s="31">
        <f>AA403+V403+N403</f>
        <v/>
      </c>
      <c r="AC403" s="6">
        <f>AB403*20%</f>
        <v/>
      </c>
      <c r="AD403" s="32">
        <f>AB403+AC403</f>
        <v/>
      </c>
      <c r="AE403" s="32">
        <f>C403*2.1</f>
        <v/>
      </c>
      <c r="AF403" s="7">
        <f>AD403-AE403</f>
        <v/>
      </c>
      <c r="AG403" s="7">
        <f>AF403/AD403*100</f>
        <v/>
      </c>
      <c r="AH403" s="0" t="n">
        <v>9350</v>
      </c>
      <c r="AI403" s="33" t="n"/>
      <c r="AJ403" s="34">
        <f>AD403</f>
        <v/>
      </c>
      <c r="AK403" s="34">
        <f>AJ403-(AJ403*7%)</f>
        <v/>
      </c>
      <c r="AL403" s="35">
        <f>AJ403/94</f>
        <v/>
      </c>
      <c r="AM403" s="35">
        <f>AK403/94</f>
        <v/>
      </c>
      <c r="AN403" s="36">
        <f>AJ403/24</f>
        <v/>
      </c>
      <c r="AO403" s="36">
        <f>AK403/24</f>
        <v/>
      </c>
      <c r="AP403" s="37">
        <f>AJ403/125</f>
        <v/>
      </c>
      <c r="AQ403" s="37">
        <f>AK403/125</f>
        <v/>
      </c>
    </row>
    <row r="404" ht="15.75" customHeight="1" s="50">
      <c r="A404" s="32" t="n"/>
      <c r="B404" s="32" t="inlineStr">
        <is>
          <t>10 in / Polished</t>
        </is>
      </c>
      <c r="C404" s="32" t="inlineStr">
        <is>
          <t>Mi-SB-H-P-10</t>
        </is>
      </c>
      <c r="D404" s="32" t="inlineStr">
        <is>
          <t>Prasonjit</t>
        </is>
      </c>
      <c r="E404" s="32" t="n">
        <v>145</v>
      </c>
      <c r="F404" s="32" t="n">
        <v>80</v>
      </c>
      <c r="G404" s="32" t="n">
        <v>0</v>
      </c>
      <c r="H404" s="32" t="n">
        <v>10</v>
      </c>
      <c r="I404" s="41" t="n">
        <v>83061000</v>
      </c>
      <c r="J404" s="30" t="n">
        <v>0.05</v>
      </c>
      <c r="K404" s="32">
        <f>D404*J404</f>
        <v/>
      </c>
      <c r="M404" s="32">
        <f>C404*4%</f>
        <v/>
      </c>
      <c r="N404" s="49">
        <f>M404+L404+K404+H404+G404+F404+E404+#REF!</f>
        <v/>
      </c>
      <c r="O404" s="32">
        <f>#REF!*1%</f>
        <v/>
      </c>
      <c r="P404" s="7">
        <f>N404*8%</f>
        <v/>
      </c>
      <c r="Q404" s="7">
        <f>N404*10%</f>
        <v/>
      </c>
      <c r="R404" s="7">
        <f>N404*5%</f>
        <v/>
      </c>
      <c r="S404" s="7">
        <f>N404*2%</f>
        <v/>
      </c>
      <c r="T404" s="7">
        <f>AE404*0.5%</f>
        <v/>
      </c>
      <c r="U404" s="7">
        <f>N404*1%</f>
        <v/>
      </c>
      <c r="V404" s="49">
        <f>U404+S404+R404+Q404+P404+O404</f>
        <v/>
      </c>
      <c r="W404" s="32">
        <f>AE404*1%</f>
        <v/>
      </c>
      <c r="X404" s="32">
        <f>AE404*10%</f>
        <v/>
      </c>
      <c r="Y404" s="32">
        <f>AE404*1%</f>
        <v/>
      </c>
      <c r="Z404" s="32">
        <f>AE404*8%</f>
        <v/>
      </c>
      <c r="AA404" s="32">
        <f>W404+X404+Y404+Z404</f>
        <v/>
      </c>
      <c r="AB404" s="31">
        <f>AA404+V404+N404</f>
        <v/>
      </c>
      <c r="AC404" s="6">
        <f>AB404*20%</f>
        <v/>
      </c>
      <c r="AD404" s="32">
        <f>AB404+AC404</f>
        <v/>
      </c>
      <c r="AE404" s="32">
        <f>C404*2.1</f>
        <v/>
      </c>
      <c r="AF404" s="7">
        <f>AD404-AE404</f>
        <v/>
      </c>
      <c r="AG404" s="7">
        <f>AF404/AD404*100</f>
        <v/>
      </c>
      <c r="AH404" s="0" t="n">
        <v>10750</v>
      </c>
      <c r="AI404" s="33" t="n"/>
      <c r="AJ404" s="34">
        <f>AD404</f>
        <v/>
      </c>
      <c r="AK404" s="34">
        <f>AJ404-(AJ404*7%)</f>
        <v/>
      </c>
      <c r="AL404" s="35">
        <f>AJ404/94</f>
        <v/>
      </c>
      <c r="AM404" s="35">
        <f>AK404/94</f>
        <v/>
      </c>
      <c r="AN404" s="36">
        <f>AJ404/24</f>
        <v/>
      </c>
      <c r="AO404" s="36">
        <f>AK404/24</f>
        <v/>
      </c>
      <c r="AP404" s="37">
        <f>AJ404/125</f>
        <v/>
      </c>
      <c r="AQ404" s="37">
        <f>AK404/125</f>
        <v/>
      </c>
    </row>
    <row r="405" ht="15.75" customHeight="1" s="50">
      <c r="A405" s="32" t="n"/>
      <c r="B405" s="32" t="inlineStr">
        <is>
          <t>Polished / 11 in</t>
        </is>
      </c>
      <c r="C405" s="32" t="inlineStr">
        <is>
          <t>Mi-SB-H-P-11</t>
        </is>
      </c>
      <c r="D405" s="32" t="inlineStr">
        <is>
          <t>Prasonjit</t>
        </is>
      </c>
      <c r="E405" s="32" t="n">
        <v>145</v>
      </c>
      <c r="F405" s="32" t="n">
        <v>90</v>
      </c>
      <c r="G405" s="32" t="n">
        <v>0</v>
      </c>
      <c r="H405" s="32" t="n">
        <v>10</v>
      </c>
      <c r="I405" s="41" t="n">
        <v>83061000</v>
      </c>
      <c r="J405" s="30" t="n">
        <v>0.05</v>
      </c>
      <c r="K405" s="32">
        <f>D405*J405</f>
        <v/>
      </c>
      <c r="M405" s="32">
        <f>C405*4%</f>
        <v/>
      </c>
      <c r="N405" s="49">
        <f>M405+L405+K405+H405+G405+F405+E405+#REF!</f>
        <v/>
      </c>
      <c r="O405" s="32">
        <f>#REF!*1%</f>
        <v/>
      </c>
      <c r="P405" s="7">
        <f>N405*8%</f>
        <v/>
      </c>
      <c r="Q405" s="7">
        <f>N405*10%</f>
        <v/>
      </c>
      <c r="R405" s="7">
        <f>N405*5%</f>
        <v/>
      </c>
      <c r="S405" s="7">
        <f>N405*2%</f>
        <v/>
      </c>
      <c r="T405" s="7">
        <f>AE405*0.5%</f>
        <v/>
      </c>
      <c r="U405" s="7">
        <f>N405*1%</f>
        <v/>
      </c>
      <c r="V405" s="49">
        <f>U405+S405+R405+Q405+P405+O405</f>
        <v/>
      </c>
      <c r="W405" s="32">
        <f>AE405*1%</f>
        <v/>
      </c>
      <c r="X405" s="32">
        <f>AE405*10%</f>
        <v/>
      </c>
      <c r="Y405" s="32">
        <f>AE405*1%</f>
        <v/>
      </c>
      <c r="Z405" s="32">
        <f>AE405*8%</f>
        <v/>
      </c>
      <c r="AA405" s="32">
        <f>W405+X405+Y405+Z405</f>
        <v/>
      </c>
      <c r="AB405" s="31">
        <f>AA405+V405+N405</f>
        <v/>
      </c>
      <c r="AC405" s="6">
        <f>AB405*20%</f>
        <v/>
      </c>
      <c r="AD405" s="32">
        <f>AB405+AC405</f>
        <v/>
      </c>
      <c r="AE405" s="32">
        <f>C405*2.1</f>
        <v/>
      </c>
      <c r="AF405" s="7">
        <f>AD405-AE405</f>
        <v/>
      </c>
      <c r="AG405" s="7">
        <f>AF405/AD405*100</f>
        <v/>
      </c>
      <c r="AH405" s="0" t="n">
        <v>11950</v>
      </c>
      <c r="AI405" s="33" t="n"/>
      <c r="AJ405" s="34">
        <f>AD405</f>
        <v/>
      </c>
      <c r="AK405" s="34">
        <f>AJ405-(AJ405*7%)</f>
        <v/>
      </c>
      <c r="AL405" s="35">
        <f>AJ405/94</f>
        <v/>
      </c>
      <c r="AM405" s="35">
        <f>AK405/94</f>
        <v/>
      </c>
      <c r="AN405" s="36">
        <f>AJ405/24</f>
        <v/>
      </c>
      <c r="AO405" s="36">
        <f>AK405/24</f>
        <v/>
      </c>
      <c r="AP405" s="37">
        <f>AJ405/125</f>
        <v/>
      </c>
      <c r="AQ405" s="37">
        <f>AK405/125</f>
        <v/>
      </c>
    </row>
    <row r="406" ht="15.75" customHeight="1" s="50">
      <c r="A406" s="32" t="n"/>
      <c r="B406" s="32" t="inlineStr">
        <is>
          <t>12 in / Polished</t>
        </is>
      </c>
      <c r="C406" s="32" t="inlineStr">
        <is>
          <t>Mi-SB-H-P-12</t>
        </is>
      </c>
      <c r="D406" s="32" t="inlineStr">
        <is>
          <t>Prasonjit</t>
        </is>
      </c>
      <c r="E406" s="32" t="n">
        <v>145</v>
      </c>
      <c r="F406" s="32" t="n">
        <v>90</v>
      </c>
      <c r="G406" s="32" t="n">
        <v>0</v>
      </c>
      <c r="H406" s="32" t="n">
        <v>10</v>
      </c>
      <c r="I406" s="41" t="n">
        <v>83061000</v>
      </c>
      <c r="J406" s="30" t="n">
        <v>0.05</v>
      </c>
      <c r="K406" s="32">
        <f>D406*J406</f>
        <v/>
      </c>
      <c r="M406" s="32">
        <f>C406*4%</f>
        <v/>
      </c>
      <c r="N406" s="49">
        <f>M406+L406+K406+H406+G406+F406+E406+#REF!</f>
        <v/>
      </c>
      <c r="O406" s="32">
        <f>#REF!*1%</f>
        <v/>
      </c>
      <c r="P406" s="7">
        <f>N406*8%</f>
        <v/>
      </c>
      <c r="Q406" s="7">
        <f>N406*10%</f>
        <v/>
      </c>
      <c r="R406" s="7">
        <f>N406*5%</f>
        <v/>
      </c>
      <c r="S406" s="7">
        <f>N406*2%</f>
        <v/>
      </c>
      <c r="T406" s="7">
        <f>AE406*0.5%</f>
        <v/>
      </c>
      <c r="U406" s="7">
        <f>N406*1%</f>
        <v/>
      </c>
      <c r="V406" s="49">
        <f>U406+S406+R406+Q406+P406+O406</f>
        <v/>
      </c>
      <c r="W406" s="32">
        <f>AE406*1%</f>
        <v/>
      </c>
      <c r="X406" s="32">
        <f>AE406*10%</f>
        <v/>
      </c>
      <c r="Y406" s="32">
        <f>AE406*1%</f>
        <v/>
      </c>
      <c r="Z406" s="32">
        <f>AE406*8%</f>
        <v/>
      </c>
      <c r="AA406" s="32">
        <f>W406+X406+Y406+Z406</f>
        <v/>
      </c>
      <c r="AB406" s="31">
        <f>AA406+V406+N406</f>
        <v/>
      </c>
      <c r="AC406" s="6">
        <f>AB406*20%</f>
        <v/>
      </c>
      <c r="AD406" s="32">
        <f>AB406+AC406</f>
        <v/>
      </c>
      <c r="AE406" s="32">
        <f>C406*2.1</f>
        <v/>
      </c>
      <c r="AF406" s="7">
        <f>AD406-AE406</f>
        <v/>
      </c>
      <c r="AG406" s="7">
        <f>AF406/AD406*100</f>
        <v/>
      </c>
      <c r="AH406" s="0" t="n">
        <v>12650</v>
      </c>
      <c r="AI406" s="33" t="n"/>
      <c r="AJ406" s="34">
        <f>AD406</f>
        <v/>
      </c>
      <c r="AK406" s="34">
        <f>AJ406-(AJ406*7%)</f>
        <v/>
      </c>
      <c r="AL406" s="35">
        <f>AJ406/94</f>
        <v/>
      </c>
      <c r="AM406" s="35">
        <f>AK406/94</f>
        <v/>
      </c>
      <c r="AN406" s="36">
        <f>AJ406/24</f>
        <v/>
      </c>
      <c r="AO406" s="36">
        <f>AK406/24</f>
        <v/>
      </c>
      <c r="AP406" s="37">
        <f>AJ406/125</f>
        <v/>
      </c>
      <c r="AQ406" s="37">
        <f>AK406/125</f>
        <v/>
      </c>
    </row>
    <row r="407" ht="15.75" customHeight="1" s="50">
      <c r="A407" s="32" t="n"/>
      <c r="B407" s="32" t="inlineStr">
        <is>
          <t>6 in / Polished</t>
        </is>
      </c>
      <c r="C407" s="32" t="inlineStr">
        <is>
          <t>Mi-SB-H-P-6</t>
        </is>
      </c>
      <c r="D407" s="32" t="inlineStr">
        <is>
          <t>Prasonjit</t>
        </is>
      </c>
      <c r="E407" s="32" t="n">
        <v>125</v>
      </c>
      <c r="F407" s="32" t="n">
        <v>65</v>
      </c>
      <c r="G407" s="32" t="n">
        <v>0</v>
      </c>
      <c r="H407" s="32" t="n">
        <v>10</v>
      </c>
      <c r="I407" s="41" t="n">
        <v>83061000</v>
      </c>
      <c r="J407" s="30" t="n">
        <v>0.05</v>
      </c>
      <c r="K407" s="32">
        <f>D407*J407</f>
        <v/>
      </c>
      <c r="M407" s="32">
        <f>C407*4%</f>
        <v/>
      </c>
      <c r="N407" s="49">
        <f>M407+L407+K407+H407+G407+F407+E407+#REF!</f>
        <v/>
      </c>
      <c r="O407" s="32">
        <f>#REF!*1%</f>
        <v/>
      </c>
      <c r="P407" s="7">
        <f>N407*8%</f>
        <v/>
      </c>
      <c r="Q407" s="7">
        <f>N407*10%</f>
        <v/>
      </c>
      <c r="R407" s="7">
        <f>N407*5%</f>
        <v/>
      </c>
      <c r="S407" s="7">
        <f>N407*2%</f>
        <v/>
      </c>
      <c r="T407" s="7">
        <f>AE407*0.5%</f>
        <v/>
      </c>
      <c r="U407" s="7">
        <f>N407*1%</f>
        <v/>
      </c>
      <c r="V407" s="49">
        <f>U407+S407+R407+Q407+P407+O407</f>
        <v/>
      </c>
      <c r="W407" s="32">
        <f>AE407*1%</f>
        <v/>
      </c>
      <c r="X407" s="32">
        <f>AE407*10%</f>
        <v/>
      </c>
      <c r="Y407" s="32">
        <f>AE407*1%</f>
        <v/>
      </c>
      <c r="Z407" s="32">
        <f>AE407*8%</f>
        <v/>
      </c>
      <c r="AA407" s="32">
        <f>W407+X407+Y407+Z407</f>
        <v/>
      </c>
      <c r="AB407" s="31">
        <f>AA407+V407+N407</f>
        <v/>
      </c>
      <c r="AC407" s="6">
        <f>AB407*20%</f>
        <v/>
      </c>
      <c r="AD407" s="32">
        <f>AB407+AC407</f>
        <v/>
      </c>
      <c r="AE407" s="32">
        <f>C407*2.1</f>
        <v/>
      </c>
      <c r="AF407" s="7">
        <f>AD407-AE407</f>
        <v/>
      </c>
      <c r="AG407" s="7">
        <f>AF407/AD407*100</f>
        <v/>
      </c>
      <c r="AH407" s="0" t="n">
        <v>6650</v>
      </c>
      <c r="AI407" s="33" t="n"/>
      <c r="AJ407" s="34">
        <f>AD407</f>
        <v/>
      </c>
      <c r="AK407" s="34">
        <f>AJ407-(AJ407*7%)</f>
        <v/>
      </c>
      <c r="AL407" s="35">
        <f>AJ407/94</f>
        <v/>
      </c>
      <c r="AM407" s="35">
        <f>AK407/94</f>
        <v/>
      </c>
      <c r="AN407" s="36">
        <f>AJ407/24</f>
        <v/>
      </c>
      <c r="AO407" s="36">
        <f>AK407/24</f>
        <v/>
      </c>
      <c r="AP407" s="37">
        <f>AJ407/125</f>
        <v/>
      </c>
      <c r="AQ407" s="37">
        <f>AK407/125</f>
        <v/>
      </c>
    </row>
    <row r="408" ht="15.75" customHeight="1" s="50">
      <c r="A408" s="32" t="n"/>
      <c r="B408" s="32" t="inlineStr">
        <is>
          <t>7 in / Polished</t>
        </is>
      </c>
      <c r="C408" s="32" t="inlineStr">
        <is>
          <t>Mi-SB-H-P-7</t>
        </is>
      </c>
      <c r="D408" s="32" t="inlineStr">
        <is>
          <t>Prasonjit</t>
        </is>
      </c>
      <c r="E408" s="32" t="n">
        <v>125</v>
      </c>
      <c r="F408" s="32" t="n">
        <v>65</v>
      </c>
      <c r="G408" s="32" t="n">
        <v>0</v>
      </c>
      <c r="H408" s="32" t="n">
        <v>10</v>
      </c>
      <c r="I408" s="41" t="n">
        <v>83061000</v>
      </c>
      <c r="J408" s="30" t="n">
        <v>0.05</v>
      </c>
      <c r="K408" s="32">
        <f>D408*J408</f>
        <v/>
      </c>
      <c r="M408" s="32">
        <f>C408*4%</f>
        <v/>
      </c>
      <c r="N408" s="49">
        <f>M408+L408+K408+H408+G408+F408+E408+#REF!</f>
        <v/>
      </c>
      <c r="O408" s="32">
        <f>#REF!*1%</f>
        <v/>
      </c>
      <c r="P408" s="7">
        <f>N408*8%</f>
        <v/>
      </c>
      <c r="Q408" s="7">
        <f>N408*10%</f>
        <v/>
      </c>
      <c r="R408" s="7">
        <f>N408*5%</f>
        <v/>
      </c>
      <c r="S408" s="7">
        <f>N408*2%</f>
        <v/>
      </c>
      <c r="T408" s="7">
        <f>AE408*0.5%</f>
        <v/>
      </c>
      <c r="U408" s="7">
        <f>N408*1%</f>
        <v/>
      </c>
      <c r="V408" s="49">
        <f>U408+S408+R408+Q408+P408+O408</f>
        <v/>
      </c>
      <c r="W408" s="32">
        <f>AE408*1%</f>
        <v/>
      </c>
      <c r="X408" s="32">
        <f>AE408*10%</f>
        <v/>
      </c>
      <c r="Y408" s="32">
        <f>AE408*1%</f>
        <v/>
      </c>
      <c r="Z408" s="32">
        <f>AE408*8%</f>
        <v/>
      </c>
      <c r="AA408" s="32">
        <f>W408+X408+Y408+Z408</f>
        <v/>
      </c>
      <c r="AB408" s="31">
        <f>AA408+V408+N408</f>
        <v/>
      </c>
      <c r="AC408" s="6">
        <f>AB408*20%</f>
        <v/>
      </c>
      <c r="AD408" s="32">
        <f>AB408+AC408</f>
        <v/>
      </c>
      <c r="AE408" s="32">
        <f>C408*2.1</f>
        <v/>
      </c>
      <c r="AF408" s="7">
        <f>AD408-AE408</f>
        <v/>
      </c>
      <c r="AG408" s="7">
        <f>AF408/AD408*100</f>
        <v/>
      </c>
      <c r="AH408" s="0" t="n">
        <v>7450</v>
      </c>
      <c r="AI408" s="33" t="n"/>
      <c r="AJ408" s="34">
        <f>AD408</f>
        <v/>
      </c>
      <c r="AK408" s="34">
        <f>AJ408-(AJ408*7%)</f>
        <v/>
      </c>
      <c r="AL408" s="35">
        <f>AJ408/94</f>
        <v/>
      </c>
      <c r="AM408" s="35">
        <f>AK408/94</f>
        <v/>
      </c>
      <c r="AN408" s="36">
        <f>AJ408/24</f>
        <v/>
      </c>
      <c r="AO408" s="36">
        <f>AK408/24</f>
        <v/>
      </c>
      <c r="AP408" s="37">
        <f>AJ408/125</f>
        <v/>
      </c>
      <c r="AQ408" s="37">
        <f>AK408/125</f>
        <v/>
      </c>
    </row>
    <row r="409" ht="15.75" customHeight="1" s="50">
      <c r="A409" s="32" t="n"/>
      <c r="B409" s="32" t="inlineStr">
        <is>
          <t>8 in / Polished</t>
        </is>
      </c>
      <c r="C409" s="32" t="inlineStr">
        <is>
          <t>Mi-SB-H-P-8</t>
        </is>
      </c>
      <c r="D409" s="32" t="inlineStr">
        <is>
          <t>Prasonjit</t>
        </is>
      </c>
      <c r="E409" s="32" t="n">
        <v>145</v>
      </c>
      <c r="F409" s="32" t="n">
        <v>80</v>
      </c>
      <c r="G409" s="32" t="n">
        <v>0</v>
      </c>
      <c r="H409" s="32" t="n">
        <v>10</v>
      </c>
      <c r="I409" s="41" t="n">
        <v>83061000</v>
      </c>
      <c r="J409" s="30" t="n">
        <v>0.05</v>
      </c>
      <c r="K409" s="32">
        <f>D409*J409</f>
        <v/>
      </c>
      <c r="M409" s="32">
        <f>C409*4%</f>
        <v/>
      </c>
      <c r="N409" s="49">
        <f>M409+L409+K409+H409+G409+F409+E409+#REF!</f>
        <v/>
      </c>
      <c r="O409" s="32">
        <f>#REF!*1%</f>
        <v/>
      </c>
      <c r="P409" s="7">
        <f>N409*8%</f>
        <v/>
      </c>
      <c r="Q409" s="7">
        <f>N409*10%</f>
        <v/>
      </c>
      <c r="R409" s="7">
        <f>N409*5%</f>
        <v/>
      </c>
      <c r="S409" s="7">
        <f>N409*2%</f>
        <v/>
      </c>
      <c r="T409" s="7">
        <f>AE409*0.5%</f>
        <v/>
      </c>
      <c r="U409" s="7">
        <f>N409*1%</f>
        <v/>
      </c>
      <c r="V409" s="49">
        <f>U409+S409+R409+Q409+P409+O409</f>
        <v/>
      </c>
      <c r="W409" s="32">
        <f>AE409*1%</f>
        <v/>
      </c>
      <c r="X409" s="32">
        <f>AE409*10%</f>
        <v/>
      </c>
      <c r="Y409" s="32">
        <f>AE409*1%</f>
        <v/>
      </c>
      <c r="Z409" s="32">
        <f>AE409*8%</f>
        <v/>
      </c>
      <c r="AA409" s="32">
        <f>W409+X409+Y409+Z409</f>
        <v/>
      </c>
      <c r="AB409" s="31">
        <f>AA409+V409+N409</f>
        <v/>
      </c>
      <c r="AC409" s="6">
        <f>AB409*20%</f>
        <v/>
      </c>
      <c r="AD409" s="32">
        <f>AB409+AC409</f>
        <v/>
      </c>
      <c r="AE409" s="32">
        <f>C409*2.1</f>
        <v/>
      </c>
      <c r="AF409" s="7">
        <f>AD409-AE409</f>
        <v/>
      </c>
      <c r="AG409" s="7">
        <f>AF409/AD409*100</f>
        <v/>
      </c>
      <c r="AH409" s="0" t="n">
        <v>8250</v>
      </c>
      <c r="AI409" s="33" t="n"/>
      <c r="AJ409" s="34">
        <f>AD409</f>
        <v/>
      </c>
      <c r="AK409" s="34">
        <f>AJ409-(AJ409*7%)</f>
        <v/>
      </c>
      <c r="AL409" s="35">
        <f>AJ409/94</f>
        <v/>
      </c>
      <c r="AM409" s="35">
        <f>AK409/94</f>
        <v/>
      </c>
      <c r="AN409" s="36">
        <f>AJ409/24</f>
        <v/>
      </c>
      <c r="AO409" s="36">
        <f>AK409/24</f>
        <v/>
      </c>
      <c r="AP409" s="37">
        <f>AJ409/125</f>
        <v/>
      </c>
      <c r="AQ409" s="37">
        <f>AK409/125</f>
        <v/>
      </c>
    </row>
    <row r="410" ht="15.75" customHeight="1" s="50">
      <c r="A410" s="32" t="n"/>
      <c r="B410" s="32" t="inlineStr">
        <is>
          <t>9 in / Polished</t>
        </is>
      </c>
      <c r="C410" s="32" t="inlineStr">
        <is>
          <t>Mi-SB-H-P-9</t>
        </is>
      </c>
      <c r="D410" s="32" t="inlineStr">
        <is>
          <t>Prasonjit</t>
        </is>
      </c>
      <c r="E410" s="32" t="n">
        <v>145</v>
      </c>
      <c r="F410" s="32" t="n">
        <v>80</v>
      </c>
      <c r="G410" s="32" t="n">
        <v>0</v>
      </c>
      <c r="H410" s="32" t="n">
        <v>10</v>
      </c>
      <c r="I410" s="41" t="n">
        <v>83061000</v>
      </c>
      <c r="J410" s="30" t="n">
        <v>0.05</v>
      </c>
      <c r="K410" s="32">
        <f>D410*J410</f>
        <v/>
      </c>
      <c r="M410" s="32">
        <f>C410*4%</f>
        <v/>
      </c>
      <c r="N410" s="49">
        <f>M410+L410+K410+H410+G410+F410+E410+#REF!</f>
        <v/>
      </c>
      <c r="O410" s="32">
        <f>#REF!*1%</f>
        <v/>
      </c>
      <c r="P410" s="7">
        <f>N410*8%</f>
        <v/>
      </c>
      <c r="Q410" s="7">
        <f>N410*10%</f>
        <v/>
      </c>
      <c r="R410" s="7">
        <f>N410*5%</f>
        <v/>
      </c>
      <c r="S410" s="7">
        <f>N410*2%</f>
        <v/>
      </c>
      <c r="T410" s="7">
        <f>AE410*0.5%</f>
        <v/>
      </c>
      <c r="U410" s="7">
        <f>N410*1%</f>
        <v/>
      </c>
      <c r="V410" s="49">
        <f>U410+S410+R410+Q410+P410+O410</f>
        <v/>
      </c>
      <c r="W410" s="32">
        <f>AE410*1%</f>
        <v/>
      </c>
      <c r="X410" s="32">
        <f>AE410*10%</f>
        <v/>
      </c>
      <c r="Y410" s="32">
        <f>AE410*1%</f>
        <v/>
      </c>
      <c r="Z410" s="32">
        <f>AE410*8%</f>
        <v/>
      </c>
      <c r="AA410" s="32">
        <f>W410+X410+Y410+Z410</f>
        <v/>
      </c>
      <c r="AB410" s="31">
        <f>AA410+V410+N410</f>
        <v/>
      </c>
      <c r="AC410" s="6">
        <f>AB410*20%</f>
        <v/>
      </c>
      <c r="AD410" s="32">
        <f>AB410+AC410</f>
        <v/>
      </c>
      <c r="AE410" s="32">
        <f>C410*2.1</f>
        <v/>
      </c>
      <c r="AF410" s="7">
        <f>AD410-AE410</f>
        <v/>
      </c>
      <c r="AG410" s="7">
        <f>AF410/AD410*100</f>
        <v/>
      </c>
      <c r="AH410" s="0" t="n">
        <v>9350</v>
      </c>
      <c r="AI410" s="33" t="n"/>
      <c r="AJ410" s="34">
        <f>AD410</f>
        <v/>
      </c>
      <c r="AK410" s="34">
        <f>AJ410-(AJ410*7%)</f>
        <v/>
      </c>
      <c r="AL410" s="35">
        <f>AJ410/94</f>
        <v/>
      </c>
      <c r="AM410" s="35">
        <f>AK410/94</f>
        <v/>
      </c>
      <c r="AN410" s="36">
        <f>AJ410/24</f>
        <v/>
      </c>
      <c r="AO410" s="36">
        <f>AK410/24</f>
        <v/>
      </c>
      <c r="AP410" s="37">
        <f>AJ410/125</f>
        <v/>
      </c>
      <c r="AQ410" s="37">
        <f>AK410/125</f>
        <v/>
      </c>
    </row>
    <row r="411" ht="15.75" customHeight="1" s="50">
      <c r="A411" s="32" t="n"/>
      <c r="B411" s="32" t="inlineStr">
        <is>
          <t>Matte / 6 in</t>
        </is>
      </c>
      <c r="D411" s="32" t="inlineStr">
        <is>
          <t>Prasonjit</t>
        </is>
      </c>
      <c r="E411" s="32" t="n">
        <v>125</v>
      </c>
      <c r="F411" s="32" t="n">
        <v>65</v>
      </c>
      <c r="G411" s="32" t="n">
        <v>0</v>
      </c>
      <c r="H411" s="32" t="n">
        <v>10</v>
      </c>
      <c r="I411" s="41" t="n">
        <v>83061000</v>
      </c>
      <c r="J411" s="30" t="n">
        <v>0.05</v>
      </c>
      <c r="K411" s="32">
        <f>D411*J411</f>
        <v/>
      </c>
      <c r="M411" s="32">
        <f>D411*4%</f>
        <v/>
      </c>
      <c r="N411" s="49">
        <f>M411+L411+K411+H411+G411+F411+E411+#REF!</f>
        <v/>
      </c>
      <c r="O411" s="32">
        <f>#REF!*1%</f>
        <v/>
      </c>
      <c r="P411" s="7">
        <f>N411*8%</f>
        <v/>
      </c>
      <c r="Q411" s="7">
        <f>N411*10%</f>
        <v/>
      </c>
      <c r="R411" s="7">
        <f>N411*5%</f>
        <v/>
      </c>
      <c r="S411" s="7">
        <f>N411*2%</f>
        <v/>
      </c>
      <c r="T411" s="7">
        <f>AE411*0.5%</f>
        <v/>
      </c>
      <c r="U411" s="7">
        <f>N411*1%</f>
        <v/>
      </c>
      <c r="V411" s="49">
        <f>U411+S411+R411+Q411+P411+O411</f>
        <v/>
      </c>
      <c r="W411" s="32">
        <f>AE411*1%</f>
        <v/>
      </c>
      <c r="X411" s="32">
        <f>AE411*10%</f>
        <v/>
      </c>
      <c r="Y411" s="32">
        <f>AE411*1%</f>
        <v/>
      </c>
      <c r="Z411" s="32">
        <f>AE411*8%</f>
        <v/>
      </c>
      <c r="AA411" s="32">
        <f>W411+X411+Y411+Z411</f>
        <v/>
      </c>
      <c r="AB411" s="31">
        <f>AA411+V411+N411</f>
        <v/>
      </c>
      <c r="AC411" s="6">
        <f>AB411*20%</f>
        <v/>
      </c>
      <c r="AD411" s="32">
        <f>AB411+AC411</f>
        <v/>
      </c>
      <c r="AE411" s="32">
        <f>D411*2.1</f>
        <v/>
      </c>
      <c r="AF411" s="7">
        <f>AD411-AE411</f>
        <v/>
      </c>
      <c r="AG411" s="7">
        <f>AF411/AD411*100</f>
        <v/>
      </c>
      <c r="AI411" s="33" t="n"/>
      <c r="AJ411" s="34">
        <f>AD411</f>
        <v/>
      </c>
      <c r="AK411" s="34">
        <f>AJ411-(AJ411*7%)</f>
        <v/>
      </c>
      <c r="AL411" s="35">
        <f>AJ411/94</f>
        <v/>
      </c>
      <c r="AM411" s="35">
        <f>AK411/94</f>
        <v/>
      </c>
      <c r="AN411" s="36">
        <f>AJ411/24</f>
        <v/>
      </c>
      <c r="AO411" s="36">
        <f>AK411/24</f>
        <v/>
      </c>
      <c r="AP411" s="37">
        <f>AJ411/125</f>
        <v/>
      </c>
      <c r="AQ411" s="37">
        <f>AK411/125</f>
        <v/>
      </c>
    </row>
    <row r="412" ht="15.75" customHeight="1" s="50">
      <c r="A412" s="32" t="n"/>
      <c r="B412" s="32" t="inlineStr">
        <is>
          <t>Matte / 7 in</t>
        </is>
      </c>
      <c r="D412" s="32" t="inlineStr">
        <is>
          <t>Prasonjit</t>
        </is>
      </c>
      <c r="E412" s="32" t="n">
        <v>125</v>
      </c>
      <c r="F412" s="32" t="n">
        <v>65</v>
      </c>
      <c r="G412" s="32" t="n">
        <v>0</v>
      </c>
      <c r="H412" s="32" t="n">
        <v>10</v>
      </c>
      <c r="I412" s="41" t="n">
        <v>83061000</v>
      </c>
      <c r="J412" s="30" t="n">
        <v>0.05</v>
      </c>
      <c r="K412" s="32">
        <f>D412*J412</f>
        <v/>
      </c>
      <c r="M412" s="32">
        <f>D412*4%</f>
        <v/>
      </c>
      <c r="N412" s="49">
        <f>M412+L412+K412+H412+G412+F412+E412+#REF!</f>
        <v/>
      </c>
      <c r="O412" s="32">
        <f>#REF!*1%</f>
        <v/>
      </c>
      <c r="P412" s="7">
        <f>N412*8%</f>
        <v/>
      </c>
      <c r="Q412" s="7">
        <f>N412*10%</f>
        <v/>
      </c>
      <c r="R412" s="7">
        <f>N412*5%</f>
        <v/>
      </c>
      <c r="S412" s="7">
        <f>N412*2%</f>
        <v/>
      </c>
      <c r="T412" s="7">
        <f>AE412*0.5%</f>
        <v/>
      </c>
      <c r="U412" s="7">
        <f>N412*1%</f>
        <v/>
      </c>
      <c r="V412" s="49">
        <f>U412+S412+R412+Q412+P412+O412</f>
        <v/>
      </c>
      <c r="W412" s="32">
        <f>AE412*1%</f>
        <v/>
      </c>
      <c r="X412" s="32">
        <f>AE412*10%</f>
        <v/>
      </c>
      <c r="Y412" s="32">
        <f>AE412*1%</f>
        <v/>
      </c>
      <c r="Z412" s="32">
        <f>AE412*8%</f>
        <v/>
      </c>
      <c r="AA412" s="32">
        <f>W412+X412+Y412+Z412</f>
        <v/>
      </c>
      <c r="AB412" s="31">
        <f>AA412+V412+N412</f>
        <v/>
      </c>
      <c r="AC412" s="6">
        <f>AB412*20%</f>
        <v/>
      </c>
      <c r="AD412" s="32">
        <f>AB412+AC412</f>
        <v/>
      </c>
      <c r="AE412" s="32">
        <f>D412*2.1</f>
        <v/>
      </c>
      <c r="AF412" s="7">
        <f>AD412-AE412</f>
        <v/>
      </c>
      <c r="AG412" s="7">
        <f>AF412/AD412*100</f>
        <v/>
      </c>
      <c r="AI412" s="33" t="n"/>
      <c r="AJ412" s="34">
        <f>AD412</f>
        <v/>
      </c>
      <c r="AK412" s="34">
        <f>AJ412-(AJ412*7%)</f>
        <v/>
      </c>
      <c r="AL412" s="35">
        <f>AJ412/94</f>
        <v/>
      </c>
      <c r="AM412" s="35">
        <f>AK412/94</f>
        <v/>
      </c>
      <c r="AN412" s="36">
        <f>AJ412/24</f>
        <v/>
      </c>
      <c r="AO412" s="36">
        <f>AK412/24</f>
        <v/>
      </c>
      <c r="AP412" s="37">
        <f>AJ412/125</f>
        <v/>
      </c>
      <c r="AQ412" s="37">
        <f>AK412/125</f>
        <v/>
      </c>
    </row>
    <row r="413" ht="15.75" customHeight="1" s="50">
      <c r="A413" s="32" t="n"/>
      <c r="B413" s="32" t="inlineStr">
        <is>
          <t>Matte / 12 in</t>
        </is>
      </c>
      <c r="D413" s="32" t="inlineStr">
        <is>
          <t>Prasonjit</t>
        </is>
      </c>
      <c r="E413" s="32" t="n">
        <v>145</v>
      </c>
      <c r="F413" s="32" t="n">
        <v>90</v>
      </c>
      <c r="G413" s="32" t="n">
        <v>0</v>
      </c>
      <c r="H413" s="32" t="n">
        <v>10</v>
      </c>
      <c r="I413" s="41" t="n">
        <v>83061000</v>
      </c>
      <c r="J413" s="30" t="n">
        <v>0.05</v>
      </c>
      <c r="K413" s="32">
        <f>D413*J413</f>
        <v/>
      </c>
      <c r="M413" s="32">
        <f>D413*4%</f>
        <v/>
      </c>
      <c r="N413" s="49">
        <f>M413+L413+K413+H413+G413+F413+E413+#REF!</f>
        <v/>
      </c>
      <c r="O413" s="32">
        <f>#REF!*1%</f>
        <v/>
      </c>
      <c r="P413" s="7">
        <f>N413*8%</f>
        <v/>
      </c>
      <c r="Q413" s="7">
        <f>N413*10%</f>
        <v/>
      </c>
      <c r="R413" s="7">
        <f>N413*5%</f>
        <v/>
      </c>
      <c r="S413" s="7">
        <f>N413*2%</f>
        <v/>
      </c>
      <c r="T413" s="7">
        <f>AE413*0.5%</f>
        <v/>
      </c>
      <c r="U413" s="7">
        <f>N413*1%</f>
        <v/>
      </c>
      <c r="V413" s="49">
        <f>U413+S413+R413+Q413+P413+O413</f>
        <v/>
      </c>
      <c r="W413" s="32">
        <f>AE413*1%</f>
        <v/>
      </c>
      <c r="X413" s="32">
        <f>AE413*10%</f>
        <v/>
      </c>
      <c r="Y413" s="32">
        <f>AE413*1%</f>
        <v/>
      </c>
      <c r="Z413" s="32">
        <f>AE413*8%</f>
        <v/>
      </c>
      <c r="AA413" s="32">
        <f>W413+X413+Y413+Z413</f>
        <v/>
      </c>
      <c r="AB413" s="31">
        <f>AA413+V413+N413</f>
        <v/>
      </c>
      <c r="AC413" s="6">
        <f>AB413*20%</f>
        <v/>
      </c>
      <c r="AD413" s="32">
        <f>AB413+AC413</f>
        <v/>
      </c>
      <c r="AE413" s="32">
        <f>D413*2.1</f>
        <v/>
      </c>
      <c r="AF413" s="7">
        <f>AD413-AE413</f>
        <v/>
      </c>
      <c r="AG413" s="7">
        <f>AF413/AD413*100</f>
        <v/>
      </c>
      <c r="AI413" s="33" t="n"/>
      <c r="AJ413" s="34">
        <f>AD413</f>
        <v/>
      </c>
      <c r="AK413" s="34">
        <f>AJ413-(AJ413*7%)</f>
        <v/>
      </c>
      <c r="AL413" s="35">
        <f>AJ413/94</f>
        <v/>
      </c>
      <c r="AM413" s="35">
        <f>AK413/94</f>
        <v/>
      </c>
      <c r="AN413" s="36">
        <f>AJ413/24</f>
        <v/>
      </c>
      <c r="AO413" s="36">
        <f>AK413/24</f>
        <v/>
      </c>
      <c r="AP413" s="37">
        <f>AJ413/125</f>
        <v/>
      </c>
      <c r="AQ413" s="37">
        <f>AK413/125</f>
        <v/>
      </c>
    </row>
    <row r="414" ht="15.75" customHeight="1" s="50">
      <c r="A414" s="32" t="n"/>
      <c r="B414" s="32" t="inlineStr">
        <is>
          <t>13 in / Polished</t>
        </is>
      </c>
      <c r="D414" s="32" t="inlineStr">
        <is>
          <t>Prasonjit</t>
        </is>
      </c>
      <c r="E414" s="32" t="n">
        <v>145</v>
      </c>
      <c r="F414" s="32" t="n">
        <v>90</v>
      </c>
      <c r="G414" s="32" t="n">
        <v>0</v>
      </c>
      <c r="H414" s="32" t="n">
        <v>10</v>
      </c>
      <c r="I414" s="41" t="n">
        <v>83061000</v>
      </c>
      <c r="J414" s="30" t="n">
        <v>0.05</v>
      </c>
      <c r="K414" s="32">
        <f>D414*J414</f>
        <v/>
      </c>
      <c r="M414" s="32">
        <f>D414*4%</f>
        <v/>
      </c>
      <c r="N414" s="49">
        <f>M414+L414+K414+H414+G414+F414+E414+#REF!</f>
        <v/>
      </c>
      <c r="O414" s="32">
        <f>#REF!*1%</f>
        <v/>
      </c>
      <c r="P414" s="7">
        <f>N414*8%</f>
        <v/>
      </c>
      <c r="Q414" s="7">
        <f>N414*10%</f>
        <v/>
      </c>
      <c r="R414" s="7">
        <f>N414*5%</f>
        <v/>
      </c>
      <c r="S414" s="7">
        <f>N414*2%</f>
        <v/>
      </c>
      <c r="T414" s="7">
        <f>AE414*0.5%</f>
        <v/>
      </c>
      <c r="U414" s="7">
        <f>N414*1%</f>
        <v/>
      </c>
      <c r="V414" s="49">
        <f>U414+S414+R414+Q414+P414+O414</f>
        <v/>
      </c>
      <c r="W414" s="32">
        <f>AE414*1%</f>
        <v/>
      </c>
      <c r="X414" s="32">
        <f>AE414*10%</f>
        <v/>
      </c>
      <c r="Y414" s="32">
        <f>AE414*1%</f>
        <v/>
      </c>
      <c r="Z414" s="32">
        <f>AE414*8%</f>
        <v/>
      </c>
      <c r="AA414" s="32">
        <f>W414+X414+Y414+Z414</f>
        <v/>
      </c>
      <c r="AB414" s="31">
        <f>AA414+V414+N414</f>
        <v/>
      </c>
      <c r="AC414" s="6">
        <f>AB414*20%</f>
        <v/>
      </c>
      <c r="AD414" s="32">
        <f>AB414+AC414</f>
        <v/>
      </c>
      <c r="AE414" s="32">
        <f>D414*2.1</f>
        <v/>
      </c>
      <c r="AF414" s="7">
        <f>AD414-AE414</f>
        <v/>
      </c>
      <c r="AG414" s="7">
        <f>AF414/AD414*100</f>
        <v/>
      </c>
      <c r="AI414" s="33" t="n"/>
      <c r="AJ414" s="34">
        <f>AD414</f>
        <v/>
      </c>
      <c r="AK414" s="34">
        <f>AJ414-(AJ414*7%)</f>
        <v/>
      </c>
      <c r="AL414" s="35">
        <f>AJ414/94</f>
        <v/>
      </c>
      <c r="AM414" s="35">
        <f>AK414/94</f>
        <v/>
      </c>
      <c r="AN414" s="36">
        <f>AJ414/24</f>
        <v/>
      </c>
      <c r="AO414" s="36">
        <f>AK414/24</f>
        <v/>
      </c>
      <c r="AP414" s="37">
        <f>AJ414/125</f>
        <v/>
      </c>
      <c r="AQ414" s="37">
        <f>AK414/125</f>
        <v/>
      </c>
    </row>
    <row r="415" ht="15.75" customHeight="1" s="50">
      <c r="A415" s="32" t="n"/>
      <c r="B415" s="32" t="inlineStr">
        <is>
          <t>13 in / Matte</t>
        </is>
      </c>
      <c r="D415" s="32" t="inlineStr">
        <is>
          <t>Prasonjit</t>
        </is>
      </c>
      <c r="E415" s="32" t="n">
        <v>145</v>
      </c>
      <c r="F415" s="32" t="n">
        <v>90</v>
      </c>
      <c r="G415" s="32" t="n">
        <v>0</v>
      </c>
      <c r="H415" s="32" t="n">
        <v>10</v>
      </c>
      <c r="I415" s="41" t="n">
        <v>83061000</v>
      </c>
      <c r="J415" s="30" t="n">
        <v>0.05</v>
      </c>
      <c r="K415" s="32">
        <f>D415*J415</f>
        <v/>
      </c>
      <c r="M415" s="32">
        <f>D415*4%</f>
        <v/>
      </c>
      <c r="N415" s="49">
        <f>M415+L415+K415+H415+G415+F415+E415+#REF!</f>
        <v/>
      </c>
      <c r="O415" s="32">
        <f>#REF!*1%</f>
        <v/>
      </c>
      <c r="P415" s="7">
        <f>N415*8%</f>
        <v/>
      </c>
      <c r="Q415" s="7">
        <f>N415*10%</f>
        <v/>
      </c>
      <c r="R415" s="7">
        <f>N415*5%</f>
        <v/>
      </c>
      <c r="S415" s="7">
        <f>N415*2%</f>
        <v/>
      </c>
      <c r="T415" s="7">
        <f>AE415*0.5%</f>
        <v/>
      </c>
      <c r="U415" s="7">
        <f>N415*1%</f>
        <v/>
      </c>
      <c r="V415" s="49">
        <f>U415+S415+R415+Q415+P415+O415</f>
        <v/>
      </c>
      <c r="W415" s="32">
        <f>AE415*1%</f>
        <v/>
      </c>
      <c r="X415" s="32">
        <f>AE415*10%</f>
        <v/>
      </c>
      <c r="Y415" s="32">
        <f>AE415*1%</f>
        <v/>
      </c>
      <c r="Z415" s="32">
        <f>AE415*8%</f>
        <v/>
      </c>
      <c r="AA415" s="32">
        <f>W415+X415+Y415+Z415</f>
        <v/>
      </c>
      <c r="AB415" s="31">
        <f>AA415+V415+N415</f>
        <v/>
      </c>
      <c r="AC415" s="6">
        <f>AB415*20%</f>
        <v/>
      </c>
      <c r="AD415" s="32">
        <f>AB415+AC415</f>
        <v/>
      </c>
      <c r="AE415" s="32">
        <f>D415*2.1</f>
        <v/>
      </c>
      <c r="AF415" s="7">
        <f>AD415-AE415</f>
        <v/>
      </c>
      <c r="AG415" s="7">
        <f>AF415/AD415*100</f>
        <v/>
      </c>
      <c r="AI415" s="33" t="n"/>
      <c r="AJ415" s="34">
        <f>AD415</f>
        <v/>
      </c>
      <c r="AK415" s="34">
        <f>AJ415-(AJ415*7%)</f>
        <v/>
      </c>
      <c r="AL415" s="35">
        <f>AJ415/94</f>
        <v/>
      </c>
      <c r="AM415" s="35">
        <f>AK415/94</f>
        <v/>
      </c>
      <c r="AN415" s="36">
        <f>AJ415/24</f>
        <v/>
      </c>
      <c r="AO415" s="36">
        <f>AK415/24</f>
        <v/>
      </c>
      <c r="AP415" s="37">
        <f>AJ415/125</f>
        <v/>
      </c>
      <c r="AQ415" s="37">
        <f>AK415/125</f>
        <v/>
      </c>
    </row>
    <row r="416" ht="15.75" customHeight="1" s="50">
      <c r="A416" s="32" t="inlineStr">
        <is>
          <t>Handmade Universal Bowl for Sound Healing</t>
        </is>
      </c>
      <c r="B416" s="32" t="inlineStr">
        <is>
          <t>Standard</t>
        </is>
      </c>
      <c r="C416" s="32" t="inlineStr">
        <is>
          <t>MI-SB-HM-UN</t>
        </is>
      </c>
      <c r="D416" s="32" t="inlineStr">
        <is>
          <t>Prasonjit</t>
        </is>
      </c>
      <c r="E416" s="32" t="n">
        <v>65</v>
      </c>
      <c r="F416" s="32" t="n">
        <v>255</v>
      </c>
      <c r="G416" s="32" t="n">
        <v>0</v>
      </c>
      <c r="H416" s="32" t="n">
        <v>10</v>
      </c>
      <c r="I416" s="41" t="n">
        <v>83061000</v>
      </c>
      <c r="J416" s="30" t="n">
        <v>0.05</v>
      </c>
      <c r="K416" s="32">
        <f>D416*J416</f>
        <v/>
      </c>
      <c r="M416" s="32">
        <f>C416*4%</f>
        <v/>
      </c>
      <c r="N416" s="49">
        <f>M416+L416+K416+H416+G416+F416+E416+#REF!</f>
        <v/>
      </c>
      <c r="O416" s="32">
        <f>#REF!*1%</f>
        <v/>
      </c>
      <c r="P416" s="7">
        <f>N416*8%</f>
        <v/>
      </c>
      <c r="Q416" s="7">
        <f>N416*10%</f>
        <v/>
      </c>
      <c r="R416" s="7">
        <f>N416*5%</f>
        <v/>
      </c>
      <c r="S416" s="7">
        <f>N416*2%</f>
        <v/>
      </c>
      <c r="T416" s="7">
        <f>AE416*0.5%</f>
        <v/>
      </c>
      <c r="U416" s="7">
        <f>N416*1%</f>
        <v/>
      </c>
      <c r="V416" s="49">
        <f>U416+S416+R416+Q416+P416+O416</f>
        <v/>
      </c>
      <c r="W416" s="32">
        <f>AE416*1%</f>
        <v/>
      </c>
      <c r="X416" s="32">
        <f>AE416*10%</f>
        <v/>
      </c>
      <c r="Y416" s="32">
        <f>AE416*1%</f>
        <v/>
      </c>
      <c r="Z416" s="32">
        <f>AE416*8%</f>
        <v/>
      </c>
      <c r="AA416" s="32">
        <f>W416+X416+Y416+Z416</f>
        <v/>
      </c>
      <c r="AB416" s="31">
        <f>AA416+V416+N416</f>
        <v/>
      </c>
      <c r="AC416" s="6">
        <f>AB416*20%</f>
        <v/>
      </c>
      <c r="AD416" s="32">
        <f>AB416+AC416</f>
        <v/>
      </c>
      <c r="AE416" s="32">
        <f>C416*2.1</f>
        <v/>
      </c>
      <c r="AF416" s="7">
        <f>AD416-AE416</f>
        <v/>
      </c>
      <c r="AG416" s="7">
        <f>AF416/AD416*100</f>
        <v/>
      </c>
      <c r="AH416" s="0" t="n">
        <v>8950</v>
      </c>
      <c r="AI416" s="33" t="n"/>
      <c r="AJ416" s="34">
        <f>AD416</f>
        <v/>
      </c>
      <c r="AK416" s="34">
        <f>AJ416-(AJ416*7%)</f>
        <v/>
      </c>
      <c r="AL416" s="35">
        <f>AJ416/94</f>
        <v/>
      </c>
      <c r="AM416" s="35">
        <f>AK416/94</f>
        <v/>
      </c>
      <c r="AN416" s="36">
        <f>AJ416/24</f>
        <v/>
      </c>
      <c r="AO416" s="36">
        <f>AK416/24</f>
        <v/>
      </c>
      <c r="AP416" s="37">
        <f>AJ416/125</f>
        <v/>
      </c>
      <c r="AQ416" s="37">
        <f>AK416/125</f>
        <v/>
      </c>
    </row>
    <row r="417" ht="15.75" customHeight="1" s="50">
      <c r="A417" s="32" t="inlineStr">
        <is>
          <t>Handpan Stand</t>
        </is>
      </c>
      <c r="B417" s="32" t="inlineStr">
        <is>
          <t>Standard</t>
        </is>
      </c>
      <c r="G417" s="32" t="n">
        <v>0</v>
      </c>
      <c r="H417" s="32" t="n">
        <v>10</v>
      </c>
      <c r="I417" s="46" t="n">
        <v>7326</v>
      </c>
      <c r="J417" s="30" t="n">
        <v>0.18</v>
      </c>
      <c r="K417" s="32">
        <f>D417*J417</f>
        <v/>
      </c>
      <c r="M417" s="32">
        <f>D417*4%</f>
        <v/>
      </c>
      <c r="N417" s="49">
        <f>M417+L417+K417+H417+G417+F417+E417+#REF!</f>
        <v/>
      </c>
      <c r="O417" s="32">
        <f>#REF!*1%</f>
        <v/>
      </c>
      <c r="P417" s="7">
        <f>N417*8%</f>
        <v/>
      </c>
      <c r="Q417" s="7">
        <f>N417*10%</f>
        <v/>
      </c>
      <c r="R417" s="7">
        <f>N417*5%</f>
        <v/>
      </c>
      <c r="S417" s="7">
        <f>N417*2%</f>
        <v/>
      </c>
      <c r="T417" s="7">
        <f>AE417*0.5%</f>
        <v/>
      </c>
      <c r="U417" s="7">
        <f>N417*1%</f>
        <v/>
      </c>
      <c r="V417" s="49">
        <f>U417+S417+R417+Q417+P417+O417</f>
        <v/>
      </c>
      <c r="W417" s="32">
        <f>AE417*1%</f>
        <v/>
      </c>
      <c r="X417" s="32">
        <f>AE417*10%</f>
        <v/>
      </c>
      <c r="Y417" s="32">
        <f>AE417*1%</f>
        <v/>
      </c>
      <c r="Z417" s="32">
        <f>AE417*8%</f>
        <v/>
      </c>
      <c r="AA417" s="32">
        <f>W417+X417+Y417+Z417</f>
        <v/>
      </c>
      <c r="AB417" s="31">
        <f>AA417+V417+N417</f>
        <v/>
      </c>
      <c r="AC417" s="6">
        <f>AB417*20%</f>
        <v/>
      </c>
      <c r="AD417" s="32">
        <f>AB417+AC417</f>
        <v/>
      </c>
      <c r="AE417" s="32">
        <f>D417*2.1</f>
        <v/>
      </c>
      <c r="AF417" s="7">
        <f>AD417-AE417</f>
        <v/>
      </c>
      <c r="AG417" s="7">
        <f>AF417/AD417*100</f>
        <v/>
      </c>
      <c r="AI417" s="33" t="n"/>
      <c r="AJ417" s="34">
        <f>AD417</f>
        <v/>
      </c>
      <c r="AK417" s="34">
        <f>AJ417-(AJ417*7%)</f>
        <v/>
      </c>
      <c r="AL417" s="35">
        <f>AJ417/94</f>
        <v/>
      </c>
      <c r="AM417" s="35">
        <f>AK417/94</f>
        <v/>
      </c>
      <c r="AN417" s="36">
        <f>AJ417/24</f>
        <v/>
      </c>
      <c r="AO417" s="36">
        <f>AK417/24</f>
        <v/>
      </c>
      <c r="AP417" s="37">
        <f>AJ417/125</f>
        <v/>
      </c>
      <c r="AQ417" s="37">
        <f>AK417/125</f>
        <v/>
      </c>
    </row>
    <row r="418" ht="15" customHeight="1" s="50">
      <c r="A418" s="32" t="inlineStr">
        <is>
          <t>Hanging Bowls/Zen Drops</t>
        </is>
      </c>
      <c r="B418" s="32" t="inlineStr">
        <is>
          <t>Single</t>
        </is>
      </c>
      <c r="D418" s="32" t="inlineStr">
        <is>
          <t>Prasonjit</t>
        </is>
      </c>
      <c r="E418" s="32" t="n">
        <v>55</v>
      </c>
      <c r="G418" s="32" t="n">
        <v>0</v>
      </c>
      <c r="H418" s="32" t="n">
        <v>10</v>
      </c>
      <c r="I418" s="41" t="n">
        <v>83061000</v>
      </c>
      <c r="J418" s="30" t="n">
        <v>0.05</v>
      </c>
      <c r="K418" s="32">
        <f>D418*J418</f>
        <v/>
      </c>
      <c r="M418" s="32">
        <f>D418*4%</f>
        <v/>
      </c>
      <c r="N418" s="49">
        <f>M418+L418+K418+H418+G418+F418+E418+#REF!</f>
        <v/>
      </c>
      <c r="O418" s="32">
        <f>#REF!*1%</f>
        <v/>
      </c>
      <c r="P418" s="7">
        <f>N418*8%</f>
        <v/>
      </c>
      <c r="Q418" s="7">
        <f>N418*10%</f>
        <v/>
      </c>
      <c r="R418" s="7">
        <f>N418*5%</f>
        <v/>
      </c>
      <c r="S418" s="7">
        <f>N418*2%</f>
        <v/>
      </c>
      <c r="T418" s="7">
        <f>AE418*0.5%</f>
        <v/>
      </c>
      <c r="U418" s="7">
        <f>N418*1%</f>
        <v/>
      </c>
      <c r="V418" s="49">
        <f>U418+S418+R418+Q418+P418+O418</f>
        <v/>
      </c>
      <c r="W418" s="32">
        <f>AE418*1%</f>
        <v/>
      </c>
      <c r="X418" s="32">
        <f>AE418*10%</f>
        <v/>
      </c>
      <c r="Y418" s="32">
        <f>AE418*1%</f>
        <v/>
      </c>
      <c r="Z418" s="32">
        <f>AE418*8%</f>
        <v/>
      </c>
      <c r="AA418" s="32">
        <f>W418+X418+Y418+Z418</f>
        <v/>
      </c>
      <c r="AB418" s="31">
        <f>AA418+V418+N418</f>
        <v/>
      </c>
      <c r="AC418" s="6">
        <f>AB418*20%</f>
        <v/>
      </c>
      <c r="AD418" s="32">
        <f>AB418+AC418</f>
        <v/>
      </c>
      <c r="AE418" s="32">
        <f>D418*2.1</f>
        <v/>
      </c>
      <c r="AF418" s="7">
        <f>AD418-AE418</f>
        <v/>
      </c>
      <c r="AG418" s="7">
        <f>AF418/AD418*100</f>
        <v/>
      </c>
      <c r="AI418" s="33" t="n"/>
      <c r="AJ418" s="34">
        <f>AD418</f>
        <v/>
      </c>
      <c r="AK418" s="34">
        <f>AJ418-(AJ418*7%)</f>
        <v/>
      </c>
      <c r="AL418" s="35">
        <f>AJ418/94</f>
        <v/>
      </c>
      <c r="AM418" s="35">
        <f>AK418/94</f>
        <v/>
      </c>
      <c r="AN418" s="36">
        <f>AJ418/24</f>
        <v/>
      </c>
      <c r="AO418" s="36">
        <f>AK418/24</f>
        <v/>
      </c>
      <c r="AP418" s="37">
        <f>AJ418/125</f>
        <v/>
      </c>
      <c r="AQ418" s="37">
        <f>AK418/125</f>
        <v/>
      </c>
    </row>
    <row r="419" ht="15.75" customHeight="1" s="50">
      <c r="A419" s="32" t="n"/>
      <c r="B419" s="32" t="inlineStr">
        <is>
          <t>Set of 3</t>
        </is>
      </c>
      <c r="D419" s="32" t="inlineStr">
        <is>
          <t>Prasonjit</t>
        </is>
      </c>
      <c r="E419" s="32" t="n">
        <v>55</v>
      </c>
      <c r="G419" s="32" t="n">
        <v>0</v>
      </c>
      <c r="H419" s="32" t="n">
        <v>10</v>
      </c>
      <c r="I419" s="41" t="n">
        <v>83061000</v>
      </c>
      <c r="J419" s="30" t="n">
        <v>0.05</v>
      </c>
      <c r="K419" s="32">
        <f>D419*J419</f>
        <v/>
      </c>
      <c r="M419" s="32">
        <f>D419*4%</f>
        <v/>
      </c>
      <c r="N419" s="49">
        <f>M419+L419+K419+H419+G419+F419+E419+#REF!</f>
        <v/>
      </c>
      <c r="O419" s="32">
        <f>#REF!*1%</f>
        <v/>
      </c>
      <c r="P419" s="7">
        <f>N419*8%</f>
        <v/>
      </c>
      <c r="Q419" s="7">
        <f>N419*10%</f>
        <v/>
      </c>
      <c r="R419" s="7">
        <f>N419*5%</f>
        <v/>
      </c>
      <c r="S419" s="7">
        <f>N419*2%</f>
        <v/>
      </c>
      <c r="T419" s="7">
        <f>AE419*0.5%</f>
        <v/>
      </c>
      <c r="U419" s="7">
        <f>N419*1%</f>
        <v/>
      </c>
      <c r="V419" s="49">
        <f>U419+S419+R419+Q419+P419+O419</f>
        <v/>
      </c>
      <c r="W419" s="32">
        <f>AE419*1%</f>
        <v/>
      </c>
      <c r="X419" s="32">
        <f>AE419*10%</f>
        <v/>
      </c>
      <c r="Y419" s="32">
        <f>AE419*1%</f>
        <v/>
      </c>
      <c r="Z419" s="32">
        <f>AE419*8%</f>
        <v/>
      </c>
      <c r="AA419" s="32">
        <f>W419+X419+Y419+Z419</f>
        <v/>
      </c>
      <c r="AB419" s="31">
        <f>AA419+V419+N419</f>
        <v/>
      </c>
      <c r="AC419" s="6">
        <f>AB419*20%</f>
        <v/>
      </c>
      <c r="AD419" s="32">
        <f>AB419+AC419</f>
        <v/>
      </c>
      <c r="AE419" s="32">
        <f>D419*2.1</f>
        <v/>
      </c>
      <c r="AF419" s="7">
        <f>AD419-AE419</f>
        <v/>
      </c>
      <c r="AG419" s="7">
        <f>AF419/AD419*100</f>
        <v/>
      </c>
      <c r="AI419" s="33" t="n"/>
      <c r="AJ419" s="34">
        <f>AD419</f>
        <v/>
      </c>
      <c r="AK419" s="34">
        <f>AJ419-(AJ419*7%)</f>
        <v/>
      </c>
      <c r="AL419" s="35">
        <f>AJ419/94</f>
        <v/>
      </c>
      <c r="AM419" s="35">
        <f>AK419/94</f>
        <v/>
      </c>
      <c r="AN419" s="36">
        <f>AJ419/24</f>
        <v/>
      </c>
      <c r="AO419" s="36">
        <f>AK419/24</f>
        <v/>
      </c>
      <c r="AP419" s="37">
        <f>AJ419/125</f>
        <v/>
      </c>
      <c r="AQ419" s="37">
        <f>AK419/125</f>
        <v/>
      </c>
    </row>
    <row r="420" ht="15" customHeight="1" s="50">
      <c r="A420" s="32" t="inlineStr">
        <is>
          <t>Happiness is Inside</t>
        </is>
      </c>
      <c r="B420" s="32" t="inlineStr">
        <is>
          <t>with-brush / 1L</t>
        </is>
      </c>
      <c r="D420" s="32" t="n">
        <v>520</v>
      </c>
      <c r="G420" s="32" t="n">
        <v>0</v>
      </c>
      <c r="H420" s="32" t="n">
        <v>10</v>
      </c>
      <c r="I420" s="41" t="n">
        <v>7418</v>
      </c>
      <c r="J420" s="30" t="n">
        <v>0.05</v>
      </c>
      <c r="K420" s="32">
        <f>D420*J420</f>
        <v/>
      </c>
      <c r="M420" s="32">
        <f>D420*4%</f>
        <v/>
      </c>
      <c r="N420" s="49">
        <f>M420+L420+K420+H420+G420+F420+E420+#REF!</f>
        <v/>
      </c>
      <c r="O420" s="32">
        <f>#REF!*1%</f>
        <v/>
      </c>
      <c r="P420" s="7">
        <f>N420*8%</f>
        <v/>
      </c>
      <c r="Q420" s="7">
        <f>N420*10%</f>
        <v/>
      </c>
      <c r="R420" s="7">
        <f>N420*5%</f>
        <v/>
      </c>
      <c r="S420" s="7">
        <f>N420*2%</f>
        <v/>
      </c>
      <c r="T420" s="7">
        <f>AE420*0.5%</f>
        <v/>
      </c>
      <c r="U420" s="7">
        <f>N420*1%</f>
        <v/>
      </c>
      <c r="V420" s="49">
        <f>U420+S420+R420+Q420+P420+O420</f>
        <v/>
      </c>
      <c r="W420" s="32">
        <f>AE420*1%</f>
        <v/>
      </c>
      <c r="X420" s="32">
        <f>AE420*10%</f>
        <v/>
      </c>
      <c r="Y420" s="32">
        <f>AE420*1%</f>
        <v/>
      </c>
      <c r="Z420" s="32">
        <f>AE420*8%</f>
        <v/>
      </c>
      <c r="AA420" s="32">
        <f>W420+X420+Y420+Z420</f>
        <v/>
      </c>
      <c r="AB420" s="31">
        <f>AA420+V420+N420</f>
        <v/>
      </c>
      <c r="AC420" s="6">
        <f>AB420*20%</f>
        <v/>
      </c>
      <c r="AD420" s="32">
        <f>AB420+AC420</f>
        <v/>
      </c>
      <c r="AE420" s="32">
        <f>D420*2.1</f>
        <v/>
      </c>
      <c r="AF420" s="7">
        <f>AD420-AE420</f>
        <v/>
      </c>
      <c r="AG420" s="7">
        <f>AF420/AD420*100</f>
        <v/>
      </c>
      <c r="AI420" s="33" t="n"/>
      <c r="AJ420" s="34">
        <f>AD420</f>
        <v/>
      </c>
      <c r="AK420" s="34">
        <f>AJ420-(AJ420*7%)</f>
        <v/>
      </c>
      <c r="AL420" s="35">
        <f>AJ420/94</f>
        <v/>
      </c>
      <c r="AM420" s="35">
        <f>AK420/94</f>
        <v/>
      </c>
      <c r="AN420" s="36">
        <f>AJ420/24</f>
        <v/>
      </c>
      <c r="AO420" s="36">
        <f>AK420/24</f>
        <v/>
      </c>
      <c r="AP420" s="37">
        <f>AJ420/125</f>
        <v/>
      </c>
      <c r="AQ420" s="37">
        <f>AK420/125</f>
        <v/>
      </c>
    </row>
    <row r="421" ht="15.75" customHeight="1" s="50">
      <c r="A421" s="32" t="inlineStr">
        <is>
          <t>Bottle</t>
        </is>
      </c>
      <c r="B421" s="32" t="inlineStr">
        <is>
          <t>without-brush / 500ml</t>
        </is>
      </c>
      <c r="D421" s="32" t="n">
        <v>390</v>
      </c>
      <c r="G421" s="32" t="n">
        <v>0</v>
      </c>
      <c r="H421" s="32" t="n">
        <v>10</v>
      </c>
      <c r="I421" s="41" t="n">
        <v>741810</v>
      </c>
      <c r="J421" s="30" t="n">
        <v>0.05</v>
      </c>
      <c r="K421" s="32">
        <f>D421*J421</f>
        <v/>
      </c>
      <c r="M421" s="32">
        <f>D421*4%</f>
        <v/>
      </c>
      <c r="N421" s="49">
        <f>M421+L421+K421+H421+G421+F421+E421+#REF!</f>
        <v/>
      </c>
      <c r="O421" s="32">
        <f>#REF!*1%</f>
        <v/>
      </c>
      <c r="P421" s="7">
        <f>N421*8%</f>
        <v/>
      </c>
      <c r="Q421" s="7">
        <f>N421*10%</f>
        <v/>
      </c>
      <c r="R421" s="7">
        <f>N421*5%</f>
        <v/>
      </c>
      <c r="S421" s="7">
        <f>N421*2%</f>
        <v/>
      </c>
      <c r="T421" s="7">
        <f>AE421*0.5%</f>
        <v/>
      </c>
      <c r="U421" s="7">
        <f>N421*1%</f>
        <v/>
      </c>
      <c r="V421" s="49">
        <f>U421+S421+R421+Q421+P421+O421</f>
        <v/>
      </c>
      <c r="W421" s="32">
        <f>AE421*1%</f>
        <v/>
      </c>
      <c r="X421" s="32">
        <f>AE421*10%</f>
        <v/>
      </c>
      <c r="Y421" s="32">
        <f>AE421*1%</f>
        <v/>
      </c>
      <c r="Z421" s="32">
        <f>AE421*8%</f>
        <v/>
      </c>
      <c r="AA421" s="32">
        <f>W421+X421+Y421+Z421</f>
        <v/>
      </c>
      <c r="AB421" s="31">
        <f>AA421+V421+N421</f>
        <v/>
      </c>
      <c r="AC421" s="6">
        <f>AB421*20%</f>
        <v/>
      </c>
      <c r="AD421" s="32">
        <f>AB421+AC421</f>
        <v/>
      </c>
      <c r="AE421" s="32">
        <f>D421*2.1</f>
        <v/>
      </c>
      <c r="AF421" s="7">
        <f>AD421-AE421</f>
        <v/>
      </c>
      <c r="AG421" s="7">
        <f>AF421/AD421*100</f>
        <v/>
      </c>
      <c r="AI421" s="33" t="n"/>
      <c r="AJ421" s="34">
        <f>AD421</f>
        <v/>
      </c>
      <c r="AK421" s="34">
        <f>AJ421-(AJ421*7%)</f>
        <v/>
      </c>
      <c r="AL421" s="35">
        <f>AJ421/94</f>
        <v/>
      </c>
      <c r="AM421" s="35">
        <f>AK421/94</f>
        <v/>
      </c>
      <c r="AN421" s="36">
        <f>AJ421/24</f>
        <v/>
      </c>
      <c r="AO421" s="36">
        <f>AK421/24</f>
        <v/>
      </c>
      <c r="AP421" s="37">
        <f>AJ421/125</f>
        <v/>
      </c>
      <c r="AQ421" s="37">
        <f>AK421/125</f>
        <v/>
      </c>
    </row>
    <row r="422" ht="15.75" customHeight="1" s="50">
      <c r="A422" s="32" t="n"/>
      <c r="B422" s="32" t="inlineStr">
        <is>
          <t>with-brush / 500ml</t>
        </is>
      </c>
      <c r="D422" s="32" t="n">
        <v>390</v>
      </c>
      <c r="G422" s="32" t="n">
        <v>0</v>
      </c>
      <c r="H422" s="32" t="n">
        <v>10</v>
      </c>
      <c r="I422" s="41" t="n">
        <v>741810</v>
      </c>
      <c r="J422" s="30" t="n">
        <v>0.05</v>
      </c>
      <c r="K422" s="32">
        <f>D422*J422</f>
        <v/>
      </c>
      <c r="M422" s="32">
        <f>D422*4%</f>
        <v/>
      </c>
      <c r="N422" s="49">
        <f>M422+L422+K422+H422+G422+F422+E422+#REF!</f>
        <v/>
      </c>
      <c r="O422" s="32">
        <f>#REF!*1%</f>
        <v/>
      </c>
      <c r="P422" s="7">
        <f>N422*8%</f>
        <v/>
      </c>
      <c r="Q422" s="7">
        <f>N422*10%</f>
        <v/>
      </c>
      <c r="R422" s="7">
        <f>N422*5%</f>
        <v/>
      </c>
      <c r="S422" s="7">
        <f>N422*2%</f>
        <v/>
      </c>
      <c r="T422" s="7">
        <f>AE422*0.5%</f>
        <v/>
      </c>
      <c r="U422" s="7">
        <f>N422*1%</f>
        <v/>
      </c>
      <c r="V422" s="49">
        <f>U422+S422+R422+Q422+P422+O422</f>
        <v/>
      </c>
      <c r="W422" s="32">
        <f>AE422*1%</f>
        <v/>
      </c>
      <c r="X422" s="32">
        <f>AE422*10%</f>
        <v/>
      </c>
      <c r="Y422" s="32">
        <f>AE422*1%</f>
        <v/>
      </c>
      <c r="Z422" s="32">
        <f>AE422*8%</f>
        <v/>
      </c>
      <c r="AA422" s="32">
        <f>W422+X422+Y422+Z422</f>
        <v/>
      </c>
      <c r="AB422" s="31">
        <f>AA422+V422+N422</f>
        <v/>
      </c>
      <c r="AC422" s="6">
        <f>AB422*20%</f>
        <v/>
      </c>
      <c r="AD422" s="32">
        <f>AB422+AC422</f>
        <v/>
      </c>
      <c r="AE422" s="32">
        <f>D422*2.1</f>
        <v/>
      </c>
      <c r="AF422" s="7">
        <f>AD422-AE422</f>
        <v/>
      </c>
      <c r="AG422" s="7">
        <f>AF422/AD422*100</f>
        <v/>
      </c>
      <c r="AI422" s="33" t="n"/>
      <c r="AJ422" s="34">
        <f>AD422</f>
        <v/>
      </c>
      <c r="AK422" s="34">
        <f>AJ422-(AJ422*7%)</f>
        <v/>
      </c>
      <c r="AL422" s="35">
        <f>AJ422/94</f>
        <v/>
      </c>
      <c r="AM422" s="35">
        <f>AK422/94</f>
        <v/>
      </c>
      <c r="AN422" s="36">
        <f>AJ422/24</f>
        <v/>
      </c>
      <c r="AO422" s="36">
        <f>AK422/24</f>
        <v/>
      </c>
      <c r="AP422" s="37">
        <f>AJ422/125</f>
        <v/>
      </c>
      <c r="AQ422" s="37">
        <f>AK422/125</f>
        <v/>
      </c>
    </row>
    <row r="423" ht="15.75" customHeight="1" s="50">
      <c r="A423" s="32" t="n"/>
      <c r="B423" s="32" t="inlineStr">
        <is>
          <t>without-brush / 1L</t>
        </is>
      </c>
      <c r="D423" s="32" t="n">
        <v>520</v>
      </c>
      <c r="G423" s="32" t="n">
        <v>0</v>
      </c>
      <c r="H423" s="32" t="n">
        <v>10</v>
      </c>
      <c r="I423" s="41" t="n">
        <v>741810</v>
      </c>
      <c r="J423" s="30" t="n">
        <v>0.05</v>
      </c>
      <c r="K423" s="32">
        <f>D423*J423</f>
        <v/>
      </c>
      <c r="M423" s="32">
        <f>D423*4%</f>
        <v/>
      </c>
      <c r="N423" s="49">
        <f>M423+L423+K423+H423+G423+F423+E423+#REF!</f>
        <v/>
      </c>
      <c r="O423" s="32">
        <f>#REF!*1%</f>
        <v/>
      </c>
      <c r="P423" s="7">
        <f>N423*8%</f>
        <v/>
      </c>
      <c r="Q423" s="7">
        <f>N423*10%</f>
        <v/>
      </c>
      <c r="R423" s="7">
        <f>N423*5%</f>
        <v/>
      </c>
      <c r="S423" s="7">
        <f>N423*2%</f>
        <v/>
      </c>
      <c r="T423" s="7">
        <f>AE423*0.5%</f>
        <v/>
      </c>
      <c r="U423" s="7">
        <f>N423*1%</f>
        <v/>
      </c>
      <c r="V423" s="49">
        <f>U423+S423+R423+Q423+P423+O423</f>
        <v/>
      </c>
      <c r="W423" s="32">
        <f>AE423*1%</f>
        <v/>
      </c>
      <c r="X423" s="32">
        <f>AE423*10%</f>
        <v/>
      </c>
      <c r="Y423" s="32">
        <f>AE423*1%</f>
        <v/>
      </c>
      <c r="Z423" s="32">
        <f>AE423*8%</f>
        <v/>
      </c>
      <c r="AA423" s="32">
        <f>W423+X423+Y423+Z423</f>
        <v/>
      </c>
      <c r="AB423" s="31">
        <f>AA423+V423+N423</f>
        <v/>
      </c>
      <c r="AC423" s="6">
        <f>AB423*20%</f>
        <v/>
      </c>
      <c r="AD423" s="32">
        <f>AB423+AC423</f>
        <v/>
      </c>
      <c r="AE423" s="32">
        <f>D423*2.1</f>
        <v/>
      </c>
      <c r="AF423" s="7">
        <f>AD423-AE423</f>
        <v/>
      </c>
      <c r="AG423" s="7">
        <f>AF423/AD423*100</f>
        <v/>
      </c>
      <c r="AI423" s="33" t="n"/>
      <c r="AJ423" s="34">
        <f>AD423</f>
        <v/>
      </c>
      <c r="AK423" s="34">
        <f>AJ423-(AJ423*7%)</f>
        <v/>
      </c>
      <c r="AL423" s="35">
        <f>AJ423/94</f>
        <v/>
      </c>
      <c r="AM423" s="35">
        <f>AK423/94</f>
        <v/>
      </c>
      <c r="AN423" s="36">
        <f>AJ423/24</f>
        <v/>
      </c>
      <c r="AO423" s="36">
        <f>AK423/24</f>
        <v/>
      </c>
      <c r="AP423" s="37">
        <f>AJ423/125</f>
        <v/>
      </c>
      <c r="AQ423" s="37">
        <f>AK423/125</f>
        <v/>
      </c>
    </row>
    <row r="424" ht="15" customHeight="1" s="50">
      <c r="A424" s="32" t="inlineStr">
        <is>
          <t>Harmonium</t>
        </is>
      </c>
      <c r="B424" s="32" t="inlineStr">
        <is>
          <t>Professional</t>
        </is>
      </c>
      <c r="D424" s="32" t="n">
        <v>19500</v>
      </c>
      <c r="G424" s="32" t="n">
        <v>0</v>
      </c>
      <c r="H424" s="32" t="n">
        <v>10</v>
      </c>
      <c r="I424" s="41" t="n">
        <v>92030010</v>
      </c>
      <c r="J424" s="41" t="n">
        <v>0</v>
      </c>
      <c r="K424" s="32">
        <f>#REF!*J424</f>
        <v/>
      </c>
      <c r="M424" s="32">
        <f>#REF!*4%</f>
        <v/>
      </c>
      <c r="N424" s="49">
        <f>M424+L424+K424+H424+G424+F424+E424+#REF!</f>
        <v/>
      </c>
      <c r="O424" s="32">
        <f>#REF!*1%</f>
        <v/>
      </c>
      <c r="P424" s="7">
        <f>N424*8%</f>
        <v/>
      </c>
      <c r="Q424" s="7">
        <f>N424*10%</f>
        <v/>
      </c>
      <c r="R424" s="7">
        <f>N424*5%</f>
        <v/>
      </c>
      <c r="S424" s="7">
        <f>N424*2%</f>
        <v/>
      </c>
      <c r="T424" s="7">
        <f>AE424*0.5%</f>
        <v/>
      </c>
      <c r="U424" s="7">
        <f>N424*1%</f>
        <v/>
      </c>
      <c r="V424" s="49">
        <f>U424+S424+R424+Q424+P424+O424</f>
        <v/>
      </c>
      <c r="W424" s="32">
        <f>AE424*1%</f>
        <v/>
      </c>
      <c r="X424" s="32">
        <f>AE424*10%</f>
        <v/>
      </c>
      <c r="Y424" s="32">
        <f>AE424*1%</f>
        <v/>
      </c>
      <c r="Z424" s="32">
        <f>AE424*8%</f>
        <v/>
      </c>
      <c r="AA424" s="32">
        <f>W424+X424+Y424+Z424</f>
        <v/>
      </c>
      <c r="AB424" s="31">
        <f>AA424+V424+N424</f>
        <v/>
      </c>
      <c r="AC424" s="6">
        <f>AB424*20%</f>
        <v/>
      </c>
      <c r="AD424" s="32">
        <f>AB424+AC424</f>
        <v/>
      </c>
      <c r="AE424" s="32">
        <f>#REF!*2.1</f>
        <v/>
      </c>
      <c r="AF424" s="7">
        <f>AD424-AE424</f>
        <v/>
      </c>
      <c r="AG424" s="7">
        <f>AF424/AD424*100</f>
        <v/>
      </c>
      <c r="AI424" s="33" t="n"/>
      <c r="AJ424" s="34">
        <f>AD424</f>
        <v/>
      </c>
      <c r="AK424" s="34">
        <f>AJ424-(AJ424*7%)</f>
        <v/>
      </c>
      <c r="AL424" s="35">
        <f>AJ424/94</f>
        <v/>
      </c>
      <c r="AM424" s="35">
        <f>AK424/94</f>
        <v/>
      </c>
      <c r="AN424" s="36">
        <f>AJ424/24</f>
        <v/>
      </c>
      <c r="AO424" s="36">
        <f>AK424/24</f>
        <v/>
      </c>
      <c r="AP424" s="37">
        <f>AJ424/125</f>
        <v/>
      </c>
      <c r="AQ424" s="37">
        <f>AK424/125</f>
        <v/>
      </c>
    </row>
    <row r="425" ht="15.75" customHeight="1" s="50">
      <c r="A425" s="32" t="n"/>
      <c r="B425" s="32" t="inlineStr">
        <is>
          <t>Compact</t>
        </is>
      </c>
      <c r="D425" s="32" t="n">
        <v>16000</v>
      </c>
      <c r="G425" s="32" t="n">
        <v>0</v>
      </c>
      <c r="H425" s="32" t="n">
        <v>10</v>
      </c>
      <c r="I425" s="41" t="n">
        <v>92030010</v>
      </c>
      <c r="J425" s="41" t="n">
        <v>0</v>
      </c>
      <c r="K425" s="32">
        <f>D425*J425</f>
        <v/>
      </c>
      <c r="M425" s="32">
        <f>D425*4%</f>
        <v/>
      </c>
      <c r="N425" s="49">
        <f>M425+L425+K425+H425+G425+F425+E425+#REF!</f>
        <v/>
      </c>
      <c r="O425" s="32">
        <f>#REF!*1%</f>
        <v/>
      </c>
      <c r="P425" s="7">
        <f>N425*8%</f>
        <v/>
      </c>
      <c r="Q425" s="7">
        <f>N425*10%</f>
        <v/>
      </c>
      <c r="R425" s="7">
        <f>N425*5%</f>
        <v/>
      </c>
      <c r="S425" s="7">
        <f>N425*2%</f>
        <v/>
      </c>
      <c r="T425" s="7">
        <f>AE425*0.5%</f>
        <v/>
      </c>
      <c r="U425" s="7">
        <f>N425*1%</f>
        <v/>
      </c>
      <c r="V425" s="49">
        <f>U425+S425+R425+Q425+P425+O425</f>
        <v/>
      </c>
      <c r="W425" s="32">
        <f>AE425*1%</f>
        <v/>
      </c>
      <c r="X425" s="32">
        <f>AE425*10%</f>
        <v/>
      </c>
      <c r="Y425" s="32">
        <f>AE425*1%</f>
        <v/>
      </c>
      <c r="Z425" s="32">
        <f>AE425*8%</f>
        <v/>
      </c>
      <c r="AA425" s="32">
        <f>W425+X425+Y425+Z425</f>
        <v/>
      </c>
      <c r="AB425" s="31">
        <f>AA425+V425+N425</f>
        <v/>
      </c>
      <c r="AC425" s="6">
        <f>AB425*20%</f>
        <v/>
      </c>
      <c r="AD425" s="32">
        <f>AB425+AC425</f>
        <v/>
      </c>
      <c r="AE425" s="32">
        <f>D425*2.1</f>
        <v/>
      </c>
      <c r="AF425" s="7">
        <f>AD425-AE425</f>
        <v/>
      </c>
      <c r="AG425" s="7">
        <f>AF425/AD425*100</f>
        <v/>
      </c>
      <c r="AI425" s="33" t="n"/>
      <c r="AJ425" s="34">
        <f>AD425</f>
        <v/>
      </c>
      <c r="AK425" s="34">
        <f>AJ425-(AJ425*7%)</f>
        <v/>
      </c>
      <c r="AL425" s="35">
        <f>AJ425/94</f>
        <v/>
      </c>
      <c r="AM425" s="35">
        <f>AK425/94</f>
        <v/>
      </c>
      <c r="AN425" s="36">
        <f>AJ425/24</f>
        <v/>
      </c>
      <c r="AO425" s="36">
        <f>AK425/24</f>
        <v/>
      </c>
      <c r="AP425" s="37">
        <f>AJ425/125</f>
        <v/>
      </c>
      <c r="AQ425" s="37">
        <f>AK425/125</f>
        <v/>
      </c>
    </row>
    <row r="426" ht="15.75" customHeight="1" s="50">
      <c r="A426" s="32" t="inlineStr">
        <is>
          <t>Heart Chakra Singing Bowl</t>
        </is>
      </c>
      <c r="B426" s="32" t="inlineStr">
        <is>
          <t>Standard</t>
        </is>
      </c>
      <c r="E426" s="32" t="n">
        <v>65</v>
      </c>
      <c r="F426" s="32" t="n">
        <v>65</v>
      </c>
      <c r="G426" s="32" t="n">
        <v>0</v>
      </c>
      <c r="H426" s="32" t="n">
        <v>10</v>
      </c>
      <c r="I426" s="41" t="n">
        <v>83061000</v>
      </c>
      <c r="J426" s="30" t="n">
        <v>0.05</v>
      </c>
      <c r="K426" s="32">
        <f>D426*J426</f>
        <v/>
      </c>
      <c r="M426" s="32">
        <f>D426*4%</f>
        <v/>
      </c>
      <c r="N426" s="49">
        <f>M426+L426+K426+H426+G426+F426+E426+#REF!</f>
        <v/>
      </c>
      <c r="O426" s="32">
        <f>#REF!*1%</f>
        <v/>
      </c>
      <c r="P426" s="7">
        <f>N426*8%</f>
        <v/>
      </c>
      <c r="Q426" s="7">
        <f>N426*10%</f>
        <v/>
      </c>
      <c r="R426" s="7">
        <f>N426*5%</f>
        <v/>
      </c>
      <c r="S426" s="7">
        <f>N426*2%</f>
        <v/>
      </c>
      <c r="T426" s="7">
        <f>AE426*0.5%</f>
        <v/>
      </c>
      <c r="U426" s="7">
        <f>N426*1%</f>
        <v/>
      </c>
      <c r="V426" s="49">
        <f>U426+S426+R426+Q426+P426+O426</f>
        <v/>
      </c>
      <c r="W426" s="32">
        <f>AE426*1%</f>
        <v/>
      </c>
      <c r="X426" s="32">
        <f>AE426*10%</f>
        <v/>
      </c>
      <c r="Y426" s="32">
        <f>AE426*1%</f>
        <v/>
      </c>
      <c r="Z426" s="32">
        <f>AE426*8%</f>
        <v/>
      </c>
      <c r="AA426" s="32">
        <f>W426+X426+Y426+Z426</f>
        <v/>
      </c>
      <c r="AB426" s="31">
        <f>AA426+V426+N426</f>
        <v/>
      </c>
      <c r="AC426" s="6">
        <f>AB426*20%</f>
        <v/>
      </c>
      <c r="AD426" s="32">
        <f>AB426+AC426</f>
        <v/>
      </c>
      <c r="AE426" s="32">
        <f>D426*2.1</f>
        <v/>
      </c>
      <c r="AF426" s="7">
        <f>AD426-AE426</f>
        <v/>
      </c>
      <c r="AG426" s="7">
        <f>AF426/AD426*100</f>
        <v/>
      </c>
      <c r="AI426" s="33" t="n"/>
      <c r="AJ426" s="34">
        <f>AD426</f>
        <v/>
      </c>
      <c r="AK426" s="34">
        <f>AJ426-(AJ426*7%)</f>
        <v/>
      </c>
      <c r="AL426" s="35">
        <f>AJ426/94</f>
        <v/>
      </c>
      <c r="AM426" s="35">
        <f>AK426/94</f>
        <v/>
      </c>
      <c r="AN426" s="36">
        <f>AJ426/24</f>
        <v/>
      </c>
      <c r="AO426" s="36">
        <f>AK426/24</f>
        <v/>
      </c>
      <c r="AP426" s="37">
        <f>AJ426/125</f>
        <v/>
      </c>
      <c r="AQ426" s="37">
        <f>AK426/125</f>
        <v/>
      </c>
    </row>
    <row r="427" ht="15" customHeight="1" s="50">
      <c r="A427" s="32" t="inlineStr">
        <is>
          <t>Hi-Zafu Meditation Cushion - Embroidered with Lotus</t>
        </is>
      </c>
      <c r="B427" s="32" t="inlineStr">
        <is>
          <t>Sage</t>
        </is>
      </c>
      <c r="C427" s="32" t="inlineStr">
        <is>
          <t>Me-C-HZ-S-E-L</t>
        </is>
      </c>
      <c r="D427" s="32" t="n">
        <v>490</v>
      </c>
      <c r="G427" s="32" t="n">
        <v>0</v>
      </c>
      <c r="H427" s="32" t="n">
        <v>10</v>
      </c>
      <c r="I427" s="41" t="n">
        <v>94041000</v>
      </c>
      <c r="J427" s="30" t="n">
        <v>0.18</v>
      </c>
      <c r="K427" s="32">
        <f>D427*J427</f>
        <v/>
      </c>
      <c r="M427" s="32">
        <f>D427*4%</f>
        <v/>
      </c>
      <c r="N427" s="49">
        <f>M427+L427+K427+H427+G427+F427+E427+D427</f>
        <v/>
      </c>
      <c r="O427" s="32">
        <f>D427*1%</f>
        <v/>
      </c>
      <c r="P427" s="7">
        <f>N427*8%</f>
        <v/>
      </c>
      <c r="Q427" s="7">
        <f>N427*10%</f>
        <v/>
      </c>
      <c r="R427" s="7">
        <f>N427*5%</f>
        <v/>
      </c>
      <c r="S427" s="7">
        <f>N427*2%</f>
        <v/>
      </c>
      <c r="T427" s="7">
        <f>AE427*0.5%</f>
        <v/>
      </c>
      <c r="U427" s="7">
        <f>N427*1%</f>
        <v/>
      </c>
      <c r="V427" s="31">
        <f>U427+S427+R427+Q427+P427+O427</f>
        <v/>
      </c>
      <c r="W427" s="32">
        <f>AE427*1%</f>
        <v/>
      </c>
      <c r="X427" s="32">
        <f>AE427*10%</f>
        <v/>
      </c>
      <c r="Y427" s="32">
        <f>AE427*1%</f>
        <v/>
      </c>
      <c r="Z427" s="32">
        <f>AE427*8%</f>
        <v/>
      </c>
      <c r="AA427" s="32">
        <f>W427+X427+Y427+Z427</f>
        <v/>
      </c>
      <c r="AB427" s="31">
        <f>AA427+V427+N427</f>
        <v/>
      </c>
      <c r="AC427" s="6">
        <f>AB427*20%</f>
        <v/>
      </c>
      <c r="AD427" s="7">
        <f>AB427+AC427</f>
        <v/>
      </c>
      <c r="AE427" s="32">
        <f>D427*2.1</f>
        <v/>
      </c>
      <c r="AF427" s="7">
        <f>AD427-AE427</f>
        <v/>
      </c>
      <c r="AG427" s="7">
        <f>AF427/AD427*100</f>
        <v/>
      </c>
      <c r="AH427" s="0" t="n">
        <v>1485</v>
      </c>
      <c r="AI427" s="33" t="n">
        <v>995</v>
      </c>
      <c r="AJ427" s="34">
        <f>AD427</f>
        <v/>
      </c>
      <c r="AK427" s="34">
        <f>AJ427-(AJ427*7%)</f>
        <v/>
      </c>
      <c r="AL427" s="35">
        <f>AJ427/94</f>
        <v/>
      </c>
      <c r="AM427" s="35">
        <f>AK427/94</f>
        <v/>
      </c>
      <c r="AN427" s="36">
        <f>AJ427/24</f>
        <v/>
      </c>
      <c r="AO427" s="36">
        <f>AK427/24</f>
        <v/>
      </c>
      <c r="AP427" s="37">
        <f>AJ427/125</f>
        <v/>
      </c>
      <c r="AQ427" s="37">
        <f>AK427/125</f>
        <v/>
      </c>
    </row>
    <row r="428" ht="15.75" customHeight="1" s="50">
      <c r="A428" s="32" t="n"/>
      <c r="B428" s="32" t="inlineStr">
        <is>
          <t>Lavender</t>
        </is>
      </c>
      <c r="C428" s="32" t="inlineStr">
        <is>
          <t>Me-C-HZ-L-E-L</t>
        </is>
      </c>
      <c r="D428" s="32" t="n">
        <v>490</v>
      </c>
      <c r="G428" s="32" t="n">
        <v>0</v>
      </c>
      <c r="H428" s="32" t="n">
        <v>10</v>
      </c>
      <c r="I428" s="41" t="n">
        <v>94041000</v>
      </c>
      <c r="J428" s="30" t="n">
        <v>0.18</v>
      </c>
      <c r="K428" s="32">
        <f>D428*J428</f>
        <v/>
      </c>
      <c r="M428" s="32">
        <f>D428*4%</f>
        <v/>
      </c>
      <c r="N428" s="49">
        <f>M428+L428+K428+H428+G428+F428+E428+D428</f>
        <v/>
      </c>
      <c r="O428" s="32">
        <f>D428*1%</f>
        <v/>
      </c>
      <c r="P428" s="7">
        <f>N428*8%</f>
        <v/>
      </c>
      <c r="Q428" s="7">
        <f>N428*10%</f>
        <v/>
      </c>
      <c r="R428" s="7">
        <f>N428*5%</f>
        <v/>
      </c>
      <c r="S428" s="7">
        <f>N428*2%</f>
        <v/>
      </c>
      <c r="T428" s="7">
        <f>AE428*0.5%</f>
        <v/>
      </c>
      <c r="U428" s="7">
        <f>N428*1%</f>
        <v/>
      </c>
      <c r="V428" s="31">
        <f>U428+S428+R428+Q428+P428+O428</f>
        <v/>
      </c>
      <c r="W428" s="32">
        <f>AE428*1%</f>
        <v/>
      </c>
      <c r="X428" s="32">
        <f>AE428*10%</f>
        <v/>
      </c>
      <c r="Y428" s="32">
        <f>AE428*1%</f>
        <v/>
      </c>
      <c r="Z428" s="32">
        <f>AE428*8%</f>
        <v/>
      </c>
      <c r="AA428" s="32">
        <f>W428+X428+Y428+Z428</f>
        <v/>
      </c>
      <c r="AB428" s="31">
        <f>AA428+V428+N428</f>
        <v/>
      </c>
      <c r="AC428" s="6">
        <f>AB428*20%</f>
        <v/>
      </c>
      <c r="AD428" s="7">
        <f>AB428+AC428</f>
        <v/>
      </c>
      <c r="AE428" s="32">
        <f>D428*2.1</f>
        <v/>
      </c>
      <c r="AF428" s="7">
        <f>AD428-AE428</f>
        <v/>
      </c>
      <c r="AG428" s="7">
        <f>AF428/AD428*100</f>
        <v/>
      </c>
      <c r="AH428" s="0" t="n">
        <v>1485</v>
      </c>
      <c r="AI428" s="33" t="n">
        <v>995</v>
      </c>
      <c r="AJ428" s="34">
        <f>AD428</f>
        <v/>
      </c>
      <c r="AK428" s="34">
        <f>AJ428-(AJ428*7%)</f>
        <v/>
      </c>
      <c r="AL428" s="35">
        <f>AJ428/94</f>
        <v/>
      </c>
      <c r="AM428" s="35">
        <f>AK428/94</f>
        <v/>
      </c>
      <c r="AN428" s="36">
        <f>AJ428/24</f>
        <v/>
      </c>
      <c r="AO428" s="36">
        <f>AK428/24</f>
        <v/>
      </c>
      <c r="AP428" s="37">
        <f>AJ428/125</f>
        <v/>
      </c>
      <c r="AQ428" s="37">
        <f>AK428/125</f>
        <v/>
      </c>
    </row>
    <row r="429" ht="15.75" customHeight="1" s="50">
      <c r="A429" s="32" t="n"/>
      <c r="B429" s="32" t="inlineStr">
        <is>
          <t>Light Grey</t>
        </is>
      </c>
      <c r="C429" s="32" t="inlineStr">
        <is>
          <t>Me-C-HZ-LG-E-L</t>
        </is>
      </c>
      <c r="D429" s="32" t="n">
        <v>490</v>
      </c>
      <c r="G429" s="32" t="n">
        <v>0</v>
      </c>
      <c r="H429" s="32" t="n">
        <v>10</v>
      </c>
      <c r="I429" s="41" t="n">
        <v>94041000</v>
      </c>
      <c r="J429" s="30" t="n">
        <v>0.18</v>
      </c>
      <c r="K429" s="32">
        <f>D429*J429</f>
        <v/>
      </c>
      <c r="M429" s="32">
        <f>D429*4%</f>
        <v/>
      </c>
      <c r="N429" s="49">
        <f>M429+L429+K429+H429+G429+F429+E429+D429</f>
        <v/>
      </c>
      <c r="O429" s="32">
        <f>D429*1%</f>
        <v/>
      </c>
      <c r="P429" s="7">
        <f>N429*8%</f>
        <v/>
      </c>
      <c r="Q429" s="7">
        <f>N429*10%</f>
        <v/>
      </c>
      <c r="R429" s="7">
        <f>N429*5%</f>
        <v/>
      </c>
      <c r="S429" s="7">
        <f>N429*2%</f>
        <v/>
      </c>
      <c r="T429" s="7">
        <f>AE429*0.5%</f>
        <v/>
      </c>
      <c r="U429" s="7">
        <f>N429*1%</f>
        <v/>
      </c>
      <c r="V429" s="31">
        <f>U429+S429+R429+Q429+P429+O429</f>
        <v/>
      </c>
      <c r="W429" s="32">
        <f>AE429*1%</f>
        <v/>
      </c>
      <c r="X429" s="32">
        <f>AE429*10%</f>
        <v/>
      </c>
      <c r="Y429" s="32">
        <f>AE429*1%</f>
        <v/>
      </c>
      <c r="Z429" s="32">
        <f>AE429*8%</f>
        <v/>
      </c>
      <c r="AA429" s="32">
        <f>W429+X429+Y429+Z429</f>
        <v/>
      </c>
      <c r="AB429" s="31">
        <f>AA429+V429+N429</f>
        <v/>
      </c>
      <c r="AC429" s="6">
        <f>AB429*20%</f>
        <v/>
      </c>
      <c r="AD429" s="7">
        <f>AB429+AC429</f>
        <v/>
      </c>
      <c r="AE429" s="32">
        <f>D429*2.1</f>
        <v/>
      </c>
      <c r="AF429" s="7">
        <f>AD429-AE429</f>
        <v/>
      </c>
      <c r="AG429" s="7">
        <f>AF429/AD429*100</f>
        <v/>
      </c>
      <c r="AH429" s="0" t="n">
        <v>1485</v>
      </c>
      <c r="AI429" s="33" t="n">
        <v>995</v>
      </c>
      <c r="AJ429" s="34">
        <f>AD429</f>
        <v/>
      </c>
      <c r="AK429" s="34">
        <f>AJ429-(AJ429*7%)</f>
        <v/>
      </c>
      <c r="AL429" s="35">
        <f>AJ429/94</f>
        <v/>
      </c>
      <c r="AM429" s="35">
        <f>AK429/94</f>
        <v/>
      </c>
      <c r="AN429" s="36">
        <f>AJ429/24</f>
        <v/>
      </c>
      <c r="AO429" s="36">
        <f>AK429/24</f>
        <v/>
      </c>
      <c r="AP429" s="37">
        <f>AJ429/125</f>
        <v/>
      </c>
      <c r="AQ429" s="37">
        <f>AK429/125</f>
        <v/>
      </c>
    </row>
    <row r="430" ht="15.75" customHeight="1" s="50">
      <c r="A430" s="32" t="n"/>
      <c r="B430" s="32" t="inlineStr">
        <is>
          <t>Misty Blue</t>
        </is>
      </c>
      <c r="C430" s="32" t="inlineStr">
        <is>
          <t>Me-C-HZ-MB-E-L</t>
        </is>
      </c>
      <c r="D430" s="32" t="n">
        <v>490</v>
      </c>
      <c r="G430" s="32" t="n">
        <v>0</v>
      </c>
      <c r="H430" s="32" t="n">
        <v>10</v>
      </c>
      <c r="I430" s="41" t="n">
        <v>94041000</v>
      </c>
      <c r="J430" s="30" t="n">
        <v>0.18</v>
      </c>
      <c r="K430" s="32">
        <f>D430*J430</f>
        <v/>
      </c>
      <c r="M430" s="32">
        <f>D430*4%</f>
        <v/>
      </c>
      <c r="N430" s="49">
        <f>M430+L430+K430+H430+G430+F430+E430+D430</f>
        <v/>
      </c>
      <c r="O430" s="32">
        <f>D430*1%</f>
        <v/>
      </c>
      <c r="P430" s="7">
        <f>N430*8%</f>
        <v/>
      </c>
      <c r="Q430" s="7">
        <f>N430*10%</f>
        <v/>
      </c>
      <c r="R430" s="7">
        <f>N430*5%</f>
        <v/>
      </c>
      <c r="S430" s="7">
        <f>N430*2%</f>
        <v/>
      </c>
      <c r="T430" s="7">
        <f>AE430*0.5%</f>
        <v/>
      </c>
      <c r="U430" s="7">
        <f>N430*1%</f>
        <v/>
      </c>
      <c r="V430" s="31">
        <f>U430+S430+R430+Q430+P430+O430</f>
        <v/>
      </c>
      <c r="W430" s="32">
        <f>AE430*1%</f>
        <v/>
      </c>
      <c r="X430" s="32">
        <f>AE430*10%</f>
        <v/>
      </c>
      <c r="Y430" s="32">
        <f>AE430*1%</f>
        <v/>
      </c>
      <c r="Z430" s="32">
        <f>AE430*8%</f>
        <v/>
      </c>
      <c r="AA430" s="32">
        <f>W430+X430+Y430+Z430</f>
        <v/>
      </c>
      <c r="AB430" s="31">
        <f>AA430+V430+N430</f>
        <v/>
      </c>
      <c r="AC430" s="6">
        <f>AB430*20%</f>
        <v/>
      </c>
      <c r="AD430" s="7">
        <f>AB430+AC430</f>
        <v/>
      </c>
      <c r="AE430" s="32">
        <f>D430*2.1</f>
        <v/>
      </c>
      <c r="AF430" s="7">
        <f>AD430-AE430</f>
        <v/>
      </c>
      <c r="AG430" s="7">
        <f>AF430/AD430*100</f>
        <v/>
      </c>
      <c r="AH430" s="0" t="n">
        <v>1485</v>
      </c>
      <c r="AI430" s="33" t="n">
        <v>995</v>
      </c>
      <c r="AJ430" s="34">
        <f>AD430</f>
        <v/>
      </c>
      <c r="AK430" s="34">
        <f>AJ430-(AJ430*7%)</f>
        <v/>
      </c>
      <c r="AL430" s="35">
        <f>AJ430/94</f>
        <v/>
      </c>
      <c r="AM430" s="35">
        <f>AK430/94</f>
        <v/>
      </c>
      <c r="AN430" s="36">
        <f>AJ430/24</f>
        <v/>
      </c>
      <c r="AO430" s="36">
        <f>AK430/24</f>
        <v/>
      </c>
      <c r="AP430" s="37">
        <f>AJ430/125</f>
        <v/>
      </c>
      <c r="AQ430" s="37">
        <f>AK430/125</f>
        <v/>
      </c>
    </row>
    <row r="431" ht="15.75" customHeight="1" s="50">
      <c r="A431" s="32" t="n"/>
      <c r="B431" s="32" t="inlineStr">
        <is>
          <t>Rose</t>
        </is>
      </c>
      <c r="C431" s="32" t="inlineStr">
        <is>
          <t>Me-C-HZ-R-E-L</t>
        </is>
      </c>
      <c r="D431" s="32" t="n">
        <v>490</v>
      </c>
      <c r="G431" s="32" t="n">
        <v>0</v>
      </c>
      <c r="H431" s="32" t="n">
        <v>10</v>
      </c>
      <c r="I431" s="41" t="n">
        <v>94041000</v>
      </c>
      <c r="J431" s="30" t="n">
        <v>0.18</v>
      </c>
      <c r="K431" s="32">
        <f>D431*J431</f>
        <v/>
      </c>
      <c r="M431" s="32">
        <f>D431*4%</f>
        <v/>
      </c>
      <c r="N431" s="49">
        <f>M431+L431+K431+H431+G431+F431+E431+D431</f>
        <v/>
      </c>
      <c r="O431" s="32">
        <f>D431*1%</f>
        <v/>
      </c>
      <c r="P431" s="7">
        <f>N431*8%</f>
        <v/>
      </c>
      <c r="Q431" s="7">
        <f>N431*10%</f>
        <v/>
      </c>
      <c r="R431" s="7">
        <f>N431*5%</f>
        <v/>
      </c>
      <c r="S431" s="7">
        <f>N431*2%</f>
        <v/>
      </c>
      <c r="T431" s="7">
        <f>AE431*0.5%</f>
        <v/>
      </c>
      <c r="U431" s="7">
        <f>N431*1%</f>
        <v/>
      </c>
      <c r="V431" s="31">
        <f>U431+S431+R431+Q431+P431+O431</f>
        <v/>
      </c>
      <c r="W431" s="32">
        <f>AE431*1%</f>
        <v/>
      </c>
      <c r="X431" s="32">
        <f>AE431*10%</f>
        <v/>
      </c>
      <c r="Y431" s="32">
        <f>AE431*1%</f>
        <v/>
      </c>
      <c r="Z431" s="32">
        <f>AE431*8%</f>
        <v/>
      </c>
      <c r="AA431" s="32">
        <f>W431+X431+Y431+Z431</f>
        <v/>
      </c>
      <c r="AB431" s="31">
        <f>AA431+V431+N431</f>
        <v/>
      </c>
      <c r="AC431" s="6">
        <f>AB431*20%</f>
        <v/>
      </c>
      <c r="AD431" s="7">
        <f>AB431+AC431</f>
        <v/>
      </c>
      <c r="AE431" s="32">
        <f>D431*2.1</f>
        <v/>
      </c>
      <c r="AF431" s="7">
        <f>AD431-AE431</f>
        <v/>
      </c>
      <c r="AG431" s="7">
        <f>AF431/AD431*100</f>
        <v/>
      </c>
      <c r="AH431" s="0" t="n">
        <v>1485</v>
      </c>
      <c r="AI431" s="33" t="n">
        <v>995</v>
      </c>
      <c r="AJ431" s="34">
        <f>AD431</f>
        <v/>
      </c>
      <c r="AK431" s="34">
        <f>AJ431-(AJ431*7%)</f>
        <v/>
      </c>
      <c r="AL431" s="35">
        <f>AJ431/94</f>
        <v/>
      </c>
      <c r="AM431" s="35">
        <f>AK431/94</f>
        <v/>
      </c>
      <c r="AN431" s="36">
        <f>AJ431/24</f>
        <v/>
      </c>
      <c r="AO431" s="36">
        <f>AK431/24</f>
        <v/>
      </c>
      <c r="AP431" s="37">
        <f>AJ431/125</f>
        <v/>
      </c>
      <c r="AQ431" s="37">
        <f>AK431/125</f>
        <v/>
      </c>
    </row>
    <row r="432" ht="15" customHeight="1" s="50">
      <c r="A432" s="32" t="inlineStr">
        <is>
          <t>Hi-Zafu Meditation Cushion - Filled with Buckwheat</t>
        </is>
      </c>
      <c r="B432" s="32" t="inlineStr">
        <is>
          <t>Royal Blue</t>
        </is>
      </c>
      <c r="C432" s="32" t="inlineStr">
        <is>
          <t>Me-C-HZ-RB</t>
        </is>
      </c>
      <c r="D432" s="32" t="n">
        <v>445</v>
      </c>
      <c r="G432" s="32" t="n">
        <v>0</v>
      </c>
      <c r="H432" s="32" t="n">
        <v>10</v>
      </c>
      <c r="I432" s="41" t="n">
        <v>94041000</v>
      </c>
      <c r="J432" s="30" t="n">
        <v>0.18</v>
      </c>
      <c r="K432" s="32">
        <f>D432*J432</f>
        <v/>
      </c>
      <c r="M432" s="32">
        <f>D432*4%</f>
        <v/>
      </c>
      <c r="N432" s="49">
        <f>M432+L432+K432+H432+G432+F432+E432+D432</f>
        <v/>
      </c>
      <c r="O432" s="32">
        <f>D432*1%</f>
        <v/>
      </c>
      <c r="P432" s="7">
        <f>N432*8%</f>
        <v/>
      </c>
      <c r="Q432" s="7">
        <f>N432*10%</f>
        <v/>
      </c>
      <c r="R432" s="7">
        <f>N432*5%</f>
        <v/>
      </c>
      <c r="S432" s="7">
        <f>N432*2%</f>
        <v/>
      </c>
      <c r="T432" s="7">
        <f>AE432*0.5%</f>
        <v/>
      </c>
      <c r="U432" s="7">
        <f>N432*1%</f>
        <v/>
      </c>
      <c r="V432" s="31">
        <f>U432+S432+R432+Q432+P432+O432</f>
        <v/>
      </c>
      <c r="W432" s="32">
        <f>AE432*1%</f>
        <v/>
      </c>
      <c r="X432" s="32">
        <f>AE432*10%</f>
        <v/>
      </c>
      <c r="Y432" s="32">
        <f>AE432*1%</f>
        <v/>
      </c>
      <c r="Z432" s="32">
        <f>AE432*8%</f>
        <v/>
      </c>
      <c r="AA432" s="32">
        <f>W432+X432+Y432+Z432</f>
        <v/>
      </c>
      <c r="AB432" s="31">
        <f>AA432+V432+N432</f>
        <v/>
      </c>
      <c r="AC432" s="6">
        <f>AB432*20%</f>
        <v/>
      </c>
      <c r="AD432" s="7">
        <f>AB432+AC432</f>
        <v/>
      </c>
      <c r="AE432" s="32">
        <f>D432*2.1</f>
        <v/>
      </c>
      <c r="AF432" s="7">
        <f>AD432-AE432</f>
        <v/>
      </c>
      <c r="AG432" s="7">
        <f>AF432/AD432*100</f>
        <v/>
      </c>
      <c r="AH432" s="0" t="n">
        <v>1285</v>
      </c>
      <c r="AI432" s="33" t="n">
        <v>840</v>
      </c>
      <c r="AJ432" s="34">
        <f>AD432</f>
        <v/>
      </c>
      <c r="AK432" s="34">
        <f>AJ432-(AJ432*7%)</f>
        <v/>
      </c>
      <c r="AL432" s="35">
        <f>AJ432/94</f>
        <v/>
      </c>
      <c r="AM432" s="35">
        <f>AK432/94</f>
        <v/>
      </c>
      <c r="AN432" s="36">
        <f>AJ432/24</f>
        <v/>
      </c>
      <c r="AO432" s="36">
        <f>AK432/24</f>
        <v/>
      </c>
      <c r="AP432" s="37">
        <f>AJ432/125</f>
        <v/>
      </c>
      <c r="AQ432" s="37">
        <f>AK432/125</f>
        <v/>
      </c>
    </row>
    <row r="433" ht="15.75" customHeight="1" s="50">
      <c r="A433" s="32" t="n"/>
      <c r="B433" s="32" t="inlineStr">
        <is>
          <t>Dark Grey</t>
        </is>
      </c>
      <c r="C433" s="32" t="inlineStr">
        <is>
          <t>Me-C-HZ-DG</t>
        </is>
      </c>
      <c r="D433" s="32" t="n">
        <v>445</v>
      </c>
      <c r="G433" s="32" t="n">
        <v>0</v>
      </c>
      <c r="H433" s="32" t="n">
        <v>10</v>
      </c>
      <c r="I433" s="41" t="n">
        <v>94041000</v>
      </c>
      <c r="J433" s="30" t="n">
        <v>0.18</v>
      </c>
      <c r="K433" s="32">
        <f>D433*J433</f>
        <v/>
      </c>
      <c r="M433" s="32">
        <f>D433*4%</f>
        <v/>
      </c>
      <c r="N433" s="49">
        <f>M433+L433+K433+H433+G433+F433+E433+D433</f>
        <v/>
      </c>
      <c r="O433" s="32">
        <f>D433*1%</f>
        <v/>
      </c>
      <c r="P433" s="7">
        <f>N433*8%</f>
        <v/>
      </c>
      <c r="Q433" s="7">
        <f>N433*10%</f>
        <v/>
      </c>
      <c r="R433" s="7">
        <f>N433*5%</f>
        <v/>
      </c>
      <c r="S433" s="7">
        <f>N433*2%</f>
        <v/>
      </c>
      <c r="T433" s="7">
        <f>AE433*0.5%</f>
        <v/>
      </c>
      <c r="U433" s="7">
        <f>N433*1%</f>
        <v/>
      </c>
      <c r="V433" s="31">
        <f>U433+S433+R433+Q433+P433+O433</f>
        <v/>
      </c>
      <c r="W433" s="32">
        <f>AE433*1%</f>
        <v/>
      </c>
      <c r="X433" s="32">
        <f>AE433*10%</f>
        <v/>
      </c>
      <c r="Y433" s="32">
        <f>AE433*1%</f>
        <v/>
      </c>
      <c r="Z433" s="32">
        <f>AE433*8%</f>
        <v/>
      </c>
      <c r="AA433" s="32">
        <f>W433+X433+Y433+Z433</f>
        <v/>
      </c>
      <c r="AB433" s="31">
        <f>AA433+V433+N433</f>
        <v/>
      </c>
      <c r="AC433" s="6">
        <f>AB433*20%</f>
        <v/>
      </c>
      <c r="AD433" s="7">
        <f>AB433+AC433</f>
        <v/>
      </c>
      <c r="AE433" s="32">
        <f>D433*2.1</f>
        <v/>
      </c>
      <c r="AF433" s="7">
        <f>AD433-AE433</f>
        <v/>
      </c>
      <c r="AG433" s="7">
        <f>AF433/AD433*100</f>
        <v/>
      </c>
      <c r="AH433" s="0" t="n">
        <v>1285</v>
      </c>
      <c r="AI433" s="33" t="n">
        <v>840</v>
      </c>
      <c r="AJ433" s="34">
        <f>AD433</f>
        <v/>
      </c>
      <c r="AK433" s="34">
        <f>AJ433-(AJ433*7%)</f>
        <v/>
      </c>
      <c r="AL433" s="35">
        <f>AJ433/94</f>
        <v/>
      </c>
      <c r="AM433" s="35">
        <f>AK433/94</f>
        <v/>
      </c>
      <c r="AN433" s="36">
        <f>AJ433/24</f>
        <v/>
      </c>
      <c r="AO433" s="36">
        <f>AK433/24</f>
        <v/>
      </c>
      <c r="AP433" s="37">
        <f>AJ433/125</f>
        <v/>
      </c>
      <c r="AQ433" s="37">
        <f>AK433/125</f>
        <v/>
      </c>
    </row>
    <row r="434" ht="15.75" customHeight="1" s="50">
      <c r="A434" s="32" t="n"/>
      <c r="B434" s="32" t="inlineStr">
        <is>
          <t>Grey</t>
        </is>
      </c>
      <c r="C434" s="32" t="inlineStr">
        <is>
          <t>Me-C-HZ-GY</t>
        </is>
      </c>
      <c r="D434" s="32" t="n">
        <v>445</v>
      </c>
      <c r="G434" s="32" t="n">
        <v>0</v>
      </c>
      <c r="H434" s="32" t="n">
        <v>10</v>
      </c>
      <c r="I434" s="41" t="n">
        <v>94041000</v>
      </c>
      <c r="J434" s="30" t="n">
        <v>0.18</v>
      </c>
      <c r="K434" s="32">
        <f>D434*J434</f>
        <v/>
      </c>
      <c r="M434" s="32">
        <f>D434*4%</f>
        <v/>
      </c>
      <c r="N434" s="49">
        <f>M434+L434+K434+H434+G434+F434+E434+D434</f>
        <v/>
      </c>
      <c r="O434" s="32">
        <f>D434*1%</f>
        <v/>
      </c>
      <c r="P434" s="7">
        <f>N434*8%</f>
        <v/>
      </c>
      <c r="Q434" s="7">
        <f>N434*10%</f>
        <v/>
      </c>
      <c r="R434" s="7">
        <f>N434*5%</f>
        <v/>
      </c>
      <c r="S434" s="7">
        <f>N434*2%</f>
        <v/>
      </c>
      <c r="T434" s="7">
        <f>AE434*0.5%</f>
        <v/>
      </c>
      <c r="U434" s="7">
        <f>N434*1%</f>
        <v/>
      </c>
      <c r="V434" s="31">
        <f>U434+S434+R434+Q434+P434+O434</f>
        <v/>
      </c>
      <c r="W434" s="32">
        <f>AE434*1%</f>
        <v/>
      </c>
      <c r="X434" s="32">
        <f>AE434*10%</f>
        <v/>
      </c>
      <c r="Y434" s="32">
        <f>AE434*1%</f>
        <v/>
      </c>
      <c r="Z434" s="32">
        <f>AE434*8%</f>
        <v/>
      </c>
      <c r="AA434" s="32">
        <f>W434+X434+Y434+Z434</f>
        <v/>
      </c>
      <c r="AB434" s="31">
        <f>AA434+V434+N434</f>
        <v/>
      </c>
      <c r="AC434" s="6">
        <f>AB434*20%</f>
        <v/>
      </c>
      <c r="AD434" s="7">
        <f>AB434+AC434</f>
        <v/>
      </c>
      <c r="AE434" s="32">
        <f>D434*2.1</f>
        <v/>
      </c>
      <c r="AF434" s="7">
        <f>AD434-AE434</f>
        <v/>
      </c>
      <c r="AG434" s="7">
        <f>AF434/AD434*100</f>
        <v/>
      </c>
      <c r="AH434" s="0" t="n">
        <v>1285</v>
      </c>
      <c r="AI434" s="33" t="n">
        <v>840</v>
      </c>
      <c r="AJ434" s="34">
        <f>AD434</f>
        <v/>
      </c>
      <c r="AK434" s="34">
        <f>AJ434-(AJ434*7%)</f>
        <v/>
      </c>
      <c r="AL434" s="35">
        <f>AJ434/94</f>
        <v/>
      </c>
      <c r="AM434" s="35">
        <f>AK434/94</f>
        <v/>
      </c>
      <c r="AN434" s="36">
        <f>AJ434/24</f>
        <v/>
      </c>
      <c r="AO434" s="36">
        <f>AK434/24</f>
        <v/>
      </c>
      <c r="AP434" s="37">
        <f>AJ434/125</f>
        <v/>
      </c>
      <c r="AQ434" s="37">
        <f>AK434/125</f>
        <v/>
      </c>
    </row>
    <row r="435" ht="15.75" customHeight="1" s="50">
      <c r="A435" s="32" t="n"/>
      <c r="B435" s="32" t="inlineStr">
        <is>
          <t>Ivory</t>
        </is>
      </c>
      <c r="C435" s="32" t="inlineStr">
        <is>
          <t>Me-C-HZ-I</t>
        </is>
      </c>
      <c r="D435" s="32" t="n">
        <v>445</v>
      </c>
      <c r="G435" s="32" t="n">
        <v>0</v>
      </c>
      <c r="H435" s="32" t="n">
        <v>10</v>
      </c>
      <c r="I435" s="41" t="n">
        <v>94041000</v>
      </c>
      <c r="J435" s="30" t="n">
        <v>0.18</v>
      </c>
      <c r="K435" s="32">
        <f>D435*J435</f>
        <v/>
      </c>
      <c r="M435" s="32">
        <f>D435*4%</f>
        <v/>
      </c>
      <c r="N435" s="49">
        <f>M435+L435+K435+H435+G435+F435+E435+D435</f>
        <v/>
      </c>
      <c r="O435" s="32">
        <f>D435*1%</f>
        <v/>
      </c>
      <c r="P435" s="7">
        <f>N435*8%</f>
        <v/>
      </c>
      <c r="Q435" s="7">
        <f>N435*10%</f>
        <v/>
      </c>
      <c r="R435" s="7">
        <f>N435*5%</f>
        <v/>
      </c>
      <c r="S435" s="7">
        <f>N435*2%</f>
        <v/>
      </c>
      <c r="T435" s="7">
        <f>AE435*0.5%</f>
        <v/>
      </c>
      <c r="U435" s="7">
        <f>N435*1%</f>
        <v/>
      </c>
      <c r="V435" s="31">
        <f>U435+S435+R435+Q435+P435+O435</f>
        <v/>
      </c>
      <c r="W435" s="32">
        <f>AE435*1%</f>
        <v/>
      </c>
      <c r="X435" s="32">
        <f>AE435*10%</f>
        <v/>
      </c>
      <c r="Y435" s="32">
        <f>AE435*1%</f>
        <v/>
      </c>
      <c r="Z435" s="32">
        <f>AE435*8%</f>
        <v/>
      </c>
      <c r="AA435" s="32">
        <f>W435+X435+Y435+Z435</f>
        <v/>
      </c>
      <c r="AB435" s="31">
        <f>AA435+V435+N435</f>
        <v/>
      </c>
      <c r="AC435" s="6">
        <f>AB435*20%</f>
        <v/>
      </c>
      <c r="AD435" s="7">
        <f>AB435+AC435</f>
        <v/>
      </c>
      <c r="AE435" s="32">
        <f>D435*2.1</f>
        <v/>
      </c>
      <c r="AF435" s="7">
        <f>AD435-AE435</f>
        <v/>
      </c>
      <c r="AG435" s="7">
        <f>AF435/AD435*100</f>
        <v/>
      </c>
      <c r="AH435" s="0" t="n">
        <v>1285</v>
      </c>
      <c r="AI435" s="33" t="n">
        <v>840</v>
      </c>
      <c r="AJ435" s="34">
        <f>AD435</f>
        <v/>
      </c>
      <c r="AK435" s="34">
        <f>AJ435-(AJ435*7%)</f>
        <v/>
      </c>
      <c r="AL435" s="35">
        <f>AJ435/94</f>
        <v/>
      </c>
      <c r="AM435" s="35">
        <f>AK435/94</f>
        <v/>
      </c>
      <c r="AN435" s="36">
        <f>AJ435/24</f>
        <v/>
      </c>
      <c r="AO435" s="36">
        <f>AK435/24</f>
        <v/>
      </c>
      <c r="AP435" s="37">
        <f>AJ435/125</f>
        <v/>
      </c>
      <c r="AQ435" s="37">
        <f>AK435/125</f>
        <v/>
      </c>
    </row>
    <row r="436" ht="15.75" customHeight="1" s="50">
      <c r="A436" s="32" t="n"/>
      <c r="B436" s="32" t="inlineStr">
        <is>
          <t>Light Grey</t>
        </is>
      </c>
      <c r="C436" s="32" t="inlineStr">
        <is>
          <t>Me-C-HZ-LG</t>
        </is>
      </c>
      <c r="D436" s="32" t="n">
        <v>445</v>
      </c>
      <c r="G436" s="32" t="n">
        <v>0</v>
      </c>
      <c r="H436" s="32" t="n">
        <v>10</v>
      </c>
      <c r="I436" s="41" t="n">
        <v>94041000</v>
      </c>
      <c r="J436" s="30" t="n">
        <v>0.18</v>
      </c>
      <c r="K436" s="32">
        <f>D436*J436</f>
        <v/>
      </c>
      <c r="M436" s="32">
        <f>D436*4%</f>
        <v/>
      </c>
      <c r="N436" s="49">
        <f>M436+L436+K436+H436+G436+F436+E436+D436</f>
        <v/>
      </c>
      <c r="O436" s="32">
        <f>D436*1%</f>
        <v/>
      </c>
      <c r="P436" s="7">
        <f>N436*8%</f>
        <v/>
      </c>
      <c r="Q436" s="7">
        <f>N436*10%</f>
        <v/>
      </c>
      <c r="R436" s="7">
        <f>N436*5%</f>
        <v/>
      </c>
      <c r="S436" s="7">
        <f>N436*2%</f>
        <v/>
      </c>
      <c r="T436" s="7">
        <f>AE436*0.5%</f>
        <v/>
      </c>
      <c r="U436" s="7">
        <f>N436*1%</f>
        <v/>
      </c>
      <c r="V436" s="31">
        <f>U436+S436+R436+Q436+P436+O436</f>
        <v/>
      </c>
      <c r="W436" s="32">
        <f>AE436*1%</f>
        <v/>
      </c>
      <c r="X436" s="32">
        <f>AE436*10%</f>
        <v/>
      </c>
      <c r="Y436" s="32">
        <f>AE436*1%</f>
        <v/>
      </c>
      <c r="Z436" s="32">
        <f>AE436*8%</f>
        <v/>
      </c>
      <c r="AA436" s="32">
        <f>W436+X436+Y436+Z436</f>
        <v/>
      </c>
      <c r="AB436" s="31">
        <f>AA436+V436+N436</f>
        <v/>
      </c>
      <c r="AC436" s="6">
        <f>AB436*20%</f>
        <v/>
      </c>
      <c r="AD436" s="7">
        <f>AB436+AC436</f>
        <v/>
      </c>
      <c r="AE436" s="32">
        <f>D436*2.1</f>
        <v/>
      </c>
      <c r="AF436" s="7">
        <f>AD436-AE436</f>
        <v/>
      </c>
      <c r="AG436" s="7">
        <f>AF436/AD436*100</f>
        <v/>
      </c>
      <c r="AH436" s="0" t="n">
        <v>1285</v>
      </c>
      <c r="AI436" s="33" t="n">
        <v>840</v>
      </c>
      <c r="AJ436" s="34">
        <f>AD436</f>
        <v/>
      </c>
      <c r="AK436" s="34">
        <f>AJ436-(AJ436*7%)</f>
        <v/>
      </c>
      <c r="AL436" s="35">
        <f>AJ436/94</f>
        <v/>
      </c>
      <c r="AM436" s="35">
        <f>AK436/94</f>
        <v/>
      </c>
      <c r="AN436" s="36">
        <f>AJ436/24</f>
        <v/>
      </c>
      <c r="AO436" s="36">
        <f>AK436/24</f>
        <v/>
      </c>
      <c r="AP436" s="37">
        <f>AJ436/125</f>
        <v/>
      </c>
      <c r="AQ436" s="37">
        <f>AK436/125</f>
        <v/>
      </c>
    </row>
    <row r="437" ht="15.75" customHeight="1" s="50">
      <c r="A437" s="32" t="n"/>
      <c r="B437" s="32" t="inlineStr">
        <is>
          <t>Lavender</t>
        </is>
      </c>
      <c r="C437" s="32" t="inlineStr">
        <is>
          <t>Me-C-HZ-LR</t>
        </is>
      </c>
      <c r="D437" s="32" t="n">
        <v>445</v>
      </c>
      <c r="G437" s="32" t="n">
        <v>0</v>
      </c>
      <c r="H437" s="32" t="n">
        <v>10</v>
      </c>
      <c r="I437" s="41" t="n">
        <v>94041000</v>
      </c>
      <c r="J437" s="30" t="n">
        <v>0.18</v>
      </c>
      <c r="K437" s="32">
        <f>D437*J437</f>
        <v/>
      </c>
      <c r="M437" s="32">
        <f>D437*4%</f>
        <v/>
      </c>
      <c r="N437" s="49">
        <f>M437+L437+K437+H437+G437+F437+E437+D437</f>
        <v/>
      </c>
      <c r="O437" s="32">
        <f>D437*1%</f>
        <v/>
      </c>
      <c r="P437" s="7">
        <f>N437*8%</f>
        <v/>
      </c>
      <c r="Q437" s="7">
        <f>N437*10%</f>
        <v/>
      </c>
      <c r="R437" s="7">
        <f>N437*5%</f>
        <v/>
      </c>
      <c r="S437" s="7">
        <f>N437*2%</f>
        <v/>
      </c>
      <c r="T437" s="7">
        <f>AE437*0.5%</f>
        <v/>
      </c>
      <c r="U437" s="7">
        <f>N437*1%</f>
        <v/>
      </c>
      <c r="V437" s="31">
        <f>U437+S437+R437+Q437+P437+O437</f>
        <v/>
      </c>
      <c r="W437" s="32">
        <f>AE437*1%</f>
        <v/>
      </c>
      <c r="X437" s="32">
        <f>AE437*10%</f>
        <v/>
      </c>
      <c r="Y437" s="32">
        <f>AE437*1%</f>
        <v/>
      </c>
      <c r="Z437" s="32">
        <f>AE437*8%</f>
        <v/>
      </c>
      <c r="AA437" s="32">
        <f>W437+X437+Y437+Z437</f>
        <v/>
      </c>
      <c r="AB437" s="31">
        <f>AA437+V437+N437</f>
        <v/>
      </c>
      <c r="AC437" s="6">
        <f>AB437*20%</f>
        <v/>
      </c>
      <c r="AD437" s="7">
        <f>AB437+AC437</f>
        <v/>
      </c>
      <c r="AE437" s="32">
        <f>D437*2.1</f>
        <v/>
      </c>
      <c r="AF437" s="7">
        <f>AD437-AE437</f>
        <v/>
      </c>
      <c r="AG437" s="7">
        <f>AF437/AD437*100</f>
        <v/>
      </c>
      <c r="AH437" s="0" t="n">
        <v>1285</v>
      </c>
      <c r="AI437" s="33" t="n">
        <v>840</v>
      </c>
      <c r="AJ437" s="34">
        <f>AD437</f>
        <v/>
      </c>
      <c r="AK437" s="34">
        <f>AJ437-(AJ437*7%)</f>
        <v/>
      </c>
      <c r="AL437" s="35">
        <f>AJ437/94</f>
        <v/>
      </c>
      <c r="AM437" s="35">
        <f>AK437/94</f>
        <v/>
      </c>
      <c r="AN437" s="36">
        <f>AJ437/24</f>
        <v/>
      </c>
      <c r="AO437" s="36">
        <f>AK437/24</f>
        <v/>
      </c>
      <c r="AP437" s="37">
        <f>AJ437/125</f>
        <v/>
      </c>
      <c r="AQ437" s="37">
        <f>AK437/125</f>
        <v/>
      </c>
    </row>
    <row r="438" ht="15.75" customHeight="1" s="50">
      <c r="A438" s="32" t="n"/>
      <c r="B438" s="32" t="inlineStr">
        <is>
          <t>Maroon</t>
        </is>
      </c>
      <c r="C438" s="32" t="inlineStr">
        <is>
          <t>Me-C-HZ-M</t>
        </is>
      </c>
      <c r="D438" s="32" t="n">
        <v>445</v>
      </c>
      <c r="G438" s="32" t="n">
        <v>0</v>
      </c>
      <c r="H438" s="32" t="n">
        <v>10</v>
      </c>
      <c r="I438" s="41" t="n">
        <v>94041000</v>
      </c>
      <c r="J438" s="30" t="n">
        <v>0.18</v>
      </c>
      <c r="K438" s="32">
        <f>D438*J438</f>
        <v/>
      </c>
      <c r="M438" s="32">
        <f>D438*4%</f>
        <v/>
      </c>
      <c r="N438" s="49">
        <f>M438+L438+K438+H438+G438+F438+E438+D438</f>
        <v/>
      </c>
      <c r="O438" s="32">
        <f>D438*1%</f>
        <v/>
      </c>
      <c r="P438" s="7">
        <f>N438*8%</f>
        <v/>
      </c>
      <c r="Q438" s="7">
        <f>N438*10%</f>
        <v/>
      </c>
      <c r="R438" s="7">
        <f>N438*5%</f>
        <v/>
      </c>
      <c r="S438" s="7">
        <f>N438*2%</f>
        <v/>
      </c>
      <c r="T438" s="7">
        <f>AE438*0.5%</f>
        <v/>
      </c>
      <c r="U438" s="7">
        <f>N438*1%</f>
        <v/>
      </c>
      <c r="V438" s="31">
        <f>U438+S438+R438+Q438+P438+O438</f>
        <v/>
      </c>
      <c r="W438" s="32">
        <f>AE438*1%</f>
        <v/>
      </c>
      <c r="X438" s="32">
        <f>AE438*10%</f>
        <v/>
      </c>
      <c r="Y438" s="32">
        <f>AE438*1%</f>
        <v/>
      </c>
      <c r="Z438" s="32">
        <f>AE438*8%</f>
        <v/>
      </c>
      <c r="AA438" s="32">
        <f>W438+X438+Y438+Z438</f>
        <v/>
      </c>
      <c r="AB438" s="31">
        <f>AA438+V438+N438</f>
        <v/>
      </c>
      <c r="AC438" s="6">
        <f>AB438*20%</f>
        <v/>
      </c>
      <c r="AD438" s="7">
        <f>AB438+AC438</f>
        <v/>
      </c>
      <c r="AE438" s="32">
        <f>D438*2.1</f>
        <v/>
      </c>
      <c r="AF438" s="7">
        <f>AD438-AE438</f>
        <v/>
      </c>
      <c r="AG438" s="7">
        <f>AF438/AD438*100</f>
        <v/>
      </c>
      <c r="AH438" s="0" t="n">
        <v>1285</v>
      </c>
      <c r="AI438" s="33" t="n">
        <v>840</v>
      </c>
      <c r="AJ438" s="34">
        <f>AD438</f>
        <v/>
      </c>
      <c r="AK438" s="34">
        <f>AJ438-(AJ438*7%)</f>
        <v/>
      </c>
      <c r="AL438" s="35">
        <f>AJ438/94</f>
        <v/>
      </c>
      <c r="AM438" s="35">
        <f>AK438/94</f>
        <v/>
      </c>
      <c r="AN438" s="36">
        <f>AJ438/24</f>
        <v/>
      </c>
      <c r="AO438" s="36">
        <f>AK438/24</f>
        <v/>
      </c>
      <c r="AP438" s="37">
        <f>AJ438/125</f>
        <v/>
      </c>
      <c r="AQ438" s="37">
        <f>AK438/125</f>
        <v/>
      </c>
    </row>
    <row r="439" ht="15.75" customHeight="1" s="50">
      <c r="A439" s="32" t="n"/>
      <c r="B439" s="32" t="inlineStr">
        <is>
          <t>Misty Blue</t>
        </is>
      </c>
      <c r="C439" s="32" t="inlineStr">
        <is>
          <t>Me-C-HZ-MB</t>
        </is>
      </c>
      <c r="D439" s="32" t="n">
        <v>445</v>
      </c>
      <c r="G439" s="32" t="n">
        <v>0</v>
      </c>
      <c r="H439" s="32" t="n">
        <v>10</v>
      </c>
      <c r="I439" s="41" t="n">
        <v>94041000</v>
      </c>
      <c r="J439" s="30" t="n">
        <v>0.18</v>
      </c>
      <c r="K439" s="32">
        <f>D439*J439</f>
        <v/>
      </c>
      <c r="M439" s="32">
        <f>D439*4%</f>
        <v/>
      </c>
      <c r="N439" s="49">
        <f>M439+L439+K439+H439+G439+F439+E439+D439</f>
        <v/>
      </c>
      <c r="O439" s="32">
        <f>D439*1%</f>
        <v/>
      </c>
      <c r="P439" s="7">
        <f>N439*8%</f>
        <v/>
      </c>
      <c r="Q439" s="7">
        <f>N439*10%</f>
        <v/>
      </c>
      <c r="R439" s="7">
        <f>N439*5%</f>
        <v/>
      </c>
      <c r="S439" s="7">
        <f>N439*2%</f>
        <v/>
      </c>
      <c r="T439" s="7">
        <f>AE439*0.5%</f>
        <v/>
      </c>
      <c r="U439" s="7">
        <f>N439*1%</f>
        <v/>
      </c>
      <c r="V439" s="31">
        <f>U439+S439+R439+Q439+P439+O439</f>
        <v/>
      </c>
      <c r="W439" s="32">
        <f>AE439*1%</f>
        <v/>
      </c>
      <c r="X439" s="32">
        <f>AE439*10%</f>
        <v/>
      </c>
      <c r="Y439" s="32">
        <f>AE439*1%</f>
        <v/>
      </c>
      <c r="Z439" s="32">
        <f>AE439*8%</f>
        <v/>
      </c>
      <c r="AA439" s="32">
        <f>W439+X439+Y439+Z439</f>
        <v/>
      </c>
      <c r="AB439" s="31">
        <f>AA439+V439+N439</f>
        <v/>
      </c>
      <c r="AC439" s="6">
        <f>AB439*20%</f>
        <v/>
      </c>
      <c r="AD439" s="7">
        <f>AB439+AC439</f>
        <v/>
      </c>
      <c r="AE439" s="32">
        <f>D439*2.1</f>
        <v/>
      </c>
      <c r="AF439" s="7">
        <f>AD439-AE439</f>
        <v/>
      </c>
      <c r="AG439" s="7">
        <f>AF439/AD439*100</f>
        <v/>
      </c>
      <c r="AH439" s="0" t="n">
        <v>1285</v>
      </c>
      <c r="AI439" s="33" t="n">
        <v>840</v>
      </c>
      <c r="AJ439" s="34">
        <f>AD439</f>
        <v/>
      </c>
      <c r="AK439" s="34">
        <f>AJ439-(AJ439*7%)</f>
        <v/>
      </c>
      <c r="AL439" s="35">
        <f>AJ439/94</f>
        <v/>
      </c>
      <c r="AM439" s="35">
        <f>AK439/94</f>
        <v/>
      </c>
      <c r="AN439" s="36">
        <f>AJ439/24</f>
        <v/>
      </c>
      <c r="AO439" s="36">
        <f>AK439/24</f>
        <v/>
      </c>
      <c r="AP439" s="37">
        <f>AJ439/125</f>
        <v/>
      </c>
      <c r="AQ439" s="37">
        <f>AK439/125</f>
        <v/>
      </c>
    </row>
    <row r="440" ht="15.75" customHeight="1" s="50">
      <c r="A440" s="32" t="n"/>
      <c r="B440" s="32" t="inlineStr">
        <is>
          <t>Navy Blue</t>
        </is>
      </c>
      <c r="C440" s="32" t="inlineStr">
        <is>
          <t>Me-C-HZ-NB</t>
        </is>
      </c>
      <c r="D440" s="32" t="n">
        <v>445</v>
      </c>
      <c r="G440" s="32" t="n">
        <v>0</v>
      </c>
      <c r="H440" s="32" t="n">
        <v>10</v>
      </c>
      <c r="I440" s="41" t="n">
        <v>94041000</v>
      </c>
      <c r="J440" s="30" t="n">
        <v>0.18</v>
      </c>
      <c r="K440" s="32">
        <f>D440*J440</f>
        <v/>
      </c>
      <c r="M440" s="32">
        <f>D440*4%</f>
        <v/>
      </c>
      <c r="N440" s="49">
        <f>M440+L440+K440+H440+G440+F440+E440+D440</f>
        <v/>
      </c>
      <c r="O440" s="32">
        <f>D440*1%</f>
        <v/>
      </c>
      <c r="P440" s="7">
        <f>N440*8%</f>
        <v/>
      </c>
      <c r="Q440" s="7">
        <f>N440*10%</f>
        <v/>
      </c>
      <c r="R440" s="7">
        <f>N440*5%</f>
        <v/>
      </c>
      <c r="S440" s="7">
        <f>N440*2%</f>
        <v/>
      </c>
      <c r="T440" s="7">
        <f>AE440*0.5%</f>
        <v/>
      </c>
      <c r="U440" s="7">
        <f>N440*1%</f>
        <v/>
      </c>
      <c r="V440" s="31">
        <f>U440+S440+R440+Q440+P440+O440</f>
        <v/>
      </c>
      <c r="W440" s="32">
        <f>AE440*1%</f>
        <v/>
      </c>
      <c r="X440" s="32">
        <f>AE440*10%</f>
        <v/>
      </c>
      <c r="Y440" s="32">
        <f>AE440*1%</f>
        <v/>
      </c>
      <c r="Z440" s="32">
        <f>AE440*8%</f>
        <v/>
      </c>
      <c r="AA440" s="32">
        <f>W440+X440+Y440+Z440</f>
        <v/>
      </c>
      <c r="AB440" s="31">
        <f>AA440+V440+N440</f>
        <v/>
      </c>
      <c r="AC440" s="6">
        <f>AB440*20%</f>
        <v/>
      </c>
      <c r="AD440" s="7">
        <f>AB440+AC440</f>
        <v/>
      </c>
      <c r="AE440" s="32">
        <f>D440*2.1</f>
        <v/>
      </c>
      <c r="AF440" s="7">
        <f>AD440-AE440</f>
        <v/>
      </c>
      <c r="AG440" s="7">
        <f>AF440/AD440*100</f>
        <v/>
      </c>
      <c r="AH440" s="0" t="n">
        <v>1285</v>
      </c>
      <c r="AI440" s="33" t="n">
        <v>840</v>
      </c>
      <c r="AJ440" s="34">
        <f>AD440</f>
        <v/>
      </c>
      <c r="AK440" s="34">
        <f>AJ440-(AJ440*7%)</f>
        <v/>
      </c>
      <c r="AL440" s="35">
        <f>AJ440/94</f>
        <v/>
      </c>
      <c r="AM440" s="35">
        <f>AK440/94</f>
        <v/>
      </c>
      <c r="AN440" s="36">
        <f>AJ440/24</f>
        <v/>
      </c>
      <c r="AO440" s="36">
        <f>AK440/24</f>
        <v/>
      </c>
      <c r="AP440" s="37">
        <f>AJ440/125</f>
        <v/>
      </c>
      <c r="AQ440" s="37">
        <f>AK440/125</f>
        <v/>
      </c>
    </row>
    <row r="441" ht="15.75" customHeight="1" s="50">
      <c r="A441" s="32" t="n"/>
      <c r="B441" s="32" t="inlineStr">
        <is>
          <t>Rose</t>
        </is>
      </c>
      <c r="C441" s="32" t="inlineStr">
        <is>
          <t>Me-C-HZ-R</t>
        </is>
      </c>
      <c r="D441" s="32" t="n">
        <v>445</v>
      </c>
      <c r="G441" s="32" t="n">
        <v>0</v>
      </c>
      <c r="H441" s="32" t="n">
        <v>10</v>
      </c>
      <c r="I441" s="41" t="n">
        <v>94041000</v>
      </c>
      <c r="J441" s="30" t="n">
        <v>0.18</v>
      </c>
      <c r="K441" s="32">
        <f>D441*J441</f>
        <v/>
      </c>
      <c r="M441" s="32">
        <f>D441*4%</f>
        <v/>
      </c>
      <c r="N441" s="49">
        <f>M441+L441+K441+H441+G441+F441+E441+D441</f>
        <v/>
      </c>
      <c r="O441" s="32">
        <f>D441*1%</f>
        <v/>
      </c>
      <c r="P441" s="7">
        <f>N441*8%</f>
        <v/>
      </c>
      <c r="Q441" s="7">
        <f>N441*10%</f>
        <v/>
      </c>
      <c r="R441" s="7">
        <f>N441*5%</f>
        <v/>
      </c>
      <c r="S441" s="7">
        <f>N441*2%</f>
        <v/>
      </c>
      <c r="T441" s="7">
        <f>AE441*0.5%</f>
        <v/>
      </c>
      <c r="U441" s="7">
        <f>N441*1%</f>
        <v/>
      </c>
      <c r="V441" s="31">
        <f>U441+S441+R441+Q441+P441+O441</f>
        <v/>
      </c>
      <c r="W441" s="32">
        <f>AE441*1%</f>
        <v/>
      </c>
      <c r="X441" s="32">
        <f>AE441*10%</f>
        <v/>
      </c>
      <c r="Y441" s="32">
        <f>AE441*1%</f>
        <v/>
      </c>
      <c r="Z441" s="32">
        <f>AE441*8%</f>
        <v/>
      </c>
      <c r="AA441" s="32">
        <f>W441+X441+Y441+Z441</f>
        <v/>
      </c>
      <c r="AB441" s="31">
        <f>AA441+V441+N441</f>
        <v/>
      </c>
      <c r="AC441" s="6">
        <f>AB441*20%</f>
        <v/>
      </c>
      <c r="AD441" s="7">
        <f>AB441+AC441</f>
        <v/>
      </c>
      <c r="AE441" s="32">
        <f>D441*2.1</f>
        <v/>
      </c>
      <c r="AF441" s="7">
        <f>AD441-AE441</f>
        <v/>
      </c>
      <c r="AG441" s="7">
        <f>AF441/AD441*100</f>
        <v/>
      </c>
      <c r="AH441" s="0" t="n">
        <v>1285</v>
      </c>
      <c r="AI441" s="33" t="n">
        <v>840</v>
      </c>
      <c r="AJ441" s="34">
        <f>AD441</f>
        <v/>
      </c>
      <c r="AK441" s="34">
        <f>AJ441-(AJ441*7%)</f>
        <v/>
      </c>
      <c r="AL441" s="35">
        <f>AJ441/94</f>
        <v/>
      </c>
      <c r="AM441" s="35">
        <f>AK441/94</f>
        <v/>
      </c>
      <c r="AN441" s="36">
        <f>AJ441/24</f>
        <v/>
      </c>
      <c r="AO441" s="36">
        <f>AK441/24</f>
        <v/>
      </c>
      <c r="AP441" s="37">
        <f>AJ441/125</f>
        <v/>
      </c>
      <c r="AQ441" s="37">
        <f>AK441/125</f>
        <v/>
      </c>
    </row>
    <row r="442" ht="15.75" customHeight="1" s="50">
      <c r="A442" s="32" t="n"/>
      <c r="B442" s="32" t="inlineStr">
        <is>
          <t>Red</t>
        </is>
      </c>
      <c r="C442" s="32" t="inlineStr">
        <is>
          <t>Me-C-HZ-RD</t>
        </is>
      </c>
      <c r="D442" s="32" t="n">
        <v>445</v>
      </c>
      <c r="G442" s="32" t="n">
        <v>0</v>
      </c>
      <c r="H442" s="32" t="n">
        <v>10</v>
      </c>
      <c r="I442" s="41" t="n">
        <v>94041000</v>
      </c>
      <c r="J442" s="30" t="n">
        <v>0.18</v>
      </c>
      <c r="K442" s="32">
        <f>D442*J442</f>
        <v/>
      </c>
      <c r="M442" s="32">
        <f>D442*4%</f>
        <v/>
      </c>
      <c r="N442" s="49">
        <f>M442+L442+K442+H442+G442+F442+E442+D442</f>
        <v/>
      </c>
      <c r="O442" s="32">
        <f>D442*1%</f>
        <v/>
      </c>
      <c r="P442" s="7">
        <f>N442*8%</f>
        <v/>
      </c>
      <c r="Q442" s="7">
        <f>N442*10%</f>
        <v/>
      </c>
      <c r="R442" s="7">
        <f>N442*5%</f>
        <v/>
      </c>
      <c r="S442" s="7">
        <f>N442*2%</f>
        <v/>
      </c>
      <c r="T442" s="7">
        <f>AE442*0.5%</f>
        <v/>
      </c>
      <c r="U442" s="7">
        <f>N442*1%</f>
        <v/>
      </c>
      <c r="V442" s="31">
        <f>U442+S442+R442+Q442+P442+O442</f>
        <v/>
      </c>
      <c r="W442" s="32">
        <f>AE442*1%</f>
        <v/>
      </c>
      <c r="X442" s="32">
        <f>AE442*10%</f>
        <v/>
      </c>
      <c r="Y442" s="32">
        <f>AE442*1%</f>
        <v/>
      </c>
      <c r="Z442" s="32">
        <f>AE442*8%</f>
        <v/>
      </c>
      <c r="AA442" s="32">
        <f>W442+X442+Y442+Z442</f>
        <v/>
      </c>
      <c r="AB442" s="31">
        <f>AA442+V442+N442</f>
        <v/>
      </c>
      <c r="AC442" s="6">
        <f>AB442*20%</f>
        <v/>
      </c>
      <c r="AD442" s="7">
        <f>AB442+AC442</f>
        <v/>
      </c>
      <c r="AE442" s="32">
        <f>D442*2.1</f>
        <v/>
      </c>
      <c r="AF442" s="7">
        <f>AD442-AE442</f>
        <v/>
      </c>
      <c r="AG442" s="7">
        <f>AF442/AD442*100</f>
        <v/>
      </c>
      <c r="AH442" s="0" t="n">
        <v>1285</v>
      </c>
      <c r="AI442" s="33" t="n">
        <v>840</v>
      </c>
      <c r="AJ442" s="34">
        <f>AD442</f>
        <v/>
      </c>
      <c r="AK442" s="34">
        <f>AJ442-(AJ442*7%)</f>
        <v/>
      </c>
      <c r="AL442" s="35">
        <f>AJ442/94</f>
        <v/>
      </c>
      <c r="AM442" s="35">
        <f>AK442/94</f>
        <v/>
      </c>
      <c r="AN442" s="36">
        <f>AJ442/24</f>
        <v/>
      </c>
      <c r="AO442" s="36">
        <f>AK442/24</f>
        <v/>
      </c>
      <c r="AP442" s="37">
        <f>AJ442/125</f>
        <v/>
      </c>
      <c r="AQ442" s="37">
        <f>AK442/125</f>
        <v/>
      </c>
    </row>
    <row r="443" ht="15.75" customHeight="1" s="50">
      <c r="A443" s="32" t="n"/>
      <c r="B443" s="32" t="inlineStr">
        <is>
          <t>Sage</t>
        </is>
      </c>
      <c r="C443" s="32" t="inlineStr">
        <is>
          <t>Me-C-HZ-SE</t>
        </is>
      </c>
      <c r="D443" s="32" t="n">
        <v>445</v>
      </c>
      <c r="G443" s="32" t="n">
        <v>0</v>
      </c>
      <c r="H443" s="32" t="n">
        <v>10</v>
      </c>
      <c r="I443" s="41" t="n">
        <v>94041000</v>
      </c>
      <c r="J443" s="30" t="n">
        <v>0.18</v>
      </c>
      <c r="K443" s="32">
        <f>D443*J443</f>
        <v/>
      </c>
      <c r="M443" s="32">
        <f>D443*4%</f>
        <v/>
      </c>
      <c r="N443" s="49">
        <f>M443+L443+K443+H443+G443+F443+E443+D443</f>
        <v/>
      </c>
      <c r="O443" s="32">
        <f>D443*1%</f>
        <v/>
      </c>
      <c r="P443" s="7">
        <f>N443*8%</f>
        <v/>
      </c>
      <c r="Q443" s="7">
        <f>N443*10%</f>
        <v/>
      </c>
      <c r="R443" s="7">
        <f>N443*5%</f>
        <v/>
      </c>
      <c r="S443" s="7">
        <f>N443*2%</f>
        <v/>
      </c>
      <c r="T443" s="7">
        <f>AE443*0.5%</f>
        <v/>
      </c>
      <c r="U443" s="7">
        <f>N443*1%</f>
        <v/>
      </c>
      <c r="V443" s="31">
        <f>U443+S443+R443+Q443+P443+O443</f>
        <v/>
      </c>
      <c r="W443" s="32">
        <f>AE443*1%</f>
        <v/>
      </c>
      <c r="X443" s="32">
        <f>AE443*10%</f>
        <v/>
      </c>
      <c r="Y443" s="32">
        <f>AE443*1%</f>
        <v/>
      </c>
      <c r="Z443" s="32">
        <f>AE443*8%</f>
        <v/>
      </c>
      <c r="AA443" s="32">
        <f>W443+X443+Y443+Z443</f>
        <v/>
      </c>
      <c r="AB443" s="31">
        <f>AA443+V443+N443</f>
        <v/>
      </c>
      <c r="AC443" s="6">
        <f>AB443*20%</f>
        <v/>
      </c>
      <c r="AD443" s="7">
        <f>AB443+AC443</f>
        <v/>
      </c>
      <c r="AE443" s="32">
        <f>D443*2.1</f>
        <v/>
      </c>
      <c r="AF443" s="7">
        <f>AD443-AE443</f>
        <v/>
      </c>
      <c r="AG443" s="7">
        <f>AF443/AD443*100</f>
        <v/>
      </c>
      <c r="AH443" s="0" t="n">
        <v>1285</v>
      </c>
      <c r="AI443" s="33" t="n">
        <v>840</v>
      </c>
      <c r="AJ443" s="34">
        <f>AD443</f>
        <v/>
      </c>
      <c r="AK443" s="34">
        <f>AJ443-(AJ443*7%)</f>
        <v/>
      </c>
      <c r="AL443" s="35">
        <f>AJ443/94</f>
        <v/>
      </c>
      <c r="AM443" s="35">
        <f>AK443/94</f>
        <v/>
      </c>
      <c r="AN443" s="36">
        <f>AJ443/24</f>
        <v/>
      </c>
      <c r="AO443" s="36">
        <f>AK443/24</f>
        <v/>
      </c>
      <c r="AP443" s="37">
        <f>AJ443/125</f>
        <v/>
      </c>
      <c r="AQ443" s="37">
        <f>AK443/125</f>
        <v/>
      </c>
    </row>
    <row r="444" ht="15" customHeight="1" s="50">
      <c r="A444" s="32" t="inlineStr">
        <is>
          <t>Jala Neti Pot - Ceramic 185 ml</t>
        </is>
      </c>
      <c r="B444" s="32" t="inlineStr">
        <is>
          <t>Standard</t>
        </is>
      </c>
      <c r="C444" s="32" t="inlineStr">
        <is>
          <t>NP-R-185</t>
        </is>
      </c>
      <c r="D444" s="32" t="n">
        <v>60</v>
      </c>
      <c r="G444" s="32" t="n">
        <v>0</v>
      </c>
      <c r="H444" s="32" t="n">
        <v>10</v>
      </c>
      <c r="I444" s="41" t="n">
        <v>69091000</v>
      </c>
      <c r="J444" s="30" t="n">
        <v>0.18</v>
      </c>
      <c r="K444" s="32">
        <f>D444*J444</f>
        <v/>
      </c>
      <c r="M444" s="32">
        <f>D444*4%</f>
        <v/>
      </c>
      <c r="N444" s="49">
        <f>M444+L444+K444+H444+G444+F444+E444+D444</f>
        <v/>
      </c>
      <c r="O444" s="32">
        <f>D444*1%</f>
        <v/>
      </c>
      <c r="P444" s="7">
        <f>N444*8%</f>
        <v/>
      </c>
      <c r="Q444" s="7">
        <f>N444*10%</f>
        <v/>
      </c>
      <c r="R444" s="7">
        <f>N444*5%</f>
        <v/>
      </c>
      <c r="S444" s="7">
        <f>N444*2%</f>
        <v/>
      </c>
      <c r="T444" s="7">
        <f>AE444*0.5%</f>
        <v/>
      </c>
      <c r="U444" s="7">
        <f>N444*1%</f>
        <v/>
      </c>
      <c r="V444" s="31">
        <f>U444+S444+R444+Q444+P444+O444</f>
        <v/>
      </c>
      <c r="W444" s="32">
        <f>AE444*1%</f>
        <v/>
      </c>
      <c r="X444" s="32">
        <f>AE444*10%</f>
        <v/>
      </c>
      <c r="Y444" s="32">
        <f>AE444*1%</f>
        <v/>
      </c>
      <c r="Z444" s="32">
        <f>AE444*8%</f>
        <v/>
      </c>
      <c r="AA444" s="32">
        <f>W444+X444+Y444+Z444</f>
        <v/>
      </c>
      <c r="AB444" s="31">
        <f>AA444+V444+N444</f>
        <v/>
      </c>
      <c r="AC444" s="6">
        <f>AB444*20%</f>
        <v/>
      </c>
      <c r="AD444" s="7">
        <f>AB444+AC444</f>
        <v/>
      </c>
      <c r="AE444" s="32">
        <f>D444*2.1</f>
        <v/>
      </c>
      <c r="AF444" s="7">
        <f>AD444-AE444</f>
        <v/>
      </c>
      <c r="AG444" s="7">
        <f>AF444/AD444*100</f>
        <v/>
      </c>
      <c r="AH444" s="0" t="n">
        <v>245</v>
      </c>
      <c r="AI444" s="33" t="n">
        <v>185</v>
      </c>
      <c r="AJ444" s="34">
        <f>AD444</f>
        <v/>
      </c>
      <c r="AK444" s="34">
        <f>AJ444-(AJ444*7%)</f>
        <v/>
      </c>
      <c r="AL444" s="35">
        <f>AJ444/94</f>
        <v/>
      </c>
      <c r="AM444" s="35">
        <f>AK444/94</f>
        <v/>
      </c>
      <c r="AN444" s="36">
        <f>AJ444/24</f>
        <v/>
      </c>
      <c r="AO444" s="36">
        <f>AK444/24</f>
        <v/>
      </c>
      <c r="AP444" s="37">
        <f>AJ444/125</f>
        <v/>
      </c>
      <c r="AQ444" s="37">
        <f>AK444/125</f>
        <v/>
      </c>
    </row>
    <row r="445" ht="15.75" customHeight="1" s="50">
      <c r="A445" s="32" t="n"/>
      <c r="B445" s="32" t="inlineStr">
        <is>
          <t>Blue</t>
        </is>
      </c>
      <c r="C445" s="32" t="inlineStr">
        <is>
          <t>NP-B-185</t>
        </is>
      </c>
      <c r="D445" s="32" t="n">
        <v>60</v>
      </c>
      <c r="G445" s="32" t="n">
        <v>0</v>
      </c>
      <c r="H445" s="32" t="n">
        <v>10</v>
      </c>
      <c r="I445" s="41" t="n">
        <v>69091000</v>
      </c>
      <c r="J445" s="30" t="n">
        <v>0.18</v>
      </c>
      <c r="K445" s="32">
        <f>D445*J445</f>
        <v/>
      </c>
      <c r="M445" s="32">
        <f>D445*4%</f>
        <v/>
      </c>
      <c r="N445" s="49">
        <f>M445+L445+K445+H445+G445+F445+E445+D445</f>
        <v/>
      </c>
      <c r="O445" s="32">
        <f>D445*1%</f>
        <v/>
      </c>
      <c r="P445" s="7">
        <f>N445*8%</f>
        <v/>
      </c>
      <c r="Q445" s="7">
        <f>N445*10%</f>
        <v/>
      </c>
      <c r="R445" s="7">
        <f>N445*5%</f>
        <v/>
      </c>
      <c r="S445" s="7">
        <f>N445*2%</f>
        <v/>
      </c>
      <c r="T445" s="7">
        <f>AE445*0.5%</f>
        <v/>
      </c>
      <c r="U445" s="7">
        <f>N445*1%</f>
        <v/>
      </c>
      <c r="V445" s="31">
        <f>U445+S445+R445+Q445+P445+O445</f>
        <v/>
      </c>
      <c r="W445" s="32">
        <f>AE445*1%</f>
        <v/>
      </c>
      <c r="X445" s="32">
        <f>AE445*10%</f>
        <v/>
      </c>
      <c r="Y445" s="32">
        <f>AE445*1%</f>
        <v/>
      </c>
      <c r="Z445" s="32">
        <f>AE445*8%</f>
        <v/>
      </c>
      <c r="AA445" s="32">
        <f>W445+X445+Y445+Z445</f>
        <v/>
      </c>
      <c r="AB445" s="31">
        <f>AA445+V445+N445</f>
        <v/>
      </c>
      <c r="AC445" s="6">
        <f>AB445*20%</f>
        <v/>
      </c>
      <c r="AD445" s="7">
        <f>AB445+AC445</f>
        <v/>
      </c>
      <c r="AE445" s="32">
        <f>D445*2.1</f>
        <v/>
      </c>
      <c r="AF445" s="7">
        <f>AD445-AE445</f>
        <v/>
      </c>
      <c r="AG445" s="7">
        <f>AF445/AD445*100</f>
        <v/>
      </c>
      <c r="AH445" s="0" t="n">
        <v>245</v>
      </c>
      <c r="AI445" s="33" t="n">
        <v>185</v>
      </c>
      <c r="AJ445" s="34">
        <f>AD445</f>
        <v/>
      </c>
      <c r="AK445" s="34">
        <f>AJ445-(AJ445*7%)</f>
        <v/>
      </c>
      <c r="AL445" s="35">
        <f>AJ445/94</f>
        <v/>
      </c>
      <c r="AM445" s="35">
        <f>AK445/94</f>
        <v/>
      </c>
      <c r="AN445" s="36">
        <f>AJ445/24</f>
        <v/>
      </c>
      <c r="AO445" s="36">
        <f>AK445/24</f>
        <v/>
      </c>
      <c r="AP445" s="37">
        <f>AJ445/125</f>
        <v/>
      </c>
      <c r="AQ445" s="37">
        <f>AK445/125</f>
        <v/>
      </c>
    </row>
    <row r="446" ht="15.75" customHeight="1" s="50">
      <c r="A446" s="32" t="n"/>
      <c r="B446" s="32" t="inlineStr">
        <is>
          <t>Lemon Yellow</t>
        </is>
      </c>
      <c r="C446" s="32" t="inlineStr">
        <is>
          <t>NP-LY-185</t>
        </is>
      </c>
      <c r="D446" s="32" t="n">
        <v>60</v>
      </c>
      <c r="G446" s="32" t="n">
        <v>0</v>
      </c>
      <c r="H446" s="32" t="n">
        <v>10</v>
      </c>
      <c r="I446" s="41" t="n">
        <v>69091000</v>
      </c>
      <c r="J446" s="30" t="n">
        <v>0.18</v>
      </c>
      <c r="K446" s="32">
        <f>D446*J446</f>
        <v/>
      </c>
      <c r="M446" s="32">
        <f>D446*4%</f>
        <v/>
      </c>
      <c r="N446" s="49">
        <f>M446+L446+K446+H446+G446+F446+E446+D446</f>
        <v/>
      </c>
      <c r="O446" s="32">
        <f>D446*1%</f>
        <v/>
      </c>
      <c r="P446" s="7">
        <f>N446*8%</f>
        <v/>
      </c>
      <c r="Q446" s="7">
        <f>N446*10%</f>
        <v/>
      </c>
      <c r="R446" s="7">
        <f>N446*5%</f>
        <v/>
      </c>
      <c r="S446" s="7">
        <f>N446*2%</f>
        <v/>
      </c>
      <c r="T446" s="7">
        <f>AE446*0.5%</f>
        <v/>
      </c>
      <c r="U446" s="7">
        <f>N446*1%</f>
        <v/>
      </c>
      <c r="V446" s="31">
        <f>U446+S446+R446+Q446+P446+O446</f>
        <v/>
      </c>
      <c r="W446" s="32">
        <f>AE446*1%</f>
        <v/>
      </c>
      <c r="X446" s="32">
        <f>AE446*10%</f>
        <v/>
      </c>
      <c r="Y446" s="32">
        <f>AE446*1%</f>
        <v/>
      </c>
      <c r="Z446" s="32">
        <f>AE446*8%</f>
        <v/>
      </c>
      <c r="AA446" s="32">
        <f>W446+X446+Y446+Z446</f>
        <v/>
      </c>
      <c r="AB446" s="31">
        <f>AA446+V446+N446</f>
        <v/>
      </c>
      <c r="AC446" s="6">
        <f>AB446*20%</f>
        <v/>
      </c>
      <c r="AD446" s="7">
        <f>AB446+AC446</f>
        <v/>
      </c>
      <c r="AE446" s="32">
        <f>D446*2.1</f>
        <v/>
      </c>
      <c r="AF446" s="7">
        <f>AD446-AE446</f>
        <v/>
      </c>
      <c r="AG446" s="7">
        <f>AF446/AD446*100</f>
        <v/>
      </c>
      <c r="AH446" s="0" t="n">
        <v>245</v>
      </c>
      <c r="AI446" s="33" t="n">
        <v>185</v>
      </c>
      <c r="AJ446" s="34">
        <f>AD446</f>
        <v/>
      </c>
      <c r="AK446" s="34">
        <f>AJ446-(AJ446*7%)</f>
        <v/>
      </c>
      <c r="AL446" s="35">
        <f>AJ446/94</f>
        <v/>
      </c>
      <c r="AM446" s="35">
        <f>AK446/94</f>
        <v/>
      </c>
      <c r="AN446" s="36">
        <f>AJ446/24</f>
        <v/>
      </c>
      <c r="AO446" s="36">
        <f>AK446/24</f>
        <v/>
      </c>
      <c r="AP446" s="37">
        <f>AJ446/125</f>
        <v/>
      </c>
      <c r="AQ446" s="37">
        <f>AK446/125</f>
        <v/>
      </c>
    </row>
    <row r="447" ht="15.75" customHeight="1" s="50">
      <c r="A447" s="32" t="n"/>
      <c r="B447" s="32" t="inlineStr">
        <is>
          <t>Mint Green</t>
        </is>
      </c>
      <c r="C447" s="32" t="inlineStr">
        <is>
          <t>NP-MG-185</t>
        </is>
      </c>
      <c r="D447" s="32" t="n">
        <v>60</v>
      </c>
      <c r="G447" s="32" t="n">
        <v>0</v>
      </c>
      <c r="H447" s="32" t="n">
        <v>10</v>
      </c>
      <c r="I447" s="41" t="n">
        <v>69091000</v>
      </c>
      <c r="J447" s="30" t="n">
        <v>0.18</v>
      </c>
      <c r="K447" s="32">
        <f>D447*J447</f>
        <v/>
      </c>
      <c r="M447" s="32">
        <f>D447*4%</f>
        <v/>
      </c>
      <c r="N447" s="49">
        <f>M447+L447+K447+H447+G447+F447+E447+D447</f>
        <v/>
      </c>
      <c r="O447" s="32">
        <f>D447*1%</f>
        <v/>
      </c>
      <c r="P447" s="7">
        <f>N447*8%</f>
        <v/>
      </c>
      <c r="Q447" s="7">
        <f>N447*10%</f>
        <v/>
      </c>
      <c r="R447" s="7">
        <f>N447*5%</f>
        <v/>
      </c>
      <c r="S447" s="7">
        <f>N447*2%</f>
        <v/>
      </c>
      <c r="T447" s="7">
        <f>AE447*0.5%</f>
        <v/>
      </c>
      <c r="U447" s="7">
        <f>N447*1%</f>
        <v/>
      </c>
      <c r="V447" s="31">
        <f>U447+S447+R447+Q447+P447+O447</f>
        <v/>
      </c>
      <c r="W447" s="32">
        <f>AE447*1%</f>
        <v/>
      </c>
      <c r="X447" s="32">
        <f>AE447*10%</f>
        <v/>
      </c>
      <c r="Y447" s="32">
        <f>AE447*1%</f>
        <v/>
      </c>
      <c r="Z447" s="32">
        <f>AE447*8%</f>
        <v/>
      </c>
      <c r="AA447" s="32">
        <f>W447+X447+Y447+Z447</f>
        <v/>
      </c>
      <c r="AB447" s="31">
        <f>AA447+V447+N447</f>
        <v/>
      </c>
      <c r="AC447" s="6">
        <f>AB447*20%</f>
        <v/>
      </c>
      <c r="AD447" s="7">
        <f>AB447+AC447</f>
        <v/>
      </c>
      <c r="AE447" s="32">
        <f>D447*2.1</f>
        <v/>
      </c>
      <c r="AF447" s="7">
        <f>AD447-AE447</f>
        <v/>
      </c>
      <c r="AG447" s="7">
        <f>AF447/AD447*100</f>
        <v/>
      </c>
      <c r="AH447" s="0" t="n">
        <v>245</v>
      </c>
      <c r="AI447" s="33" t="n">
        <v>185</v>
      </c>
      <c r="AJ447" s="34">
        <f>AD447</f>
        <v/>
      </c>
      <c r="AK447" s="34">
        <f>AJ447-(AJ447*7%)</f>
        <v/>
      </c>
      <c r="AL447" s="35">
        <f>AJ447/94</f>
        <v/>
      </c>
      <c r="AM447" s="35">
        <f>AK447/94</f>
        <v/>
      </c>
      <c r="AN447" s="36">
        <f>AJ447/24</f>
        <v/>
      </c>
      <c r="AO447" s="36">
        <f>AK447/24</f>
        <v/>
      </c>
      <c r="AP447" s="37">
        <f>AJ447/125</f>
        <v/>
      </c>
      <c r="AQ447" s="37">
        <f>AK447/125</f>
        <v/>
      </c>
    </row>
    <row r="448" ht="15.75" customHeight="1" s="50">
      <c r="A448" s="32" t="n"/>
      <c r="B448" s="32" t="inlineStr">
        <is>
          <t>White</t>
        </is>
      </c>
      <c r="C448" s="32" t="inlineStr">
        <is>
          <t>NP-W-185</t>
        </is>
      </c>
      <c r="D448" s="32" t="n">
        <v>60</v>
      </c>
      <c r="G448" s="32" t="n">
        <v>0</v>
      </c>
      <c r="H448" s="32" t="n">
        <v>10</v>
      </c>
      <c r="I448" s="41" t="n">
        <v>69091000</v>
      </c>
      <c r="J448" s="30" t="n">
        <v>0.18</v>
      </c>
      <c r="K448" s="32">
        <f>D448*J448</f>
        <v/>
      </c>
      <c r="M448" s="32">
        <f>D448*4%</f>
        <v/>
      </c>
      <c r="N448" s="49">
        <f>M448+L448+K448+H448+G448+F448+E448+D448</f>
        <v/>
      </c>
      <c r="O448" s="32">
        <f>D448*1%</f>
        <v/>
      </c>
      <c r="P448" s="7">
        <f>N448*8%</f>
        <v/>
      </c>
      <c r="Q448" s="7">
        <f>N448*10%</f>
        <v/>
      </c>
      <c r="R448" s="7">
        <f>N448*5%</f>
        <v/>
      </c>
      <c r="S448" s="7">
        <f>N448*2%</f>
        <v/>
      </c>
      <c r="T448" s="7">
        <f>AE448*0.5%</f>
        <v/>
      </c>
      <c r="U448" s="7">
        <f>N448*1%</f>
        <v/>
      </c>
      <c r="V448" s="31">
        <f>U448+S448+R448+Q448+P448+O448</f>
        <v/>
      </c>
      <c r="W448" s="32">
        <f>AE448*1%</f>
        <v/>
      </c>
      <c r="X448" s="32">
        <f>AE448*10%</f>
        <v/>
      </c>
      <c r="Y448" s="32">
        <f>AE448*1%</f>
        <v/>
      </c>
      <c r="Z448" s="32">
        <f>AE448*8%</f>
        <v/>
      </c>
      <c r="AA448" s="32">
        <f>W448+X448+Y448+Z448</f>
        <v/>
      </c>
      <c r="AB448" s="31">
        <f>AA448+V448+N448</f>
        <v/>
      </c>
      <c r="AC448" s="6">
        <f>AB448*20%</f>
        <v/>
      </c>
      <c r="AD448" s="7">
        <f>AB448+AC448</f>
        <v/>
      </c>
      <c r="AE448" s="32">
        <f>D448*2.1</f>
        <v/>
      </c>
      <c r="AF448" s="7">
        <f>AD448-AE448</f>
        <v/>
      </c>
      <c r="AG448" s="7">
        <f>AF448/AD448*100</f>
        <v/>
      </c>
      <c r="AH448" s="0" t="n">
        <v>245</v>
      </c>
      <c r="AI448" s="33" t="n">
        <v>185</v>
      </c>
      <c r="AJ448" s="34">
        <f>AD448</f>
        <v/>
      </c>
      <c r="AK448" s="34">
        <f>AJ448-(AJ448*7%)</f>
        <v/>
      </c>
      <c r="AL448" s="35">
        <f>AJ448/94</f>
        <v/>
      </c>
      <c r="AM448" s="35">
        <f>AK448/94</f>
        <v/>
      </c>
      <c r="AN448" s="36">
        <f>AJ448/24</f>
        <v/>
      </c>
      <c r="AO448" s="36">
        <f>AK448/24</f>
        <v/>
      </c>
      <c r="AP448" s="37">
        <f>AJ448/125</f>
        <v/>
      </c>
      <c r="AQ448" s="37">
        <f>AK448/125</f>
        <v/>
      </c>
    </row>
    <row r="449" ht="15.75" customHeight="1" s="50">
      <c r="A449" s="32" t="inlineStr">
        <is>
          <t>Joint Bowl or Knee Cut Bowl</t>
        </is>
      </c>
      <c r="B449" s="32" t="inlineStr">
        <is>
          <t>8 in</t>
        </is>
      </c>
      <c r="C449" s="32" t="inlineStr">
        <is>
          <t>MI-SB-JB</t>
        </is>
      </c>
      <c r="D449" s="32" t="inlineStr">
        <is>
          <t>Parasonjeet</t>
        </is>
      </c>
      <c r="E449" s="32" t="n">
        <v>65</v>
      </c>
      <c r="F449" s="32" t="n">
        <v>65</v>
      </c>
      <c r="G449" s="32" t="n">
        <v>0</v>
      </c>
      <c r="H449" s="32" t="n">
        <v>10</v>
      </c>
      <c r="I449" s="41" t="n">
        <v>83061000</v>
      </c>
      <c r="J449" s="30" t="n">
        <v>0.05</v>
      </c>
      <c r="K449" s="32">
        <f>D449*J449</f>
        <v/>
      </c>
      <c r="M449" s="32">
        <f>D449*4%</f>
        <v/>
      </c>
      <c r="N449" s="49">
        <f>M449+L449+K449+H449+G449+F449+E449+D449</f>
        <v/>
      </c>
      <c r="O449" s="32">
        <f>D449*1%</f>
        <v/>
      </c>
      <c r="P449" s="7">
        <f>N449*8%</f>
        <v/>
      </c>
      <c r="Q449" s="7">
        <f>N449*10%</f>
        <v/>
      </c>
      <c r="R449" s="7">
        <f>N449*5%</f>
        <v/>
      </c>
      <c r="S449" s="7">
        <f>N449*2%</f>
        <v/>
      </c>
      <c r="T449" s="7">
        <f>AE449*0.5%</f>
        <v/>
      </c>
      <c r="U449" s="7">
        <f>N449*1%</f>
        <v/>
      </c>
      <c r="V449" s="49">
        <f>U449+S449+R449+Q449+P449+O449</f>
        <v/>
      </c>
      <c r="W449" s="32">
        <f>AE449*1%</f>
        <v/>
      </c>
      <c r="X449" s="32">
        <f>AE449*10%</f>
        <v/>
      </c>
      <c r="Y449" s="32">
        <f>AE449*1%</f>
        <v/>
      </c>
      <c r="Z449" s="32">
        <f>AE449*8%</f>
        <v/>
      </c>
      <c r="AA449" s="32">
        <f>W449+X449+Y449+Z449</f>
        <v/>
      </c>
      <c r="AB449" s="31">
        <f>AA449+V449+N449</f>
        <v/>
      </c>
      <c r="AC449" s="6">
        <f>AB449*20%</f>
        <v/>
      </c>
      <c r="AD449" s="32">
        <f>AB449+AC449</f>
        <v/>
      </c>
      <c r="AE449" s="32">
        <f>D449*2.1</f>
        <v/>
      </c>
      <c r="AF449" s="7">
        <f>AD449-AE449</f>
        <v/>
      </c>
      <c r="AG449" s="7">
        <f>AF449/AD449*100</f>
        <v/>
      </c>
      <c r="AH449" s="0" t="n">
        <v>8750</v>
      </c>
      <c r="AI449" s="33" t="n"/>
      <c r="AJ449" s="34">
        <f>AD449</f>
        <v/>
      </c>
      <c r="AK449" s="34">
        <f>AJ449-(AJ449*7%)</f>
        <v/>
      </c>
      <c r="AL449" s="35">
        <f>AJ449/94</f>
        <v/>
      </c>
      <c r="AM449" s="35">
        <f>AK449/94</f>
        <v/>
      </c>
      <c r="AN449" s="36">
        <f>AJ449/24</f>
        <v/>
      </c>
      <c r="AO449" s="36">
        <f>AK449/24</f>
        <v/>
      </c>
      <c r="AP449" s="37">
        <f>AJ449/125</f>
        <v/>
      </c>
      <c r="AQ449" s="37">
        <f>AK449/125</f>
        <v/>
      </c>
    </row>
    <row r="450" ht="15.75" customHeight="1" s="50">
      <c r="A450" s="32" t="inlineStr">
        <is>
          <t>Kenari Bracelet</t>
        </is>
      </c>
      <c r="B450" s="32" t="inlineStr">
        <is>
          <t>Standard</t>
        </is>
      </c>
      <c r="C450" s="32" t="inlineStr">
        <is>
          <t>MI-KR-BT</t>
        </is>
      </c>
      <c r="D450" s="32" t="n">
        <v>950</v>
      </c>
      <c r="E450" s="32" t="n">
        <v>50</v>
      </c>
      <c r="G450" s="32" t="n">
        <v>0</v>
      </c>
      <c r="H450" s="32" t="n">
        <v>10</v>
      </c>
      <c r="I450" s="41" t="n">
        <v>44201900</v>
      </c>
      <c r="J450" s="30" t="n">
        <v>0.05</v>
      </c>
      <c r="K450" s="32">
        <f>D450*J450</f>
        <v/>
      </c>
      <c r="M450" s="32">
        <f>D450*4%</f>
        <v/>
      </c>
      <c r="N450" s="49">
        <f>M450+L450+K450+H450+G450+F450+E450+D450</f>
        <v/>
      </c>
      <c r="O450" s="32">
        <f>D450*1%</f>
        <v/>
      </c>
      <c r="P450" s="7">
        <f>N450*8%</f>
        <v/>
      </c>
      <c r="Q450" s="7">
        <f>N450*10%</f>
        <v/>
      </c>
      <c r="R450" s="7">
        <f>N450*5%</f>
        <v/>
      </c>
      <c r="S450" s="7">
        <f>N450*2%</f>
        <v/>
      </c>
      <c r="T450" s="7">
        <f>AE450*0.5%</f>
        <v/>
      </c>
      <c r="U450" s="7">
        <f>N450*1%</f>
        <v/>
      </c>
      <c r="V450" s="31">
        <f>U450+S450+R450+Q450+P450+O450</f>
        <v/>
      </c>
      <c r="W450" s="32">
        <f>AE450*1%</f>
        <v/>
      </c>
      <c r="X450" s="32">
        <f>AE450*10%</f>
        <v/>
      </c>
      <c r="Y450" s="32">
        <f>AE450*1%</f>
        <v/>
      </c>
      <c r="Z450" s="32">
        <f>AE450*8%</f>
        <v/>
      </c>
      <c r="AA450" s="32">
        <f>W450+X450+Y450+Z450</f>
        <v/>
      </c>
      <c r="AB450" s="31">
        <f>AA450+V450+N450</f>
        <v/>
      </c>
      <c r="AC450" s="6">
        <f>AB450*20%</f>
        <v/>
      </c>
      <c r="AD450" s="7">
        <f>AB450+AC450</f>
        <v/>
      </c>
      <c r="AE450" s="32">
        <f>D450*2.1</f>
        <v/>
      </c>
      <c r="AF450" s="7">
        <f>AD450-AE450</f>
        <v/>
      </c>
      <c r="AG450" s="7">
        <f>AF450/AD450*100</f>
        <v/>
      </c>
      <c r="AH450" s="0" t="n">
        <v>1350</v>
      </c>
      <c r="AI450" s="33" t="n">
        <v>400</v>
      </c>
      <c r="AJ450" s="34">
        <f>AD450</f>
        <v/>
      </c>
      <c r="AK450" s="34">
        <f>AJ450-(AJ450*7%)</f>
        <v/>
      </c>
      <c r="AL450" s="35">
        <f>AJ450/94</f>
        <v/>
      </c>
      <c r="AM450" s="35">
        <f>AK450/94</f>
        <v/>
      </c>
      <c r="AN450" s="36">
        <f>AJ450/24</f>
        <v/>
      </c>
      <c r="AO450" s="36">
        <f>AK450/24</f>
        <v/>
      </c>
      <c r="AP450" s="37">
        <f>AJ450/125</f>
        <v/>
      </c>
      <c r="AQ450" s="37">
        <f>AK450/125</f>
        <v/>
      </c>
    </row>
    <row r="451" ht="15" customHeight="1" s="50">
      <c r="A451" s="32" t="inlineStr">
        <is>
          <t>Kenari Chimes - Small &amp; Large</t>
        </is>
      </c>
      <c r="B451" s="32" t="inlineStr">
        <is>
          <t>Small</t>
        </is>
      </c>
      <c r="D451" s="32" t="n">
        <v>1200</v>
      </c>
      <c r="E451" s="32" t="n">
        <v>100</v>
      </c>
      <c r="G451" s="32" t="n">
        <v>0</v>
      </c>
      <c r="H451" s="32" t="n">
        <v>10</v>
      </c>
      <c r="I451" s="41" t="n">
        <v>83061000</v>
      </c>
      <c r="J451" s="30" t="n">
        <v>0.05</v>
      </c>
      <c r="K451" s="32">
        <f>D451*J451</f>
        <v/>
      </c>
      <c r="M451" s="32">
        <f>D451*4%</f>
        <v/>
      </c>
      <c r="N451" s="49">
        <f>M451+L451+K451+H451+G451+F451+E451+D451</f>
        <v/>
      </c>
      <c r="O451" s="32">
        <f>D451*1%</f>
        <v/>
      </c>
      <c r="P451" s="7">
        <f>N451*8%</f>
        <v/>
      </c>
      <c r="Q451" s="7">
        <f>N451*10%</f>
        <v/>
      </c>
      <c r="R451" s="7">
        <f>N451*5%</f>
        <v/>
      </c>
      <c r="S451" s="7">
        <f>N451*2%</f>
        <v/>
      </c>
      <c r="T451" s="7">
        <f>AE451*0.5%</f>
        <v/>
      </c>
      <c r="U451" s="7">
        <f>N451*1%</f>
        <v/>
      </c>
      <c r="V451" s="31">
        <f>U451+S451+R451+Q451+P451+O451</f>
        <v/>
      </c>
      <c r="W451" s="32">
        <f>AE451*1%</f>
        <v/>
      </c>
      <c r="X451" s="32">
        <f>AE451*10%</f>
        <v/>
      </c>
      <c r="Y451" s="32">
        <f>AE451*1%</f>
        <v/>
      </c>
      <c r="Z451" s="32">
        <f>AE451*8%</f>
        <v/>
      </c>
      <c r="AA451" s="32">
        <f>W451+X451+Y451+Z451</f>
        <v/>
      </c>
      <c r="AB451" s="31">
        <f>AA451+V451+N451</f>
        <v/>
      </c>
      <c r="AC451" s="6">
        <f>AB451*20%</f>
        <v/>
      </c>
      <c r="AD451" s="7">
        <f>AB451+AC451</f>
        <v/>
      </c>
      <c r="AE451" s="32">
        <f>D451*2.1</f>
        <v/>
      </c>
      <c r="AF451" s="7">
        <f>AD451-AE451</f>
        <v/>
      </c>
      <c r="AG451" s="7">
        <f>AF451/AD451*100</f>
        <v/>
      </c>
      <c r="AI451" s="33" t="n"/>
      <c r="AJ451" s="34">
        <f>AD451</f>
        <v/>
      </c>
      <c r="AK451" s="34">
        <f>AJ451-(AJ451*7%)</f>
        <v/>
      </c>
      <c r="AL451" s="35">
        <f>AJ451/94</f>
        <v/>
      </c>
      <c r="AM451" s="35">
        <f>AK451/94</f>
        <v/>
      </c>
      <c r="AN451" s="36">
        <f>AJ451/24</f>
        <v/>
      </c>
      <c r="AO451" s="36">
        <f>AK451/24</f>
        <v/>
      </c>
      <c r="AP451" s="37">
        <f>AJ451/125</f>
        <v/>
      </c>
      <c r="AQ451" s="37">
        <f>AK451/125</f>
        <v/>
      </c>
    </row>
    <row r="452" ht="15.75" customHeight="1" s="50">
      <c r="A452" s="32" t="n"/>
      <c r="B452" s="32" t="inlineStr">
        <is>
          <t>Large</t>
        </is>
      </c>
      <c r="D452" s="32" t="n">
        <v>3800</v>
      </c>
      <c r="E452" s="32" t="n">
        <v>150</v>
      </c>
      <c r="G452" s="32" t="n">
        <v>0</v>
      </c>
      <c r="H452" s="32" t="n">
        <v>10</v>
      </c>
      <c r="I452" s="41" t="n">
        <v>83061000</v>
      </c>
      <c r="J452" s="30" t="n">
        <v>0.05</v>
      </c>
      <c r="K452" s="32">
        <f>D452*J452</f>
        <v/>
      </c>
      <c r="M452" s="32">
        <f>D452*4%</f>
        <v/>
      </c>
      <c r="N452" s="49">
        <f>M452+L452+K452+H452+G452+F452+E452+D452</f>
        <v/>
      </c>
      <c r="O452" s="32">
        <f>D452*1%</f>
        <v/>
      </c>
      <c r="P452" s="7">
        <f>N452*8%</f>
        <v/>
      </c>
      <c r="Q452" s="7">
        <f>N452*10%</f>
        <v/>
      </c>
      <c r="R452" s="7">
        <f>N452*5%</f>
        <v/>
      </c>
      <c r="S452" s="7">
        <f>N452*2%</f>
        <v/>
      </c>
      <c r="T452" s="7">
        <f>AE452*0.5%</f>
        <v/>
      </c>
      <c r="U452" s="7">
        <f>N452*1%</f>
        <v/>
      </c>
      <c r="V452" s="31">
        <f>U452+S452+R452+Q452+P452+O452</f>
        <v/>
      </c>
      <c r="W452" s="32">
        <f>AE452*1%</f>
        <v/>
      </c>
      <c r="X452" s="32">
        <f>AE452*10%</f>
        <v/>
      </c>
      <c r="Y452" s="32">
        <f>AE452*1%</f>
        <v/>
      </c>
      <c r="Z452" s="32">
        <f>AE452*8%</f>
        <v/>
      </c>
      <c r="AA452" s="32">
        <f>W452+X452+Y452+Z452</f>
        <v/>
      </c>
      <c r="AB452" s="31">
        <f>AA452+V452+N452</f>
        <v/>
      </c>
      <c r="AC452" s="6">
        <f>AB452*20%</f>
        <v/>
      </c>
      <c r="AD452" s="7">
        <f>AB452+AC452</f>
        <v/>
      </c>
      <c r="AE452" s="32">
        <f>D452*2.1</f>
        <v/>
      </c>
      <c r="AF452" s="7">
        <f>AD452-AE452</f>
        <v/>
      </c>
      <c r="AG452" s="7">
        <f>AF452/AD452*100</f>
        <v/>
      </c>
      <c r="AI452" s="33" t="n"/>
      <c r="AJ452" s="34">
        <f>AD452</f>
        <v/>
      </c>
      <c r="AK452" s="34">
        <f>AJ452-(AJ452*7%)</f>
        <v/>
      </c>
      <c r="AL452" s="35">
        <f>AJ452/94</f>
        <v/>
      </c>
      <c r="AM452" s="35">
        <f>AK452/94</f>
        <v/>
      </c>
      <c r="AN452" s="36">
        <f>AJ452/24</f>
        <v/>
      </c>
      <c r="AO452" s="36">
        <f>AK452/24</f>
        <v/>
      </c>
      <c r="AP452" s="37">
        <f>AJ452/125</f>
        <v/>
      </c>
      <c r="AQ452" s="37">
        <f>AK452/125</f>
        <v/>
      </c>
    </row>
    <row r="453" ht="15.75" customHeight="1" s="50">
      <c r="A453" s="32" t="n"/>
      <c r="B453" s="32" t="inlineStr">
        <is>
          <t>Large</t>
        </is>
      </c>
      <c r="C453" s="32" t="inlineStr">
        <is>
          <t>MI-KR-S-L</t>
        </is>
      </c>
      <c r="D453" s="32" t="n">
        <v>1000</v>
      </c>
      <c r="E453" s="32" t="n">
        <v>100</v>
      </c>
      <c r="G453" s="32" t="n">
        <v>0</v>
      </c>
      <c r="H453" s="32" t="n">
        <v>10</v>
      </c>
      <c r="I453" s="41" t="n">
        <v>44201900</v>
      </c>
      <c r="J453" s="30" t="n">
        <v>0.05</v>
      </c>
      <c r="K453" s="32">
        <f>D453*J453</f>
        <v/>
      </c>
      <c r="M453" s="32">
        <f>D453*4%</f>
        <v/>
      </c>
      <c r="N453" s="49">
        <f>M453+L453+K453+H453+G453+F453+E453+D453</f>
        <v/>
      </c>
      <c r="O453" s="32">
        <f>D453*1%</f>
        <v/>
      </c>
      <c r="P453" s="7">
        <f>N453*8%</f>
        <v/>
      </c>
      <c r="Q453" s="7">
        <f>N453*10%</f>
        <v/>
      </c>
      <c r="R453" s="7">
        <f>N453*5%</f>
        <v/>
      </c>
      <c r="S453" s="7">
        <f>N453*2%</f>
        <v/>
      </c>
      <c r="T453" s="7">
        <f>AE453*0.5%</f>
        <v/>
      </c>
      <c r="U453" s="7">
        <f>N453*1%</f>
        <v/>
      </c>
      <c r="V453" s="31">
        <f>U453+S453+R453+Q453+P453+O453</f>
        <v/>
      </c>
      <c r="W453" s="32">
        <f>AE453*1%</f>
        <v/>
      </c>
      <c r="X453" s="32">
        <f>AE453*10%</f>
        <v/>
      </c>
      <c r="Y453" s="32">
        <f>AE453*1%</f>
        <v/>
      </c>
      <c r="Z453" s="32">
        <f>AE453*8%</f>
        <v/>
      </c>
      <c r="AA453" s="32">
        <f>W453+X453+Y453+Z453</f>
        <v/>
      </c>
      <c r="AB453" s="31">
        <f>AA453+V453+N453</f>
        <v/>
      </c>
      <c r="AC453" s="6">
        <f>AB453*20%</f>
        <v/>
      </c>
      <c r="AD453" s="7">
        <f>AB453+AC453</f>
        <v/>
      </c>
      <c r="AE453" s="32">
        <f>D453*2.1</f>
        <v/>
      </c>
      <c r="AF453" s="7">
        <f>AD453-AE453</f>
        <v/>
      </c>
      <c r="AG453" s="7">
        <f>AF453/AD453*100</f>
        <v/>
      </c>
      <c r="AI453" s="33" t="n"/>
      <c r="AJ453" s="34">
        <f>AD453</f>
        <v/>
      </c>
      <c r="AK453" s="34">
        <f>AJ453-(AJ453*7%)</f>
        <v/>
      </c>
      <c r="AL453" s="35">
        <f>AJ453/94</f>
        <v/>
      </c>
      <c r="AM453" s="35">
        <f>AK453/94</f>
        <v/>
      </c>
      <c r="AN453" s="36">
        <f>AJ453/24</f>
        <v/>
      </c>
      <c r="AO453" s="36">
        <f>AK453/24</f>
        <v/>
      </c>
      <c r="AP453" s="37">
        <f>AJ453/125</f>
        <v/>
      </c>
      <c r="AQ453" s="37">
        <f>AK453/125</f>
        <v/>
      </c>
    </row>
    <row r="454" ht="15" customHeight="1" s="50">
      <c r="A454" s="32" t="inlineStr">
        <is>
          <t>Lotus Yoga Mat</t>
        </is>
      </c>
      <c r="B454" s="32" t="inlineStr">
        <is>
          <t>Moderate / Teal</t>
        </is>
      </c>
      <c r="D454" s="32" t="n">
        <v>1000</v>
      </c>
      <c r="G454" s="32" t="n">
        <v>0</v>
      </c>
      <c r="H454" s="32" t="n">
        <v>10</v>
      </c>
      <c r="I454" s="41" t="n">
        <v>5705</v>
      </c>
      <c r="J454" s="30" t="n">
        <v>0.05</v>
      </c>
      <c r="K454" s="32">
        <f>D454*J454</f>
        <v/>
      </c>
      <c r="M454" s="32">
        <f>D454*4%</f>
        <v/>
      </c>
      <c r="N454" s="49">
        <f>M454+L454+K454+H454+G454+F454+E454+D454</f>
        <v/>
      </c>
      <c r="O454" s="32">
        <f>D454*1%</f>
        <v/>
      </c>
      <c r="P454" s="7">
        <f>N454*8%</f>
        <v/>
      </c>
      <c r="Q454" s="7">
        <f>N454*10%</f>
        <v/>
      </c>
      <c r="R454" s="7">
        <f>N454*5%</f>
        <v/>
      </c>
      <c r="S454" s="7">
        <f>N454*2%</f>
        <v/>
      </c>
      <c r="T454" s="7">
        <f>AE454*0.5%</f>
        <v/>
      </c>
      <c r="U454" s="7">
        <f>N454*1%</f>
        <v/>
      </c>
      <c r="V454" s="31">
        <f>U454+S454+R454+Q454+P454+O454</f>
        <v/>
      </c>
      <c r="W454" s="32">
        <f>AE454*1%</f>
        <v/>
      </c>
      <c r="X454" s="32">
        <f>AE454*10%</f>
        <v/>
      </c>
      <c r="Y454" s="32">
        <f>AE454*1%</f>
        <v/>
      </c>
      <c r="Z454" s="32">
        <f>AE454*8%</f>
        <v/>
      </c>
      <c r="AA454" s="32">
        <f>W454+X454+Y454+Z454</f>
        <v/>
      </c>
      <c r="AB454" s="31">
        <f>AA454+V454+N454</f>
        <v/>
      </c>
      <c r="AC454" s="6">
        <f>AB454*20%</f>
        <v/>
      </c>
      <c r="AD454" s="7">
        <f>AB454+AC454</f>
        <v/>
      </c>
      <c r="AE454" s="32">
        <f>D454*2.1</f>
        <v/>
      </c>
      <c r="AF454" s="7">
        <f>AD454-AE454</f>
        <v/>
      </c>
      <c r="AG454" s="7">
        <f>AF454/AD454*100</f>
        <v/>
      </c>
      <c r="AI454" s="33" t="n"/>
      <c r="AJ454" s="34">
        <f>AD454</f>
        <v/>
      </c>
      <c r="AK454" s="34">
        <f>AJ454-(AJ454*7%)</f>
        <v/>
      </c>
      <c r="AL454" s="35">
        <f>AJ454/94</f>
        <v/>
      </c>
      <c r="AM454" s="35">
        <f>AK454/94</f>
        <v/>
      </c>
      <c r="AN454" s="36">
        <f>AJ454/24</f>
        <v/>
      </c>
      <c r="AO454" s="36">
        <f>AK454/24</f>
        <v/>
      </c>
      <c r="AP454" s="37">
        <f>AJ454/125</f>
        <v/>
      </c>
      <c r="AQ454" s="37">
        <f>AK454/125</f>
        <v/>
      </c>
    </row>
    <row r="455" ht="15.75" customHeight="1" s="50">
      <c r="A455" s="32" t="n"/>
      <c r="B455" s="32" t="inlineStr">
        <is>
          <t>Moderate / Orange</t>
        </is>
      </c>
      <c r="D455" s="32" t="n">
        <v>1000</v>
      </c>
      <c r="G455" s="32" t="n">
        <v>0</v>
      </c>
      <c r="H455" s="32" t="n">
        <v>10</v>
      </c>
      <c r="I455" s="41" t="n">
        <v>5705</v>
      </c>
      <c r="J455" s="30" t="n">
        <v>0.05</v>
      </c>
      <c r="K455" s="32">
        <f>D455*J455</f>
        <v/>
      </c>
      <c r="M455" s="32">
        <f>D455*4%</f>
        <v/>
      </c>
      <c r="N455" s="49">
        <f>M455+L455+K455+H455+G455+F455+E455+D455</f>
        <v/>
      </c>
      <c r="O455" s="32">
        <f>D455*1%</f>
        <v/>
      </c>
      <c r="P455" s="7">
        <f>N455*8%</f>
        <v/>
      </c>
      <c r="Q455" s="7">
        <f>N455*10%</f>
        <v/>
      </c>
      <c r="R455" s="7">
        <f>N455*5%</f>
        <v/>
      </c>
      <c r="S455" s="7">
        <f>N455*2%</f>
        <v/>
      </c>
      <c r="T455" s="7">
        <f>AE455*0.5%</f>
        <v/>
      </c>
      <c r="U455" s="7">
        <f>N455*1%</f>
        <v/>
      </c>
      <c r="V455" s="31">
        <f>U455+S455+R455+Q455+P455+O455</f>
        <v/>
      </c>
      <c r="W455" s="32">
        <f>AE455*1%</f>
        <v/>
      </c>
      <c r="X455" s="32">
        <f>AE455*10%</f>
        <v/>
      </c>
      <c r="Y455" s="32">
        <f>AE455*1%</f>
        <v/>
      </c>
      <c r="Z455" s="32">
        <f>AE455*8%</f>
        <v/>
      </c>
      <c r="AA455" s="32">
        <f>W455+X455+Y455+Z455</f>
        <v/>
      </c>
      <c r="AB455" s="31">
        <f>AA455+V455+N455</f>
        <v/>
      </c>
      <c r="AC455" s="6">
        <f>AB455*20%</f>
        <v/>
      </c>
      <c r="AD455" s="7">
        <f>AB455+AC455</f>
        <v/>
      </c>
      <c r="AE455" s="32">
        <f>D455*2.1</f>
        <v/>
      </c>
      <c r="AF455" s="7">
        <f>AD455-AE455</f>
        <v/>
      </c>
      <c r="AG455" s="7">
        <f>AF455/AD455*100</f>
        <v/>
      </c>
      <c r="AI455" s="33" t="n"/>
      <c r="AJ455" s="34">
        <f>AD455</f>
        <v/>
      </c>
      <c r="AK455" s="34">
        <f>AJ455-(AJ455*7%)</f>
        <v/>
      </c>
      <c r="AL455" s="35">
        <f>AJ455/94</f>
        <v/>
      </c>
      <c r="AM455" s="35">
        <f>AK455/94</f>
        <v/>
      </c>
      <c r="AN455" s="36">
        <f>AJ455/24</f>
        <v/>
      </c>
      <c r="AO455" s="36">
        <f>AK455/24</f>
        <v/>
      </c>
      <c r="AP455" s="37">
        <f>AJ455/125</f>
        <v/>
      </c>
      <c r="AQ455" s="37">
        <f>AK455/125</f>
        <v/>
      </c>
    </row>
    <row r="456" ht="15.75" customHeight="1" s="50">
      <c r="A456" s="32" t="n"/>
      <c r="B456" s="32" t="inlineStr">
        <is>
          <t>Moderate / Yellow</t>
        </is>
      </c>
      <c r="D456" s="32" t="n">
        <v>1000</v>
      </c>
      <c r="G456" s="32" t="n">
        <v>0</v>
      </c>
      <c r="H456" s="32" t="n">
        <v>10</v>
      </c>
      <c r="I456" s="41" t="n">
        <v>5705</v>
      </c>
      <c r="J456" s="30" t="n">
        <v>0.05</v>
      </c>
      <c r="K456" s="32">
        <f>D456*J456</f>
        <v/>
      </c>
      <c r="M456" s="32">
        <f>D456*4%</f>
        <v/>
      </c>
      <c r="N456" s="49">
        <f>M456+L456+K456+H456+G456+F456+E456+D456</f>
        <v/>
      </c>
      <c r="O456" s="32">
        <f>D456*1%</f>
        <v/>
      </c>
      <c r="P456" s="7">
        <f>N456*8%</f>
        <v/>
      </c>
      <c r="Q456" s="7">
        <f>N456*10%</f>
        <v/>
      </c>
      <c r="R456" s="7">
        <f>N456*5%</f>
        <v/>
      </c>
      <c r="S456" s="7">
        <f>N456*2%</f>
        <v/>
      </c>
      <c r="T456" s="7">
        <f>AE456*0.5%</f>
        <v/>
      </c>
      <c r="U456" s="7">
        <f>N456*1%</f>
        <v/>
      </c>
      <c r="V456" s="31">
        <f>U456+S456+R456+Q456+P456+O456</f>
        <v/>
      </c>
      <c r="W456" s="32">
        <f>AE456*1%</f>
        <v/>
      </c>
      <c r="X456" s="32">
        <f>AE456*10%</f>
        <v/>
      </c>
      <c r="Y456" s="32">
        <f>AE456*1%</f>
        <v/>
      </c>
      <c r="Z456" s="32">
        <f>AE456*8%</f>
        <v/>
      </c>
      <c r="AA456" s="32">
        <f>W456+X456+Y456+Z456</f>
        <v/>
      </c>
      <c r="AB456" s="31">
        <f>AA456+V456+N456</f>
        <v/>
      </c>
      <c r="AC456" s="6">
        <f>AB456*20%</f>
        <v/>
      </c>
      <c r="AD456" s="7">
        <f>AB456+AC456</f>
        <v/>
      </c>
      <c r="AE456" s="32">
        <f>D456*2.1</f>
        <v/>
      </c>
      <c r="AF456" s="7">
        <f>AD456-AE456</f>
        <v/>
      </c>
      <c r="AG456" s="7">
        <f>AF456/AD456*100</f>
        <v/>
      </c>
      <c r="AI456" s="33" t="n"/>
      <c r="AJ456" s="34">
        <f>AD456</f>
        <v/>
      </c>
      <c r="AK456" s="34">
        <f>AJ456-(AJ456*7%)</f>
        <v/>
      </c>
      <c r="AL456" s="35">
        <f>AJ456/94</f>
        <v/>
      </c>
      <c r="AM456" s="35">
        <f>AK456/94</f>
        <v/>
      </c>
      <c r="AN456" s="36">
        <f>AJ456/24</f>
        <v/>
      </c>
      <c r="AO456" s="36">
        <f>AK456/24</f>
        <v/>
      </c>
      <c r="AP456" s="37">
        <f>AJ456/125</f>
        <v/>
      </c>
      <c r="AQ456" s="37">
        <f>AK456/125</f>
        <v/>
      </c>
    </row>
    <row r="457" ht="15.75" customHeight="1" s="50">
      <c r="A457" s="32" t="n"/>
      <c r="B457" s="32" t="inlineStr">
        <is>
          <t>Moderate / Pink</t>
        </is>
      </c>
      <c r="D457" s="32" t="n">
        <v>1000</v>
      </c>
      <c r="G457" s="32" t="n">
        <v>0</v>
      </c>
      <c r="H457" s="32" t="n">
        <v>10</v>
      </c>
      <c r="I457" s="41" t="n">
        <v>5705</v>
      </c>
      <c r="J457" s="30" t="n">
        <v>0.05</v>
      </c>
      <c r="K457" s="32">
        <f>D457*J457</f>
        <v/>
      </c>
      <c r="M457" s="32">
        <f>D457*4%</f>
        <v/>
      </c>
      <c r="N457" s="49">
        <f>M457+L457+K457+H457+G457+F457+E457+D457</f>
        <v/>
      </c>
      <c r="O457" s="32">
        <f>D457*1%</f>
        <v/>
      </c>
      <c r="P457" s="7">
        <f>N457*8%</f>
        <v/>
      </c>
      <c r="Q457" s="7">
        <f>N457*10%</f>
        <v/>
      </c>
      <c r="R457" s="7">
        <f>N457*5%</f>
        <v/>
      </c>
      <c r="S457" s="7">
        <f>N457*2%</f>
        <v/>
      </c>
      <c r="T457" s="7">
        <f>AE457*0.5%</f>
        <v/>
      </c>
      <c r="U457" s="7">
        <f>N457*1%</f>
        <v/>
      </c>
      <c r="V457" s="31">
        <f>U457+S457+R457+Q457+P457+O457</f>
        <v/>
      </c>
      <c r="W457" s="32">
        <f>AE457*1%</f>
        <v/>
      </c>
      <c r="X457" s="32">
        <f>AE457*10%</f>
        <v/>
      </c>
      <c r="Y457" s="32">
        <f>AE457*1%</f>
        <v/>
      </c>
      <c r="Z457" s="32">
        <f>AE457*8%</f>
        <v/>
      </c>
      <c r="AA457" s="32">
        <f>W457+X457+Y457+Z457</f>
        <v/>
      </c>
      <c r="AB457" s="31">
        <f>AA457+V457+N457</f>
        <v/>
      </c>
      <c r="AC457" s="6">
        <f>AB457*20%</f>
        <v/>
      </c>
      <c r="AD457" s="7">
        <f>AB457+AC457</f>
        <v/>
      </c>
      <c r="AE457" s="32">
        <f>D457*2.1</f>
        <v/>
      </c>
      <c r="AF457" s="7">
        <f>AD457-AE457</f>
        <v/>
      </c>
      <c r="AG457" s="7">
        <f>AF457/AD457*100</f>
        <v/>
      </c>
      <c r="AI457" s="33" t="n"/>
      <c r="AJ457" s="34">
        <f>AD457</f>
        <v/>
      </c>
      <c r="AK457" s="34">
        <f>AJ457-(AJ457*7%)</f>
        <v/>
      </c>
      <c r="AL457" s="35">
        <f>AJ457/94</f>
        <v/>
      </c>
      <c r="AM457" s="35">
        <f>AK457/94</f>
        <v/>
      </c>
      <c r="AN457" s="36">
        <f>AJ457/24</f>
        <v/>
      </c>
      <c r="AO457" s="36">
        <f>AK457/24</f>
        <v/>
      </c>
      <c r="AP457" s="37">
        <f>AJ457/125</f>
        <v/>
      </c>
      <c r="AQ457" s="37">
        <f>AK457/125</f>
        <v/>
      </c>
    </row>
    <row r="458" ht="15.75" customHeight="1" s="50">
      <c r="A458" s="32" t="n"/>
      <c r="B458" s="32" t="inlineStr">
        <is>
          <t>Teal / Superior</t>
        </is>
      </c>
      <c r="D458" s="32" t="n">
        <v>1100</v>
      </c>
      <c r="G458" s="32" t="n">
        <v>0</v>
      </c>
      <c r="H458" s="32" t="n">
        <v>10</v>
      </c>
      <c r="I458" s="41" t="n">
        <v>5705</v>
      </c>
      <c r="J458" s="30" t="n">
        <v>0.05</v>
      </c>
      <c r="K458" s="32">
        <f>D458*J458</f>
        <v/>
      </c>
      <c r="M458" s="32">
        <f>D458*4%</f>
        <v/>
      </c>
      <c r="N458" s="49">
        <f>M458+L458+K458+H458+G458+F458+E458+D458</f>
        <v/>
      </c>
      <c r="O458" s="32">
        <f>D458*1%</f>
        <v/>
      </c>
      <c r="P458" s="7">
        <f>N458*8%</f>
        <v/>
      </c>
      <c r="Q458" s="7">
        <f>N458*10%</f>
        <v/>
      </c>
      <c r="R458" s="7">
        <f>N458*5%</f>
        <v/>
      </c>
      <c r="S458" s="7">
        <f>N458*2%</f>
        <v/>
      </c>
      <c r="T458" s="7">
        <f>AE458*0.5%</f>
        <v/>
      </c>
      <c r="U458" s="7">
        <f>N458*1%</f>
        <v/>
      </c>
      <c r="V458" s="31">
        <f>U458+S458+R458+Q458+P458+O458</f>
        <v/>
      </c>
      <c r="W458" s="32">
        <f>AE458*1%</f>
        <v/>
      </c>
      <c r="X458" s="32">
        <f>AE458*10%</f>
        <v/>
      </c>
      <c r="Y458" s="32">
        <f>AE458*1%</f>
        <v/>
      </c>
      <c r="Z458" s="32">
        <f>AE458*8%</f>
        <v/>
      </c>
      <c r="AA458" s="32">
        <f>W458+X458+Y458+Z458</f>
        <v/>
      </c>
      <c r="AB458" s="31">
        <f>AA458+V458+N458</f>
        <v/>
      </c>
      <c r="AC458" s="6">
        <f>AB458*20%</f>
        <v/>
      </c>
      <c r="AD458" s="7">
        <f>AB458+AC458</f>
        <v/>
      </c>
      <c r="AE458" s="32">
        <f>D458*2.1</f>
        <v/>
      </c>
      <c r="AF458" s="7">
        <f>AD458-AE458</f>
        <v/>
      </c>
      <c r="AG458" s="7">
        <f>AF458/AD458*100</f>
        <v/>
      </c>
      <c r="AI458" s="33" t="n"/>
      <c r="AJ458" s="34">
        <f>AD458</f>
        <v/>
      </c>
      <c r="AK458" s="34">
        <f>AJ458-(AJ458*7%)</f>
        <v/>
      </c>
      <c r="AL458" s="35">
        <f>AJ458/94</f>
        <v/>
      </c>
      <c r="AM458" s="35">
        <f>AK458/94</f>
        <v/>
      </c>
      <c r="AN458" s="36">
        <f>AJ458/24</f>
        <v/>
      </c>
      <c r="AO458" s="36">
        <f>AK458/24</f>
        <v/>
      </c>
      <c r="AP458" s="37">
        <f>AJ458/125</f>
        <v/>
      </c>
      <c r="AQ458" s="37">
        <f>AK458/125</f>
        <v/>
      </c>
    </row>
    <row r="459" ht="15.75" customHeight="1" s="50">
      <c r="A459" s="32" t="n"/>
      <c r="B459" s="32" t="inlineStr">
        <is>
          <t>Orange / Superior</t>
        </is>
      </c>
      <c r="D459" s="32" t="n">
        <v>1100</v>
      </c>
      <c r="G459" s="32" t="n">
        <v>0</v>
      </c>
      <c r="H459" s="32" t="n">
        <v>10</v>
      </c>
      <c r="I459" s="41" t="n">
        <v>5705</v>
      </c>
      <c r="J459" s="30" t="n">
        <v>0.05</v>
      </c>
      <c r="K459" s="32">
        <f>D459*J459</f>
        <v/>
      </c>
      <c r="M459" s="32">
        <f>D459*4%</f>
        <v/>
      </c>
      <c r="N459" s="49">
        <f>M459+L459+K459+H459+G459+F459+E459+D459</f>
        <v/>
      </c>
      <c r="O459" s="32">
        <f>D459*1%</f>
        <v/>
      </c>
      <c r="P459" s="7">
        <f>N459*8%</f>
        <v/>
      </c>
      <c r="Q459" s="7">
        <f>N459*10%</f>
        <v/>
      </c>
      <c r="R459" s="7">
        <f>N459*5%</f>
        <v/>
      </c>
      <c r="S459" s="7">
        <f>N459*2%</f>
        <v/>
      </c>
      <c r="T459" s="7">
        <f>AE459*0.5%</f>
        <v/>
      </c>
      <c r="U459" s="7">
        <f>N459*1%</f>
        <v/>
      </c>
      <c r="V459" s="31">
        <f>U459+S459+R459+Q459+P459+O459</f>
        <v/>
      </c>
      <c r="W459" s="32">
        <f>AE459*1%</f>
        <v/>
      </c>
      <c r="X459" s="32">
        <f>AE459*10%</f>
        <v/>
      </c>
      <c r="Y459" s="32">
        <f>AE459*1%</f>
        <v/>
      </c>
      <c r="Z459" s="32">
        <f>AE459*8%</f>
        <v/>
      </c>
      <c r="AA459" s="32">
        <f>W459+X459+Y459+Z459</f>
        <v/>
      </c>
      <c r="AB459" s="31">
        <f>AA459+V459+N459</f>
        <v/>
      </c>
      <c r="AC459" s="6">
        <f>AB459*20%</f>
        <v/>
      </c>
      <c r="AD459" s="7">
        <f>AB459+AC459</f>
        <v/>
      </c>
      <c r="AE459" s="32">
        <f>D459*2.1</f>
        <v/>
      </c>
      <c r="AF459" s="7">
        <f>AD459-AE459</f>
        <v/>
      </c>
      <c r="AG459" s="7">
        <f>AF459/AD459*100</f>
        <v/>
      </c>
      <c r="AI459" s="33" t="n"/>
      <c r="AJ459" s="34">
        <f>AD459</f>
        <v/>
      </c>
      <c r="AK459" s="34">
        <f>AJ459-(AJ459*7%)</f>
        <v/>
      </c>
      <c r="AL459" s="35">
        <f>AJ459/94</f>
        <v/>
      </c>
      <c r="AM459" s="35">
        <f>AK459/94</f>
        <v/>
      </c>
      <c r="AN459" s="36">
        <f>AJ459/24</f>
        <v/>
      </c>
      <c r="AO459" s="36">
        <f>AK459/24</f>
        <v/>
      </c>
      <c r="AP459" s="37">
        <f>AJ459/125</f>
        <v/>
      </c>
      <c r="AQ459" s="37">
        <f>AK459/125</f>
        <v/>
      </c>
    </row>
    <row r="460" ht="15.75" customHeight="1" s="50">
      <c r="A460" s="32" t="n"/>
      <c r="B460" s="32" t="inlineStr">
        <is>
          <t>Yellow / Superior</t>
        </is>
      </c>
      <c r="D460" s="32" t="n">
        <v>1100</v>
      </c>
      <c r="G460" s="32" t="n">
        <v>0</v>
      </c>
      <c r="H460" s="32" t="n">
        <v>10</v>
      </c>
      <c r="I460" s="41" t="n">
        <v>5705</v>
      </c>
      <c r="J460" s="30" t="n">
        <v>0.05</v>
      </c>
      <c r="K460" s="32">
        <f>D460*J460</f>
        <v/>
      </c>
      <c r="M460" s="32">
        <f>D460*4%</f>
        <v/>
      </c>
      <c r="N460" s="49">
        <f>M460+L460+K460+H460+G460+F460+E460+D460</f>
        <v/>
      </c>
      <c r="O460" s="32">
        <f>D460*1%</f>
        <v/>
      </c>
      <c r="P460" s="7">
        <f>N460*8%</f>
        <v/>
      </c>
      <c r="Q460" s="7">
        <f>N460*10%</f>
        <v/>
      </c>
      <c r="R460" s="7">
        <f>N460*5%</f>
        <v/>
      </c>
      <c r="S460" s="7">
        <f>N460*2%</f>
        <v/>
      </c>
      <c r="T460" s="7">
        <f>AE460*0.5%</f>
        <v/>
      </c>
      <c r="U460" s="7">
        <f>N460*1%</f>
        <v/>
      </c>
      <c r="V460" s="31">
        <f>U460+S460+R460+Q460+P460+O460</f>
        <v/>
      </c>
      <c r="W460" s="32">
        <f>AE460*1%</f>
        <v/>
      </c>
      <c r="X460" s="32">
        <f>AE460*10%</f>
        <v/>
      </c>
      <c r="Y460" s="32">
        <f>AE460*1%</f>
        <v/>
      </c>
      <c r="Z460" s="32">
        <f>AE460*8%</f>
        <v/>
      </c>
      <c r="AA460" s="32">
        <f>W460+X460+Y460+Z460</f>
        <v/>
      </c>
      <c r="AB460" s="31">
        <f>AA460+V460+N460</f>
        <v/>
      </c>
      <c r="AC460" s="6">
        <f>AB460*20%</f>
        <v/>
      </c>
      <c r="AD460" s="7">
        <f>AB460+AC460</f>
        <v/>
      </c>
      <c r="AE460" s="32">
        <f>D460*2.1</f>
        <v/>
      </c>
      <c r="AF460" s="7">
        <f>AD460-AE460</f>
        <v/>
      </c>
      <c r="AG460" s="7">
        <f>AF460/AD460*100</f>
        <v/>
      </c>
      <c r="AI460" s="33" t="n"/>
      <c r="AJ460" s="34">
        <f>AD460</f>
        <v/>
      </c>
      <c r="AK460" s="34">
        <f>AJ460-(AJ460*7%)</f>
        <v/>
      </c>
      <c r="AL460" s="35">
        <f>AJ460/94</f>
        <v/>
      </c>
      <c r="AM460" s="35">
        <f>AK460/94</f>
        <v/>
      </c>
      <c r="AN460" s="36">
        <f>AJ460/24</f>
        <v/>
      </c>
      <c r="AO460" s="36">
        <f>AK460/24</f>
        <v/>
      </c>
      <c r="AP460" s="37">
        <f>AJ460/125</f>
        <v/>
      </c>
      <c r="AQ460" s="37">
        <f>AK460/125</f>
        <v/>
      </c>
    </row>
    <row r="461" ht="15.75" customHeight="1" s="50">
      <c r="A461" s="32" t="n"/>
      <c r="B461" s="32" t="inlineStr">
        <is>
          <t>Pink / Superior</t>
        </is>
      </c>
      <c r="D461" s="32" t="n">
        <v>1100</v>
      </c>
      <c r="G461" s="32" t="n">
        <v>0</v>
      </c>
      <c r="H461" s="32" t="n">
        <v>10</v>
      </c>
      <c r="I461" s="41" t="n">
        <v>5705</v>
      </c>
      <c r="J461" s="30" t="n">
        <v>0.05</v>
      </c>
      <c r="K461" s="32">
        <f>D461*J461</f>
        <v/>
      </c>
      <c r="M461" s="32">
        <f>D461*4%</f>
        <v/>
      </c>
      <c r="N461" s="49">
        <f>M461+L461+K461+H461+G461+F461+E461+D461</f>
        <v/>
      </c>
      <c r="O461" s="32">
        <f>D461*1%</f>
        <v/>
      </c>
      <c r="P461" s="7">
        <f>N461*8%</f>
        <v/>
      </c>
      <c r="Q461" s="7">
        <f>N461*10%</f>
        <v/>
      </c>
      <c r="R461" s="7">
        <f>N461*5%</f>
        <v/>
      </c>
      <c r="S461" s="7">
        <f>N461*2%</f>
        <v/>
      </c>
      <c r="T461" s="7">
        <f>AE461*0.5%</f>
        <v/>
      </c>
      <c r="U461" s="7">
        <f>N461*1%</f>
        <v/>
      </c>
      <c r="V461" s="31">
        <f>U461+S461+R461+Q461+P461+O461</f>
        <v/>
      </c>
      <c r="W461" s="32">
        <f>AE461*1%</f>
        <v/>
      </c>
      <c r="X461" s="32">
        <f>AE461*10%</f>
        <v/>
      </c>
      <c r="Y461" s="32">
        <f>AE461*1%</f>
        <v/>
      </c>
      <c r="Z461" s="32">
        <f>AE461*8%</f>
        <v/>
      </c>
      <c r="AA461" s="32">
        <f>W461+X461+Y461+Z461</f>
        <v/>
      </c>
      <c r="AB461" s="31">
        <f>AA461+V461+N461</f>
        <v/>
      </c>
      <c r="AC461" s="6">
        <f>AB461*20%</f>
        <v/>
      </c>
      <c r="AD461" s="7">
        <f>AB461+AC461</f>
        <v/>
      </c>
      <c r="AE461" s="32">
        <f>D461*2.1</f>
        <v/>
      </c>
      <c r="AF461" s="7">
        <f>AD461-AE461</f>
        <v/>
      </c>
      <c r="AG461" s="7">
        <f>AF461/AD461*100</f>
        <v/>
      </c>
      <c r="AI461" s="33" t="n"/>
      <c r="AJ461" s="34">
        <f>AD461</f>
        <v/>
      </c>
      <c r="AK461" s="34">
        <f>AJ461-(AJ461*7%)</f>
        <v/>
      </c>
      <c r="AL461" s="35">
        <f>AJ461/94</f>
        <v/>
      </c>
      <c r="AM461" s="35">
        <f>AK461/94</f>
        <v/>
      </c>
      <c r="AN461" s="36">
        <f>AJ461/24</f>
        <v/>
      </c>
      <c r="AO461" s="36">
        <f>AK461/24</f>
        <v/>
      </c>
      <c r="AP461" s="37">
        <f>AJ461/125</f>
        <v/>
      </c>
      <c r="AQ461" s="37">
        <f>AK461/125</f>
        <v/>
      </c>
    </row>
    <row r="462" ht="15" customHeight="1" s="50">
      <c r="A462" s="32" t="inlineStr">
        <is>
          <t>Macrame Yoga Mat Straps</t>
        </is>
      </c>
      <c r="B462" s="32" t="inlineStr">
        <is>
          <t>Green</t>
        </is>
      </c>
      <c r="C462" s="32" t="inlineStr">
        <is>
          <t>Yo-MC-MS-G</t>
        </is>
      </c>
      <c r="D462" s="32" t="n">
        <v>250</v>
      </c>
      <c r="G462" s="32" t="n">
        <v>0</v>
      </c>
      <c r="H462" s="32" t="n">
        <v>10</v>
      </c>
      <c r="I462" s="41" t="n">
        <v>94041000</v>
      </c>
      <c r="J462" s="30" t="n">
        <v>0.18</v>
      </c>
      <c r="K462" s="32">
        <f>D462*J462</f>
        <v/>
      </c>
      <c r="M462" s="32">
        <f>D462*4%</f>
        <v/>
      </c>
      <c r="N462" s="49">
        <f>M462+L462+K462+H462+G462+F462+E462+D462</f>
        <v/>
      </c>
      <c r="O462" s="32">
        <f>D462*1%</f>
        <v/>
      </c>
      <c r="P462" s="7">
        <f>N462*8%</f>
        <v/>
      </c>
      <c r="Q462" s="7">
        <f>N462*10%</f>
        <v/>
      </c>
      <c r="R462" s="7">
        <f>N462*5%</f>
        <v/>
      </c>
      <c r="S462" s="7">
        <f>N462*2%</f>
        <v/>
      </c>
      <c r="T462" s="7">
        <f>AE462*0.5%</f>
        <v/>
      </c>
      <c r="U462" s="7">
        <f>N462*1%</f>
        <v/>
      </c>
      <c r="V462" s="31">
        <f>U462+S462+R462+Q462+P462+O462</f>
        <v/>
      </c>
      <c r="W462" s="32">
        <f>AE462*1%</f>
        <v/>
      </c>
      <c r="X462" s="32">
        <f>AE462*10%</f>
        <v/>
      </c>
      <c r="Y462" s="32">
        <f>AE462*1%</f>
        <v/>
      </c>
      <c r="Z462" s="32">
        <f>AE462*8%</f>
        <v/>
      </c>
      <c r="AA462" s="32">
        <f>W462+X462+Y462+Z462</f>
        <v/>
      </c>
      <c r="AB462" s="31">
        <f>AA462+V462+N462</f>
        <v/>
      </c>
      <c r="AC462" s="6">
        <f>AB462*20%</f>
        <v/>
      </c>
      <c r="AD462" s="7">
        <f>AB462+AC462</f>
        <v/>
      </c>
      <c r="AE462" s="32">
        <f>D462*2.1</f>
        <v/>
      </c>
      <c r="AF462" s="7">
        <f>AD462-AE462</f>
        <v/>
      </c>
      <c r="AG462" s="7">
        <f>AF462/AD462*100</f>
        <v/>
      </c>
      <c r="AH462" s="0" t="n">
        <v>585</v>
      </c>
      <c r="AI462" s="33" t="n">
        <v>335</v>
      </c>
      <c r="AJ462" s="34">
        <f>AD462</f>
        <v/>
      </c>
      <c r="AK462" s="34">
        <f>AJ462-(AJ462*7%)</f>
        <v/>
      </c>
      <c r="AL462" s="35">
        <f>AJ462/94</f>
        <v/>
      </c>
      <c r="AM462" s="35">
        <f>AK462/94</f>
        <v/>
      </c>
      <c r="AN462" s="36">
        <f>AJ462/24</f>
        <v/>
      </c>
      <c r="AO462" s="36">
        <f>AK462/24</f>
        <v/>
      </c>
      <c r="AP462" s="37">
        <f>AJ462/125</f>
        <v/>
      </c>
      <c r="AQ462" s="37">
        <f>AK462/125</f>
        <v/>
      </c>
    </row>
    <row r="463" ht="15.75" customHeight="1" s="50">
      <c r="A463" s="32" t="n"/>
      <c r="B463" s="32" t="inlineStr">
        <is>
          <t>Brown</t>
        </is>
      </c>
      <c r="C463" s="32" t="inlineStr">
        <is>
          <t>Yo-MC-MS-B</t>
        </is>
      </c>
      <c r="D463" s="32" t="n">
        <v>250</v>
      </c>
      <c r="G463" s="32" t="n">
        <v>0</v>
      </c>
      <c r="H463" s="32" t="n">
        <v>10</v>
      </c>
      <c r="I463" s="41" t="n">
        <v>94041000</v>
      </c>
      <c r="J463" s="30" t="n">
        <v>0.18</v>
      </c>
      <c r="K463" s="32">
        <f>D463*J463</f>
        <v/>
      </c>
      <c r="M463" s="32">
        <f>D463*4%</f>
        <v/>
      </c>
      <c r="N463" s="49">
        <f>M463+L463+K463+H463+G463+F463+E463+D463</f>
        <v/>
      </c>
      <c r="O463" s="32">
        <f>D463*1%</f>
        <v/>
      </c>
      <c r="P463" s="7">
        <f>N463*8%</f>
        <v/>
      </c>
      <c r="Q463" s="7">
        <f>N463*10%</f>
        <v/>
      </c>
      <c r="R463" s="7">
        <f>N463*5%</f>
        <v/>
      </c>
      <c r="S463" s="7">
        <f>N463*2%</f>
        <v/>
      </c>
      <c r="T463" s="7">
        <f>AE463*0.5%</f>
        <v/>
      </c>
      <c r="U463" s="7">
        <f>N463*1%</f>
        <v/>
      </c>
      <c r="V463" s="31">
        <f>U463+S463+R463+Q463+P463+O463</f>
        <v/>
      </c>
      <c r="W463" s="32">
        <f>AE463*1%</f>
        <v/>
      </c>
      <c r="X463" s="32">
        <f>AE463*10%</f>
        <v/>
      </c>
      <c r="Y463" s="32">
        <f>AE463*1%</f>
        <v/>
      </c>
      <c r="Z463" s="32">
        <f>AE463*8%</f>
        <v/>
      </c>
      <c r="AA463" s="32">
        <f>W463+X463+Y463+Z463</f>
        <v/>
      </c>
      <c r="AB463" s="31">
        <f>AA463+V463+N463</f>
        <v/>
      </c>
      <c r="AC463" s="6">
        <f>AB463*20%</f>
        <v/>
      </c>
      <c r="AD463" s="7">
        <f>AB463+AC463</f>
        <v/>
      </c>
      <c r="AE463" s="32">
        <f>D463*2.1</f>
        <v/>
      </c>
      <c r="AF463" s="7">
        <f>AD463-AE463</f>
        <v/>
      </c>
      <c r="AG463" s="7">
        <f>AF463/AD463*100</f>
        <v/>
      </c>
      <c r="AH463" s="0" t="n">
        <v>585</v>
      </c>
      <c r="AI463" s="33" t="n">
        <v>335</v>
      </c>
      <c r="AJ463" s="34">
        <f>AD463</f>
        <v/>
      </c>
      <c r="AK463" s="34">
        <f>AJ463-(AJ463*7%)</f>
        <v/>
      </c>
      <c r="AL463" s="35">
        <f>AJ463/94</f>
        <v/>
      </c>
      <c r="AM463" s="35">
        <f>AK463/94</f>
        <v/>
      </c>
      <c r="AN463" s="36">
        <f>AJ463/24</f>
        <v/>
      </c>
      <c r="AO463" s="36">
        <f>AK463/24</f>
        <v/>
      </c>
      <c r="AP463" s="37">
        <f>AJ463/125</f>
        <v/>
      </c>
      <c r="AQ463" s="37">
        <f>AK463/125</f>
        <v/>
      </c>
    </row>
    <row r="464" ht="15.75" customHeight="1" s="50">
      <c r="A464" s="32" t="n"/>
      <c r="B464" s="32" t="inlineStr">
        <is>
          <t>Dark Grey</t>
        </is>
      </c>
      <c r="C464" s="32" t="inlineStr">
        <is>
          <t>Yo-MC-MS-DG</t>
        </is>
      </c>
      <c r="D464" s="32" t="n">
        <v>250</v>
      </c>
      <c r="G464" s="32" t="n">
        <v>0</v>
      </c>
      <c r="H464" s="32" t="n">
        <v>10</v>
      </c>
      <c r="I464" s="41" t="n">
        <v>94041000</v>
      </c>
      <c r="J464" s="30" t="n">
        <v>0.18</v>
      </c>
      <c r="K464" s="32">
        <f>D464*J464</f>
        <v/>
      </c>
      <c r="M464" s="32">
        <f>D464*4%</f>
        <v/>
      </c>
      <c r="N464" s="49">
        <f>M464+L464+K464+H464+G464+F464+E464+D464</f>
        <v/>
      </c>
      <c r="O464" s="32">
        <f>D464*1%</f>
        <v/>
      </c>
      <c r="P464" s="7">
        <f>N464*8%</f>
        <v/>
      </c>
      <c r="Q464" s="7">
        <f>N464*10%</f>
        <v/>
      </c>
      <c r="R464" s="7">
        <f>N464*5%</f>
        <v/>
      </c>
      <c r="S464" s="7">
        <f>N464*2%</f>
        <v/>
      </c>
      <c r="T464" s="7">
        <f>AE464*0.5%</f>
        <v/>
      </c>
      <c r="U464" s="7">
        <f>N464*1%</f>
        <v/>
      </c>
      <c r="V464" s="31">
        <f>U464+S464+R464+Q464+P464+O464</f>
        <v/>
      </c>
      <c r="W464" s="32">
        <f>AE464*1%</f>
        <v/>
      </c>
      <c r="X464" s="32">
        <f>AE464*10%</f>
        <v/>
      </c>
      <c r="Y464" s="32">
        <f>AE464*1%</f>
        <v/>
      </c>
      <c r="Z464" s="32">
        <f>AE464*8%</f>
        <v/>
      </c>
      <c r="AA464" s="32">
        <f>W464+X464+Y464+Z464</f>
        <v/>
      </c>
      <c r="AB464" s="31">
        <f>AA464+V464+N464</f>
        <v/>
      </c>
      <c r="AC464" s="6">
        <f>AB464*20%</f>
        <v/>
      </c>
      <c r="AD464" s="7">
        <f>AB464+AC464</f>
        <v/>
      </c>
      <c r="AE464" s="32">
        <f>D464*2.1</f>
        <v/>
      </c>
      <c r="AF464" s="7">
        <f>AD464-AE464</f>
        <v/>
      </c>
      <c r="AG464" s="7">
        <f>AF464/AD464*100</f>
        <v/>
      </c>
      <c r="AH464" s="0" t="n">
        <v>585</v>
      </c>
      <c r="AI464" s="33" t="n">
        <v>335</v>
      </c>
      <c r="AJ464" s="34">
        <f>AD464</f>
        <v/>
      </c>
      <c r="AK464" s="34">
        <f>AJ464-(AJ464*7%)</f>
        <v/>
      </c>
      <c r="AL464" s="35">
        <f>AJ464/94</f>
        <v/>
      </c>
      <c r="AM464" s="35">
        <f>AK464/94</f>
        <v/>
      </c>
      <c r="AN464" s="36">
        <f>AJ464/24</f>
        <v/>
      </c>
      <c r="AO464" s="36">
        <f>AK464/24</f>
        <v/>
      </c>
      <c r="AP464" s="37">
        <f>AJ464/125</f>
        <v/>
      </c>
      <c r="AQ464" s="37">
        <f>AK464/125</f>
        <v/>
      </c>
    </row>
    <row r="465" ht="15.75" customHeight="1" s="50">
      <c r="A465" s="32" t="n"/>
      <c r="B465" s="32" t="inlineStr">
        <is>
          <t>Orange</t>
        </is>
      </c>
      <c r="C465" s="32" t="inlineStr">
        <is>
          <t>Yo-MC-MS-O</t>
        </is>
      </c>
      <c r="D465" s="32" t="n">
        <v>250</v>
      </c>
      <c r="G465" s="32" t="n">
        <v>0</v>
      </c>
      <c r="H465" s="32" t="n">
        <v>10</v>
      </c>
      <c r="I465" s="41" t="n">
        <v>94041000</v>
      </c>
      <c r="J465" s="30" t="n">
        <v>0.18</v>
      </c>
      <c r="K465" s="32">
        <f>D465*J465</f>
        <v/>
      </c>
      <c r="M465" s="32">
        <f>D465*4%</f>
        <v/>
      </c>
      <c r="N465" s="49">
        <f>M465+L465+K465+H465+G465+F465+E465+D465</f>
        <v/>
      </c>
      <c r="O465" s="32">
        <f>D465*1%</f>
        <v/>
      </c>
      <c r="P465" s="7">
        <f>N465*8%</f>
        <v/>
      </c>
      <c r="Q465" s="7">
        <f>N465*10%</f>
        <v/>
      </c>
      <c r="R465" s="7">
        <f>N465*5%</f>
        <v/>
      </c>
      <c r="S465" s="7">
        <f>N465*2%</f>
        <v/>
      </c>
      <c r="T465" s="7">
        <f>AE465*0.5%</f>
        <v/>
      </c>
      <c r="U465" s="7">
        <f>N465*1%</f>
        <v/>
      </c>
      <c r="V465" s="31">
        <f>U465+S465+R465+Q465+P465+O465</f>
        <v/>
      </c>
      <c r="W465" s="32">
        <f>AE465*1%</f>
        <v/>
      </c>
      <c r="X465" s="32">
        <f>AE465*10%</f>
        <v/>
      </c>
      <c r="Y465" s="32">
        <f>AE465*1%</f>
        <v/>
      </c>
      <c r="Z465" s="32">
        <f>AE465*8%</f>
        <v/>
      </c>
      <c r="AA465" s="32">
        <f>W465+X465+Y465+Z465</f>
        <v/>
      </c>
      <c r="AB465" s="31">
        <f>AA465+V465+N465</f>
        <v/>
      </c>
      <c r="AC465" s="6">
        <f>AB465*20%</f>
        <v/>
      </c>
      <c r="AD465" s="7">
        <f>AB465+AC465</f>
        <v/>
      </c>
      <c r="AE465" s="32">
        <f>D465*2.1</f>
        <v/>
      </c>
      <c r="AF465" s="7">
        <f>AD465-AE465</f>
        <v/>
      </c>
      <c r="AG465" s="7">
        <f>AF465/AD465*100</f>
        <v/>
      </c>
      <c r="AH465" s="0" t="n">
        <v>585</v>
      </c>
      <c r="AI465" s="33" t="n">
        <v>335</v>
      </c>
      <c r="AJ465" s="34">
        <f>AD465</f>
        <v/>
      </c>
      <c r="AK465" s="34">
        <f>AJ465-(AJ465*7%)</f>
        <v/>
      </c>
      <c r="AL465" s="35">
        <f>AJ465/94</f>
        <v/>
      </c>
      <c r="AM465" s="35">
        <f>AK465/94</f>
        <v/>
      </c>
      <c r="AN465" s="36">
        <f>AJ465/24</f>
        <v/>
      </c>
      <c r="AO465" s="36">
        <f>AK465/24</f>
        <v/>
      </c>
      <c r="AP465" s="37">
        <f>AJ465/125</f>
        <v/>
      </c>
      <c r="AQ465" s="37">
        <f>AK465/125</f>
        <v/>
      </c>
    </row>
    <row r="466" ht="15" customHeight="1" s="50">
      <c r="A466" s="32" t="inlineStr">
        <is>
          <t>Mayura Morchang Set</t>
        </is>
      </c>
      <c r="B466" s="32" t="inlineStr">
        <is>
          <t>Sharp</t>
        </is>
      </c>
      <c r="D466" s="32" t="n">
        <v>1500</v>
      </c>
      <c r="G466" s="32" t="n">
        <v>0</v>
      </c>
      <c r="H466" s="32" t="n">
        <v>10</v>
      </c>
      <c r="I466" s="41" t="n">
        <v>93030010</v>
      </c>
      <c r="J466" s="30" t="n">
        <v>0</v>
      </c>
      <c r="K466" s="32">
        <f>D466*J466</f>
        <v/>
      </c>
      <c r="M466" s="32">
        <f>D466*4%</f>
        <v/>
      </c>
      <c r="N466" s="49">
        <f>M466+L466+K466+H466+G466+F466+E466+D466</f>
        <v/>
      </c>
      <c r="O466" s="32">
        <f>D466*1%</f>
        <v/>
      </c>
      <c r="P466" s="7">
        <f>N466*8%</f>
        <v/>
      </c>
      <c r="Q466" s="7">
        <f>N466*10%</f>
        <v/>
      </c>
      <c r="R466" s="7">
        <f>N466*5%</f>
        <v/>
      </c>
      <c r="S466" s="7">
        <f>N466*2%</f>
        <v/>
      </c>
      <c r="T466" s="7">
        <f>AE466*0.5%</f>
        <v/>
      </c>
      <c r="U466" s="7">
        <f>N466*1%</f>
        <v/>
      </c>
      <c r="V466" s="31">
        <f>U466+S466+R466+Q466+P466+O466</f>
        <v/>
      </c>
      <c r="W466" s="32">
        <f>AE466*1%</f>
        <v/>
      </c>
      <c r="X466" s="32">
        <f>AE466*10%</f>
        <v/>
      </c>
      <c r="Y466" s="32">
        <f>AE466*1%</f>
        <v/>
      </c>
      <c r="Z466" s="32">
        <f>AE466*8%</f>
        <v/>
      </c>
      <c r="AA466" s="32">
        <f>W466+X466+Y466+Z466</f>
        <v/>
      </c>
      <c r="AB466" s="31">
        <f>AA466+V466+N466</f>
        <v/>
      </c>
      <c r="AC466" s="6">
        <f>AB466*20%</f>
        <v/>
      </c>
      <c r="AD466" s="7">
        <f>AB466+AC466</f>
        <v/>
      </c>
      <c r="AE466" s="32">
        <f>D466*2.1</f>
        <v/>
      </c>
      <c r="AF466" s="7">
        <f>AD466-AE466</f>
        <v/>
      </c>
      <c r="AG466" s="7">
        <f>AF466/AD466*100</f>
        <v/>
      </c>
      <c r="AI466" s="33" t="n"/>
      <c r="AJ466" s="34">
        <f>AD466</f>
        <v/>
      </c>
      <c r="AK466" s="34">
        <f>AJ466-(AJ466*7%)</f>
        <v/>
      </c>
      <c r="AL466" s="35">
        <f>AJ466/94</f>
        <v/>
      </c>
      <c r="AM466" s="35">
        <f>AK466/94</f>
        <v/>
      </c>
      <c r="AN466" s="36">
        <f>AJ466/24</f>
        <v/>
      </c>
      <c r="AO466" s="36">
        <f>AK466/24</f>
        <v/>
      </c>
      <c r="AP466" s="37">
        <f>AJ466/125</f>
        <v/>
      </c>
      <c r="AQ466" s="37">
        <f>AK466/125</f>
        <v/>
      </c>
    </row>
    <row r="467" ht="15.75" customHeight="1" s="50">
      <c r="A467" s="32" t="n"/>
      <c r="B467" s="32" t="inlineStr">
        <is>
          <t>Middle</t>
        </is>
      </c>
      <c r="D467" s="32" t="n">
        <v>1500</v>
      </c>
      <c r="G467" s="32" t="n">
        <v>0</v>
      </c>
      <c r="H467" s="32" t="n">
        <v>10</v>
      </c>
      <c r="I467" s="41" t="n">
        <v>93030010</v>
      </c>
      <c r="J467" s="30" t="n">
        <v>0</v>
      </c>
      <c r="K467" s="32">
        <f>D467*J467</f>
        <v/>
      </c>
      <c r="M467" s="32">
        <f>D467*4%</f>
        <v/>
      </c>
      <c r="N467" s="49">
        <f>M467+L467+K467+H467+G467+F467+E467+D467</f>
        <v/>
      </c>
      <c r="O467" s="32">
        <f>D467*1%</f>
        <v/>
      </c>
      <c r="P467" s="7">
        <f>N467*8%</f>
        <v/>
      </c>
      <c r="Q467" s="7">
        <f>N467*10%</f>
        <v/>
      </c>
      <c r="R467" s="7">
        <f>N467*5%</f>
        <v/>
      </c>
      <c r="S467" s="7">
        <f>N467*2%</f>
        <v/>
      </c>
      <c r="T467" s="7">
        <f>AE467*0.5%</f>
        <v/>
      </c>
      <c r="U467" s="7">
        <f>N467*1%</f>
        <v/>
      </c>
      <c r="V467" s="31">
        <f>U467+S467+R467+Q467+P467+O467</f>
        <v/>
      </c>
      <c r="W467" s="32">
        <f>AE467*1%</f>
        <v/>
      </c>
      <c r="X467" s="32">
        <f>AE467*10%</f>
        <v/>
      </c>
      <c r="Y467" s="32">
        <f>AE467*1%</f>
        <v/>
      </c>
      <c r="Z467" s="32">
        <f>AE467*8%</f>
        <v/>
      </c>
      <c r="AA467" s="32">
        <f>W467+X467+Y467+Z467</f>
        <v/>
      </c>
      <c r="AB467" s="31">
        <f>AA467+V467+N467</f>
        <v/>
      </c>
      <c r="AC467" s="6">
        <f>AB467*20%</f>
        <v/>
      </c>
      <c r="AD467" s="7">
        <f>AB467+AC467</f>
        <v/>
      </c>
      <c r="AE467" s="32">
        <f>D467*2.1</f>
        <v/>
      </c>
      <c r="AF467" s="7">
        <f>AD467-AE467</f>
        <v/>
      </c>
      <c r="AG467" s="7">
        <f>AF467/AD467*100</f>
        <v/>
      </c>
      <c r="AI467" s="33" t="n"/>
      <c r="AJ467" s="34">
        <f>AD467</f>
        <v/>
      </c>
      <c r="AK467" s="34">
        <f>AJ467-(AJ467*7%)</f>
        <v/>
      </c>
      <c r="AL467" s="35">
        <f>AJ467/94</f>
        <v/>
      </c>
      <c r="AM467" s="35">
        <f>AK467/94</f>
        <v/>
      </c>
      <c r="AN467" s="36">
        <f>AJ467/24</f>
        <v/>
      </c>
      <c r="AO467" s="36">
        <f>AK467/24</f>
        <v/>
      </c>
      <c r="AP467" s="37">
        <f>AJ467/125</f>
        <v/>
      </c>
      <c r="AQ467" s="37">
        <f>AK467/125</f>
        <v/>
      </c>
    </row>
    <row r="468" ht="15.75" customHeight="1" s="50">
      <c r="A468" s="32" t="n"/>
      <c r="B468" s="32" t="inlineStr">
        <is>
          <t>Bass</t>
        </is>
      </c>
      <c r="D468" s="32" t="n">
        <v>1500</v>
      </c>
      <c r="G468" s="32" t="n">
        <v>0</v>
      </c>
      <c r="H468" s="32" t="n">
        <v>10</v>
      </c>
      <c r="I468" s="41" t="n">
        <v>93030010</v>
      </c>
      <c r="J468" s="30" t="n">
        <v>0</v>
      </c>
      <c r="K468" s="32">
        <f>D468*J468</f>
        <v/>
      </c>
      <c r="M468" s="32">
        <f>D468*4%</f>
        <v/>
      </c>
      <c r="N468" s="49">
        <f>M468+L468+K468+H468+G468+F468+E468+D468</f>
        <v/>
      </c>
      <c r="O468" s="32">
        <f>D468*1%</f>
        <v/>
      </c>
      <c r="P468" s="7">
        <f>N468*8%</f>
        <v/>
      </c>
      <c r="Q468" s="7">
        <f>N468*10%</f>
        <v/>
      </c>
      <c r="R468" s="7">
        <f>N468*5%</f>
        <v/>
      </c>
      <c r="S468" s="7">
        <f>N468*2%</f>
        <v/>
      </c>
      <c r="T468" s="7">
        <f>AE468*0.5%</f>
        <v/>
      </c>
      <c r="U468" s="7">
        <f>N468*1%</f>
        <v/>
      </c>
      <c r="V468" s="31">
        <f>U468+S468+R468+Q468+P468+O468</f>
        <v/>
      </c>
      <c r="W468" s="32">
        <f>AE468*1%</f>
        <v/>
      </c>
      <c r="X468" s="32">
        <f>AE468*10%</f>
        <v/>
      </c>
      <c r="Y468" s="32">
        <f>AE468*1%</f>
        <v/>
      </c>
      <c r="Z468" s="32">
        <f>AE468*8%</f>
        <v/>
      </c>
      <c r="AA468" s="32">
        <f>W468+X468+Y468+Z468</f>
        <v/>
      </c>
      <c r="AB468" s="31">
        <f>AA468+V468+N468</f>
        <v/>
      </c>
      <c r="AC468" s="6">
        <f>AB468*20%</f>
        <v/>
      </c>
      <c r="AD468" s="7">
        <f>AB468+AC468</f>
        <v/>
      </c>
      <c r="AE468" s="32">
        <f>D468*2.1</f>
        <v/>
      </c>
      <c r="AF468" s="7">
        <f>AD468-AE468</f>
        <v/>
      </c>
      <c r="AG468" s="7">
        <f>AF468/AD468*100</f>
        <v/>
      </c>
      <c r="AI468" s="33" t="n"/>
      <c r="AJ468" s="34">
        <f>AD468</f>
        <v/>
      </c>
      <c r="AK468" s="34">
        <f>AJ468-(AJ468*7%)</f>
        <v/>
      </c>
      <c r="AL468" s="35">
        <f>AJ468/94</f>
        <v/>
      </c>
      <c r="AM468" s="35">
        <f>AK468/94</f>
        <v/>
      </c>
      <c r="AN468" s="36">
        <f>AJ468/24</f>
        <v/>
      </c>
      <c r="AO468" s="36">
        <f>AK468/24</f>
        <v/>
      </c>
      <c r="AP468" s="37">
        <f>AJ468/125</f>
        <v/>
      </c>
      <c r="AQ468" s="37">
        <f>AK468/125</f>
        <v/>
      </c>
    </row>
    <row r="469" ht="15.75" customHeight="1" s="50">
      <c r="A469" s="32" t="n"/>
      <c r="B469" s="32" t="inlineStr">
        <is>
          <t>Full Set</t>
        </is>
      </c>
      <c r="D469" s="32" t="n">
        <v>4500</v>
      </c>
      <c r="G469" s="32" t="n">
        <v>0</v>
      </c>
      <c r="H469" s="32" t="n">
        <v>10</v>
      </c>
      <c r="I469" s="41" t="n">
        <v>93030010</v>
      </c>
      <c r="J469" s="30" t="n">
        <v>0</v>
      </c>
      <c r="K469" s="32">
        <f>D469*J469</f>
        <v/>
      </c>
      <c r="M469" s="32">
        <f>D469*4%</f>
        <v/>
      </c>
      <c r="N469" s="49">
        <f>M469+L469+K469+H469+G469+F469+E469+D469</f>
        <v/>
      </c>
      <c r="O469" s="32">
        <f>D469*1%</f>
        <v/>
      </c>
      <c r="P469" s="7">
        <f>N469*8%</f>
        <v/>
      </c>
      <c r="Q469" s="7">
        <f>N469*10%</f>
        <v/>
      </c>
      <c r="R469" s="7">
        <f>N469*5%</f>
        <v/>
      </c>
      <c r="S469" s="7">
        <f>N469*2%</f>
        <v/>
      </c>
      <c r="T469" s="7">
        <f>AE469*0.5%</f>
        <v/>
      </c>
      <c r="U469" s="7">
        <f>N469*1%</f>
        <v/>
      </c>
      <c r="V469" s="31">
        <f>U469+S469+R469+Q469+P469+O469</f>
        <v/>
      </c>
      <c r="W469" s="32">
        <f>AE469*1%</f>
        <v/>
      </c>
      <c r="X469" s="32">
        <f>AE469*10%</f>
        <v/>
      </c>
      <c r="Y469" s="32">
        <f>AE469*1%</f>
        <v/>
      </c>
      <c r="Z469" s="32">
        <f>AE469*8%</f>
        <v/>
      </c>
      <c r="AA469" s="32">
        <f>W469+X469+Y469+Z469</f>
        <v/>
      </c>
      <c r="AB469" s="31">
        <f>AA469+V469+N469</f>
        <v/>
      </c>
      <c r="AC469" s="6">
        <f>AB469*20%</f>
        <v/>
      </c>
      <c r="AD469" s="7">
        <f>AB469+AC469</f>
        <v/>
      </c>
      <c r="AE469" s="32">
        <f>D469*2.1</f>
        <v/>
      </c>
      <c r="AF469" s="7">
        <f>AD469-AE469</f>
        <v/>
      </c>
      <c r="AG469" s="7">
        <f>AF469/AD469*100</f>
        <v/>
      </c>
      <c r="AI469" s="33" t="n"/>
      <c r="AJ469" s="34">
        <f>AD469</f>
        <v/>
      </c>
      <c r="AK469" s="34">
        <f>AJ469-(AJ469*7%)</f>
        <v/>
      </c>
      <c r="AL469" s="35">
        <f>AJ469/94</f>
        <v/>
      </c>
      <c r="AM469" s="35">
        <f>AK469/94</f>
        <v/>
      </c>
      <c r="AN469" s="36">
        <f>AJ469/24</f>
        <v/>
      </c>
      <c r="AO469" s="36">
        <f>AK469/24</f>
        <v/>
      </c>
      <c r="AP469" s="37">
        <f>AJ469/125</f>
        <v/>
      </c>
      <c r="AQ469" s="37">
        <f>AK469/125</f>
        <v/>
      </c>
    </row>
    <row r="470" ht="15" customHeight="1" s="50">
      <c r="A470" s="32" t="inlineStr">
        <is>
          <t>Mini Bamboo Slide Whistle</t>
        </is>
      </c>
      <c r="B470" s="32" t="inlineStr">
        <is>
          <t>Single</t>
        </is>
      </c>
      <c r="D470" s="32" t="n">
        <v>100</v>
      </c>
      <c r="G470" s="32" t="n">
        <v>0</v>
      </c>
      <c r="H470" s="32" t="n">
        <v>10</v>
      </c>
      <c r="I470" s="41" t="n">
        <v>9503</v>
      </c>
      <c r="J470" s="30" t="n">
        <v>0.05</v>
      </c>
      <c r="K470" s="32">
        <f>D470*J470</f>
        <v/>
      </c>
      <c r="M470" s="32">
        <f>D470*4%</f>
        <v/>
      </c>
      <c r="N470" s="49">
        <f>M470+L470+K470+H470+G470+F470+E470+D470</f>
        <v/>
      </c>
      <c r="O470" s="32">
        <f>D470*1%</f>
        <v/>
      </c>
      <c r="P470" s="7">
        <f>N470*8%</f>
        <v/>
      </c>
      <c r="Q470" s="7">
        <f>N470*10%</f>
        <v/>
      </c>
      <c r="R470" s="7">
        <f>N470*5%</f>
        <v/>
      </c>
      <c r="S470" s="7">
        <f>N470*2%</f>
        <v/>
      </c>
      <c r="T470" s="7">
        <f>AE470*0.5%</f>
        <v/>
      </c>
      <c r="U470" s="7">
        <f>N470*1%</f>
        <v/>
      </c>
      <c r="V470" s="31">
        <f>U470+S470+R470+Q470+P470+O470</f>
        <v/>
      </c>
      <c r="W470" s="32">
        <f>AE470*1%</f>
        <v/>
      </c>
      <c r="X470" s="32">
        <f>AE470*10%</f>
        <v/>
      </c>
      <c r="Y470" s="32">
        <f>AE470*1%</f>
        <v/>
      </c>
      <c r="Z470" s="32">
        <f>AE470*8%</f>
        <v/>
      </c>
      <c r="AA470" s="32">
        <f>W470+X470+Y470+Z470</f>
        <v/>
      </c>
      <c r="AB470" s="31">
        <f>AA470+V470+N470</f>
        <v/>
      </c>
      <c r="AC470" s="6">
        <f>AB470*20%</f>
        <v/>
      </c>
      <c r="AD470" s="7">
        <f>AB470+AC470</f>
        <v/>
      </c>
      <c r="AE470" s="32">
        <f>D470*2.1</f>
        <v/>
      </c>
      <c r="AF470" s="7">
        <f>AD470-AE470</f>
        <v/>
      </c>
      <c r="AG470" s="7">
        <f>AF470/AD470*100</f>
        <v/>
      </c>
      <c r="AI470" s="33" t="n"/>
      <c r="AJ470" s="34">
        <f>AD470</f>
        <v/>
      </c>
      <c r="AK470" s="34">
        <f>AJ470-(AJ470*7%)</f>
        <v/>
      </c>
      <c r="AL470" s="35">
        <f>AJ470/94</f>
        <v/>
      </c>
      <c r="AM470" s="35">
        <f>AK470/94</f>
        <v/>
      </c>
      <c r="AN470" s="36">
        <f>AJ470/24</f>
        <v/>
      </c>
      <c r="AO470" s="36">
        <f>AK470/24</f>
        <v/>
      </c>
      <c r="AP470" s="37">
        <f>AJ470/125</f>
        <v/>
      </c>
      <c r="AQ470" s="37">
        <f>AK470/125</f>
        <v/>
      </c>
    </row>
    <row r="471" ht="15.75" customHeight="1" s="50">
      <c r="A471" s="32" t="n"/>
      <c r="B471" s="32" t="inlineStr">
        <is>
          <t>Single Painted</t>
        </is>
      </c>
      <c r="D471" s="32" t="n">
        <v>110</v>
      </c>
      <c r="G471" s="32" t="n">
        <v>0</v>
      </c>
      <c r="H471" s="32" t="n">
        <v>10</v>
      </c>
      <c r="I471" s="41" t="n">
        <v>9503</v>
      </c>
      <c r="J471" s="30" t="n">
        <v>0.05</v>
      </c>
      <c r="K471" s="32">
        <f>D471*J471</f>
        <v/>
      </c>
      <c r="M471" s="32">
        <f>D471*4%</f>
        <v/>
      </c>
      <c r="N471" s="49">
        <f>M471+L471+K471+H471+G471+F471+E471+D471</f>
        <v/>
      </c>
      <c r="O471" s="32">
        <f>D471*1%</f>
        <v/>
      </c>
      <c r="P471" s="7">
        <f>N471*8%</f>
        <v/>
      </c>
      <c r="Q471" s="7">
        <f>N471*10%</f>
        <v/>
      </c>
      <c r="R471" s="7">
        <f>N471*5%</f>
        <v/>
      </c>
      <c r="S471" s="7">
        <f>N471*2%</f>
        <v/>
      </c>
      <c r="T471" s="7">
        <f>AE471*0.5%</f>
        <v/>
      </c>
      <c r="U471" s="7">
        <f>N471*1%</f>
        <v/>
      </c>
      <c r="V471" s="31">
        <f>U471+S471+R471+Q471+P471+O471</f>
        <v/>
      </c>
      <c r="W471" s="32">
        <f>AE471*1%</f>
        <v/>
      </c>
      <c r="X471" s="32">
        <f>AE471*10%</f>
        <v/>
      </c>
      <c r="Y471" s="32">
        <f>AE471*1%</f>
        <v/>
      </c>
      <c r="Z471" s="32">
        <f>AE471*8%</f>
        <v/>
      </c>
      <c r="AA471" s="32">
        <f>W471+X471+Y471+Z471</f>
        <v/>
      </c>
      <c r="AB471" s="31">
        <f>AA471+V471+N471</f>
        <v/>
      </c>
      <c r="AC471" s="6">
        <f>AB471*20%</f>
        <v/>
      </c>
      <c r="AD471" s="7">
        <f>AB471+AC471</f>
        <v/>
      </c>
      <c r="AE471" s="32">
        <f>D471*2.1</f>
        <v/>
      </c>
      <c r="AF471" s="7">
        <f>AD471-AE471</f>
        <v/>
      </c>
      <c r="AG471" s="7">
        <f>AF471/AD471*100</f>
        <v/>
      </c>
      <c r="AI471" s="33" t="n"/>
      <c r="AJ471" s="34">
        <f>AD471</f>
        <v/>
      </c>
      <c r="AK471" s="34">
        <f>AJ471-(AJ471*7%)</f>
        <v/>
      </c>
      <c r="AL471" s="35">
        <f>AJ471/94</f>
        <v/>
      </c>
      <c r="AM471" s="35">
        <f>AK471/94</f>
        <v/>
      </c>
      <c r="AN471" s="36">
        <f>AJ471/24</f>
        <v/>
      </c>
      <c r="AO471" s="36">
        <f>AK471/24</f>
        <v/>
      </c>
      <c r="AP471" s="37">
        <f>AJ471/125</f>
        <v/>
      </c>
      <c r="AQ471" s="37">
        <f>AK471/125</f>
        <v/>
      </c>
    </row>
    <row r="472" ht="15.75" customHeight="1" s="50">
      <c r="A472" s="32" t="n"/>
      <c r="B472" s="32" t="inlineStr">
        <is>
          <t>Double</t>
        </is>
      </c>
      <c r="D472" s="32" t="n">
        <v>200</v>
      </c>
      <c r="G472" s="32" t="n">
        <v>0</v>
      </c>
      <c r="H472" s="32" t="n">
        <v>10</v>
      </c>
      <c r="I472" s="41" t="n">
        <v>9503</v>
      </c>
      <c r="J472" s="30" t="n">
        <v>0.05</v>
      </c>
      <c r="K472" s="32">
        <f>D472*J472</f>
        <v/>
      </c>
      <c r="M472" s="32">
        <f>D472*4%</f>
        <v/>
      </c>
      <c r="N472" s="49">
        <f>M472+L472+K472+H472+G472+F472+E472+D472</f>
        <v/>
      </c>
      <c r="O472" s="32">
        <f>D472*1%</f>
        <v/>
      </c>
      <c r="P472" s="7">
        <f>N472*8%</f>
        <v/>
      </c>
      <c r="Q472" s="7">
        <f>N472*10%</f>
        <v/>
      </c>
      <c r="R472" s="7">
        <f>N472*5%</f>
        <v/>
      </c>
      <c r="S472" s="7">
        <f>N472*2%</f>
        <v/>
      </c>
      <c r="T472" s="7">
        <f>AE472*0.5%</f>
        <v/>
      </c>
      <c r="U472" s="7">
        <f>N472*1%</f>
        <v/>
      </c>
      <c r="V472" s="31">
        <f>U472+S472+R472+Q472+P472+O472</f>
        <v/>
      </c>
      <c r="W472" s="32">
        <f>AE472*1%</f>
        <v/>
      </c>
      <c r="X472" s="32">
        <f>AE472*10%</f>
        <v/>
      </c>
      <c r="Y472" s="32">
        <f>AE472*1%</f>
        <v/>
      </c>
      <c r="Z472" s="32">
        <f>AE472*8%</f>
        <v/>
      </c>
      <c r="AA472" s="32">
        <f>W472+X472+Y472+Z472</f>
        <v/>
      </c>
      <c r="AB472" s="31">
        <f>AA472+V472+N472</f>
        <v/>
      </c>
      <c r="AC472" s="6">
        <f>AB472*20%</f>
        <v/>
      </c>
      <c r="AD472" s="7">
        <f>AB472+AC472</f>
        <v/>
      </c>
      <c r="AE472" s="32">
        <f>D472*2.1</f>
        <v/>
      </c>
      <c r="AF472" s="7">
        <f>AD472-AE472</f>
        <v/>
      </c>
      <c r="AG472" s="7">
        <f>AF472/AD472*100</f>
        <v/>
      </c>
      <c r="AI472" s="33" t="n"/>
      <c r="AJ472" s="34">
        <f>AD472</f>
        <v/>
      </c>
      <c r="AK472" s="34">
        <f>AJ472-(AJ472*7%)</f>
        <v/>
      </c>
      <c r="AL472" s="35">
        <f>AJ472/94</f>
        <v/>
      </c>
      <c r="AM472" s="35">
        <f>AK472/94</f>
        <v/>
      </c>
      <c r="AN472" s="36">
        <f>AJ472/24</f>
        <v/>
      </c>
      <c r="AO472" s="36">
        <f>AK472/24</f>
        <v/>
      </c>
      <c r="AP472" s="37">
        <f>AJ472/125</f>
        <v/>
      </c>
      <c r="AQ472" s="37">
        <f>AK472/125</f>
        <v/>
      </c>
    </row>
    <row r="473" ht="15" customHeight="1" s="50">
      <c r="A473" s="32" t="inlineStr">
        <is>
          <t>Mini Coconut Shakers - 3 Types</t>
        </is>
      </c>
      <c r="B473" s="32" t="inlineStr">
        <is>
          <t>Round Shaped</t>
        </is>
      </c>
      <c r="C473" s="32" t="inlineStr">
        <is>
          <t>MI-CS-R</t>
        </is>
      </c>
      <c r="D473" s="32" t="n">
        <v>250</v>
      </c>
      <c r="E473" s="32" t="n">
        <v>50</v>
      </c>
      <c r="G473" s="32" t="n">
        <v>0</v>
      </c>
      <c r="H473" s="32" t="n">
        <v>10</v>
      </c>
      <c r="I473" s="41" t="inlineStr">
        <is>
          <t>9503 00 90</t>
        </is>
      </c>
      <c r="J473" s="30" t="n">
        <v>0.18</v>
      </c>
      <c r="K473" s="32">
        <f>D473*J473</f>
        <v/>
      </c>
      <c r="M473" s="32">
        <f>D473*4%</f>
        <v/>
      </c>
      <c r="N473" s="49">
        <f>M473+L473+K473+H473+G473+F473+E473+D473</f>
        <v/>
      </c>
      <c r="O473" s="32">
        <f>D473*1%</f>
        <v/>
      </c>
      <c r="P473" s="7">
        <f>N473*8%</f>
        <v/>
      </c>
      <c r="Q473" s="7">
        <f>N473*10%</f>
        <v/>
      </c>
      <c r="R473" s="7">
        <f>N473*5%</f>
        <v/>
      </c>
      <c r="S473" s="7">
        <f>N473*2%</f>
        <v/>
      </c>
      <c r="T473" s="7">
        <f>AE473*0.5%</f>
        <v/>
      </c>
      <c r="U473" s="7">
        <f>N473*1%</f>
        <v/>
      </c>
      <c r="V473" s="31">
        <f>U473+S473+R473+Q473+P473+O473</f>
        <v/>
      </c>
      <c r="W473" s="32">
        <f>AE473*1%</f>
        <v/>
      </c>
      <c r="X473" s="32">
        <f>AE473*10%</f>
        <v/>
      </c>
      <c r="Y473" s="32">
        <f>AE473*1%</f>
        <v/>
      </c>
      <c r="Z473" s="32">
        <f>AE473*8%</f>
        <v/>
      </c>
      <c r="AA473" s="32">
        <f>W473+X473+Y473+Z473</f>
        <v/>
      </c>
      <c r="AB473" s="31">
        <f>AA473+V473+N473</f>
        <v/>
      </c>
      <c r="AC473" s="6">
        <f>AB473*20%</f>
        <v/>
      </c>
      <c r="AD473" s="7">
        <f>AB473+AC473</f>
        <v/>
      </c>
      <c r="AE473" s="32">
        <f>D473*2.1</f>
        <v/>
      </c>
      <c r="AF473" s="7">
        <f>AD473-AE473</f>
        <v/>
      </c>
      <c r="AG473" s="7">
        <f>AF473/AD473*100</f>
        <v/>
      </c>
      <c r="AH473" s="0" t="n">
        <v>645</v>
      </c>
      <c r="AI473" s="33" t="n">
        <v>395</v>
      </c>
      <c r="AJ473" s="34">
        <f>AD473</f>
        <v/>
      </c>
      <c r="AK473" s="34">
        <f>AJ473-(AJ473*7%)</f>
        <v/>
      </c>
      <c r="AL473" s="35">
        <f>AJ473/94</f>
        <v/>
      </c>
      <c r="AM473" s="35">
        <f>AK473/94</f>
        <v/>
      </c>
      <c r="AN473" s="36">
        <f>AJ473/24</f>
        <v/>
      </c>
      <c r="AO473" s="36">
        <f>AK473/24</f>
        <v/>
      </c>
      <c r="AP473" s="37">
        <f>AJ473/125</f>
        <v/>
      </c>
      <c r="AQ473" s="37">
        <f>AK473/125</f>
        <v/>
      </c>
    </row>
    <row r="474" ht="15.75" customHeight="1" s="50">
      <c r="A474" s="32" t="n"/>
      <c r="B474" s="32" t="inlineStr">
        <is>
          <t>All 3</t>
        </is>
      </c>
      <c r="C474" s="32" t="inlineStr">
        <is>
          <t>CO-MI-CS-SRE</t>
        </is>
      </c>
      <c r="D474" s="32" t="n">
        <v>830</v>
      </c>
      <c r="E474" s="32" t="n">
        <v>100</v>
      </c>
      <c r="G474" s="32" t="n">
        <v>0</v>
      </c>
      <c r="H474" s="32" t="n">
        <v>10</v>
      </c>
      <c r="I474" s="41" t="inlineStr">
        <is>
          <t>9504 00 90</t>
        </is>
      </c>
      <c r="J474" s="30" t="n">
        <v>0.18</v>
      </c>
      <c r="K474" s="32">
        <f>D474*J474</f>
        <v/>
      </c>
      <c r="M474" s="32">
        <f>D474*4%</f>
        <v/>
      </c>
      <c r="N474" s="49">
        <f>M474+L474+K474+H474+G474+F474+E474+D474</f>
        <v/>
      </c>
      <c r="O474" s="32">
        <f>D474*1%</f>
        <v/>
      </c>
      <c r="P474" s="7">
        <f>N474*8%</f>
        <v/>
      </c>
      <c r="Q474" s="7">
        <f>N474*10%</f>
        <v/>
      </c>
      <c r="R474" s="7">
        <f>N474*5%</f>
        <v/>
      </c>
      <c r="S474" s="7">
        <f>N474*2%</f>
        <v/>
      </c>
      <c r="T474" s="7">
        <f>AE474*0.5%</f>
        <v/>
      </c>
      <c r="U474" s="7">
        <f>N474*1%</f>
        <v/>
      </c>
      <c r="V474" s="31">
        <f>U474+S474+R474+Q474+P474+O474</f>
        <v/>
      </c>
      <c r="W474" s="32">
        <f>AE474*1%</f>
        <v/>
      </c>
      <c r="X474" s="32">
        <f>AE474*10%</f>
        <v/>
      </c>
      <c r="Y474" s="32">
        <f>AE474*1%</f>
        <v/>
      </c>
      <c r="Z474" s="32">
        <f>AE474*8%</f>
        <v/>
      </c>
      <c r="AA474" s="32">
        <f>W474+X474+Y474+Z474</f>
        <v/>
      </c>
      <c r="AB474" s="31">
        <f>AA474+V474+N474</f>
        <v/>
      </c>
      <c r="AC474" s="6">
        <f>AB474*20%</f>
        <v/>
      </c>
      <c r="AD474" s="7">
        <f>AB474+AC474</f>
        <v/>
      </c>
      <c r="AE474" s="32">
        <f>D474*2.1</f>
        <v/>
      </c>
      <c r="AF474" s="7">
        <f>AD474-AE474</f>
        <v/>
      </c>
      <c r="AG474" s="7">
        <f>AF474/AD474*100</f>
        <v/>
      </c>
      <c r="AI474" s="33" t="n"/>
      <c r="AJ474" s="34">
        <f>AD474</f>
        <v/>
      </c>
      <c r="AK474" s="34">
        <f>AJ474-(AJ474*7%)</f>
        <v/>
      </c>
      <c r="AL474" s="35">
        <f>AJ474/94</f>
        <v/>
      </c>
      <c r="AM474" s="35">
        <f>AK474/94</f>
        <v/>
      </c>
      <c r="AN474" s="36">
        <f>AJ474/24</f>
        <v/>
      </c>
      <c r="AO474" s="36">
        <f>AK474/24</f>
        <v/>
      </c>
      <c r="AP474" s="37">
        <f>AJ474/125</f>
        <v/>
      </c>
      <c r="AQ474" s="37">
        <f>AK474/125</f>
        <v/>
      </c>
    </row>
    <row r="475" ht="15.75" customHeight="1" s="50">
      <c r="A475" s="32" t="n"/>
      <c r="B475" s="32" t="inlineStr">
        <is>
          <t>Eye Shaped</t>
        </is>
      </c>
      <c r="C475" s="32" t="inlineStr">
        <is>
          <t>MI-CS-E</t>
        </is>
      </c>
      <c r="D475" s="32" t="n">
        <v>300</v>
      </c>
      <c r="E475" s="32" t="n">
        <v>50</v>
      </c>
      <c r="G475" s="32" t="n">
        <v>0</v>
      </c>
      <c r="H475" s="32" t="n">
        <v>10</v>
      </c>
      <c r="I475" s="41" t="inlineStr">
        <is>
          <t>9505 00 90</t>
        </is>
      </c>
      <c r="J475" s="30" t="n">
        <v>0.18</v>
      </c>
      <c r="K475" s="32">
        <f>D475*J475</f>
        <v/>
      </c>
      <c r="M475" s="32">
        <f>D475*4%</f>
        <v/>
      </c>
      <c r="N475" s="49">
        <f>M475+L475+K475+H475+G475+F475+E475+D475</f>
        <v/>
      </c>
      <c r="O475" s="32">
        <f>D475*1%</f>
        <v/>
      </c>
      <c r="P475" s="7">
        <f>N475*8%</f>
        <v/>
      </c>
      <c r="Q475" s="7">
        <f>N475*10%</f>
        <v/>
      </c>
      <c r="R475" s="7">
        <f>N475*5%</f>
        <v/>
      </c>
      <c r="S475" s="7">
        <f>N475*2%</f>
        <v/>
      </c>
      <c r="T475" s="7">
        <f>AE475*0.5%</f>
        <v/>
      </c>
      <c r="U475" s="7">
        <f>N475*1%</f>
        <v/>
      </c>
      <c r="V475" s="31">
        <f>U475+S475+R475+Q475+P475+O475</f>
        <v/>
      </c>
      <c r="W475" s="32">
        <f>AE475*1%</f>
        <v/>
      </c>
      <c r="X475" s="32">
        <f>AE475*10%</f>
        <v/>
      </c>
      <c r="Y475" s="32">
        <f>AE475*1%</f>
        <v/>
      </c>
      <c r="Z475" s="32">
        <f>AE475*8%</f>
        <v/>
      </c>
      <c r="AA475" s="32">
        <f>W475+X475+Y475+Z475</f>
        <v/>
      </c>
      <c r="AB475" s="31">
        <f>AA475+V475+N475</f>
        <v/>
      </c>
      <c r="AC475" s="6">
        <f>AB475*20%</f>
        <v/>
      </c>
      <c r="AD475" s="7">
        <f>AB475+AC475</f>
        <v/>
      </c>
      <c r="AE475" s="32">
        <f>D475*2.1</f>
        <v/>
      </c>
      <c r="AF475" s="7">
        <f>AD475-AE475</f>
        <v/>
      </c>
      <c r="AG475" s="7">
        <f>AF475/AD475*100</f>
        <v/>
      </c>
      <c r="AH475" s="0" t="n">
        <v>625</v>
      </c>
      <c r="AI475" s="33" t="n">
        <v>325</v>
      </c>
      <c r="AJ475" s="34">
        <f>AD475</f>
        <v/>
      </c>
      <c r="AK475" s="34">
        <f>AJ475-(AJ475*7%)</f>
        <v/>
      </c>
      <c r="AL475" s="35">
        <f>AJ475/94</f>
        <v/>
      </c>
      <c r="AM475" s="35">
        <f>AK475/94</f>
        <v/>
      </c>
      <c r="AN475" s="36">
        <f>AJ475/24</f>
        <v/>
      </c>
      <c r="AO475" s="36">
        <f>AK475/24</f>
        <v/>
      </c>
      <c r="AP475" s="37">
        <f>AJ475/125</f>
        <v/>
      </c>
      <c r="AQ475" s="37">
        <f>AK475/125</f>
        <v/>
      </c>
    </row>
    <row r="476" ht="15.75" customHeight="1" s="50">
      <c r="A476" s="32" t="n"/>
      <c r="B476" s="32" t="inlineStr">
        <is>
          <t>Square Shaped</t>
        </is>
      </c>
      <c r="C476" s="32" t="inlineStr">
        <is>
          <t>MI-CS-S</t>
        </is>
      </c>
      <c r="D476" s="32" t="n">
        <v>280</v>
      </c>
      <c r="E476" s="32" t="n">
        <v>50</v>
      </c>
      <c r="G476" s="32" t="n">
        <v>0</v>
      </c>
      <c r="H476" s="32" t="n">
        <v>10</v>
      </c>
      <c r="I476" s="41" t="inlineStr">
        <is>
          <t>9506 00 90</t>
        </is>
      </c>
      <c r="J476" s="30" t="n">
        <v>0.18</v>
      </c>
      <c r="K476" s="32">
        <f>D476*J476</f>
        <v/>
      </c>
      <c r="M476" s="32">
        <f>D476*4%</f>
        <v/>
      </c>
      <c r="N476" s="49">
        <f>M476+L476+K476+H476+G476+F476+E476+D476</f>
        <v/>
      </c>
      <c r="O476" s="32">
        <f>D476*1%</f>
        <v/>
      </c>
      <c r="P476" s="7">
        <f>N476*8%</f>
        <v/>
      </c>
      <c r="Q476" s="7">
        <f>N476*10%</f>
        <v/>
      </c>
      <c r="R476" s="7">
        <f>N476*5%</f>
        <v/>
      </c>
      <c r="S476" s="7">
        <f>N476*2%</f>
        <v/>
      </c>
      <c r="T476" s="7">
        <f>AE476*0.5%</f>
        <v/>
      </c>
      <c r="U476" s="7">
        <f>N476*1%</f>
        <v/>
      </c>
      <c r="V476" s="31">
        <f>U476+S476+R476+Q476+P476+O476</f>
        <v/>
      </c>
      <c r="W476" s="32">
        <f>AE476*1%</f>
        <v/>
      </c>
      <c r="X476" s="32">
        <f>AE476*10%</f>
        <v/>
      </c>
      <c r="Y476" s="32">
        <f>AE476*1%</f>
        <v/>
      </c>
      <c r="Z476" s="32">
        <f>AE476*8%</f>
        <v/>
      </c>
      <c r="AA476" s="32">
        <f>W476+X476+Y476+Z476</f>
        <v/>
      </c>
      <c r="AB476" s="31">
        <f>AA476+V476+N476</f>
        <v/>
      </c>
      <c r="AC476" s="6">
        <f>AB476*20%</f>
        <v/>
      </c>
      <c r="AD476" s="7">
        <f>AB476+AC476</f>
        <v/>
      </c>
      <c r="AE476" s="32">
        <f>D476*2.1</f>
        <v/>
      </c>
      <c r="AF476" s="7">
        <f>AD476-AE476</f>
        <v/>
      </c>
      <c r="AG476" s="7">
        <f>AF476/AD476*100</f>
        <v/>
      </c>
      <c r="AH476" s="0" t="n">
        <v>645</v>
      </c>
      <c r="AI476" s="33" t="n">
        <v>365</v>
      </c>
      <c r="AJ476" s="34">
        <f>AD476</f>
        <v/>
      </c>
      <c r="AK476" s="34">
        <f>AJ476-(AJ476*7%)</f>
        <v/>
      </c>
      <c r="AL476" s="35">
        <f>AJ476/94</f>
        <v/>
      </c>
      <c r="AM476" s="35">
        <f>AK476/94</f>
        <v/>
      </c>
      <c r="AN476" s="36">
        <f>AJ476/24</f>
        <v/>
      </c>
      <c r="AO476" s="36">
        <f>AK476/24</f>
        <v/>
      </c>
      <c r="AP476" s="37">
        <f>AJ476/125</f>
        <v/>
      </c>
      <c r="AQ476" s="37">
        <f>AK476/125</f>
        <v/>
      </c>
    </row>
    <row r="477" ht="15" customHeight="1" s="50">
      <c r="A477" s="32" t="inlineStr">
        <is>
          <t>Mini Tongue Drum</t>
        </is>
      </c>
      <c r="B477" s="32" t="inlineStr">
        <is>
          <t>Yellow</t>
        </is>
      </c>
      <c r="C477" s="32" t="inlineStr">
        <is>
          <t>MI-TD-6.3-Y</t>
        </is>
      </c>
      <c r="D477" s="32" t="inlineStr">
        <is>
          <t>Parasonjeet</t>
        </is>
      </c>
      <c r="G477" s="32" t="n">
        <v>0</v>
      </c>
      <c r="H477" s="32" t="n">
        <v>10</v>
      </c>
      <c r="I477" s="41" t="n">
        <v>92061000</v>
      </c>
      <c r="J477" s="30" t="n">
        <v>0.18</v>
      </c>
      <c r="K477" s="32">
        <f>D477*J477</f>
        <v/>
      </c>
      <c r="M477" s="32">
        <f>D477*4%</f>
        <v/>
      </c>
      <c r="N477" s="49">
        <f>M477+L477+K477+H477+G477+F477+E477+D477</f>
        <v/>
      </c>
      <c r="O477" s="32">
        <f>D477*1%</f>
        <v/>
      </c>
      <c r="P477" s="7">
        <f>N477*8%</f>
        <v/>
      </c>
      <c r="Q477" s="7">
        <f>N477*10%</f>
        <v/>
      </c>
      <c r="R477" s="7">
        <f>N477*5%</f>
        <v/>
      </c>
      <c r="S477" s="7">
        <f>N477*2%</f>
        <v/>
      </c>
      <c r="T477" s="7">
        <f>AE477*0.5%</f>
        <v/>
      </c>
      <c r="U477" s="7">
        <f>N477*1%</f>
        <v/>
      </c>
      <c r="V477" s="49">
        <f>U477+S477+R477+Q477+P477+O477</f>
        <v/>
      </c>
      <c r="W477" s="32">
        <f>AE477*1%</f>
        <v/>
      </c>
      <c r="X477" s="32">
        <f>AE477*10%</f>
        <v/>
      </c>
      <c r="Y477" s="32">
        <f>AE477*1%</f>
        <v/>
      </c>
      <c r="Z477" s="32">
        <f>AE477*8%</f>
        <v/>
      </c>
      <c r="AA477" s="32">
        <f>W477+X477+Y477+Z477</f>
        <v/>
      </c>
      <c r="AB477" s="31">
        <f>AA477+V477+N477</f>
        <v/>
      </c>
      <c r="AC477" s="6">
        <f>AB477*20%</f>
        <v/>
      </c>
      <c r="AD477" s="32">
        <f>AB477+AC477</f>
        <v/>
      </c>
      <c r="AE477" s="32">
        <f>D477*2.1</f>
        <v/>
      </c>
      <c r="AF477" s="7">
        <f>AD477-AE477</f>
        <v/>
      </c>
      <c r="AG477" s="7">
        <f>AF477/AD477*100</f>
        <v/>
      </c>
      <c r="AH477" s="0" t="n">
        <v>4950</v>
      </c>
      <c r="AI477" s="33" t="n"/>
      <c r="AJ477" s="34">
        <f>AD477</f>
        <v/>
      </c>
      <c r="AK477" s="34">
        <f>AJ477-(AJ477*7%)</f>
        <v/>
      </c>
      <c r="AL477" s="35">
        <f>AJ477/94</f>
        <v/>
      </c>
      <c r="AM477" s="35">
        <f>AK477/94</f>
        <v/>
      </c>
      <c r="AN477" s="36">
        <f>AJ477/24</f>
        <v/>
      </c>
      <c r="AO477" s="36">
        <f>AK477/24</f>
        <v/>
      </c>
      <c r="AP477" s="37">
        <f>AJ477/125</f>
        <v/>
      </c>
      <c r="AQ477" s="37">
        <f>AK477/125</f>
        <v/>
      </c>
    </row>
    <row r="478" ht="15.75" customHeight="1" s="50">
      <c r="A478" s="32" t="n"/>
      <c r="B478" s="32" t="inlineStr">
        <is>
          <t>Blue</t>
        </is>
      </c>
      <c r="C478" s="32" t="inlineStr">
        <is>
          <t>MI-TD-6.3-B</t>
        </is>
      </c>
      <c r="D478" s="32" t="inlineStr">
        <is>
          <t>Parasonjeet</t>
        </is>
      </c>
      <c r="G478" s="32" t="n">
        <v>0</v>
      </c>
      <c r="H478" s="32" t="n">
        <v>10</v>
      </c>
      <c r="I478" s="41" t="n">
        <v>92061000</v>
      </c>
      <c r="J478" s="30" t="n">
        <v>0.18</v>
      </c>
      <c r="K478" s="32">
        <f>D478*J478</f>
        <v/>
      </c>
      <c r="M478" s="32">
        <f>D478*4%</f>
        <v/>
      </c>
      <c r="N478" s="49">
        <f>M478+L478+K478+H478+G478+F478+E478+D478</f>
        <v/>
      </c>
      <c r="O478" s="32">
        <f>D478*1%</f>
        <v/>
      </c>
      <c r="P478" s="7">
        <f>N478*8%</f>
        <v/>
      </c>
      <c r="Q478" s="7">
        <f>N478*10%</f>
        <v/>
      </c>
      <c r="R478" s="7">
        <f>N478*5%</f>
        <v/>
      </c>
      <c r="S478" s="7">
        <f>N478*2%</f>
        <v/>
      </c>
      <c r="T478" s="7">
        <f>AE478*0.5%</f>
        <v/>
      </c>
      <c r="U478" s="7">
        <f>N478*1%</f>
        <v/>
      </c>
      <c r="V478" s="49">
        <f>U478+S478+R478+Q478+P478+O478</f>
        <v/>
      </c>
      <c r="W478" s="32">
        <f>AE478*1%</f>
        <v/>
      </c>
      <c r="X478" s="32">
        <f>AE478*10%</f>
        <v/>
      </c>
      <c r="Y478" s="32">
        <f>AE478*1%</f>
        <v/>
      </c>
      <c r="Z478" s="32">
        <f>AE478*8%</f>
        <v/>
      </c>
      <c r="AA478" s="32">
        <f>W478+X478+Y478+Z478</f>
        <v/>
      </c>
      <c r="AB478" s="31">
        <f>AA478+V478+N478</f>
        <v/>
      </c>
      <c r="AC478" s="6">
        <f>AB478*20%</f>
        <v/>
      </c>
      <c r="AD478" s="32">
        <f>AB478+AC478</f>
        <v/>
      </c>
      <c r="AE478" s="32">
        <f>D478*2.1</f>
        <v/>
      </c>
      <c r="AF478" s="7">
        <f>AD478-AE478</f>
        <v/>
      </c>
      <c r="AG478" s="7">
        <f>AF478/AD478*100</f>
        <v/>
      </c>
      <c r="AH478" s="0" t="n">
        <v>4950</v>
      </c>
      <c r="AI478" s="33" t="n"/>
      <c r="AJ478" s="34">
        <f>AD478</f>
        <v/>
      </c>
      <c r="AK478" s="34">
        <f>AJ478-(AJ478*7%)</f>
        <v/>
      </c>
      <c r="AL478" s="35">
        <f>AJ478/94</f>
        <v/>
      </c>
      <c r="AM478" s="35">
        <f>AK478/94</f>
        <v/>
      </c>
      <c r="AN478" s="36">
        <f>AJ478/24</f>
        <v/>
      </c>
      <c r="AO478" s="36">
        <f>AK478/24</f>
        <v/>
      </c>
      <c r="AP478" s="37">
        <f>AJ478/125</f>
        <v/>
      </c>
      <c r="AQ478" s="37">
        <f>AK478/125</f>
        <v/>
      </c>
    </row>
    <row r="479" ht="15.75" customHeight="1" s="50">
      <c r="A479" s="32" t="n"/>
      <c r="B479" s="32" t="inlineStr">
        <is>
          <t>Green</t>
        </is>
      </c>
      <c r="C479" s="32" t="inlineStr">
        <is>
          <t>MI-TD-6.3-G</t>
        </is>
      </c>
      <c r="D479" s="32" t="inlineStr">
        <is>
          <t>Parasonjeet</t>
        </is>
      </c>
      <c r="G479" s="32" t="n">
        <v>0</v>
      </c>
      <c r="H479" s="32" t="n">
        <v>10</v>
      </c>
      <c r="I479" s="41" t="n">
        <v>92061000</v>
      </c>
      <c r="J479" s="30" t="n">
        <v>0.18</v>
      </c>
      <c r="K479" s="32">
        <f>D479*J479</f>
        <v/>
      </c>
      <c r="M479" s="32">
        <f>D479*4%</f>
        <v/>
      </c>
      <c r="N479" s="49">
        <f>M479+L479+K479+H479+G479+F479+E479+D479</f>
        <v/>
      </c>
      <c r="O479" s="32">
        <f>D479*1%</f>
        <v/>
      </c>
      <c r="P479" s="7">
        <f>N479*8%</f>
        <v/>
      </c>
      <c r="Q479" s="7">
        <f>N479*10%</f>
        <v/>
      </c>
      <c r="R479" s="7">
        <f>N479*5%</f>
        <v/>
      </c>
      <c r="S479" s="7">
        <f>N479*2%</f>
        <v/>
      </c>
      <c r="T479" s="7">
        <f>AE479*0.5%</f>
        <v/>
      </c>
      <c r="U479" s="7">
        <f>N479*1%</f>
        <v/>
      </c>
      <c r="V479" s="49">
        <f>U479+S479+R479+Q479+P479+O479</f>
        <v/>
      </c>
      <c r="W479" s="32">
        <f>AE479*1%</f>
        <v/>
      </c>
      <c r="X479" s="32">
        <f>AE479*10%</f>
        <v/>
      </c>
      <c r="Y479" s="32">
        <f>AE479*1%</f>
        <v/>
      </c>
      <c r="Z479" s="32">
        <f>AE479*8%</f>
        <v/>
      </c>
      <c r="AA479" s="32">
        <f>W479+X479+Y479+Z479</f>
        <v/>
      </c>
      <c r="AB479" s="31">
        <f>AA479+V479+N479</f>
        <v/>
      </c>
      <c r="AC479" s="6">
        <f>AB479*20%</f>
        <v/>
      </c>
      <c r="AD479" s="32">
        <f>AB479+AC479</f>
        <v/>
      </c>
      <c r="AE479" s="32">
        <f>D479*2.1</f>
        <v/>
      </c>
      <c r="AF479" s="7">
        <f>AD479-AE479</f>
        <v/>
      </c>
      <c r="AG479" s="7">
        <f>AF479/AD479*100</f>
        <v/>
      </c>
      <c r="AH479" s="0" t="n">
        <v>4950</v>
      </c>
      <c r="AI479" s="33" t="n"/>
      <c r="AJ479" s="34">
        <f>AD479</f>
        <v/>
      </c>
      <c r="AK479" s="34">
        <f>AJ479-(AJ479*7%)</f>
        <v/>
      </c>
      <c r="AL479" s="35">
        <f>AJ479/94</f>
        <v/>
      </c>
      <c r="AM479" s="35">
        <f>AK479/94</f>
        <v/>
      </c>
      <c r="AN479" s="36">
        <f>AJ479/24</f>
        <v/>
      </c>
      <c r="AO479" s="36">
        <f>AK479/24</f>
        <v/>
      </c>
      <c r="AP479" s="37">
        <f>AJ479/125</f>
        <v/>
      </c>
      <c r="AQ479" s="37">
        <f>AK479/125</f>
        <v/>
      </c>
    </row>
    <row r="480" ht="15.75" customHeight="1" s="50">
      <c r="A480" s="32" t="n"/>
      <c r="B480" s="32" t="inlineStr">
        <is>
          <t>Purple</t>
        </is>
      </c>
      <c r="C480" s="32" t="inlineStr">
        <is>
          <t>MI-TD-6.3-P</t>
        </is>
      </c>
      <c r="D480" s="32" t="inlineStr">
        <is>
          <t>Parasonjeet</t>
        </is>
      </c>
      <c r="G480" s="32" t="n">
        <v>0</v>
      </c>
      <c r="H480" s="32" t="n">
        <v>10</v>
      </c>
      <c r="I480" s="41" t="n">
        <v>92061000</v>
      </c>
      <c r="J480" s="30" t="n">
        <v>0.18</v>
      </c>
      <c r="K480" s="32">
        <f>D480*J480</f>
        <v/>
      </c>
      <c r="M480" s="32">
        <f>D480*4%</f>
        <v/>
      </c>
      <c r="N480" s="49">
        <f>M480+L480+K480+H480+G480+F480+E480+D480</f>
        <v/>
      </c>
      <c r="O480" s="32">
        <f>D480*1%</f>
        <v/>
      </c>
      <c r="P480" s="7">
        <f>N480*8%</f>
        <v/>
      </c>
      <c r="Q480" s="7">
        <f>N480*10%</f>
        <v/>
      </c>
      <c r="R480" s="7">
        <f>N480*5%</f>
        <v/>
      </c>
      <c r="S480" s="7">
        <f>N480*2%</f>
        <v/>
      </c>
      <c r="T480" s="7">
        <f>AE480*0.5%</f>
        <v/>
      </c>
      <c r="U480" s="7">
        <f>N480*1%</f>
        <v/>
      </c>
      <c r="V480" s="49">
        <f>U480+S480+R480+Q480+P480+O480</f>
        <v/>
      </c>
      <c r="W480" s="32">
        <f>AE480*1%</f>
        <v/>
      </c>
      <c r="X480" s="32">
        <f>AE480*10%</f>
        <v/>
      </c>
      <c r="Y480" s="32">
        <f>AE480*1%</f>
        <v/>
      </c>
      <c r="Z480" s="32">
        <f>AE480*8%</f>
        <v/>
      </c>
      <c r="AA480" s="32">
        <f>W480+X480+Y480+Z480</f>
        <v/>
      </c>
      <c r="AB480" s="31">
        <f>AA480+V480+N480</f>
        <v/>
      </c>
      <c r="AC480" s="6">
        <f>AB480*20%</f>
        <v/>
      </c>
      <c r="AD480" s="32">
        <f>AB480+AC480</f>
        <v/>
      </c>
      <c r="AE480" s="32">
        <f>D480*2.1</f>
        <v/>
      </c>
      <c r="AF480" s="7">
        <f>AD480-AE480</f>
        <v/>
      </c>
      <c r="AG480" s="7">
        <f>AF480/AD480*100</f>
        <v/>
      </c>
      <c r="AH480" s="0" t="n">
        <v>4950</v>
      </c>
      <c r="AI480" s="33" t="n"/>
      <c r="AJ480" s="34">
        <f>AD480</f>
        <v/>
      </c>
      <c r="AK480" s="34">
        <f>AJ480-(AJ480*7%)</f>
        <v/>
      </c>
      <c r="AL480" s="35">
        <f>AJ480/94</f>
        <v/>
      </c>
      <c r="AM480" s="35">
        <f>AK480/94</f>
        <v/>
      </c>
      <c r="AN480" s="36">
        <f>AJ480/24</f>
        <v/>
      </c>
      <c r="AO480" s="36">
        <f>AK480/24</f>
        <v/>
      </c>
      <c r="AP480" s="37">
        <f>AJ480/125</f>
        <v/>
      </c>
      <c r="AQ480" s="37">
        <f>AK480/125</f>
        <v/>
      </c>
    </row>
    <row r="481" ht="15" customHeight="1" s="50">
      <c r="A481" s="32" t="inlineStr">
        <is>
          <t>Musical Wooden Frog</t>
        </is>
      </c>
      <c r="B481" s="32" t="inlineStr">
        <is>
          <t>Standard</t>
        </is>
      </c>
      <c r="C481" s="32" t="inlineStr">
        <is>
          <t>MI-WF-S</t>
        </is>
      </c>
      <c r="D481" s="32" t="inlineStr">
        <is>
          <t>Parasonjeet</t>
        </is>
      </c>
      <c r="E481" s="32" t="n">
        <v>50</v>
      </c>
      <c r="G481" s="32" t="n">
        <v>0</v>
      </c>
      <c r="H481" s="32" t="n">
        <v>10</v>
      </c>
      <c r="I481" s="41" t="n">
        <v>92061000</v>
      </c>
      <c r="J481" s="30" t="n">
        <v>0.18</v>
      </c>
      <c r="K481" s="32">
        <f>D481*J481</f>
        <v/>
      </c>
      <c r="M481" s="32">
        <f>D481*4%</f>
        <v/>
      </c>
      <c r="N481" s="49">
        <f>M481+L481+K481+H481+G481+F481+E481+D481</f>
        <v/>
      </c>
      <c r="O481" s="32">
        <f>D481*1%</f>
        <v/>
      </c>
      <c r="P481" s="7">
        <f>N481*8%</f>
        <v/>
      </c>
      <c r="Q481" s="7">
        <f>N481*10%</f>
        <v/>
      </c>
      <c r="R481" s="7">
        <f>N481*5%</f>
        <v/>
      </c>
      <c r="S481" s="7">
        <f>N481*2%</f>
        <v/>
      </c>
      <c r="T481" s="7">
        <f>AE481*0.5%</f>
        <v/>
      </c>
      <c r="U481" s="7">
        <f>N481*1%</f>
        <v/>
      </c>
      <c r="V481" s="49">
        <f>U481+S481+R481+Q481+P481+O481</f>
        <v/>
      </c>
      <c r="W481" s="32">
        <f>AE481*1%</f>
        <v/>
      </c>
      <c r="X481" s="32">
        <f>AE481*10%</f>
        <v/>
      </c>
      <c r="Y481" s="32">
        <f>AE481*1%</f>
        <v/>
      </c>
      <c r="Z481" s="32">
        <f>AE481*8%</f>
        <v/>
      </c>
      <c r="AA481" s="32">
        <f>W481+X481+Y481+Z481</f>
        <v/>
      </c>
      <c r="AB481" s="31">
        <f>AA481+V481+N481</f>
        <v/>
      </c>
      <c r="AC481" s="6">
        <f>AB481*20%</f>
        <v/>
      </c>
      <c r="AD481" s="32">
        <f>AB481+AC481</f>
        <v/>
      </c>
      <c r="AE481" s="32">
        <f>D481*2.1</f>
        <v/>
      </c>
      <c r="AF481" s="7">
        <f>AD481-AE481</f>
        <v/>
      </c>
      <c r="AG481" s="7">
        <f>AF481/AD481*100</f>
        <v/>
      </c>
      <c r="AH481" s="0" t="n">
        <v>950</v>
      </c>
      <c r="AI481" s="33" t="n"/>
      <c r="AJ481" s="34">
        <f>AD481</f>
        <v/>
      </c>
      <c r="AK481" s="34">
        <f>AJ481-(AJ481*7%)</f>
        <v/>
      </c>
      <c r="AL481" s="35">
        <f>AJ481/94</f>
        <v/>
      </c>
      <c r="AM481" s="35">
        <f>AK481/94</f>
        <v/>
      </c>
      <c r="AN481" s="36">
        <f>AJ481/24</f>
        <v/>
      </c>
      <c r="AO481" s="36">
        <f>AK481/24</f>
        <v/>
      </c>
      <c r="AP481" s="37">
        <f>AJ481/125</f>
        <v/>
      </c>
      <c r="AQ481" s="37">
        <f>AK481/125</f>
        <v/>
      </c>
    </row>
    <row r="482" ht="15.75" customHeight="1" s="50">
      <c r="A482" s="32" t="n"/>
      <c r="B482" s="32" t="inlineStr">
        <is>
          <t>Large</t>
        </is>
      </c>
      <c r="C482" s="32" t="inlineStr">
        <is>
          <t>MI-WF-L</t>
        </is>
      </c>
      <c r="D482" s="32" t="n">
        <v>100</v>
      </c>
      <c r="G482" s="32" t="n">
        <v>0</v>
      </c>
      <c r="H482" s="32" t="n">
        <v>10</v>
      </c>
      <c r="I482" s="41" t="inlineStr">
        <is>
          <t>9507 00 90</t>
        </is>
      </c>
      <c r="J482" s="30" t="n">
        <v>0.18</v>
      </c>
      <c r="K482" s="32">
        <f>D482*J482</f>
        <v/>
      </c>
      <c r="L482" s="32">
        <f>D482*5%</f>
        <v/>
      </c>
      <c r="M482" s="32">
        <f>D482*4%</f>
        <v/>
      </c>
      <c r="N482" s="49">
        <f>M482+L482+K482+H482+G482+F482+E482+D482</f>
        <v/>
      </c>
      <c r="O482" s="32">
        <f>D482*1%</f>
        <v/>
      </c>
      <c r="P482" s="7">
        <f>N482*8%</f>
        <v/>
      </c>
      <c r="Q482" s="7">
        <f>N482*10%</f>
        <v/>
      </c>
      <c r="R482" s="7">
        <f>N482*5%</f>
        <v/>
      </c>
      <c r="S482" s="7">
        <f>N482*2%</f>
        <v/>
      </c>
      <c r="T482" s="7">
        <f>AE482*0.5%</f>
        <v/>
      </c>
      <c r="U482" s="7">
        <f>N482*1%</f>
        <v/>
      </c>
      <c r="V482" s="31">
        <f>U482+S482+R482+Q482+P482+O482</f>
        <v/>
      </c>
      <c r="W482" s="32">
        <f>AE482*1%</f>
        <v/>
      </c>
      <c r="X482" s="32">
        <f>AE482*10%</f>
        <v/>
      </c>
      <c r="Y482" s="32">
        <f>AE482*1%</f>
        <v/>
      </c>
      <c r="Z482" s="32">
        <f>AE482*8%</f>
        <v/>
      </c>
      <c r="AA482" s="32">
        <f>W482+X482+Y482+Z482</f>
        <v/>
      </c>
      <c r="AB482" s="31">
        <f>AA482+V482+N482</f>
        <v/>
      </c>
      <c r="AC482" s="6">
        <f>AB482*20%</f>
        <v/>
      </c>
      <c r="AD482" s="7">
        <f>AB482+AC482</f>
        <v/>
      </c>
      <c r="AE482" s="32">
        <f>D482*2.1</f>
        <v/>
      </c>
      <c r="AF482" s="7">
        <f>AD482-AE482</f>
        <v/>
      </c>
      <c r="AG482" s="7">
        <f>AF482/AD482*100</f>
        <v/>
      </c>
      <c r="AH482" s="0" t="n">
        <v>1350</v>
      </c>
      <c r="AI482" s="33" t="n">
        <v>1250</v>
      </c>
      <c r="AJ482" s="34">
        <f>AD482</f>
        <v/>
      </c>
      <c r="AK482" s="34">
        <f>AJ482-(AJ482*7%)</f>
        <v/>
      </c>
      <c r="AL482" s="35">
        <f>AJ482/94</f>
        <v/>
      </c>
      <c r="AM482" s="35">
        <f>AK482/94</f>
        <v/>
      </c>
      <c r="AN482" s="36">
        <f>AJ482/24</f>
        <v/>
      </c>
      <c r="AO482" s="36">
        <f>AK482/24</f>
        <v/>
      </c>
      <c r="AP482" s="37">
        <f>AJ482/125</f>
        <v/>
      </c>
      <c r="AQ482" s="37">
        <f>AK482/125</f>
        <v/>
      </c>
    </row>
    <row r="483" ht="15.75" customHeight="1" s="50">
      <c r="A483" s="32" t="inlineStr">
        <is>
          <t>Native American Style Flute – Handcrafted Wooden Melody Maker</t>
        </is>
      </c>
      <c r="B483" s="32" t="inlineStr">
        <is>
          <t>Standard</t>
        </is>
      </c>
      <c r="D483" s="32" t="n">
        <v>11000</v>
      </c>
      <c r="G483" s="32" t="n">
        <v>0</v>
      </c>
      <c r="H483" s="32" t="n">
        <v>10</v>
      </c>
      <c r="I483" s="41" t="n">
        <v>92059010</v>
      </c>
      <c r="J483" s="30" t="n">
        <v>0.18</v>
      </c>
      <c r="K483" s="32">
        <f>D483*J483</f>
        <v/>
      </c>
      <c r="M483" s="32">
        <f>D483*4%</f>
        <v/>
      </c>
      <c r="N483" s="49">
        <f>M483+L483+K483+H483+G483+F483+E483+D483</f>
        <v/>
      </c>
      <c r="O483" s="32">
        <f>D483*1%</f>
        <v/>
      </c>
      <c r="P483" s="7">
        <f>N483*8%</f>
        <v/>
      </c>
      <c r="Q483" s="7">
        <f>N483*10%</f>
        <v/>
      </c>
      <c r="R483" s="7">
        <f>N483*5%</f>
        <v/>
      </c>
      <c r="S483" s="7">
        <f>N483*2%</f>
        <v/>
      </c>
      <c r="T483" s="7">
        <f>AE483*0.5%</f>
        <v/>
      </c>
      <c r="U483" s="7">
        <f>N483*1%</f>
        <v/>
      </c>
      <c r="V483" s="31">
        <f>U483+S483+R483+Q483+P483+O483</f>
        <v/>
      </c>
      <c r="W483" s="32">
        <f>AE483*1%</f>
        <v/>
      </c>
      <c r="X483" s="32">
        <f>AE483*10%</f>
        <v/>
      </c>
      <c r="Y483" s="32">
        <f>AE483*1%</f>
        <v/>
      </c>
      <c r="Z483" s="32">
        <f>AE483*8%</f>
        <v/>
      </c>
      <c r="AA483" s="32">
        <f>W483+X483+Y483+Z483</f>
        <v/>
      </c>
      <c r="AB483" s="31">
        <f>AA483+V483+N483</f>
        <v/>
      </c>
      <c r="AC483" s="6">
        <f>AB483*20%</f>
        <v/>
      </c>
      <c r="AD483" s="7">
        <f>AB483+AC483</f>
        <v/>
      </c>
      <c r="AE483" s="32">
        <f>D483*2.1</f>
        <v/>
      </c>
      <c r="AF483" s="7">
        <f>AD483-AE483</f>
        <v/>
      </c>
      <c r="AG483" s="7">
        <f>AF483/AD483*100</f>
        <v/>
      </c>
      <c r="AI483" s="33" t="n"/>
      <c r="AJ483" s="34">
        <f>AD483</f>
        <v/>
      </c>
      <c r="AK483" s="34">
        <f>AJ483-(AJ483*7%)</f>
        <v/>
      </c>
      <c r="AL483" s="35">
        <f>AJ483/94</f>
        <v/>
      </c>
      <c r="AM483" s="35">
        <f>AK483/94</f>
        <v/>
      </c>
      <c r="AN483" s="36">
        <f>AJ483/24</f>
        <v/>
      </c>
      <c r="AO483" s="36">
        <f>AK483/24</f>
        <v/>
      </c>
      <c r="AP483" s="37">
        <f>AJ483/125</f>
        <v/>
      </c>
      <c r="AQ483" s="37">
        <f>AK483/125</f>
        <v/>
      </c>
    </row>
    <row r="484" ht="15.75" customHeight="1" s="50">
      <c r="A484" s="32" t="inlineStr">
        <is>
          <t>Natural Bamboo Xylophone with 5 Keys</t>
        </is>
      </c>
      <c r="B484" s="32" t="inlineStr">
        <is>
          <t>Standard</t>
        </is>
      </c>
      <c r="C484" s="32" t="inlineStr">
        <is>
          <t>MI-XP-B-5</t>
        </is>
      </c>
      <c r="D484" s="32" t="n">
        <v>800</v>
      </c>
      <c r="G484" s="32" t="n">
        <v>0</v>
      </c>
      <c r="H484" s="32" t="n">
        <v>10</v>
      </c>
      <c r="I484" s="41" t="n">
        <v>920600</v>
      </c>
      <c r="J484" s="30" t="n">
        <v>0.18</v>
      </c>
      <c r="K484" s="32">
        <f>D484*J484</f>
        <v/>
      </c>
      <c r="L484" s="32">
        <f>D484*5%</f>
        <v/>
      </c>
      <c r="M484" s="32">
        <f>D484*4%</f>
        <v/>
      </c>
      <c r="N484" s="49">
        <f>M484+L484+K484+H484+G484+F484+E484+D484</f>
        <v/>
      </c>
      <c r="O484" s="32">
        <f>D484*1%</f>
        <v/>
      </c>
      <c r="P484" s="7">
        <f>N484*8%</f>
        <v/>
      </c>
      <c r="Q484" s="7">
        <f>N484*10%</f>
        <v/>
      </c>
      <c r="R484" s="7">
        <f>N484*5%</f>
        <v/>
      </c>
      <c r="S484" s="7">
        <f>N484*2%</f>
        <v/>
      </c>
      <c r="T484" s="7">
        <f>AE484*0.5%</f>
        <v/>
      </c>
      <c r="U484" s="7">
        <f>N484*1%</f>
        <v/>
      </c>
      <c r="V484" s="31">
        <f>U484+S484+R484+Q484+P484+O484</f>
        <v/>
      </c>
      <c r="W484" s="32">
        <f>AE484*1%</f>
        <v/>
      </c>
      <c r="X484" s="32">
        <f>AE484*10%</f>
        <v/>
      </c>
      <c r="Y484" s="32">
        <f>AE484*1%</f>
        <v/>
      </c>
      <c r="Z484" s="32">
        <f>AE484*8%</f>
        <v/>
      </c>
      <c r="AA484" s="32">
        <f>W484+X484+Y484+Z484</f>
        <v/>
      </c>
      <c r="AB484" s="31">
        <f>AA484+V484+N484</f>
        <v/>
      </c>
      <c r="AC484" s="6">
        <f>AB484*20%</f>
        <v/>
      </c>
      <c r="AD484" s="7">
        <f>AB484+AC484</f>
        <v/>
      </c>
      <c r="AE484" s="32">
        <f>D484*2.1</f>
        <v/>
      </c>
      <c r="AF484" s="7">
        <f>AD484-AE484</f>
        <v/>
      </c>
      <c r="AG484" s="7">
        <f>AF484/AD484*100</f>
        <v/>
      </c>
      <c r="AH484" s="0" t="n">
        <v>2450</v>
      </c>
      <c r="AI484" s="33" t="n">
        <v>1650</v>
      </c>
      <c r="AJ484" s="34">
        <f>AD484</f>
        <v/>
      </c>
      <c r="AK484" s="34">
        <f>AJ484-(AJ484*7%)</f>
        <v/>
      </c>
      <c r="AL484" s="35">
        <f>AJ484/94</f>
        <v/>
      </c>
      <c r="AM484" s="35">
        <f>AK484/94</f>
        <v/>
      </c>
      <c r="AN484" s="36">
        <f>AJ484/24</f>
        <v/>
      </c>
      <c r="AO484" s="36">
        <f>AK484/24</f>
        <v/>
      </c>
      <c r="AP484" s="37">
        <f>AJ484/125</f>
        <v/>
      </c>
      <c r="AQ484" s="37">
        <f>AK484/125</f>
        <v/>
      </c>
    </row>
    <row r="485" ht="15" customHeight="1" s="50">
      <c r="A485" s="32" t="inlineStr">
        <is>
          <t>Natural Lavender Scented Eye Pillows</t>
        </is>
      </c>
      <c r="B485" s="32" t="inlineStr">
        <is>
          <t>Rose</t>
        </is>
      </c>
      <c r="C485" s="32" t="inlineStr">
        <is>
          <t>Yo-P-E-RE</t>
        </is>
      </c>
      <c r="D485" s="32" t="n">
        <v>175</v>
      </c>
      <c r="G485" s="32" t="n">
        <v>0</v>
      </c>
      <c r="H485" s="32" t="n">
        <v>10</v>
      </c>
      <c r="I485" s="41" t="n">
        <v>94041000</v>
      </c>
      <c r="J485" s="30" t="n">
        <v>0.18</v>
      </c>
      <c r="K485" s="32">
        <f>D485*J485</f>
        <v/>
      </c>
      <c r="M485" s="32">
        <f>D485*4%</f>
        <v/>
      </c>
      <c r="N485" s="49">
        <f>M485+L485+K485+H485+G485+F485+E485+D485</f>
        <v/>
      </c>
      <c r="O485" s="32">
        <f>D485*1%</f>
        <v/>
      </c>
      <c r="P485" s="7">
        <f>N485*8%</f>
        <v/>
      </c>
      <c r="Q485" s="7">
        <f>N485*10%</f>
        <v/>
      </c>
      <c r="R485" s="7">
        <f>N485*5%</f>
        <v/>
      </c>
      <c r="S485" s="7">
        <f>N485*2%</f>
        <v/>
      </c>
      <c r="T485" s="7">
        <f>AE485*0.5%</f>
        <v/>
      </c>
      <c r="U485" s="7">
        <f>N485*1%</f>
        <v/>
      </c>
      <c r="V485" s="31">
        <f>U485+S485+R485+Q485+P485+O485</f>
        <v/>
      </c>
      <c r="W485" s="32">
        <f>AE485*1%</f>
        <v/>
      </c>
      <c r="X485" s="32">
        <f>AE485*10%</f>
        <v/>
      </c>
      <c r="Y485" s="32">
        <f>AE485*1%</f>
        <v/>
      </c>
      <c r="Z485" s="32">
        <f>AE485*8%</f>
        <v/>
      </c>
      <c r="AA485" s="32">
        <f>W485+X485+Y485+Z485</f>
        <v/>
      </c>
      <c r="AB485" s="31">
        <f>AA485+V485+N485</f>
        <v/>
      </c>
      <c r="AC485" s="6">
        <f>AB485*20%</f>
        <v/>
      </c>
      <c r="AD485" s="7">
        <f>AB485+AC485</f>
        <v/>
      </c>
      <c r="AE485" s="32">
        <f>D485*2.1</f>
        <v/>
      </c>
      <c r="AF485" s="7">
        <f>AD485-AE485</f>
        <v/>
      </c>
      <c r="AG485" s="7">
        <f>AF485/AD485*100</f>
        <v/>
      </c>
      <c r="AH485" s="0" t="n">
        <v>395</v>
      </c>
      <c r="AI485" s="33" t="n">
        <v>220</v>
      </c>
      <c r="AJ485" s="34">
        <f>AD485</f>
        <v/>
      </c>
      <c r="AK485" s="34">
        <f>AJ485-(AJ485*7%)</f>
        <v/>
      </c>
      <c r="AL485" s="35">
        <f>AJ485/94</f>
        <v/>
      </c>
      <c r="AM485" s="35">
        <f>AK485/94</f>
        <v/>
      </c>
      <c r="AN485" s="36">
        <f>AJ485/24</f>
        <v/>
      </c>
      <c r="AO485" s="36">
        <f>AK485/24</f>
        <v/>
      </c>
      <c r="AP485" s="37">
        <f>AJ485/125</f>
        <v/>
      </c>
      <c r="AQ485" s="37">
        <f>AK485/125</f>
        <v/>
      </c>
    </row>
    <row r="486" ht="15.75" customHeight="1" s="50">
      <c r="A486" s="32" t="n"/>
      <c r="B486" s="32" t="inlineStr">
        <is>
          <t>Dark Grey</t>
        </is>
      </c>
      <c r="C486" s="32" t="inlineStr">
        <is>
          <t>Yo-P-E-DG</t>
        </is>
      </c>
      <c r="D486" s="32" t="n">
        <v>175</v>
      </c>
      <c r="G486" s="32" t="n">
        <v>0</v>
      </c>
      <c r="H486" s="32" t="n">
        <v>10</v>
      </c>
      <c r="I486" s="41" t="n">
        <v>94041000</v>
      </c>
      <c r="J486" s="30" t="n">
        <v>0.18</v>
      </c>
      <c r="K486" s="32">
        <f>D486*J486</f>
        <v/>
      </c>
      <c r="M486" s="32">
        <f>D486*4%</f>
        <v/>
      </c>
      <c r="N486" s="49">
        <f>M486+L486+K486+H486+G486+F486+E486+D486</f>
        <v/>
      </c>
      <c r="O486" s="32">
        <f>D486*1%</f>
        <v/>
      </c>
      <c r="P486" s="7">
        <f>N486*8%</f>
        <v/>
      </c>
      <c r="Q486" s="7">
        <f>N486*10%</f>
        <v/>
      </c>
      <c r="R486" s="7">
        <f>N486*5%</f>
        <v/>
      </c>
      <c r="S486" s="7">
        <f>N486*2%</f>
        <v/>
      </c>
      <c r="T486" s="7">
        <f>AE486*0.5%</f>
        <v/>
      </c>
      <c r="U486" s="7">
        <f>N486*1%</f>
        <v/>
      </c>
      <c r="V486" s="31">
        <f>U486+S486+R486+Q486+P486+O486</f>
        <v/>
      </c>
      <c r="W486" s="32">
        <f>AE486*1%</f>
        <v/>
      </c>
      <c r="X486" s="32">
        <f>AE486*10%</f>
        <v/>
      </c>
      <c r="Y486" s="32">
        <f>AE486*1%</f>
        <v/>
      </c>
      <c r="Z486" s="32">
        <f>AE486*8%</f>
        <v/>
      </c>
      <c r="AA486" s="32">
        <f>W486+X486+Y486+Z486</f>
        <v/>
      </c>
      <c r="AB486" s="31">
        <f>AA486+V486+N486</f>
        <v/>
      </c>
      <c r="AC486" s="6">
        <f>AB486*20%</f>
        <v/>
      </c>
      <c r="AD486" s="7">
        <f>AB486+AC486</f>
        <v/>
      </c>
      <c r="AE486" s="32">
        <f>D486*2.1</f>
        <v/>
      </c>
      <c r="AF486" s="7">
        <f>AD486-AE486</f>
        <v/>
      </c>
      <c r="AG486" s="7">
        <f>AF486/AD486*100</f>
        <v/>
      </c>
      <c r="AH486" s="0" t="n">
        <v>395</v>
      </c>
      <c r="AI486" s="33" t="n">
        <v>220</v>
      </c>
      <c r="AJ486" s="34">
        <f>AD486</f>
        <v/>
      </c>
      <c r="AK486" s="34">
        <f>AJ486-(AJ486*7%)</f>
        <v/>
      </c>
      <c r="AL486" s="35">
        <f>AJ486/94</f>
        <v/>
      </c>
      <c r="AM486" s="35">
        <f>AK486/94</f>
        <v/>
      </c>
      <c r="AN486" s="36">
        <f>AJ486/24</f>
        <v/>
      </c>
      <c r="AO486" s="36">
        <f>AK486/24</f>
        <v/>
      </c>
      <c r="AP486" s="37">
        <f>AJ486/125</f>
        <v/>
      </c>
      <c r="AQ486" s="37">
        <f>AK486/125</f>
        <v/>
      </c>
    </row>
    <row r="487" ht="15.75" customHeight="1" s="50">
      <c r="A487" s="32" t="n"/>
      <c r="B487" s="32" t="inlineStr">
        <is>
          <t>Grey</t>
        </is>
      </c>
      <c r="C487" s="32" t="inlineStr">
        <is>
          <t>Yo-P-E-GY</t>
        </is>
      </c>
      <c r="D487" s="32" t="n">
        <v>175</v>
      </c>
      <c r="G487" s="32" t="n">
        <v>0</v>
      </c>
      <c r="H487" s="32" t="n">
        <v>10</v>
      </c>
      <c r="I487" s="41" t="n">
        <v>94041000</v>
      </c>
      <c r="J487" s="30" t="n">
        <v>0.18</v>
      </c>
      <c r="K487" s="32">
        <f>D487*J487</f>
        <v/>
      </c>
      <c r="M487" s="32">
        <f>D487*4%</f>
        <v/>
      </c>
      <c r="N487" s="49">
        <f>M487+L487+K487+H487+G487+F487+E487+D487</f>
        <v/>
      </c>
      <c r="O487" s="32">
        <f>D487*1%</f>
        <v/>
      </c>
      <c r="P487" s="7">
        <f>N487*8%</f>
        <v/>
      </c>
      <c r="Q487" s="7">
        <f>N487*10%</f>
        <v/>
      </c>
      <c r="R487" s="7">
        <f>N487*5%</f>
        <v/>
      </c>
      <c r="S487" s="7">
        <f>N487*2%</f>
        <v/>
      </c>
      <c r="T487" s="7">
        <f>AE487*0.5%</f>
        <v/>
      </c>
      <c r="U487" s="7">
        <f>N487*1%</f>
        <v/>
      </c>
      <c r="V487" s="31">
        <f>U487+S487+R487+Q487+P487+O487</f>
        <v/>
      </c>
      <c r="W487" s="32">
        <f>AE487*1%</f>
        <v/>
      </c>
      <c r="X487" s="32">
        <f>AE487*10%</f>
        <v/>
      </c>
      <c r="Y487" s="32">
        <f>AE487*1%</f>
        <v/>
      </c>
      <c r="Z487" s="32">
        <f>AE487*8%</f>
        <v/>
      </c>
      <c r="AA487" s="32">
        <f>W487+X487+Y487+Z487</f>
        <v/>
      </c>
      <c r="AB487" s="31">
        <f>AA487+V487+N487</f>
        <v/>
      </c>
      <c r="AC487" s="6">
        <f>AB487*20%</f>
        <v/>
      </c>
      <c r="AD487" s="7">
        <f>AB487+AC487</f>
        <v/>
      </c>
      <c r="AE487" s="32">
        <f>D487*2.1</f>
        <v/>
      </c>
      <c r="AF487" s="7">
        <f>AD487-AE487</f>
        <v/>
      </c>
      <c r="AG487" s="7">
        <f>AF487/AD487*100</f>
        <v/>
      </c>
      <c r="AH487" s="0" t="n">
        <v>395</v>
      </c>
      <c r="AI487" s="33" t="n">
        <v>220</v>
      </c>
      <c r="AJ487" s="34">
        <f>AD487</f>
        <v/>
      </c>
      <c r="AK487" s="34">
        <f>AJ487-(AJ487*7%)</f>
        <v/>
      </c>
      <c r="AL487" s="35">
        <f>AJ487/94</f>
        <v/>
      </c>
      <c r="AM487" s="35">
        <f>AK487/94</f>
        <v/>
      </c>
      <c r="AN487" s="36">
        <f>AJ487/24</f>
        <v/>
      </c>
      <c r="AO487" s="36">
        <f>AK487/24</f>
        <v/>
      </c>
      <c r="AP487" s="37">
        <f>AJ487/125</f>
        <v/>
      </c>
      <c r="AQ487" s="37">
        <f>AK487/125</f>
        <v/>
      </c>
    </row>
    <row r="488" ht="15.75" customHeight="1" s="50">
      <c r="A488" s="32" t="n"/>
      <c r="B488" s="32" t="inlineStr">
        <is>
          <t>Navy Blue</t>
        </is>
      </c>
      <c r="C488" s="32" t="inlineStr">
        <is>
          <t>Yo-P-E-NB</t>
        </is>
      </c>
      <c r="D488" s="32" t="n">
        <v>175</v>
      </c>
      <c r="G488" s="32" t="n">
        <v>0</v>
      </c>
      <c r="H488" s="32" t="n">
        <v>10</v>
      </c>
      <c r="I488" s="41" t="n">
        <v>94041000</v>
      </c>
      <c r="J488" s="30" t="n">
        <v>0.18</v>
      </c>
      <c r="K488" s="32">
        <f>D488*J488</f>
        <v/>
      </c>
      <c r="M488" s="32">
        <f>D488*4%</f>
        <v/>
      </c>
      <c r="N488" s="49">
        <f>M488+L488+K488+H488+G488+F488+E488+D488</f>
        <v/>
      </c>
      <c r="O488" s="32">
        <f>D488*1%</f>
        <v/>
      </c>
      <c r="P488" s="7">
        <f>N488*8%</f>
        <v/>
      </c>
      <c r="Q488" s="7">
        <f>N488*10%</f>
        <v/>
      </c>
      <c r="R488" s="7">
        <f>N488*5%</f>
        <v/>
      </c>
      <c r="S488" s="7">
        <f>N488*2%</f>
        <v/>
      </c>
      <c r="T488" s="7">
        <f>AE488*0.5%</f>
        <v/>
      </c>
      <c r="U488" s="7">
        <f>N488*1%</f>
        <v/>
      </c>
      <c r="V488" s="31">
        <f>U488+S488+R488+Q488+P488+O488</f>
        <v/>
      </c>
      <c r="W488" s="32">
        <f>AE488*1%</f>
        <v/>
      </c>
      <c r="X488" s="32">
        <f>AE488*10%</f>
        <v/>
      </c>
      <c r="Y488" s="32">
        <f>AE488*1%</f>
        <v/>
      </c>
      <c r="Z488" s="32">
        <f>AE488*8%</f>
        <v/>
      </c>
      <c r="AA488" s="32">
        <f>W488+X488+Y488+Z488</f>
        <v/>
      </c>
      <c r="AB488" s="31">
        <f>AA488+V488+N488</f>
        <v/>
      </c>
      <c r="AC488" s="6">
        <f>AB488*20%</f>
        <v/>
      </c>
      <c r="AD488" s="7">
        <f>AB488+AC488</f>
        <v/>
      </c>
      <c r="AE488" s="32">
        <f>D488*2.1</f>
        <v/>
      </c>
      <c r="AF488" s="7">
        <f>AD488-AE488</f>
        <v/>
      </c>
      <c r="AG488" s="7">
        <f>AF488/AD488*100</f>
        <v/>
      </c>
      <c r="AH488" s="0" t="n">
        <v>395</v>
      </c>
      <c r="AI488" s="33" t="n">
        <v>220</v>
      </c>
      <c r="AJ488" s="34">
        <f>AD488</f>
        <v/>
      </c>
      <c r="AK488" s="34">
        <f>AJ488-(AJ488*7%)</f>
        <v/>
      </c>
      <c r="AL488" s="35">
        <f>AJ488/94</f>
        <v/>
      </c>
      <c r="AM488" s="35">
        <f>AK488/94</f>
        <v/>
      </c>
      <c r="AN488" s="36">
        <f>AJ488/24</f>
        <v/>
      </c>
      <c r="AO488" s="36">
        <f>AK488/24</f>
        <v/>
      </c>
      <c r="AP488" s="37">
        <f>AJ488/125</f>
        <v/>
      </c>
      <c r="AQ488" s="37">
        <f>AK488/125</f>
        <v/>
      </c>
    </row>
    <row r="489" ht="15.75" customHeight="1" s="50">
      <c r="A489" s="32" t="n"/>
      <c r="B489" s="32" t="inlineStr">
        <is>
          <t>Sage</t>
        </is>
      </c>
      <c r="C489" s="32" t="inlineStr">
        <is>
          <t>Yo-P-E-SE</t>
        </is>
      </c>
      <c r="D489" s="32" t="n">
        <v>175</v>
      </c>
      <c r="G489" s="32" t="n">
        <v>0</v>
      </c>
      <c r="H489" s="32" t="n">
        <v>10</v>
      </c>
      <c r="I489" s="41" t="n">
        <v>94041000</v>
      </c>
      <c r="J489" s="30" t="n">
        <v>0.18</v>
      </c>
      <c r="K489" s="32">
        <f>D489*J489</f>
        <v/>
      </c>
      <c r="M489" s="32">
        <f>D489*4%</f>
        <v/>
      </c>
      <c r="N489" s="49">
        <f>M489+L489+K489+H489+G489+F489+E489+D489</f>
        <v/>
      </c>
      <c r="O489" s="32">
        <f>D489*1%</f>
        <v/>
      </c>
      <c r="P489" s="7">
        <f>N489*8%</f>
        <v/>
      </c>
      <c r="Q489" s="7">
        <f>N489*10%</f>
        <v/>
      </c>
      <c r="R489" s="7">
        <f>N489*5%</f>
        <v/>
      </c>
      <c r="S489" s="7">
        <f>N489*2%</f>
        <v/>
      </c>
      <c r="T489" s="7">
        <f>AE489*0.5%</f>
        <v/>
      </c>
      <c r="U489" s="7">
        <f>N489*1%</f>
        <v/>
      </c>
      <c r="V489" s="31">
        <f>U489+S489+R489+Q489+P489+O489</f>
        <v/>
      </c>
      <c r="W489" s="32">
        <f>AE489*1%</f>
        <v/>
      </c>
      <c r="X489" s="32">
        <f>AE489*10%</f>
        <v/>
      </c>
      <c r="Y489" s="32">
        <f>AE489*1%</f>
        <v/>
      </c>
      <c r="Z489" s="32">
        <f>AE489*8%</f>
        <v/>
      </c>
      <c r="AA489" s="32">
        <f>W489+X489+Y489+Z489</f>
        <v/>
      </c>
      <c r="AB489" s="31">
        <f>AA489+V489+N489</f>
        <v/>
      </c>
      <c r="AC489" s="6">
        <f>AB489*20%</f>
        <v/>
      </c>
      <c r="AD489" s="7">
        <f>AB489+AC489</f>
        <v/>
      </c>
      <c r="AE489" s="32">
        <f>D489*2.1</f>
        <v/>
      </c>
      <c r="AF489" s="7">
        <f>AD489-AE489</f>
        <v/>
      </c>
      <c r="AG489" s="7">
        <f>AF489/AD489*100</f>
        <v/>
      </c>
      <c r="AH489" s="0" t="n">
        <v>395</v>
      </c>
      <c r="AI489" s="33" t="n">
        <v>220</v>
      </c>
      <c r="AJ489" s="34">
        <f>AD489</f>
        <v/>
      </c>
      <c r="AK489" s="34">
        <f>AJ489-(AJ489*7%)</f>
        <v/>
      </c>
      <c r="AL489" s="35">
        <f>AJ489/94</f>
        <v/>
      </c>
      <c r="AM489" s="35">
        <f>AK489/94</f>
        <v/>
      </c>
      <c r="AN489" s="36">
        <f>AJ489/24</f>
        <v/>
      </c>
      <c r="AO489" s="36">
        <f>AK489/24</f>
        <v/>
      </c>
      <c r="AP489" s="37">
        <f>AJ489/125</f>
        <v/>
      </c>
      <c r="AQ489" s="37">
        <f>AK489/125</f>
        <v/>
      </c>
    </row>
    <row r="490" ht="15" customHeight="1" s="50">
      <c r="A490" s="32" t="inlineStr">
        <is>
          <t>Ocean Drums</t>
        </is>
      </c>
      <c r="B490" s="32" t="inlineStr">
        <is>
          <t>Plain / 30 cms</t>
        </is>
      </c>
      <c r="C490" s="32" t="inlineStr">
        <is>
          <t>MI-OD-P-30</t>
        </is>
      </c>
      <c r="D490" s="32" t="n">
        <v>90</v>
      </c>
      <c r="E490" s="32" t="n">
        <v>105</v>
      </c>
      <c r="G490" s="32" t="n">
        <v>0</v>
      </c>
      <c r="H490" s="32" t="n">
        <v>10</v>
      </c>
      <c r="I490" s="41" t="n">
        <v>44201900</v>
      </c>
      <c r="J490" s="30" t="n">
        <v>0.05</v>
      </c>
      <c r="K490" s="32">
        <f>D490*J490</f>
        <v/>
      </c>
      <c r="M490" s="32">
        <f>D490*4%</f>
        <v/>
      </c>
      <c r="N490" s="49">
        <f>M490+L490+K490+H490+G490+F490+E490+D490</f>
        <v/>
      </c>
      <c r="O490" s="32">
        <f>D490*1%</f>
        <v/>
      </c>
      <c r="P490" s="7">
        <f>N490*8%</f>
        <v/>
      </c>
      <c r="Q490" s="7">
        <f>N490*10%</f>
        <v/>
      </c>
      <c r="R490" s="7">
        <f>N490*5%</f>
        <v/>
      </c>
      <c r="S490" s="7">
        <f>N490*2%</f>
        <v/>
      </c>
      <c r="T490" s="7">
        <f>AE490*0.5%</f>
        <v/>
      </c>
      <c r="U490" s="7">
        <f>N490*1%</f>
        <v/>
      </c>
      <c r="V490" s="31">
        <f>U490+S490+R490+Q490+P490+O490</f>
        <v/>
      </c>
      <c r="W490" s="32">
        <f>AE490*1%</f>
        <v/>
      </c>
      <c r="X490" s="32">
        <f>AE490*10%</f>
        <v/>
      </c>
      <c r="Y490" s="32">
        <f>AE490*1%</f>
        <v/>
      </c>
      <c r="Z490" s="32">
        <f>AE490*8%</f>
        <v/>
      </c>
      <c r="AA490" s="32">
        <f>W490+X490+Y490+Z490</f>
        <v/>
      </c>
      <c r="AB490" s="31">
        <f>AA490+V490+N490</f>
        <v/>
      </c>
      <c r="AC490" s="6">
        <f>AB490*20%</f>
        <v/>
      </c>
      <c r="AD490" s="7">
        <f>AB490+AC490</f>
        <v/>
      </c>
      <c r="AE490" s="32">
        <f>D490*2.1</f>
        <v/>
      </c>
      <c r="AF490" s="7">
        <f>AD490-AE490</f>
        <v/>
      </c>
      <c r="AG490" s="7">
        <f>AF490/AD490*100</f>
        <v/>
      </c>
      <c r="AH490" s="0" t="n">
        <v>2450</v>
      </c>
      <c r="AI490" s="33" t="n">
        <v>2360</v>
      </c>
      <c r="AJ490" s="34">
        <f>AD490</f>
        <v/>
      </c>
      <c r="AK490" s="34">
        <f>AJ490-(AJ490*7%)</f>
        <v/>
      </c>
      <c r="AL490" s="35">
        <f>AJ490/94</f>
        <v/>
      </c>
      <c r="AM490" s="35">
        <f>AK490/94</f>
        <v/>
      </c>
      <c r="AN490" s="36">
        <f>AJ490/24</f>
        <v/>
      </c>
      <c r="AO490" s="36">
        <f>AK490/24</f>
        <v/>
      </c>
      <c r="AP490" s="37">
        <f>AJ490/125</f>
        <v/>
      </c>
      <c r="AQ490" s="37">
        <f>AK490/125</f>
        <v/>
      </c>
    </row>
    <row r="491" ht="15.75" customHeight="1" s="50">
      <c r="A491" s="32" t="n"/>
      <c r="B491" s="32" t="inlineStr">
        <is>
          <t>Dream Catcher / 30 cms</t>
        </is>
      </c>
      <c r="C491" s="32" t="inlineStr">
        <is>
          <t>MI-OD-D-30</t>
        </is>
      </c>
      <c r="D491" s="32" t="n">
        <v>100</v>
      </c>
      <c r="E491" s="32" t="n">
        <v>105</v>
      </c>
      <c r="G491" s="32" t="n">
        <v>0</v>
      </c>
      <c r="H491" s="32" t="n">
        <v>10</v>
      </c>
      <c r="I491" s="41" t="n">
        <v>44201900</v>
      </c>
      <c r="J491" s="30" t="n">
        <v>0.05</v>
      </c>
      <c r="K491" s="32">
        <f>D491*J491</f>
        <v/>
      </c>
      <c r="M491" s="32">
        <f>D491*4%</f>
        <v/>
      </c>
      <c r="N491" s="49">
        <f>M491+L491+K491+H491+G491+F491+E491+D491</f>
        <v/>
      </c>
      <c r="O491" s="32">
        <f>D491*1%</f>
        <v/>
      </c>
      <c r="P491" s="7">
        <f>N491*8%</f>
        <v/>
      </c>
      <c r="Q491" s="7">
        <f>N491*10%</f>
        <v/>
      </c>
      <c r="R491" s="7">
        <f>N491*5%</f>
        <v/>
      </c>
      <c r="S491" s="7">
        <f>N491*2%</f>
        <v/>
      </c>
      <c r="T491" s="7">
        <f>AE491*0.5%</f>
        <v/>
      </c>
      <c r="U491" s="7">
        <f>N491*1%</f>
        <v/>
      </c>
      <c r="V491" s="31">
        <f>U491+S491+R491+Q491+P491+O491</f>
        <v/>
      </c>
      <c r="W491" s="32">
        <f>AE491*1%</f>
        <v/>
      </c>
      <c r="X491" s="32">
        <f>AE491*10%</f>
        <v/>
      </c>
      <c r="Y491" s="32">
        <f>AE491*1%</f>
        <v/>
      </c>
      <c r="Z491" s="32">
        <f>AE491*8%</f>
        <v/>
      </c>
      <c r="AA491" s="32">
        <f>W491+X491+Y491+Z491</f>
        <v/>
      </c>
      <c r="AB491" s="31">
        <f>AA491+V491+N491</f>
        <v/>
      </c>
      <c r="AC491" s="6">
        <f>AB491*20%</f>
        <v/>
      </c>
      <c r="AD491" s="7">
        <f>AB491+AC491</f>
        <v/>
      </c>
      <c r="AE491" s="32">
        <f>D491*2.1</f>
        <v/>
      </c>
      <c r="AF491" s="7">
        <f>AD491-AE491</f>
        <v/>
      </c>
      <c r="AG491" s="7">
        <f>AF491/AD491*100</f>
        <v/>
      </c>
      <c r="AI491" s="33" t="n"/>
      <c r="AJ491" s="34">
        <f>AD491</f>
        <v/>
      </c>
      <c r="AK491" s="34">
        <f>AJ491-(AJ491*7%)</f>
        <v/>
      </c>
      <c r="AL491" s="35">
        <f>AJ491/94</f>
        <v/>
      </c>
      <c r="AM491" s="35">
        <f>AK491/94</f>
        <v/>
      </c>
      <c r="AN491" s="36">
        <f>AJ491/24</f>
        <v/>
      </c>
      <c r="AO491" s="36">
        <f>AK491/24</f>
        <v/>
      </c>
      <c r="AP491" s="37">
        <f>AJ491/125</f>
        <v/>
      </c>
      <c r="AQ491" s="37">
        <f>AK491/125</f>
        <v/>
      </c>
    </row>
    <row r="492" ht="15.75" customHeight="1" s="50">
      <c r="A492" s="32" t="n"/>
      <c r="B492" s="32" t="inlineStr">
        <is>
          <t>Dream Catcher / 35 cms</t>
        </is>
      </c>
      <c r="C492" s="32" t="inlineStr">
        <is>
          <t>MI-OD-D-35</t>
        </is>
      </c>
      <c r="D492" s="32" t="n">
        <v>110</v>
      </c>
      <c r="E492" s="32" t="n">
        <v>115</v>
      </c>
      <c r="G492" s="32" t="n">
        <v>0</v>
      </c>
      <c r="H492" s="32" t="n">
        <v>10</v>
      </c>
      <c r="I492" s="41" t="n">
        <v>44201900</v>
      </c>
      <c r="J492" s="30" t="n">
        <v>0.05</v>
      </c>
      <c r="K492" s="32">
        <f>D492*J492</f>
        <v/>
      </c>
      <c r="M492" s="32">
        <f>D492*4%</f>
        <v/>
      </c>
      <c r="N492" s="49">
        <f>M492+L492+K492+H492+G492+F492+E492+D492</f>
        <v/>
      </c>
      <c r="O492" s="32">
        <f>D492*1%</f>
        <v/>
      </c>
      <c r="P492" s="7">
        <f>N492*8%</f>
        <v/>
      </c>
      <c r="Q492" s="7">
        <f>N492*10%</f>
        <v/>
      </c>
      <c r="R492" s="7">
        <f>N492*5%</f>
        <v/>
      </c>
      <c r="S492" s="7">
        <f>N492*2%</f>
        <v/>
      </c>
      <c r="T492" s="7">
        <f>AE492*0.5%</f>
        <v/>
      </c>
      <c r="U492" s="7">
        <f>N492*1%</f>
        <v/>
      </c>
      <c r="V492" s="31">
        <f>U492+S492+R492+Q492+P492+O492</f>
        <v/>
      </c>
      <c r="W492" s="32">
        <f>AE492*1%</f>
        <v/>
      </c>
      <c r="X492" s="32">
        <f>AE492*10%</f>
        <v/>
      </c>
      <c r="Y492" s="32">
        <f>AE492*1%</f>
        <v/>
      </c>
      <c r="Z492" s="32">
        <f>AE492*8%</f>
        <v/>
      </c>
      <c r="AA492" s="32">
        <f>W492+X492+Y492+Z492</f>
        <v/>
      </c>
      <c r="AB492" s="31">
        <f>AA492+V492+N492</f>
        <v/>
      </c>
      <c r="AC492" s="6">
        <f>AB492*20%</f>
        <v/>
      </c>
      <c r="AD492" s="7">
        <f>AB492+AC492</f>
        <v/>
      </c>
      <c r="AE492" s="32">
        <f>D492*2.1</f>
        <v/>
      </c>
      <c r="AF492" s="7">
        <f>AD492-AE492</f>
        <v/>
      </c>
      <c r="AG492" s="7">
        <f>AF492/AD492*100</f>
        <v/>
      </c>
      <c r="AI492" s="33" t="n"/>
      <c r="AJ492" s="34">
        <f>AD492</f>
        <v/>
      </c>
      <c r="AK492" s="34">
        <f>AJ492-(AJ492*7%)</f>
        <v/>
      </c>
      <c r="AL492" s="35">
        <f>AJ492/94</f>
        <v/>
      </c>
      <c r="AM492" s="35">
        <f>AK492/94</f>
        <v/>
      </c>
      <c r="AN492" s="36">
        <f>AJ492/24</f>
        <v/>
      </c>
      <c r="AO492" s="36">
        <f>AK492/24</f>
        <v/>
      </c>
      <c r="AP492" s="37">
        <f>AJ492/125</f>
        <v/>
      </c>
      <c r="AQ492" s="37">
        <f>AK492/125</f>
        <v/>
      </c>
    </row>
    <row r="493" ht="15.75" customHeight="1" s="50">
      <c r="A493" s="32" t="n"/>
      <c r="B493" s="32" t="inlineStr">
        <is>
          <t>40 cms / Dream Catcher</t>
        </is>
      </c>
      <c r="C493" s="32" t="inlineStr">
        <is>
          <t>MI-OD-D-40</t>
        </is>
      </c>
      <c r="D493" s="32" t="n">
        <v>120</v>
      </c>
      <c r="E493" s="32" t="n">
        <v>120</v>
      </c>
      <c r="G493" s="32" t="n">
        <v>0</v>
      </c>
      <c r="H493" s="32" t="n">
        <v>10</v>
      </c>
      <c r="I493" s="41" t="n">
        <v>44201900</v>
      </c>
      <c r="J493" s="30" t="n">
        <v>0.05</v>
      </c>
      <c r="K493" s="32">
        <f>D493*J493</f>
        <v/>
      </c>
      <c r="M493" s="32">
        <f>D493*4%</f>
        <v/>
      </c>
      <c r="N493" s="49">
        <f>M493+L493+K493+H493+G493+F493+E493+D493</f>
        <v/>
      </c>
      <c r="O493" s="32">
        <f>D493*1%</f>
        <v/>
      </c>
      <c r="P493" s="7">
        <f>N493*8%</f>
        <v/>
      </c>
      <c r="Q493" s="7">
        <f>N493*10%</f>
        <v/>
      </c>
      <c r="R493" s="7">
        <f>N493*5%</f>
        <v/>
      </c>
      <c r="S493" s="7">
        <f>N493*2%</f>
        <v/>
      </c>
      <c r="T493" s="7">
        <f>AE493*0.5%</f>
        <v/>
      </c>
      <c r="U493" s="7">
        <f>N493*1%</f>
        <v/>
      </c>
      <c r="V493" s="31">
        <f>U493+S493+R493+Q493+P493+O493</f>
        <v/>
      </c>
      <c r="W493" s="32">
        <f>AE493*1%</f>
        <v/>
      </c>
      <c r="X493" s="32">
        <f>AE493*10%</f>
        <v/>
      </c>
      <c r="Y493" s="32">
        <f>AE493*1%</f>
        <v/>
      </c>
      <c r="Z493" s="32">
        <f>AE493*8%</f>
        <v/>
      </c>
      <c r="AA493" s="32">
        <f>W493+X493+Y493+Z493</f>
        <v/>
      </c>
      <c r="AB493" s="31">
        <f>AA493+V493+N493</f>
        <v/>
      </c>
      <c r="AC493" s="6">
        <f>AB493*20%</f>
        <v/>
      </c>
      <c r="AD493" s="7">
        <f>AB493+AC493</f>
        <v/>
      </c>
      <c r="AE493" s="32">
        <f>D493*2.1</f>
        <v/>
      </c>
      <c r="AF493" s="7">
        <f>AD493-AE493</f>
        <v/>
      </c>
      <c r="AG493" s="7">
        <f>AF493/AD493*100</f>
        <v/>
      </c>
      <c r="AI493" s="33" t="n"/>
      <c r="AJ493" s="34">
        <f>AD493</f>
        <v/>
      </c>
      <c r="AK493" s="34">
        <f>AJ493-(AJ493*7%)</f>
        <v/>
      </c>
      <c r="AL493" s="35">
        <f>AJ493/94</f>
        <v/>
      </c>
      <c r="AM493" s="35">
        <f>AK493/94</f>
        <v/>
      </c>
      <c r="AN493" s="36">
        <f>AJ493/24</f>
        <v/>
      </c>
      <c r="AO493" s="36">
        <f>AK493/24</f>
        <v/>
      </c>
      <c r="AP493" s="37">
        <f>AJ493/125</f>
        <v/>
      </c>
      <c r="AQ493" s="37">
        <f>AK493/125</f>
        <v/>
      </c>
    </row>
    <row r="494" ht="15.75" customHeight="1" s="50">
      <c r="A494" s="32" t="n"/>
      <c r="B494" s="32" t="inlineStr">
        <is>
          <t>Plain / 35 cms</t>
        </is>
      </c>
      <c r="C494" s="32" t="inlineStr">
        <is>
          <t>MI-OD-P-35</t>
        </is>
      </c>
      <c r="D494" s="32" t="n">
        <v>100</v>
      </c>
      <c r="E494" s="32" t="n">
        <v>115</v>
      </c>
      <c r="G494" s="32" t="n">
        <v>0</v>
      </c>
      <c r="H494" s="32" t="n">
        <v>10</v>
      </c>
      <c r="I494" s="41" t="n">
        <v>44201900</v>
      </c>
      <c r="J494" s="30" t="n">
        <v>0.05</v>
      </c>
      <c r="K494" s="32">
        <f>D494*J494</f>
        <v/>
      </c>
      <c r="M494" s="32">
        <f>D494*4%</f>
        <v/>
      </c>
      <c r="N494" s="49">
        <f>M494+L494+K494+H494+G494+F494+E494+D494</f>
        <v/>
      </c>
      <c r="O494" s="32">
        <f>D494*1%</f>
        <v/>
      </c>
      <c r="P494" s="7">
        <f>N494*8%</f>
        <v/>
      </c>
      <c r="Q494" s="7">
        <f>N494*10%</f>
        <v/>
      </c>
      <c r="R494" s="7">
        <f>N494*5%</f>
        <v/>
      </c>
      <c r="S494" s="7">
        <f>N494*2%</f>
        <v/>
      </c>
      <c r="T494" s="7">
        <f>AE494*0.5%</f>
        <v/>
      </c>
      <c r="U494" s="7">
        <f>N494*1%</f>
        <v/>
      </c>
      <c r="V494" s="31">
        <f>U494+S494+R494+Q494+P494+O494</f>
        <v/>
      </c>
      <c r="W494" s="32">
        <f>AE494*1%</f>
        <v/>
      </c>
      <c r="X494" s="32">
        <f>AE494*10%</f>
        <v/>
      </c>
      <c r="Y494" s="32">
        <f>AE494*1%</f>
        <v/>
      </c>
      <c r="Z494" s="32">
        <f>AE494*8%</f>
        <v/>
      </c>
      <c r="AA494" s="32">
        <f>W494+X494+Y494+Z494</f>
        <v/>
      </c>
      <c r="AB494" s="31">
        <f>AA494+V494+N494</f>
        <v/>
      </c>
      <c r="AC494" s="6">
        <f>AB494*20%</f>
        <v/>
      </c>
      <c r="AD494" s="7">
        <f>AB494+AC494</f>
        <v/>
      </c>
      <c r="AE494" s="32">
        <f>D494*2.1</f>
        <v/>
      </c>
      <c r="AF494" s="7">
        <f>AD494-AE494</f>
        <v/>
      </c>
      <c r="AG494" s="7">
        <f>AF494/AD494*100</f>
        <v/>
      </c>
      <c r="AH494" s="0" t="n">
        <v>2750</v>
      </c>
      <c r="AI494" s="33" t="n">
        <v>2650</v>
      </c>
      <c r="AJ494" s="34">
        <f>AD494</f>
        <v/>
      </c>
      <c r="AK494" s="34">
        <f>AJ494-(AJ494*7%)</f>
        <v/>
      </c>
      <c r="AL494" s="35">
        <f>AJ494/94</f>
        <v/>
      </c>
      <c r="AM494" s="35">
        <f>AK494/94</f>
        <v/>
      </c>
      <c r="AN494" s="36">
        <f>AJ494/24</f>
        <v/>
      </c>
      <c r="AO494" s="36">
        <f>AK494/24</f>
        <v/>
      </c>
      <c r="AP494" s="37">
        <f>AJ494/125</f>
        <v/>
      </c>
      <c r="AQ494" s="37">
        <f>AK494/125</f>
        <v/>
      </c>
    </row>
    <row r="495" ht="15.75" customHeight="1" s="50">
      <c r="A495" s="32" t="n"/>
      <c r="B495" s="32" t="inlineStr">
        <is>
          <t>Plain / 40 cms</t>
        </is>
      </c>
      <c r="C495" s="32" t="inlineStr">
        <is>
          <t>MI-OD-P-40</t>
        </is>
      </c>
      <c r="D495" s="32" t="n">
        <v>110</v>
      </c>
      <c r="E495" s="32" t="n">
        <v>120</v>
      </c>
      <c r="G495" s="32" t="n">
        <v>0</v>
      </c>
      <c r="H495" s="32" t="n">
        <v>10</v>
      </c>
      <c r="I495" s="41" t="n">
        <v>44201900</v>
      </c>
      <c r="J495" s="30" t="n">
        <v>0.05</v>
      </c>
      <c r="K495" s="32">
        <f>D495*J495</f>
        <v/>
      </c>
      <c r="M495" s="32">
        <f>D495*4%</f>
        <v/>
      </c>
      <c r="N495" s="49">
        <f>M495+L495+K495+H495+G495+F495+E495+D495</f>
        <v/>
      </c>
      <c r="O495" s="32">
        <f>D495*1%</f>
        <v/>
      </c>
      <c r="P495" s="7">
        <f>N495*8%</f>
        <v/>
      </c>
      <c r="Q495" s="7">
        <f>N495*10%</f>
        <v/>
      </c>
      <c r="R495" s="7">
        <f>N495*5%</f>
        <v/>
      </c>
      <c r="S495" s="7">
        <f>N495*2%</f>
        <v/>
      </c>
      <c r="T495" s="7">
        <f>AE495*0.5%</f>
        <v/>
      </c>
      <c r="U495" s="7">
        <f>N495*1%</f>
        <v/>
      </c>
      <c r="V495" s="31">
        <f>U495+S495+R495+Q495+P495+O495</f>
        <v/>
      </c>
      <c r="W495" s="32">
        <f>AE495*1%</f>
        <v/>
      </c>
      <c r="X495" s="32">
        <f>AE495*10%</f>
        <v/>
      </c>
      <c r="Y495" s="32">
        <f>AE495*1%</f>
        <v/>
      </c>
      <c r="Z495" s="32">
        <f>AE495*8%</f>
        <v/>
      </c>
      <c r="AA495" s="32">
        <f>W495+X495+Y495+Z495</f>
        <v/>
      </c>
      <c r="AB495" s="31">
        <f>AA495+V495+N495</f>
        <v/>
      </c>
      <c r="AC495" s="6">
        <f>AB495*20%</f>
        <v/>
      </c>
      <c r="AD495" s="7">
        <f>AB495+AC495</f>
        <v/>
      </c>
      <c r="AE495" s="32">
        <f>D495*2.1</f>
        <v/>
      </c>
      <c r="AF495" s="7">
        <f>AD495-AE495</f>
        <v/>
      </c>
      <c r="AG495" s="7">
        <f>AF495/AD495*100</f>
        <v/>
      </c>
      <c r="AH495" s="0" t="n">
        <v>3250</v>
      </c>
      <c r="AI495" s="33" t="n">
        <v>3140</v>
      </c>
      <c r="AJ495" s="34">
        <f>AD495</f>
        <v/>
      </c>
      <c r="AK495" s="34">
        <f>AJ495-(AJ495*7%)</f>
        <v/>
      </c>
      <c r="AL495" s="35">
        <f>AJ495/94</f>
        <v/>
      </c>
      <c r="AM495" s="35">
        <f>AK495/94</f>
        <v/>
      </c>
      <c r="AN495" s="36">
        <f>AJ495/24</f>
        <v/>
      </c>
      <c r="AO495" s="36">
        <f>AK495/24</f>
        <v/>
      </c>
      <c r="AP495" s="37">
        <f>AJ495/125</f>
        <v/>
      </c>
      <c r="AQ495" s="37">
        <f>AK495/125</f>
        <v/>
      </c>
    </row>
    <row r="496" ht="15.75" customHeight="1" s="50">
      <c r="A496" s="32" t="n"/>
      <c r="B496" s="32" t="inlineStr">
        <is>
          <t>Flower of Life / 30 cms</t>
        </is>
      </c>
      <c r="D496" s="32" t="n">
        <v>110</v>
      </c>
      <c r="E496" s="32" t="n">
        <v>105</v>
      </c>
      <c r="G496" s="32" t="n">
        <v>0</v>
      </c>
      <c r="H496" s="32" t="n">
        <v>10</v>
      </c>
      <c r="I496" s="41" t="n">
        <v>44201900</v>
      </c>
      <c r="J496" s="30" t="n">
        <v>0.05</v>
      </c>
      <c r="K496" s="32">
        <f>D496*J496</f>
        <v/>
      </c>
      <c r="M496" s="32">
        <f>D496*4%</f>
        <v/>
      </c>
      <c r="N496" s="49">
        <f>M496+L496+K496+H496+G496+F496+E496+D496</f>
        <v/>
      </c>
      <c r="O496" s="32">
        <f>D496*1%</f>
        <v/>
      </c>
      <c r="P496" s="7">
        <f>N496*8%</f>
        <v/>
      </c>
      <c r="Q496" s="7">
        <f>N496*10%</f>
        <v/>
      </c>
      <c r="R496" s="7">
        <f>N496*5%</f>
        <v/>
      </c>
      <c r="S496" s="7">
        <f>N496*2%</f>
        <v/>
      </c>
      <c r="T496" s="7">
        <f>AE496*0.5%</f>
        <v/>
      </c>
      <c r="U496" s="7">
        <f>N496*1%</f>
        <v/>
      </c>
      <c r="V496" s="31">
        <f>U496+S496+R496+Q496+P496+O496</f>
        <v/>
      </c>
      <c r="W496" s="32">
        <f>AE496*1%</f>
        <v/>
      </c>
      <c r="X496" s="32">
        <f>AE496*10%</f>
        <v/>
      </c>
      <c r="Y496" s="32">
        <f>AE496*1%</f>
        <v/>
      </c>
      <c r="Z496" s="32">
        <f>AE496*8%</f>
        <v/>
      </c>
      <c r="AA496" s="32">
        <f>W496+X496+Y496+Z496</f>
        <v/>
      </c>
      <c r="AB496" s="31">
        <f>AA496+V496+N496</f>
        <v/>
      </c>
      <c r="AC496" s="6">
        <f>AB496*20%</f>
        <v/>
      </c>
      <c r="AD496" s="7">
        <f>AB496+AC496</f>
        <v/>
      </c>
      <c r="AE496" s="32">
        <f>D496*2.1</f>
        <v/>
      </c>
      <c r="AF496" s="7">
        <f>AD496-AE496</f>
        <v/>
      </c>
      <c r="AG496" s="7">
        <f>AF496/AD496*100</f>
        <v/>
      </c>
      <c r="AI496" s="33" t="n"/>
      <c r="AJ496" s="34">
        <f>AD496</f>
        <v/>
      </c>
      <c r="AK496" s="34">
        <f>AJ496-(AJ496*7%)</f>
        <v/>
      </c>
      <c r="AL496" s="35">
        <f>AJ496/94</f>
        <v/>
      </c>
      <c r="AM496" s="35">
        <f>AK496/94</f>
        <v/>
      </c>
      <c r="AN496" s="36">
        <f>AJ496/24</f>
        <v/>
      </c>
      <c r="AO496" s="36">
        <f>AK496/24</f>
        <v/>
      </c>
      <c r="AP496" s="37">
        <f>AJ496/125</f>
        <v/>
      </c>
      <c r="AQ496" s="37">
        <f>AK496/125</f>
        <v/>
      </c>
    </row>
    <row r="497" ht="15.75" customHeight="1" s="50">
      <c r="A497" s="32" t="n"/>
      <c r="B497" s="32" t="inlineStr">
        <is>
          <t>Flower of Life / 35 cms</t>
        </is>
      </c>
      <c r="D497" s="32" t="n">
        <v>120</v>
      </c>
      <c r="E497" s="32" t="n">
        <v>115</v>
      </c>
      <c r="G497" s="32" t="n">
        <v>0</v>
      </c>
      <c r="H497" s="32" t="n">
        <v>10</v>
      </c>
      <c r="I497" s="41" t="n">
        <v>44201900</v>
      </c>
      <c r="J497" s="30" t="n">
        <v>0.05</v>
      </c>
      <c r="K497" s="32">
        <f>D497*J497</f>
        <v/>
      </c>
      <c r="M497" s="32">
        <f>D497*4%</f>
        <v/>
      </c>
      <c r="N497" s="49">
        <f>M497+L497+K497+H497+G497+F497+E497+D497</f>
        <v/>
      </c>
      <c r="O497" s="32">
        <f>D497*1%</f>
        <v/>
      </c>
      <c r="P497" s="7">
        <f>N497*8%</f>
        <v/>
      </c>
      <c r="Q497" s="7">
        <f>N497*10%</f>
        <v/>
      </c>
      <c r="R497" s="7">
        <f>N497*5%</f>
        <v/>
      </c>
      <c r="S497" s="7">
        <f>N497*2%</f>
        <v/>
      </c>
      <c r="T497" s="7">
        <f>AE497*0.5%</f>
        <v/>
      </c>
      <c r="U497" s="7">
        <f>N497*1%</f>
        <v/>
      </c>
      <c r="V497" s="31">
        <f>U497+S497+R497+Q497+P497+O497</f>
        <v/>
      </c>
      <c r="W497" s="32">
        <f>AE497*1%</f>
        <v/>
      </c>
      <c r="X497" s="32">
        <f>AE497*10%</f>
        <v/>
      </c>
      <c r="Y497" s="32">
        <f>AE497*1%</f>
        <v/>
      </c>
      <c r="Z497" s="32">
        <f>AE497*8%</f>
        <v/>
      </c>
      <c r="AA497" s="32">
        <f>W497+X497+Y497+Z497</f>
        <v/>
      </c>
      <c r="AB497" s="31">
        <f>AA497+V497+N497</f>
        <v/>
      </c>
      <c r="AC497" s="6">
        <f>AB497*20%</f>
        <v/>
      </c>
      <c r="AD497" s="7">
        <f>AB497+AC497</f>
        <v/>
      </c>
      <c r="AE497" s="32">
        <f>D497*2.1</f>
        <v/>
      </c>
      <c r="AF497" s="7">
        <f>AD497-AE497</f>
        <v/>
      </c>
      <c r="AG497" s="7">
        <f>AF497/AD497*100</f>
        <v/>
      </c>
      <c r="AI497" s="33" t="n"/>
      <c r="AJ497" s="34">
        <f>AD497</f>
        <v/>
      </c>
      <c r="AK497" s="34">
        <f>AJ497-(AJ497*7%)</f>
        <v/>
      </c>
      <c r="AL497" s="35">
        <f>AJ497/94</f>
        <v/>
      </c>
      <c r="AM497" s="35">
        <f>AK497/94</f>
        <v/>
      </c>
      <c r="AN497" s="36">
        <f>AJ497/24</f>
        <v/>
      </c>
      <c r="AO497" s="36">
        <f>AK497/24</f>
        <v/>
      </c>
      <c r="AP497" s="37">
        <f>AJ497/125</f>
        <v/>
      </c>
      <c r="AQ497" s="37">
        <f>AK497/125</f>
        <v/>
      </c>
    </row>
    <row r="498" ht="15.75" customHeight="1" s="50">
      <c r="A498" s="32" t="n"/>
      <c r="B498" s="32" t="inlineStr">
        <is>
          <t>40 cms / Flower of Life</t>
        </is>
      </c>
      <c r="D498" s="32" t="n">
        <v>130</v>
      </c>
      <c r="E498" s="32" t="n">
        <v>120</v>
      </c>
      <c r="G498" s="32" t="n">
        <v>0</v>
      </c>
      <c r="H498" s="32" t="n">
        <v>10</v>
      </c>
      <c r="I498" s="41" t="n">
        <v>44201900</v>
      </c>
      <c r="J498" s="30" t="n">
        <v>0.05</v>
      </c>
      <c r="K498" s="32">
        <f>D498*J498</f>
        <v/>
      </c>
      <c r="M498" s="32">
        <f>D498*4%</f>
        <v/>
      </c>
      <c r="N498" s="49">
        <f>M498+L498+K498+H498+G498+F498+E498+D498</f>
        <v/>
      </c>
      <c r="O498" s="32">
        <f>D498*1%</f>
        <v/>
      </c>
      <c r="P498" s="7">
        <f>N498*8%</f>
        <v/>
      </c>
      <c r="Q498" s="7">
        <f>N498*10%</f>
        <v/>
      </c>
      <c r="R498" s="7">
        <f>N498*5%</f>
        <v/>
      </c>
      <c r="S498" s="7">
        <f>N498*2%</f>
        <v/>
      </c>
      <c r="T498" s="7">
        <f>AE498*0.5%</f>
        <v/>
      </c>
      <c r="U498" s="7">
        <f>N498*1%</f>
        <v/>
      </c>
      <c r="V498" s="31">
        <f>U498+S498+R498+Q498+P498+O498</f>
        <v/>
      </c>
      <c r="W498" s="32">
        <f>AE498*1%</f>
        <v/>
      </c>
      <c r="X498" s="32">
        <f>AE498*10%</f>
        <v/>
      </c>
      <c r="Y498" s="32">
        <f>AE498*1%</f>
        <v/>
      </c>
      <c r="Z498" s="32">
        <f>AE498*8%</f>
        <v/>
      </c>
      <c r="AA498" s="32">
        <f>W498+X498+Y498+Z498</f>
        <v/>
      </c>
      <c r="AB498" s="31">
        <f>AA498+V498+N498</f>
        <v/>
      </c>
      <c r="AC498" s="6">
        <f>AB498*20%</f>
        <v/>
      </c>
      <c r="AD498" s="7">
        <f>AB498+AC498</f>
        <v/>
      </c>
      <c r="AE498" s="32">
        <f>D498*2.1</f>
        <v/>
      </c>
      <c r="AF498" s="7">
        <f>AD498-AE498</f>
        <v/>
      </c>
      <c r="AG498" s="7">
        <f>AF498/AD498*100</f>
        <v/>
      </c>
      <c r="AI498" s="33" t="n"/>
      <c r="AJ498" s="34">
        <f>AD498</f>
        <v/>
      </c>
      <c r="AK498" s="34">
        <f>AJ498-(AJ498*7%)</f>
        <v/>
      </c>
      <c r="AL498" s="35">
        <f>AJ498/94</f>
        <v/>
      </c>
      <c r="AM498" s="35">
        <f>AK498/94</f>
        <v/>
      </c>
      <c r="AN498" s="36">
        <f>AJ498/24</f>
        <v/>
      </c>
      <c r="AO498" s="36">
        <f>AK498/24</f>
        <v/>
      </c>
      <c r="AP498" s="37">
        <f>AJ498/125</f>
        <v/>
      </c>
      <c r="AQ498" s="37">
        <f>AK498/125</f>
        <v/>
      </c>
    </row>
    <row r="499" ht="15" customHeight="1" s="50">
      <c r="A499" s="32" t="inlineStr">
        <is>
          <t>Painted Egg Shakers</t>
        </is>
      </c>
      <c r="B499" s="32" t="inlineStr">
        <is>
          <t>Red Dotted</t>
        </is>
      </c>
      <c r="C499" s="32" t="inlineStr">
        <is>
          <t>MI-ES-P-R</t>
        </is>
      </c>
      <c r="D499" s="32" t="n">
        <v>50</v>
      </c>
      <c r="G499" s="32" t="n">
        <v>0</v>
      </c>
      <c r="H499" s="32" t="n">
        <v>10</v>
      </c>
      <c r="I499" s="41" t="n">
        <v>44201900</v>
      </c>
      <c r="J499" s="30" t="n">
        <v>0.05</v>
      </c>
      <c r="K499" s="32">
        <f>D499*J499</f>
        <v/>
      </c>
      <c r="L499" s="32">
        <f>D499*5%</f>
        <v/>
      </c>
      <c r="M499" s="32">
        <f>D499*4%</f>
        <v/>
      </c>
      <c r="N499" s="49">
        <f>M499+L499+K499+H499+G499+F499+E499+D499</f>
        <v/>
      </c>
      <c r="O499" s="32">
        <f>D499*1%</f>
        <v/>
      </c>
      <c r="P499" s="7">
        <f>N499*8%</f>
        <v/>
      </c>
      <c r="Q499" s="7">
        <f>N499*10%</f>
        <v/>
      </c>
      <c r="R499" s="7">
        <f>N499*5%</f>
        <v/>
      </c>
      <c r="S499" s="7">
        <f>N499*2%</f>
        <v/>
      </c>
      <c r="T499" s="7">
        <f>AE499*0.5%</f>
        <v/>
      </c>
      <c r="U499" s="7">
        <f>N499*1%</f>
        <v/>
      </c>
      <c r="V499" s="31">
        <f>U499+S499+R499+Q499+P499+O499</f>
        <v/>
      </c>
      <c r="W499" s="32">
        <f>AE499*1%</f>
        <v/>
      </c>
      <c r="X499" s="32">
        <f>AE499*10%</f>
        <v/>
      </c>
      <c r="Y499" s="32">
        <f>AE499*1%</f>
        <v/>
      </c>
      <c r="Z499" s="32">
        <f>AE499*8%</f>
        <v/>
      </c>
      <c r="AA499" s="32">
        <f>W499+X499+Y499+Z499</f>
        <v/>
      </c>
      <c r="AB499" s="31">
        <f>AA499+V499+N499</f>
        <v/>
      </c>
      <c r="AC499" s="6">
        <f>AB499*20%</f>
        <v/>
      </c>
      <c r="AD499" s="7">
        <f>AB499+AC499</f>
        <v/>
      </c>
      <c r="AE499" s="32">
        <f>D499*2.1</f>
        <v/>
      </c>
      <c r="AF499" s="7">
        <f>AD499-AE499</f>
        <v/>
      </c>
      <c r="AG499" s="7">
        <f>AF499/AD499*100</f>
        <v/>
      </c>
      <c r="AH499" s="0" t="n">
        <v>925</v>
      </c>
      <c r="AI499" s="33" t="n">
        <v>875</v>
      </c>
      <c r="AJ499" s="34">
        <f>AD499</f>
        <v/>
      </c>
      <c r="AK499" s="34">
        <f>AJ499-(AJ499*7%)</f>
        <v/>
      </c>
      <c r="AL499" s="35">
        <f>AJ499/94</f>
        <v/>
      </c>
      <c r="AM499" s="35">
        <f>AK499/94</f>
        <v/>
      </c>
      <c r="AN499" s="36">
        <f>AJ499/24</f>
        <v/>
      </c>
      <c r="AO499" s="36">
        <f>AK499/24</f>
        <v/>
      </c>
      <c r="AP499" s="37">
        <f>AJ499/125</f>
        <v/>
      </c>
      <c r="AQ499" s="37">
        <f>AK499/125</f>
        <v/>
      </c>
    </row>
    <row r="500" ht="15.75" customHeight="1" s="50">
      <c r="A500" s="32" t="n"/>
      <c r="B500" s="32" t="inlineStr">
        <is>
          <t>Artistically Designed</t>
        </is>
      </c>
      <c r="C500" s="32" t="inlineStr">
        <is>
          <t>MI-ES-P-A</t>
        </is>
      </c>
      <c r="D500" s="32" t="n">
        <v>50</v>
      </c>
      <c r="G500" s="32" t="n">
        <v>0</v>
      </c>
      <c r="H500" s="32" t="n">
        <v>10</v>
      </c>
      <c r="I500" s="41" t="n">
        <v>44201900</v>
      </c>
      <c r="J500" s="30" t="n">
        <v>0.05</v>
      </c>
      <c r="K500" s="32">
        <f>D500*J500</f>
        <v/>
      </c>
      <c r="L500" s="32">
        <f>D500*5%</f>
        <v/>
      </c>
      <c r="M500" s="32">
        <f>D500*4%</f>
        <v/>
      </c>
      <c r="N500" s="49">
        <f>M500+L500+K500+H500+G500+F500+E500+D500</f>
        <v/>
      </c>
      <c r="O500" s="32">
        <f>D500*1%</f>
        <v/>
      </c>
      <c r="P500" s="7">
        <f>N500*8%</f>
        <v/>
      </c>
      <c r="Q500" s="7">
        <f>N500*10%</f>
        <v/>
      </c>
      <c r="R500" s="7">
        <f>N500*5%</f>
        <v/>
      </c>
      <c r="S500" s="7">
        <f>N500*2%</f>
        <v/>
      </c>
      <c r="T500" s="7">
        <f>AE500*0.5%</f>
        <v/>
      </c>
      <c r="U500" s="7">
        <f>N500*1%</f>
        <v/>
      </c>
      <c r="V500" s="31">
        <f>U500+S500+R500+Q500+P500+O500</f>
        <v/>
      </c>
      <c r="W500" s="32">
        <f>AE500*1%</f>
        <v/>
      </c>
      <c r="X500" s="32">
        <f>AE500*10%</f>
        <v/>
      </c>
      <c r="Y500" s="32">
        <f>AE500*1%</f>
        <v/>
      </c>
      <c r="Z500" s="32">
        <f>AE500*8%</f>
        <v/>
      </c>
      <c r="AA500" s="32">
        <f>W500+X500+Y500+Z500</f>
        <v/>
      </c>
      <c r="AB500" s="31">
        <f>AA500+V500+N500</f>
        <v/>
      </c>
      <c r="AC500" s="6">
        <f>AB500*20%</f>
        <v/>
      </c>
      <c r="AD500" s="7">
        <f>AB500+AC500</f>
        <v/>
      </c>
      <c r="AE500" s="32">
        <f>D500*2.1</f>
        <v/>
      </c>
      <c r="AF500" s="7">
        <f>AD500-AE500</f>
        <v/>
      </c>
      <c r="AG500" s="7">
        <f>AF500/AD500*100</f>
        <v/>
      </c>
      <c r="AH500" s="0" t="n">
        <v>925</v>
      </c>
      <c r="AI500" s="33" t="n">
        <v>875</v>
      </c>
      <c r="AJ500" s="34">
        <f>AD500</f>
        <v/>
      </c>
      <c r="AK500" s="34">
        <f>AJ500-(AJ500*7%)</f>
        <v/>
      </c>
      <c r="AL500" s="35">
        <f>AJ500/94</f>
        <v/>
      </c>
      <c r="AM500" s="35">
        <f>AK500/94</f>
        <v/>
      </c>
      <c r="AN500" s="36">
        <f>AJ500/24</f>
        <v/>
      </c>
      <c r="AO500" s="36">
        <f>AK500/24</f>
        <v/>
      </c>
      <c r="AP500" s="37">
        <f>AJ500/125</f>
        <v/>
      </c>
      <c r="AQ500" s="37">
        <f>AK500/125</f>
        <v/>
      </c>
    </row>
    <row r="501" ht="15.75" customHeight="1" s="50">
      <c r="A501" s="32" t="n"/>
      <c r="B501" s="32" t="inlineStr">
        <is>
          <t>Blue Dotted</t>
        </is>
      </c>
      <c r="C501" s="32" t="inlineStr">
        <is>
          <t>MI-ES-P-B</t>
        </is>
      </c>
      <c r="D501" s="32" t="n">
        <v>50</v>
      </c>
      <c r="G501" s="32" t="n">
        <v>0</v>
      </c>
      <c r="H501" s="32" t="n">
        <v>10</v>
      </c>
      <c r="I501" s="41" t="n">
        <v>44201900</v>
      </c>
      <c r="J501" s="30" t="n">
        <v>0.05</v>
      </c>
      <c r="K501" s="32">
        <f>D501*J501</f>
        <v/>
      </c>
      <c r="L501" s="32">
        <f>D501*5%</f>
        <v/>
      </c>
      <c r="M501" s="32">
        <f>D501*4%</f>
        <v/>
      </c>
      <c r="N501" s="49">
        <f>M501+L501+K501+H501+G501+F501+E501+D501</f>
        <v/>
      </c>
      <c r="O501" s="32">
        <f>D501*1%</f>
        <v/>
      </c>
      <c r="P501" s="7">
        <f>N501*8%</f>
        <v/>
      </c>
      <c r="Q501" s="7">
        <f>N501*10%</f>
        <v/>
      </c>
      <c r="R501" s="7">
        <f>N501*5%</f>
        <v/>
      </c>
      <c r="S501" s="7">
        <f>N501*2%</f>
        <v/>
      </c>
      <c r="T501" s="7">
        <f>AE501*0.5%</f>
        <v/>
      </c>
      <c r="U501" s="7">
        <f>N501*1%</f>
        <v/>
      </c>
      <c r="V501" s="31">
        <f>U501+S501+R501+Q501+P501+O501</f>
        <v/>
      </c>
      <c r="W501" s="32">
        <f>AE501*1%</f>
        <v/>
      </c>
      <c r="X501" s="32">
        <f>AE501*10%</f>
        <v/>
      </c>
      <c r="Y501" s="32">
        <f>AE501*1%</f>
        <v/>
      </c>
      <c r="Z501" s="32">
        <f>AE501*8%</f>
        <v/>
      </c>
      <c r="AA501" s="32">
        <f>W501+X501+Y501+Z501</f>
        <v/>
      </c>
      <c r="AB501" s="31">
        <f>AA501+V501+N501</f>
        <v/>
      </c>
      <c r="AC501" s="6">
        <f>AB501*20%</f>
        <v/>
      </c>
      <c r="AD501" s="7">
        <f>AB501+AC501</f>
        <v/>
      </c>
      <c r="AE501" s="32">
        <f>D501*2.1</f>
        <v/>
      </c>
      <c r="AF501" s="7">
        <f>AD501-AE501</f>
        <v/>
      </c>
      <c r="AG501" s="7">
        <f>AF501/AD501*100</f>
        <v/>
      </c>
      <c r="AH501" s="0" t="n">
        <v>925</v>
      </c>
      <c r="AI501" s="33" t="n">
        <v>875</v>
      </c>
      <c r="AJ501" s="34">
        <f>AD501</f>
        <v/>
      </c>
      <c r="AK501" s="34">
        <f>AJ501-(AJ501*7%)</f>
        <v/>
      </c>
      <c r="AL501" s="35">
        <f>AJ501/94</f>
        <v/>
      </c>
      <c r="AM501" s="35">
        <f>AK501/94</f>
        <v/>
      </c>
      <c r="AN501" s="36">
        <f>AJ501/24</f>
        <v/>
      </c>
      <c r="AO501" s="36">
        <f>AK501/24</f>
        <v/>
      </c>
      <c r="AP501" s="37">
        <f>AJ501/125</f>
        <v/>
      </c>
      <c r="AQ501" s="37">
        <f>AK501/125</f>
        <v/>
      </c>
    </row>
    <row r="502" ht="15.75" customHeight="1" s="50">
      <c r="A502" s="32" t="inlineStr">
        <is>
          <t>Pangi Seed Shell Rattle</t>
        </is>
      </c>
      <c r="B502" s="32" t="inlineStr">
        <is>
          <t>Standard</t>
        </is>
      </c>
      <c r="C502" s="32" t="inlineStr">
        <is>
          <t>MI-PS</t>
        </is>
      </c>
      <c r="D502" s="32" t="n">
        <v>1000</v>
      </c>
      <c r="E502" s="32" t="n">
        <v>100</v>
      </c>
      <c r="G502" s="32" t="n">
        <v>0</v>
      </c>
      <c r="H502" s="32" t="n">
        <v>10</v>
      </c>
      <c r="I502" s="41" t="n">
        <v>44201900</v>
      </c>
      <c r="J502" s="30" t="n">
        <v>0.05</v>
      </c>
      <c r="K502" s="32">
        <f>D502*J502</f>
        <v/>
      </c>
      <c r="M502" s="32">
        <f>D502*4%</f>
        <v/>
      </c>
      <c r="N502" s="49">
        <f>M502+L502+K502+H502+G502+F502+E502+D502</f>
        <v/>
      </c>
      <c r="O502" s="32">
        <f>D502*1%</f>
        <v/>
      </c>
      <c r="P502" s="7">
        <f>N502*8%</f>
        <v/>
      </c>
      <c r="Q502" s="7">
        <f>N502*10%</f>
        <v/>
      </c>
      <c r="R502" s="7">
        <f>N502*5%</f>
        <v/>
      </c>
      <c r="S502" s="7">
        <f>N502*2%</f>
        <v/>
      </c>
      <c r="T502" s="7">
        <f>AE502*0.5%</f>
        <v/>
      </c>
      <c r="U502" s="7">
        <f>N502*1%</f>
        <v/>
      </c>
      <c r="V502" s="31">
        <f>U502+S502+R502+Q502+P502+O502</f>
        <v/>
      </c>
      <c r="W502" s="32">
        <f>AE502*1%</f>
        <v/>
      </c>
      <c r="X502" s="32">
        <f>AE502*10%</f>
        <v/>
      </c>
      <c r="Y502" s="32">
        <f>AE502*1%</f>
        <v/>
      </c>
      <c r="Z502" s="32">
        <f>AE502*8%</f>
        <v/>
      </c>
      <c r="AA502" s="32">
        <f>W502+X502+Y502+Z502</f>
        <v/>
      </c>
      <c r="AB502" s="31">
        <f>AA502+V502+N502</f>
        <v/>
      </c>
      <c r="AC502" s="6">
        <f>AB502*20%</f>
        <v/>
      </c>
      <c r="AD502" s="7">
        <f>AB502+AC502</f>
        <v/>
      </c>
      <c r="AE502" s="32">
        <f>D502*2.1</f>
        <v/>
      </c>
      <c r="AF502" s="7">
        <f>AD502-AE502</f>
        <v/>
      </c>
      <c r="AG502" s="7">
        <f>AF502/AD502*100</f>
        <v/>
      </c>
      <c r="AH502" s="0" t="n">
        <v>2450</v>
      </c>
      <c r="AI502" s="33" t="n">
        <v>1450</v>
      </c>
      <c r="AJ502" s="34">
        <f>AD502</f>
        <v/>
      </c>
      <c r="AK502" s="34">
        <f>AJ502-(AJ502*7%)</f>
        <v/>
      </c>
      <c r="AL502" s="35">
        <f>AJ502/94</f>
        <v/>
      </c>
      <c r="AM502" s="35">
        <f>AK502/94</f>
        <v/>
      </c>
      <c r="AN502" s="36">
        <f>AJ502/24</f>
        <v/>
      </c>
      <c r="AO502" s="36">
        <f>AK502/24</f>
        <v/>
      </c>
      <c r="AP502" s="37">
        <f>AJ502/125</f>
        <v/>
      </c>
      <c r="AQ502" s="37">
        <f>AK502/125</f>
        <v/>
      </c>
    </row>
    <row r="503" ht="15" customHeight="1" s="50">
      <c r="A503" s="32" t="inlineStr">
        <is>
          <t>Pink &amp; Positive</t>
        </is>
      </c>
      <c r="B503" s="32" t="inlineStr">
        <is>
          <t>without-brush / 1L</t>
        </is>
      </c>
      <c r="D503" s="32" t="n">
        <v>520</v>
      </c>
      <c r="G503" s="32" t="n">
        <v>0</v>
      </c>
      <c r="H503" s="32" t="n">
        <v>10</v>
      </c>
      <c r="I503" s="41" t="n">
        <v>741810</v>
      </c>
      <c r="J503" s="30" t="n">
        <v>0.05</v>
      </c>
      <c r="K503" s="32">
        <f>D503*J503</f>
        <v/>
      </c>
      <c r="M503" s="32">
        <f>D503*4%</f>
        <v/>
      </c>
      <c r="N503" s="49">
        <f>M503+L503+K503+H503+G503+F503+E503+D503</f>
        <v/>
      </c>
      <c r="O503" s="32">
        <f>D503*1%</f>
        <v/>
      </c>
      <c r="P503" s="7">
        <f>N503*8%</f>
        <v/>
      </c>
      <c r="Q503" s="7">
        <f>N503*10%</f>
        <v/>
      </c>
      <c r="R503" s="7">
        <f>N503*5%</f>
        <v/>
      </c>
      <c r="S503" s="7">
        <f>N503*2%</f>
        <v/>
      </c>
      <c r="T503" s="7">
        <f>AE503*0.5%</f>
        <v/>
      </c>
      <c r="U503" s="7">
        <f>N503*1%</f>
        <v/>
      </c>
      <c r="V503" s="31">
        <f>U503+S503+R503+Q503+P503+O503</f>
        <v/>
      </c>
      <c r="W503" s="32">
        <f>AE503*1%</f>
        <v/>
      </c>
      <c r="X503" s="32">
        <f>AE503*10%</f>
        <v/>
      </c>
      <c r="Y503" s="32">
        <f>AE503*1%</f>
        <v/>
      </c>
      <c r="Z503" s="32">
        <f>AE503*8%</f>
        <v/>
      </c>
      <c r="AA503" s="32">
        <f>W503+X503+Y503+Z503</f>
        <v/>
      </c>
      <c r="AB503" s="31">
        <f>AA503+V503+N503</f>
        <v/>
      </c>
      <c r="AC503" s="6">
        <f>AB503*20%</f>
        <v/>
      </c>
      <c r="AD503" s="7">
        <f>AB503+AC503</f>
        <v/>
      </c>
      <c r="AE503" s="32">
        <f>D503*2.1</f>
        <v/>
      </c>
      <c r="AF503" s="7">
        <f>AD503-AE503</f>
        <v/>
      </c>
      <c r="AG503" s="7">
        <f>AF503/AD503*100</f>
        <v/>
      </c>
      <c r="AI503" s="33" t="n"/>
      <c r="AJ503" s="34">
        <f>AD503</f>
        <v/>
      </c>
      <c r="AK503" s="34">
        <f>AJ503-(AJ503*7%)</f>
        <v/>
      </c>
      <c r="AL503" s="35">
        <f>AJ503/94</f>
        <v/>
      </c>
      <c r="AM503" s="35">
        <f>AK503/94</f>
        <v/>
      </c>
      <c r="AN503" s="36">
        <f>AJ503/24</f>
        <v/>
      </c>
      <c r="AO503" s="36">
        <f>AK503/24</f>
        <v/>
      </c>
      <c r="AP503" s="37">
        <f>AJ503/125</f>
        <v/>
      </c>
      <c r="AQ503" s="37">
        <f>AK503/125</f>
        <v/>
      </c>
    </row>
    <row r="504" ht="15.75" customHeight="1" s="50">
      <c r="A504" s="32" t="n"/>
      <c r="B504" s="32" t="inlineStr">
        <is>
          <t>without-brush / 500ml</t>
        </is>
      </c>
      <c r="D504" s="32" t="n">
        <v>400</v>
      </c>
      <c r="G504" s="32" t="n">
        <v>0</v>
      </c>
      <c r="H504" s="32" t="n">
        <v>10</v>
      </c>
      <c r="I504" s="41" t="n">
        <v>741810</v>
      </c>
      <c r="J504" s="30" t="n">
        <v>0.05</v>
      </c>
      <c r="K504" s="32">
        <f>D504*J504</f>
        <v/>
      </c>
      <c r="M504" s="32">
        <f>D504*4%</f>
        <v/>
      </c>
      <c r="N504" s="49">
        <f>M504+L504+K504+H504+G504+F504+E504+D504</f>
        <v/>
      </c>
      <c r="O504" s="32">
        <f>D504*1%</f>
        <v/>
      </c>
      <c r="P504" s="7">
        <f>N504*8%</f>
        <v/>
      </c>
      <c r="Q504" s="7">
        <f>N504*10%</f>
        <v/>
      </c>
      <c r="R504" s="7">
        <f>N504*5%</f>
        <v/>
      </c>
      <c r="S504" s="7">
        <f>N504*2%</f>
        <v/>
      </c>
      <c r="T504" s="7">
        <f>AE504*0.5%</f>
        <v/>
      </c>
      <c r="U504" s="7">
        <f>N504*1%</f>
        <v/>
      </c>
      <c r="V504" s="31">
        <f>U504+S504+R504+Q504+P504+O504</f>
        <v/>
      </c>
      <c r="W504" s="32">
        <f>AE504*1%</f>
        <v/>
      </c>
      <c r="X504" s="32">
        <f>AE504*10%</f>
        <v/>
      </c>
      <c r="Y504" s="32">
        <f>AE504*1%</f>
        <v/>
      </c>
      <c r="Z504" s="32">
        <f>AE504*8%</f>
        <v/>
      </c>
      <c r="AA504" s="32">
        <f>W504+X504+Y504+Z504</f>
        <v/>
      </c>
      <c r="AB504" s="31">
        <f>AA504+V504+N504</f>
        <v/>
      </c>
      <c r="AC504" s="6">
        <f>AB504*20%</f>
        <v/>
      </c>
      <c r="AD504" s="7">
        <f>AB504+AC504</f>
        <v/>
      </c>
      <c r="AE504" s="32">
        <f>D504*2.1</f>
        <v/>
      </c>
      <c r="AF504" s="7">
        <f>AD504-AE504</f>
        <v/>
      </c>
      <c r="AG504" s="7">
        <f>AF504/AD504*100</f>
        <v/>
      </c>
      <c r="AI504" s="33" t="n"/>
      <c r="AJ504" s="34">
        <f>AD504</f>
        <v/>
      </c>
      <c r="AK504" s="34">
        <f>AJ504-(AJ504*7%)</f>
        <v/>
      </c>
      <c r="AL504" s="35">
        <f>AJ504/94</f>
        <v/>
      </c>
      <c r="AM504" s="35">
        <f>AK504/94</f>
        <v/>
      </c>
      <c r="AN504" s="36">
        <f>AJ504/24</f>
        <v/>
      </c>
      <c r="AO504" s="36">
        <f>AK504/24</f>
        <v/>
      </c>
      <c r="AP504" s="37">
        <f>AJ504/125</f>
        <v/>
      </c>
      <c r="AQ504" s="37">
        <f>AK504/125</f>
        <v/>
      </c>
    </row>
    <row r="505" ht="15.75" customHeight="1" s="50">
      <c r="A505" s="32" t="n"/>
      <c r="B505" s="32" t="inlineStr">
        <is>
          <t>with-brush / 500ml</t>
        </is>
      </c>
      <c r="D505" s="32" t="n">
        <v>400</v>
      </c>
      <c r="E505" s="32" t="n">
        <v>50</v>
      </c>
      <c r="G505" s="32" t="n">
        <v>0</v>
      </c>
      <c r="H505" s="32" t="n">
        <v>10</v>
      </c>
      <c r="I505" s="41" t="n">
        <v>741810</v>
      </c>
      <c r="J505" s="30" t="n">
        <v>0.05</v>
      </c>
      <c r="K505" s="32">
        <f>D505*J505</f>
        <v/>
      </c>
      <c r="M505" s="32">
        <f>D505*4%</f>
        <v/>
      </c>
      <c r="N505" s="49">
        <f>M505+L505+K505+H505+G505+F505+E505+D505</f>
        <v/>
      </c>
      <c r="O505" s="32">
        <f>D505*1%</f>
        <v/>
      </c>
      <c r="P505" s="7">
        <f>N505*8%</f>
        <v/>
      </c>
      <c r="Q505" s="7">
        <f>N505*10%</f>
        <v/>
      </c>
      <c r="R505" s="7">
        <f>N505*5%</f>
        <v/>
      </c>
      <c r="S505" s="7">
        <f>N505*2%</f>
        <v/>
      </c>
      <c r="T505" s="7">
        <f>AE505*0.5%</f>
        <v/>
      </c>
      <c r="U505" s="7">
        <f>N505*1%</f>
        <v/>
      </c>
      <c r="V505" s="31">
        <f>U505+S505+R505+Q505+P505+O505</f>
        <v/>
      </c>
      <c r="W505" s="32">
        <f>AE505*1%</f>
        <v/>
      </c>
      <c r="X505" s="32">
        <f>AE505*10%</f>
        <v/>
      </c>
      <c r="Y505" s="32">
        <f>AE505*1%</f>
        <v/>
      </c>
      <c r="Z505" s="32">
        <f>AE505*8%</f>
        <v/>
      </c>
      <c r="AA505" s="32">
        <f>W505+X505+Y505+Z505</f>
        <v/>
      </c>
      <c r="AB505" s="31">
        <f>AA505+V505+N505</f>
        <v/>
      </c>
      <c r="AC505" s="6">
        <f>AB505*20%</f>
        <v/>
      </c>
      <c r="AD505" s="7">
        <f>AB505+AC505</f>
        <v/>
      </c>
      <c r="AE505" s="32">
        <f>D505*2.1</f>
        <v/>
      </c>
      <c r="AF505" s="7">
        <f>AD505-AE505</f>
        <v/>
      </c>
      <c r="AG505" s="7">
        <f>AF505/AD505*100</f>
        <v/>
      </c>
      <c r="AI505" s="33" t="n"/>
      <c r="AJ505" s="34">
        <f>AD505</f>
        <v/>
      </c>
      <c r="AK505" s="34">
        <f>AJ505-(AJ505*7%)</f>
        <v/>
      </c>
      <c r="AL505" s="35">
        <f>AJ505/94</f>
        <v/>
      </c>
      <c r="AM505" s="35">
        <f>AK505/94</f>
        <v/>
      </c>
      <c r="AN505" s="36">
        <f>AJ505/24</f>
        <v/>
      </c>
      <c r="AO505" s="36">
        <f>AK505/24</f>
        <v/>
      </c>
      <c r="AP505" s="37">
        <f>AJ505/125</f>
        <v/>
      </c>
      <c r="AQ505" s="37">
        <f>AK505/125</f>
        <v/>
      </c>
    </row>
    <row r="506" ht="15.75" customHeight="1" s="50">
      <c r="A506" s="32" t="n"/>
      <c r="B506" s="32" t="inlineStr">
        <is>
          <t>with-brush / 1L</t>
        </is>
      </c>
      <c r="D506" s="32" t="n">
        <v>520</v>
      </c>
      <c r="E506" s="32" t="n">
        <v>50</v>
      </c>
      <c r="G506" s="32" t="n">
        <v>0</v>
      </c>
      <c r="H506" s="32" t="n">
        <v>10</v>
      </c>
      <c r="I506" s="41" t="n">
        <v>741810</v>
      </c>
      <c r="J506" s="30" t="n">
        <v>0.05</v>
      </c>
      <c r="K506" s="32">
        <f>D506*J506</f>
        <v/>
      </c>
      <c r="M506" s="32">
        <f>D506*4%</f>
        <v/>
      </c>
      <c r="N506" s="49">
        <f>M506+L506+K506+H506+G506+F506+E506+D506</f>
        <v/>
      </c>
      <c r="O506" s="32">
        <f>D506*1%</f>
        <v/>
      </c>
      <c r="P506" s="7">
        <f>N506*8%</f>
        <v/>
      </c>
      <c r="Q506" s="7">
        <f>N506*10%</f>
        <v/>
      </c>
      <c r="R506" s="7">
        <f>N506*5%</f>
        <v/>
      </c>
      <c r="S506" s="7">
        <f>N506*2%</f>
        <v/>
      </c>
      <c r="T506" s="7">
        <f>AE506*0.5%</f>
        <v/>
      </c>
      <c r="U506" s="7">
        <f>N506*1%</f>
        <v/>
      </c>
      <c r="V506" s="31">
        <f>U506+S506+R506+Q506+P506+O506</f>
        <v/>
      </c>
      <c r="W506" s="32">
        <f>AE506*1%</f>
        <v/>
      </c>
      <c r="X506" s="32">
        <f>AE506*10%</f>
        <v/>
      </c>
      <c r="Y506" s="32">
        <f>AE506*1%</f>
        <v/>
      </c>
      <c r="Z506" s="32">
        <f>AE506*8%</f>
        <v/>
      </c>
      <c r="AA506" s="32">
        <f>W506+X506+Y506+Z506</f>
        <v/>
      </c>
      <c r="AB506" s="31">
        <f>AA506+V506+N506</f>
        <v/>
      </c>
      <c r="AC506" s="6">
        <f>AB506*20%</f>
        <v/>
      </c>
      <c r="AD506" s="7">
        <f>AB506+AC506</f>
        <v/>
      </c>
      <c r="AE506" s="32">
        <f>D506*2.1</f>
        <v/>
      </c>
      <c r="AF506" s="7">
        <f>AD506-AE506</f>
        <v/>
      </c>
      <c r="AG506" s="7">
        <f>AF506/AD506*100</f>
        <v/>
      </c>
      <c r="AI506" s="33" t="n"/>
      <c r="AJ506" s="34">
        <f>AD506</f>
        <v/>
      </c>
      <c r="AK506" s="34">
        <f>AJ506-(AJ506*7%)</f>
        <v/>
      </c>
      <c r="AL506" s="35">
        <f>AJ506/94</f>
        <v/>
      </c>
      <c r="AM506" s="35">
        <f>AK506/94</f>
        <v/>
      </c>
      <c r="AN506" s="36">
        <f>AJ506/24</f>
        <v/>
      </c>
      <c r="AO506" s="36">
        <f>AK506/24</f>
        <v/>
      </c>
      <c r="AP506" s="37">
        <f>AJ506/125</f>
        <v/>
      </c>
      <c r="AQ506" s="37">
        <f>AK506/125</f>
        <v/>
      </c>
    </row>
    <row r="507" ht="15" customHeight="1" s="50">
      <c r="A507" s="32" t="inlineStr">
        <is>
          <t>Plain Yoga Mats</t>
        </is>
      </c>
      <c r="B507" s="32" t="inlineStr">
        <is>
          <t>Moderate / Teal</t>
        </is>
      </c>
      <c r="D507" s="32" t="n">
        <v>950</v>
      </c>
      <c r="G507" s="32" t="n">
        <v>0</v>
      </c>
      <c r="H507" s="32" t="n">
        <v>10</v>
      </c>
      <c r="I507" s="41" t="n">
        <v>5705</v>
      </c>
      <c r="J507" s="30" t="n">
        <v>0.05</v>
      </c>
      <c r="K507" s="32">
        <f>D507*J507</f>
        <v/>
      </c>
      <c r="M507" s="32">
        <f>D507*4%</f>
        <v/>
      </c>
      <c r="N507" s="49">
        <f>M507+L507+K507+H507+G507+F507+D507+#REF!</f>
        <v/>
      </c>
      <c r="O507" s="32">
        <f>#REF!*1%</f>
        <v/>
      </c>
      <c r="P507" s="7">
        <f>N507*8%</f>
        <v/>
      </c>
      <c r="Q507" s="7">
        <f>N507*10%</f>
        <v/>
      </c>
      <c r="R507" s="7">
        <f>N507*5%</f>
        <v/>
      </c>
      <c r="S507" s="7">
        <f>N507*2%</f>
        <v/>
      </c>
      <c r="T507" s="7">
        <f>AE507*0.5%</f>
        <v/>
      </c>
      <c r="U507" s="7">
        <f>N507*1%</f>
        <v/>
      </c>
      <c r="V507" s="49">
        <f>U507+S507+R507+Q507+P507+O507</f>
        <v/>
      </c>
      <c r="W507" s="32">
        <f>AE507*1%</f>
        <v/>
      </c>
      <c r="X507" s="32">
        <f>AE507*10%</f>
        <v/>
      </c>
      <c r="Y507" s="32">
        <f>AE507*1%</f>
        <v/>
      </c>
      <c r="Z507" s="32">
        <f>AE507*8%</f>
        <v/>
      </c>
      <c r="AA507" s="32">
        <f>W507+X507+Y507+Z507</f>
        <v/>
      </c>
      <c r="AB507" s="31">
        <f>AA507+V507+N507</f>
        <v/>
      </c>
      <c r="AC507" s="6">
        <f>AB507*20%</f>
        <v/>
      </c>
      <c r="AD507" s="32">
        <f>AB507+AC507</f>
        <v/>
      </c>
      <c r="AE507" s="32">
        <f>D507*2.1</f>
        <v/>
      </c>
      <c r="AF507" s="7">
        <f>AD507-AE507</f>
        <v/>
      </c>
      <c r="AG507" s="7">
        <f>AF507/AD507*100</f>
        <v/>
      </c>
      <c r="AI507" s="33" t="n"/>
      <c r="AJ507" s="34">
        <f>AD507</f>
        <v/>
      </c>
      <c r="AK507" s="34">
        <f>AJ507-(AJ507*7%)</f>
        <v/>
      </c>
      <c r="AL507" s="35">
        <f>AJ507/94</f>
        <v/>
      </c>
      <c r="AM507" s="35">
        <f>AK507/94</f>
        <v/>
      </c>
      <c r="AN507" s="36">
        <f>AJ507/24</f>
        <v/>
      </c>
      <c r="AO507" s="36">
        <f>AK507/24</f>
        <v/>
      </c>
      <c r="AP507" s="37">
        <f>AJ507/125</f>
        <v/>
      </c>
      <c r="AQ507" s="37">
        <f>AK507/125</f>
        <v/>
      </c>
    </row>
    <row r="508" ht="15.75" customHeight="1" s="50">
      <c r="A508" s="32" t="n"/>
      <c r="B508" s="32" t="inlineStr">
        <is>
          <t>Teal / Superior</t>
        </is>
      </c>
      <c r="D508" s="32" t="n">
        <v>1050</v>
      </c>
      <c r="G508" s="32" t="n">
        <v>0</v>
      </c>
      <c r="H508" s="32" t="n">
        <v>10</v>
      </c>
      <c r="I508" s="41" t="n">
        <v>5705</v>
      </c>
      <c r="J508" s="30" t="n">
        <v>0.05</v>
      </c>
      <c r="K508" s="32">
        <f>D508*J508</f>
        <v/>
      </c>
      <c r="M508" s="32">
        <f>D508*4%</f>
        <v/>
      </c>
      <c r="N508" s="49">
        <f>M508+L508+K508+H508+G508+F508+D508+#REF!</f>
        <v/>
      </c>
      <c r="O508" s="32">
        <f>#REF!*1%</f>
        <v/>
      </c>
      <c r="P508" s="7">
        <f>N508*8%</f>
        <v/>
      </c>
      <c r="Q508" s="7">
        <f>N508*10%</f>
        <v/>
      </c>
      <c r="R508" s="7">
        <f>N508*5%</f>
        <v/>
      </c>
      <c r="S508" s="7">
        <f>N508*2%</f>
        <v/>
      </c>
      <c r="T508" s="7">
        <f>AE508*0.5%</f>
        <v/>
      </c>
      <c r="U508" s="7">
        <f>N508*1%</f>
        <v/>
      </c>
      <c r="V508" s="49">
        <f>U508+S508+R508+Q508+P508+O508</f>
        <v/>
      </c>
      <c r="W508" s="32">
        <f>AE508*1%</f>
        <v/>
      </c>
      <c r="X508" s="32">
        <f>AE508*10%</f>
        <v/>
      </c>
      <c r="Y508" s="32">
        <f>AE508*1%</f>
        <v/>
      </c>
      <c r="Z508" s="32">
        <f>AE508*8%</f>
        <v/>
      </c>
      <c r="AA508" s="32">
        <f>W508+X508+Y508+Z508</f>
        <v/>
      </c>
      <c r="AB508" s="31">
        <f>AA508+V508+N508</f>
        <v/>
      </c>
      <c r="AC508" s="6">
        <f>AB508*20%</f>
        <v/>
      </c>
      <c r="AD508" s="32">
        <f>AB508+AC508</f>
        <v/>
      </c>
      <c r="AE508" s="32">
        <f>D508*2.1</f>
        <v/>
      </c>
      <c r="AF508" s="7">
        <f>AD508-AE508</f>
        <v/>
      </c>
      <c r="AG508" s="7">
        <f>AF508/AD508*100</f>
        <v/>
      </c>
      <c r="AI508" s="33" t="n"/>
      <c r="AJ508" s="34">
        <f>AD508</f>
        <v/>
      </c>
      <c r="AK508" s="34">
        <f>AJ508-(AJ508*7%)</f>
        <v/>
      </c>
      <c r="AL508" s="35">
        <f>AJ508/94</f>
        <v/>
      </c>
      <c r="AM508" s="35">
        <f>AK508/94</f>
        <v/>
      </c>
      <c r="AN508" s="36">
        <f>AJ508/24</f>
        <v/>
      </c>
      <c r="AO508" s="36">
        <f>AK508/24</f>
        <v/>
      </c>
      <c r="AP508" s="37">
        <f>AJ508/125</f>
        <v/>
      </c>
      <c r="AQ508" s="37">
        <f>AK508/125</f>
        <v/>
      </c>
    </row>
    <row r="509" ht="15.75" customHeight="1" s="50">
      <c r="A509" s="32" t="n"/>
      <c r="B509" s="32" t="inlineStr">
        <is>
          <t>Moderate / Orange</t>
        </is>
      </c>
      <c r="D509" s="32" t="n">
        <v>950</v>
      </c>
      <c r="G509" s="32" t="n">
        <v>0</v>
      </c>
      <c r="H509" s="32" t="n">
        <v>10</v>
      </c>
      <c r="I509" s="41" t="n">
        <v>5705</v>
      </c>
      <c r="J509" s="30" t="n">
        <v>0.05</v>
      </c>
      <c r="K509" s="32">
        <f>D509*J509</f>
        <v/>
      </c>
      <c r="M509" s="32">
        <f>D509*4%</f>
        <v/>
      </c>
      <c r="N509" s="49">
        <f>M509+L509+K509+H509+G509+F509+D509+#REF!</f>
        <v/>
      </c>
      <c r="O509" s="32">
        <f>#REF!*1%</f>
        <v/>
      </c>
      <c r="P509" s="7">
        <f>N509*8%</f>
        <v/>
      </c>
      <c r="Q509" s="7">
        <f>N509*10%</f>
        <v/>
      </c>
      <c r="R509" s="7">
        <f>N509*5%</f>
        <v/>
      </c>
      <c r="S509" s="7">
        <f>N509*2%</f>
        <v/>
      </c>
      <c r="T509" s="7">
        <f>AE509*0.5%</f>
        <v/>
      </c>
      <c r="U509" s="7">
        <f>N509*1%</f>
        <v/>
      </c>
      <c r="V509" s="49">
        <f>U509+S509+R509+Q509+P509+O509</f>
        <v/>
      </c>
      <c r="W509" s="32">
        <f>AE509*1%</f>
        <v/>
      </c>
      <c r="X509" s="32">
        <f>AE509*10%</f>
        <v/>
      </c>
      <c r="Y509" s="32">
        <f>AE509*1%</f>
        <v/>
      </c>
      <c r="Z509" s="32">
        <f>AE509*8%</f>
        <v/>
      </c>
      <c r="AA509" s="32">
        <f>W509+X509+Y509+Z509</f>
        <v/>
      </c>
      <c r="AB509" s="31">
        <f>AA509+V509+N509</f>
        <v/>
      </c>
      <c r="AC509" s="6">
        <f>AB509*20%</f>
        <v/>
      </c>
      <c r="AD509" s="32">
        <f>AB509+AC509</f>
        <v/>
      </c>
      <c r="AE509" s="32">
        <f>D509*2.1</f>
        <v/>
      </c>
      <c r="AF509" s="7">
        <f>AD509-AE509</f>
        <v/>
      </c>
      <c r="AG509" s="7">
        <f>AF509/AD509*100</f>
        <v/>
      </c>
      <c r="AI509" s="33" t="n"/>
      <c r="AJ509" s="34">
        <f>AD509</f>
        <v/>
      </c>
      <c r="AK509" s="34">
        <f>AJ509-(AJ509*7%)</f>
        <v/>
      </c>
      <c r="AL509" s="35">
        <f>AJ509/94</f>
        <v/>
      </c>
      <c r="AM509" s="35">
        <f>AK509/94</f>
        <v/>
      </c>
      <c r="AN509" s="36">
        <f>AJ509/24</f>
        <v/>
      </c>
      <c r="AO509" s="36">
        <f>AK509/24</f>
        <v/>
      </c>
      <c r="AP509" s="37">
        <f>AJ509/125</f>
        <v/>
      </c>
      <c r="AQ509" s="37">
        <f>AK509/125</f>
        <v/>
      </c>
    </row>
    <row r="510" ht="15.75" customHeight="1" s="50">
      <c r="A510" s="32" t="n"/>
      <c r="B510" s="32" t="inlineStr">
        <is>
          <t>Orange / Superior</t>
        </is>
      </c>
      <c r="D510" s="32" t="n">
        <v>1050</v>
      </c>
      <c r="G510" s="32" t="n">
        <v>0</v>
      </c>
      <c r="H510" s="32" t="n">
        <v>10</v>
      </c>
      <c r="I510" s="41" t="n">
        <v>5705</v>
      </c>
      <c r="J510" s="30" t="n">
        <v>0.05</v>
      </c>
      <c r="K510" s="32">
        <f>D510*J510</f>
        <v/>
      </c>
      <c r="M510" s="32">
        <f>D510*4%</f>
        <v/>
      </c>
      <c r="N510" s="49">
        <f>M510+L510+K510+H510+G510+F510+D510+#REF!</f>
        <v/>
      </c>
      <c r="O510" s="32">
        <f>#REF!*1%</f>
        <v/>
      </c>
      <c r="P510" s="7">
        <f>N510*8%</f>
        <v/>
      </c>
      <c r="Q510" s="7">
        <f>N510*10%</f>
        <v/>
      </c>
      <c r="R510" s="7">
        <f>N510*5%</f>
        <v/>
      </c>
      <c r="S510" s="7">
        <f>N510*2%</f>
        <v/>
      </c>
      <c r="T510" s="7">
        <f>AE510*0.5%</f>
        <v/>
      </c>
      <c r="U510" s="7">
        <f>N510*1%</f>
        <v/>
      </c>
      <c r="V510" s="49">
        <f>U510+S510+R510+Q510+P510+O510</f>
        <v/>
      </c>
      <c r="W510" s="32">
        <f>AE510*1%</f>
        <v/>
      </c>
      <c r="X510" s="32">
        <f>AE510*10%</f>
        <v/>
      </c>
      <c r="Y510" s="32">
        <f>AE510*1%</f>
        <v/>
      </c>
      <c r="Z510" s="32">
        <f>AE510*8%</f>
        <v/>
      </c>
      <c r="AA510" s="32">
        <f>W510+X510+Y510+Z510</f>
        <v/>
      </c>
      <c r="AB510" s="31">
        <f>AA510+V510+N510</f>
        <v/>
      </c>
      <c r="AC510" s="6">
        <f>AB510*20%</f>
        <v/>
      </c>
      <c r="AD510" s="32">
        <f>AB510+AC510</f>
        <v/>
      </c>
      <c r="AE510" s="32">
        <f>D510*2.1</f>
        <v/>
      </c>
      <c r="AF510" s="7">
        <f>AD510-AE510</f>
        <v/>
      </c>
      <c r="AG510" s="7">
        <f>AF510/AD510*100</f>
        <v/>
      </c>
      <c r="AI510" s="33" t="n"/>
      <c r="AJ510" s="34">
        <f>AD510</f>
        <v/>
      </c>
      <c r="AK510" s="34">
        <f>AJ510-(AJ510*7%)</f>
        <v/>
      </c>
      <c r="AL510" s="35">
        <f>AJ510/94</f>
        <v/>
      </c>
      <c r="AM510" s="35">
        <f>AK510/94</f>
        <v/>
      </c>
      <c r="AN510" s="36">
        <f>AJ510/24</f>
        <v/>
      </c>
      <c r="AO510" s="36">
        <f>AK510/24</f>
        <v/>
      </c>
      <c r="AP510" s="37">
        <f>AJ510/125</f>
        <v/>
      </c>
      <c r="AQ510" s="37">
        <f>AK510/125</f>
        <v/>
      </c>
    </row>
    <row r="511" ht="15.75" customHeight="1" s="50">
      <c r="A511" s="32" t="n"/>
      <c r="B511" s="32" t="inlineStr">
        <is>
          <t>Moderate / Yellow</t>
        </is>
      </c>
      <c r="D511" s="32" t="n">
        <v>950</v>
      </c>
      <c r="G511" s="32" t="n">
        <v>0</v>
      </c>
      <c r="H511" s="32" t="n">
        <v>10</v>
      </c>
      <c r="I511" s="41" t="n">
        <v>5705</v>
      </c>
      <c r="J511" s="30" t="n">
        <v>0.05</v>
      </c>
      <c r="K511" s="32">
        <f>D511*J511</f>
        <v/>
      </c>
      <c r="M511" s="32">
        <f>D511*4%</f>
        <v/>
      </c>
      <c r="N511" s="49">
        <f>M511+L511+K511+H511+G511+F511+D511+#REF!</f>
        <v/>
      </c>
      <c r="O511" s="32">
        <f>#REF!*1%</f>
        <v/>
      </c>
      <c r="P511" s="7">
        <f>N511*8%</f>
        <v/>
      </c>
      <c r="Q511" s="7">
        <f>N511*10%</f>
        <v/>
      </c>
      <c r="R511" s="7">
        <f>N511*5%</f>
        <v/>
      </c>
      <c r="S511" s="7">
        <f>N511*2%</f>
        <v/>
      </c>
      <c r="T511" s="7">
        <f>AE511*0.5%</f>
        <v/>
      </c>
      <c r="U511" s="7">
        <f>N511*1%</f>
        <v/>
      </c>
      <c r="V511" s="49">
        <f>U511+S511+R511+Q511+P511+O511</f>
        <v/>
      </c>
      <c r="W511" s="32">
        <f>AE511*1%</f>
        <v/>
      </c>
      <c r="X511" s="32">
        <f>AE511*10%</f>
        <v/>
      </c>
      <c r="Y511" s="32">
        <f>AE511*1%</f>
        <v/>
      </c>
      <c r="Z511" s="32">
        <f>AE511*8%</f>
        <v/>
      </c>
      <c r="AA511" s="32">
        <f>W511+X511+Y511+Z511</f>
        <v/>
      </c>
      <c r="AB511" s="31">
        <f>AA511+V511+N511</f>
        <v/>
      </c>
      <c r="AC511" s="6">
        <f>AB511*20%</f>
        <v/>
      </c>
      <c r="AD511" s="32">
        <f>AB511+AC511</f>
        <v/>
      </c>
      <c r="AE511" s="32">
        <f>D511*2.1</f>
        <v/>
      </c>
      <c r="AF511" s="7">
        <f>AD511-AE511</f>
        <v/>
      </c>
      <c r="AG511" s="7">
        <f>AF511/AD511*100</f>
        <v/>
      </c>
      <c r="AI511" s="33" t="n"/>
      <c r="AJ511" s="34">
        <f>AD511</f>
        <v/>
      </c>
      <c r="AK511" s="34">
        <f>AJ511-(AJ511*7%)</f>
        <v/>
      </c>
      <c r="AL511" s="35">
        <f>AJ511/94</f>
        <v/>
      </c>
      <c r="AM511" s="35">
        <f>AK511/94</f>
        <v/>
      </c>
      <c r="AN511" s="36">
        <f>AJ511/24</f>
        <v/>
      </c>
      <c r="AO511" s="36">
        <f>AK511/24</f>
        <v/>
      </c>
      <c r="AP511" s="37">
        <f>AJ511/125</f>
        <v/>
      </c>
      <c r="AQ511" s="37">
        <f>AK511/125</f>
        <v/>
      </c>
    </row>
    <row r="512" ht="15.75" customHeight="1" s="50">
      <c r="A512" s="32" t="n"/>
      <c r="B512" s="32" t="inlineStr">
        <is>
          <t>Yellow / Superior</t>
        </is>
      </c>
      <c r="D512" s="32" t="n">
        <v>1050</v>
      </c>
      <c r="G512" s="32" t="n">
        <v>0</v>
      </c>
      <c r="H512" s="32" t="n">
        <v>10</v>
      </c>
      <c r="I512" s="41" t="n">
        <v>5705</v>
      </c>
      <c r="J512" s="30" t="n">
        <v>0.05</v>
      </c>
      <c r="K512" s="32">
        <f>D512*J512</f>
        <v/>
      </c>
      <c r="M512" s="32">
        <f>D512*4%</f>
        <v/>
      </c>
      <c r="N512" s="49">
        <f>M512+L512+K512+H512+G512+F512+D512+#REF!</f>
        <v/>
      </c>
      <c r="O512" s="32">
        <f>#REF!*1%</f>
        <v/>
      </c>
      <c r="P512" s="7">
        <f>N512*8%</f>
        <v/>
      </c>
      <c r="Q512" s="7">
        <f>N512*10%</f>
        <v/>
      </c>
      <c r="R512" s="7">
        <f>N512*5%</f>
        <v/>
      </c>
      <c r="S512" s="7">
        <f>N512*2%</f>
        <v/>
      </c>
      <c r="T512" s="7">
        <f>AE512*0.5%</f>
        <v/>
      </c>
      <c r="U512" s="7">
        <f>N512*1%</f>
        <v/>
      </c>
      <c r="V512" s="49">
        <f>U512+S512+R512+Q512+P512+O512</f>
        <v/>
      </c>
      <c r="W512" s="32">
        <f>AE512*1%</f>
        <v/>
      </c>
      <c r="X512" s="32">
        <f>AE512*10%</f>
        <v/>
      </c>
      <c r="Y512" s="32">
        <f>AE512*1%</f>
        <v/>
      </c>
      <c r="Z512" s="32">
        <f>AE512*8%</f>
        <v/>
      </c>
      <c r="AA512" s="32">
        <f>W512+X512+Y512+Z512</f>
        <v/>
      </c>
      <c r="AB512" s="31">
        <f>AA512+V512+N512</f>
        <v/>
      </c>
      <c r="AC512" s="6">
        <f>AB512*20%</f>
        <v/>
      </c>
      <c r="AD512" s="32">
        <f>AB512+AC512</f>
        <v/>
      </c>
      <c r="AE512" s="32">
        <f>D512*2.1</f>
        <v/>
      </c>
      <c r="AF512" s="7">
        <f>AD512-AE512</f>
        <v/>
      </c>
      <c r="AG512" s="7">
        <f>AF512/AD512*100</f>
        <v/>
      </c>
      <c r="AI512" s="33" t="n"/>
      <c r="AJ512" s="34">
        <f>AD512</f>
        <v/>
      </c>
      <c r="AK512" s="34">
        <f>AJ512-(AJ512*7%)</f>
        <v/>
      </c>
      <c r="AL512" s="35">
        <f>AJ512/94</f>
        <v/>
      </c>
      <c r="AM512" s="35">
        <f>AK512/94</f>
        <v/>
      </c>
      <c r="AN512" s="36">
        <f>AJ512/24</f>
        <v/>
      </c>
      <c r="AO512" s="36">
        <f>AK512/24</f>
        <v/>
      </c>
      <c r="AP512" s="37">
        <f>AJ512/125</f>
        <v/>
      </c>
      <c r="AQ512" s="37">
        <f>AK512/125</f>
        <v/>
      </c>
    </row>
    <row r="513" ht="15.75" customHeight="1" s="50">
      <c r="A513" s="32" t="n"/>
      <c r="B513" s="32" t="inlineStr">
        <is>
          <t>Moderate / Pink</t>
        </is>
      </c>
      <c r="D513" s="32" t="n">
        <v>950</v>
      </c>
      <c r="G513" s="32" t="n">
        <v>0</v>
      </c>
      <c r="H513" s="32" t="n">
        <v>10</v>
      </c>
      <c r="I513" s="41" t="n">
        <v>5705</v>
      </c>
      <c r="J513" s="30" t="n">
        <v>0.05</v>
      </c>
      <c r="K513" s="32">
        <f>D513*J513</f>
        <v/>
      </c>
      <c r="M513" s="32">
        <f>D513*4%</f>
        <v/>
      </c>
      <c r="N513" s="49">
        <f>M513+L513+K513+H513+G513+F513+D513+#REF!</f>
        <v/>
      </c>
      <c r="O513" s="32">
        <f>#REF!*1%</f>
        <v/>
      </c>
      <c r="P513" s="7">
        <f>N513*8%</f>
        <v/>
      </c>
      <c r="Q513" s="7">
        <f>N513*10%</f>
        <v/>
      </c>
      <c r="R513" s="7">
        <f>N513*5%</f>
        <v/>
      </c>
      <c r="S513" s="7">
        <f>N513*2%</f>
        <v/>
      </c>
      <c r="T513" s="7">
        <f>AE513*0.5%</f>
        <v/>
      </c>
      <c r="U513" s="7">
        <f>N513*1%</f>
        <v/>
      </c>
      <c r="V513" s="49">
        <f>U513+S513+R513+Q513+P513+O513</f>
        <v/>
      </c>
      <c r="W513" s="32">
        <f>AE513*1%</f>
        <v/>
      </c>
      <c r="X513" s="32">
        <f>AE513*10%</f>
        <v/>
      </c>
      <c r="Y513" s="32">
        <f>AE513*1%</f>
        <v/>
      </c>
      <c r="Z513" s="32">
        <f>AE513*8%</f>
        <v/>
      </c>
      <c r="AA513" s="32">
        <f>W513+X513+Y513+Z513</f>
        <v/>
      </c>
      <c r="AB513" s="31">
        <f>AA513+V513+N513</f>
        <v/>
      </c>
      <c r="AC513" s="6">
        <f>AB513*20%</f>
        <v/>
      </c>
      <c r="AD513" s="32">
        <f>AB513+AC513</f>
        <v/>
      </c>
      <c r="AE513" s="32">
        <f>D513*2.1</f>
        <v/>
      </c>
      <c r="AF513" s="7">
        <f>AD513-AE513</f>
        <v/>
      </c>
      <c r="AG513" s="7">
        <f>AF513/AD513*100</f>
        <v/>
      </c>
      <c r="AI513" s="33" t="n"/>
      <c r="AJ513" s="34">
        <f>AD513</f>
        <v/>
      </c>
      <c r="AK513" s="34">
        <f>AJ513-(AJ513*7%)</f>
        <v/>
      </c>
      <c r="AL513" s="35">
        <f>AJ513/94</f>
        <v/>
      </c>
      <c r="AM513" s="35">
        <f>AK513/94</f>
        <v/>
      </c>
      <c r="AN513" s="36">
        <f>AJ513/24</f>
        <v/>
      </c>
      <c r="AO513" s="36">
        <f>AK513/24</f>
        <v/>
      </c>
      <c r="AP513" s="37">
        <f>AJ513/125</f>
        <v/>
      </c>
      <c r="AQ513" s="37">
        <f>AK513/125</f>
        <v/>
      </c>
    </row>
    <row r="514" ht="15.75" customHeight="1" s="50">
      <c r="A514" s="32" t="n"/>
      <c r="B514" s="32" t="inlineStr">
        <is>
          <t>Pink / Superior</t>
        </is>
      </c>
      <c r="D514" s="32" t="n">
        <v>1050</v>
      </c>
      <c r="G514" s="32" t="n">
        <v>0</v>
      </c>
      <c r="H514" s="32" t="n">
        <v>10</v>
      </c>
      <c r="I514" s="41" t="n">
        <v>5705</v>
      </c>
      <c r="J514" s="30" t="n">
        <v>0.05</v>
      </c>
      <c r="K514" s="32">
        <f>D514*J514</f>
        <v/>
      </c>
      <c r="M514" s="32">
        <f>D514*4%</f>
        <v/>
      </c>
      <c r="N514" s="49">
        <f>M514+L514+K514+H514+G514+F514+D514+#REF!</f>
        <v/>
      </c>
      <c r="O514" s="32">
        <f>#REF!*1%</f>
        <v/>
      </c>
      <c r="P514" s="7">
        <f>N514*8%</f>
        <v/>
      </c>
      <c r="Q514" s="7">
        <f>N514*10%</f>
        <v/>
      </c>
      <c r="R514" s="7">
        <f>N514*5%</f>
        <v/>
      </c>
      <c r="S514" s="7">
        <f>N514*2%</f>
        <v/>
      </c>
      <c r="T514" s="7">
        <f>AE514*0.5%</f>
        <v/>
      </c>
      <c r="U514" s="7">
        <f>N514*1%</f>
        <v/>
      </c>
      <c r="V514" s="49">
        <f>U514+S514+R514+Q514+P514+O514</f>
        <v/>
      </c>
      <c r="W514" s="32">
        <f>AE514*1%</f>
        <v/>
      </c>
      <c r="X514" s="32">
        <f>AE514*10%</f>
        <v/>
      </c>
      <c r="Y514" s="32">
        <f>AE514*1%</f>
        <v/>
      </c>
      <c r="Z514" s="32">
        <f>AE514*8%</f>
        <v/>
      </c>
      <c r="AA514" s="32">
        <f>W514+X514+Y514+Z514</f>
        <v/>
      </c>
      <c r="AB514" s="31">
        <f>AA514+V514+N514</f>
        <v/>
      </c>
      <c r="AC514" s="6">
        <f>AB514*20%</f>
        <v/>
      </c>
      <c r="AD514" s="32">
        <f>AB514+AC514</f>
        <v/>
      </c>
      <c r="AE514" s="32">
        <f>D514*2.1</f>
        <v/>
      </c>
      <c r="AF514" s="7">
        <f>AD514-AE514</f>
        <v/>
      </c>
      <c r="AG514" s="7">
        <f>AF514/AD514*100</f>
        <v/>
      </c>
      <c r="AI514" s="33" t="n"/>
      <c r="AJ514" s="34">
        <f>AD514</f>
        <v/>
      </c>
      <c r="AK514" s="34">
        <f>AJ514-(AJ514*7%)</f>
        <v/>
      </c>
      <c r="AL514" s="35">
        <f>AJ514/94</f>
        <v/>
      </c>
      <c r="AM514" s="35">
        <f>AK514/94</f>
        <v/>
      </c>
      <c r="AN514" s="36">
        <f>AJ514/24</f>
        <v/>
      </c>
      <c r="AO514" s="36">
        <f>AK514/24</f>
        <v/>
      </c>
      <c r="AP514" s="37">
        <f>AJ514/125</f>
        <v/>
      </c>
      <c r="AQ514" s="37">
        <f>AK514/125</f>
        <v/>
      </c>
    </row>
    <row r="515" ht="15" customHeight="1" s="50">
      <c r="A515" s="32" t="inlineStr">
        <is>
          <t>Plain/Wind Tibetan Gong</t>
        </is>
      </c>
      <c r="B515" s="32" t="inlineStr">
        <is>
          <t>14 in</t>
        </is>
      </c>
      <c r="C515" s="32" t="inlineStr">
        <is>
          <t>MI-G-P-14</t>
        </is>
      </c>
      <c r="D515" s="32" t="n">
        <v>190</v>
      </c>
      <c r="G515" s="32" t="n">
        <v>0</v>
      </c>
      <c r="H515" s="32" t="n">
        <v>10</v>
      </c>
      <c r="I515" s="41" t="n">
        <v>83061000</v>
      </c>
      <c r="J515" s="30" t="n">
        <v>0.05</v>
      </c>
      <c r="K515" s="32">
        <f>D515*J515</f>
        <v/>
      </c>
      <c r="L515" s="32">
        <f>D515*5%</f>
        <v/>
      </c>
      <c r="M515" s="32">
        <f>D515*4%</f>
        <v/>
      </c>
      <c r="N515" s="49">
        <f>M515+L515+K515+H515+G515+F515+E515+D515</f>
        <v/>
      </c>
      <c r="O515" s="32">
        <f>D515*1%</f>
        <v/>
      </c>
      <c r="P515" s="7">
        <f>N515*8%</f>
        <v/>
      </c>
      <c r="Q515" s="7">
        <f>N515*10%</f>
        <v/>
      </c>
      <c r="R515" s="7">
        <f>N515*5%</f>
        <v/>
      </c>
      <c r="S515" s="7">
        <f>N515*2%</f>
        <v/>
      </c>
      <c r="T515" s="7">
        <f>AE515*0.5%</f>
        <v/>
      </c>
      <c r="U515" s="7">
        <f>N515*1%</f>
        <v/>
      </c>
      <c r="V515" s="31">
        <f>U515+S515+R515+Q515+P515+O515</f>
        <v/>
      </c>
      <c r="W515" s="32">
        <f>AE515*1%</f>
        <v/>
      </c>
      <c r="X515" s="32">
        <f>AE515*10%</f>
        <v/>
      </c>
      <c r="Y515" s="32">
        <f>AE515*1%</f>
        <v/>
      </c>
      <c r="Z515" s="32">
        <f>AE515*8%</f>
        <v/>
      </c>
      <c r="AA515" s="32">
        <f>W515+X515+Y515+Z515</f>
        <v/>
      </c>
      <c r="AB515" s="31">
        <f>AA515+V515+N515</f>
        <v/>
      </c>
      <c r="AC515" s="6">
        <f>AB515*20%</f>
        <v/>
      </c>
      <c r="AD515" s="7">
        <f>AB515+AC515</f>
        <v/>
      </c>
      <c r="AE515" s="32">
        <f>D515*2.1</f>
        <v/>
      </c>
      <c r="AF515" s="7">
        <f>AD515-AE515</f>
        <v/>
      </c>
      <c r="AG515" s="7">
        <f>AF515/AD515*100</f>
        <v/>
      </c>
      <c r="AH515" s="0" t="n">
        <v>9900</v>
      </c>
      <c r="AI515" s="33" t="n">
        <v>9710</v>
      </c>
      <c r="AJ515" s="34">
        <f>AD515</f>
        <v/>
      </c>
      <c r="AK515" s="34">
        <f>AJ515-(AJ515*7%)</f>
        <v/>
      </c>
      <c r="AL515" s="35">
        <f>AJ515/94</f>
        <v/>
      </c>
      <c r="AM515" s="35">
        <f>AK515/94</f>
        <v/>
      </c>
      <c r="AN515" s="36">
        <f>AJ515/24</f>
        <v/>
      </c>
      <c r="AO515" s="36">
        <f>AK515/24</f>
        <v/>
      </c>
      <c r="AP515" s="37">
        <f>AJ515/125</f>
        <v/>
      </c>
      <c r="AQ515" s="37">
        <f>AK515/125</f>
        <v/>
      </c>
    </row>
    <row r="516" ht="15.75" customHeight="1" s="50">
      <c r="A516" s="32" t="n"/>
      <c r="B516" s="32" t="inlineStr">
        <is>
          <t>16 in</t>
        </is>
      </c>
      <c r="C516" s="32" t="inlineStr">
        <is>
          <t>MI-G-P-16</t>
        </is>
      </c>
      <c r="D516" s="32" t="inlineStr">
        <is>
          <t>Parasonjeet</t>
        </is>
      </c>
      <c r="E516" s="32" t="n">
        <v>190</v>
      </c>
      <c r="G516" s="32" t="n">
        <v>0</v>
      </c>
      <c r="H516" s="32" t="n">
        <v>10</v>
      </c>
      <c r="I516" s="41" t="n">
        <v>83061000</v>
      </c>
      <c r="J516" s="30" t="n">
        <v>0.05</v>
      </c>
      <c r="K516" s="32">
        <f>D516*J516</f>
        <v/>
      </c>
      <c r="M516" s="32">
        <f>D516*4%</f>
        <v/>
      </c>
      <c r="N516" s="49">
        <f>M516+L516+K516+H516+G516+F516+E516+D516</f>
        <v/>
      </c>
      <c r="O516" s="32">
        <f>D516*1%</f>
        <v/>
      </c>
      <c r="P516" s="7">
        <f>N516*8%</f>
        <v/>
      </c>
      <c r="Q516" s="7">
        <f>N516*10%</f>
        <v/>
      </c>
      <c r="R516" s="7">
        <f>N516*5%</f>
        <v/>
      </c>
      <c r="S516" s="7">
        <f>N516*2%</f>
        <v/>
      </c>
      <c r="T516" s="7">
        <f>AE516*0.5%</f>
        <v/>
      </c>
      <c r="U516" s="7">
        <f>N516*1%</f>
        <v/>
      </c>
      <c r="V516" s="49">
        <f>U516+S516+R516+Q516+P516+O516</f>
        <v/>
      </c>
      <c r="W516" s="32">
        <f>AE516*1%</f>
        <v/>
      </c>
      <c r="X516" s="32">
        <f>AE516*10%</f>
        <v/>
      </c>
      <c r="Y516" s="32">
        <f>AE516*1%</f>
        <v/>
      </c>
      <c r="Z516" s="32">
        <f>AE516*8%</f>
        <v/>
      </c>
      <c r="AA516" s="32">
        <f>W516+X516+Y516+Z516</f>
        <v/>
      </c>
      <c r="AB516" s="31">
        <f>AA516+V516+N516</f>
        <v/>
      </c>
      <c r="AC516" s="6">
        <f>AB516*20%</f>
        <v/>
      </c>
      <c r="AD516" s="32">
        <f>AB516+AC516</f>
        <v/>
      </c>
      <c r="AE516" s="32">
        <f>D516*2.1</f>
        <v/>
      </c>
      <c r="AF516" s="7">
        <f>AD516-AE516</f>
        <v/>
      </c>
      <c r="AG516" s="7">
        <f>AF516/AD516*100</f>
        <v/>
      </c>
      <c r="AH516" s="0" t="n">
        <v>13500</v>
      </c>
      <c r="AI516" s="33" t="n"/>
      <c r="AJ516" s="34">
        <f>AD516</f>
        <v/>
      </c>
      <c r="AK516" s="34">
        <f>AJ516-(AJ516*7%)</f>
        <v/>
      </c>
      <c r="AL516" s="35">
        <f>AJ516/94</f>
        <v/>
      </c>
      <c r="AM516" s="35">
        <f>AK516/94</f>
        <v/>
      </c>
      <c r="AN516" s="36">
        <f>AJ516/24</f>
        <v/>
      </c>
      <c r="AO516" s="36">
        <f>AK516/24</f>
        <v/>
      </c>
      <c r="AP516" s="37">
        <f>AJ516/125</f>
        <v/>
      </c>
      <c r="AQ516" s="37">
        <f>AK516/125</f>
        <v/>
      </c>
    </row>
    <row r="517" ht="15.75" customHeight="1" s="50">
      <c r="A517" s="32" t="n"/>
      <c r="B517" s="32" t="inlineStr">
        <is>
          <t>18 in</t>
        </is>
      </c>
      <c r="C517" s="32" t="inlineStr">
        <is>
          <t>MI-G-P-18</t>
        </is>
      </c>
      <c r="D517" s="32" t="inlineStr">
        <is>
          <t>Parasonjeet</t>
        </is>
      </c>
      <c r="E517" s="32" t="n">
        <v>190</v>
      </c>
      <c r="G517" s="32" t="n">
        <v>0</v>
      </c>
      <c r="H517" s="32" t="n">
        <v>10</v>
      </c>
      <c r="I517" s="41" t="n">
        <v>83061000</v>
      </c>
      <c r="J517" s="30" t="n">
        <v>0.05</v>
      </c>
      <c r="K517" s="32">
        <f>D517*J517</f>
        <v/>
      </c>
      <c r="M517" s="32">
        <f>D517*4%</f>
        <v/>
      </c>
      <c r="N517" s="49">
        <f>M517+L517+K517+H517+G517+F517+E517+D517</f>
        <v/>
      </c>
      <c r="O517" s="32">
        <f>D517*1%</f>
        <v/>
      </c>
      <c r="P517" s="7">
        <f>N517*8%</f>
        <v/>
      </c>
      <c r="Q517" s="7">
        <f>N517*10%</f>
        <v/>
      </c>
      <c r="R517" s="7">
        <f>N517*5%</f>
        <v/>
      </c>
      <c r="S517" s="7">
        <f>N517*2%</f>
        <v/>
      </c>
      <c r="T517" s="7">
        <f>AE517*0.5%</f>
        <v/>
      </c>
      <c r="U517" s="7">
        <f>N517*1%</f>
        <v/>
      </c>
      <c r="V517" s="49">
        <f>U517+S517+R517+Q517+P517+O517</f>
        <v/>
      </c>
      <c r="W517" s="32">
        <f>AE517*1%</f>
        <v/>
      </c>
      <c r="X517" s="32">
        <f>AE517*10%</f>
        <v/>
      </c>
      <c r="Y517" s="32">
        <f>AE517*1%</f>
        <v/>
      </c>
      <c r="Z517" s="32">
        <f>AE517*8%</f>
        <v/>
      </c>
      <c r="AA517" s="32">
        <f>W517+X517+Y517+Z517</f>
        <v/>
      </c>
      <c r="AB517" s="31">
        <f>AA517+V517+N517</f>
        <v/>
      </c>
      <c r="AC517" s="6">
        <f>AB517*20%</f>
        <v/>
      </c>
      <c r="AD517" s="32">
        <f>AB517+AC517</f>
        <v/>
      </c>
      <c r="AE517" s="32">
        <f>D517*2.1</f>
        <v/>
      </c>
      <c r="AF517" s="7">
        <f>AD517-AE517</f>
        <v/>
      </c>
      <c r="AG517" s="7">
        <f>AF517/AD517*100</f>
        <v/>
      </c>
      <c r="AH517" s="0" t="n">
        <v>16500</v>
      </c>
      <c r="AI517" s="33" t="n"/>
      <c r="AJ517" s="34">
        <f>AD517</f>
        <v/>
      </c>
      <c r="AK517" s="34">
        <f>AJ517-(AJ517*7%)</f>
        <v/>
      </c>
      <c r="AL517" s="35">
        <f>AJ517/94</f>
        <v/>
      </c>
      <c r="AM517" s="35">
        <f>AK517/94</f>
        <v/>
      </c>
      <c r="AN517" s="36">
        <f>AJ517/24</f>
        <v/>
      </c>
      <c r="AO517" s="36">
        <f>AK517/24</f>
        <v/>
      </c>
      <c r="AP517" s="37">
        <f>AJ517/125</f>
        <v/>
      </c>
      <c r="AQ517" s="37">
        <f>AK517/125</f>
        <v/>
      </c>
    </row>
    <row r="518" ht="15.75" customHeight="1" s="50">
      <c r="A518" s="32" t="n"/>
      <c r="B518" s="32" t="inlineStr">
        <is>
          <t>20 in</t>
        </is>
      </c>
      <c r="C518" s="32" t="inlineStr">
        <is>
          <t>MI-G-P-20</t>
        </is>
      </c>
      <c r="D518" s="32" t="inlineStr">
        <is>
          <t>Parasonjeet</t>
        </is>
      </c>
      <c r="E518" s="32" t="n">
        <v>190</v>
      </c>
      <c r="G518" s="32" t="n">
        <v>0</v>
      </c>
      <c r="H518" s="32" t="n">
        <v>10</v>
      </c>
      <c r="I518" s="41" t="n">
        <v>83061000</v>
      </c>
      <c r="J518" s="30" t="n">
        <v>0.05</v>
      </c>
      <c r="K518" s="32">
        <f>D518*J518</f>
        <v/>
      </c>
      <c r="M518" s="32">
        <f>D518*4%</f>
        <v/>
      </c>
      <c r="N518" s="49">
        <f>M518+L518+K518+H518+G518+F518+E518+D518</f>
        <v/>
      </c>
      <c r="O518" s="32">
        <f>D518*1%</f>
        <v/>
      </c>
      <c r="P518" s="7">
        <f>N518*8%</f>
        <v/>
      </c>
      <c r="Q518" s="7">
        <f>N518*10%</f>
        <v/>
      </c>
      <c r="R518" s="7">
        <f>N518*5%</f>
        <v/>
      </c>
      <c r="S518" s="7">
        <f>N518*2%</f>
        <v/>
      </c>
      <c r="T518" s="7">
        <f>AE518*0.5%</f>
        <v/>
      </c>
      <c r="U518" s="7">
        <f>N518*1%</f>
        <v/>
      </c>
      <c r="V518" s="49">
        <f>U518+S518+R518+Q518+P518+O518</f>
        <v/>
      </c>
      <c r="W518" s="32">
        <f>AE518*1%</f>
        <v/>
      </c>
      <c r="X518" s="32">
        <f>AE518*10%</f>
        <v/>
      </c>
      <c r="Y518" s="32">
        <f>AE518*1%</f>
        <v/>
      </c>
      <c r="Z518" s="32">
        <f>AE518*8%</f>
        <v/>
      </c>
      <c r="AA518" s="32">
        <f>W518+X518+Y518+Z518</f>
        <v/>
      </c>
      <c r="AB518" s="31">
        <f>AA518+V518+N518</f>
        <v/>
      </c>
      <c r="AC518" s="6">
        <f>AB518*20%</f>
        <v/>
      </c>
      <c r="AD518" s="32">
        <f>AB518+AC518</f>
        <v/>
      </c>
      <c r="AE518" s="32">
        <f>D518*2.1</f>
        <v/>
      </c>
      <c r="AF518" s="7">
        <f>AD518-AE518</f>
        <v/>
      </c>
      <c r="AG518" s="7">
        <f>AF518/AD518*100</f>
        <v/>
      </c>
      <c r="AH518" s="0" t="n">
        <v>19500</v>
      </c>
      <c r="AI518" s="33" t="n"/>
      <c r="AJ518" s="34">
        <f>AD518</f>
        <v/>
      </c>
      <c r="AK518" s="34">
        <f>AJ518-(AJ518*7%)</f>
        <v/>
      </c>
      <c r="AL518" s="35">
        <f>AJ518/94</f>
        <v/>
      </c>
      <c r="AM518" s="35">
        <f>AK518/94</f>
        <v/>
      </c>
      <c r="AN518" s="36">
        <f>AJ518/24</f>
        <v/>
      </c>
      <c r="AO518" s="36">
        <f>AK518/24</f>
        <v/>
      </c>
      <c r="AP518" s="37">
        <f>AJ518/125</f>
        <v/>
      </c>
      <c r="AQ518" s="37">
        <f>AK518/125</f>
        <v/>
      </c>
    </row>
    <row r="519" ht="15.75" customHeight="1" s="50">
      <c r="A519" s="32" t="n"/>
      <c r="B519" s="32" t="inlineStr">
        <is>
          <t>22 in</t>
        </is>
      </c>
      <c r="C519" s="32" t="inlineStr">
        <is>
          <t>MI-G-P-22</t>
        </is>
      </c>
      <c r="D519" s="32" t="inlineStr">
        <is>
          <t>Parasonjeet</t>
        </is>
      </c>
      <c r="E519" s="32" t="n">
        <v>190</v>
      </c>
      <c r="G519" s="32" t="n">
        <v>0</v>
      </c>
      <c r="H519" s="32" t="n">
        <v>10</v>
      </c>
      <c r="I519" s="41" t="n">
        <v>83061000</v>
      </c>
      <c r="J519" s="30" t="n">
        <v>0.05</v>
      </c>
      <c r="K519" s="32">
        <f>D519*J519</f>
        <v/>
      </c>
      <c r="M519" s="32">
        <f>D519*4%</f>
        <v/>
      </c>
      <c r="N519" s="49">
        <f>M519+L519+K519+H519+G519+F519+E519+D519</f>
        <v/>
      </c>
      <c r="O519" s="32">
        <f>D519*1%</f>
        <v/>
      </c>
      <c r="P519" s="7">
        <f>N519*8%</f>
        <v/>
      </c>
      <c r="Q519" s="7">
        <f>N519*10%</f>
        <v/>
      </c>
      <c r="R519" s="7">
        <f>N519*5%</f>
        <v/>
      </c>
      <c r="S519" s="7">
        <f>N519*2%</f>
        <v/>
      </c>
      <c r="T519" s="7">
        <f>AE519*0.5%</f>
        <v/>
      </c>
      <c r="U519" s="7">
        <f>N519*1%</f>
        <v/>
      </c>
      <c r="V519" s="49">
        <f>U519+S519+R519+Q519+P519+O519</f>
        <v/>
      </c>
      <c r="W519" s="32">
        <f>AE519*1%</f>
        <v/>
      </c>
      <c r="X519" s="32">
        <f>AE519*10%</f>
        <v/>
      </c>
      <c r="Y519" s="32">
        <f>AE519*1%</f>
        <v/>
      </c>
      <c r="Z519" s="32">
        <f>AE519*8%</f>
        <v/>
      </c>
      <c r="AA519" s="32">
        <f>W519+X519+Y519+Z519</f>
        <v/>
      </c>
      <c r="AB519" s="31">
        <f>AA519+V519+N519</f>
        <v/>
      </c>
      <c r="AC519" s="6">
        <f>AB519*20%</f>
        <v/>
      </c>
      <c r="AD519" s="32">
        <f>AB519+AC519</f>
        <v/>
      </c>
      <c r="AE519" s="32">
        <f>D519*2.1</f>
        <v/>
      </c>
      <c r="AF519" s="7">
        <f>AD519-AE519</f>
        <v/>
      </c>
      <c r="AG519" s="7">
        <f>AF519/AD519*100</f>
        <v/>
      </c>
      <c r="AH519" s="0" t="n">
        <v>22500</v>
      </c>
      <c r="AI519" s="33" t="n"/>
      <c r="AJ519" s="34">
        <f>AD519</f>
        <v/>
      </c>
      <c r="AK519" s="34">
        <f>AJ519-(AJ519*7%)</f>
        <v/>
      </c>
      <c r="AL519" s="35">
        <f>AJ519/94</f>
        <v/>
      </c>
      <c r="AM519" s="35">
        <f>AK519/94</f>
        <v/>
      </c>
      <c r="AN519" s="36">
        <f>AJ519/24</f>
        <v/>
      </c>
      <c r="AO519" s="36">
        <f>AK519/24</f>
        <v/>
      </c>
      <c r="AP519" s="37">
        <f>AJ519/125</f>
        <v/>
      </c>
      <c r="AQ519" s="37">
        <f>AK519/125</f>
        <v/>
      </c>
    </row>
    <row r="520" ht="15.75" customHeight="1" s="50">
      <c r="A520" s="32" t="n"/>
      <c r="B520" s="32" t="inlineStr">
        <is>
          <t>24 in</t>
        </is>
      </c>
      <c r="C520" s="32" t="inlineStr">
        <is>
          <t>MI-G-P-24</t>
        </is>
      </c>
      <c r="D520" s="32" t="inlineStr">
        <is>
          <t>Parasonjeet</t>
        </is>
      </c>
      <c r="E520" s="32" t="n">
        <v>190</v>
      </c>
      <c r="G520" s="32" t="n">
        <v>0</v>
      </c>
      <c r="H520" s="32" t="n">
        <v>10</v>
      </c>
      <c r="I520" s="41" t="n">
        <v>83061000</v>
      </c>
      <c r="J520" s="30" t="n">
        <v>0.05</v>
      </c>
      <c r="K520" s="32">
        <f>D520*J520</f>
        <v/>
      </c>
      <c r="M520" s="32">
        <f>D520*4%</f>
        <v/>
      </c>
      <c r="N520" s="49">
        <f>M520+L520+K520+H520+G520+F520+E520+D520</f>
        <v/>
      </c>
      <c r="O520" s="32">
        <f>D520*1%</f>
        <v/>
      </c>
      <c r="P520" s="7">
        <f>N520*8%</f>
        <v/>
      </c>
      <c r="Q520" s="7">
        <f>N520*10%</f>
        <v/>
      </c>
      <c r="R520" s="7">
        <f>N520*5%</f>
        <v/>
      </c>
      <c r="S520" s="7">
        <f>N520*2%</f>
        <v/>
      </c>
      <c r="T520" s="7">
        <f>AE520*0.5%</f>
        <v/>
      </c>
      <c r="U520" s="7">
        <f>N520*1%</f>
        <v/>
      </c>
      <c r="V520" s="49">
        <f>U520+S520+R520+Q520+P520+O520</f>
        <v/>
      </c>
      <c r="W520" s="32">
        <f>AE520*1%</f>
        <v/>
      </c>
      <c r="X520" s="32">
        <f>AE520*10%</f>
        <v/>
      </c>
      <c r="Y520" s="32">
        <f>AE520*1%</f>
        <v/>
      </c>
      <c r="Z520" s="32">
        <f>AE520*8%</f>
        <v/>
      </c>
      <c r="AA520" s="32">
        <f>W520+X520+Y520+Z520</f>
        <v/>
      </c>
      <c r="AB520" s="31">
        <f>AA520+V520+N520</f>
        <v/>
      </c>
      <c r="AC520" s="6">
        <f>AB520*20%</f>
        <v/>
      </c>
      <c r="AD520" s="32">
        <f>AB520+AC520</f>
        <v/>
      </c>
      <c r="AE520" s="32">
        <f>D520*2.1</f>
        <v/>
      </c>
      <c r="AF520" s="7">
        <f>AD520-AE520</f>
        <v/>
      </c>
      <c r="AG520" s="7">
        <f>AF520/AD520*100</f>
        <v/>
      </c>
      <c r="AH520" s="0" t="n">
        <v>26500</v>
      </c>
      <c r="AI520" s="33" t="n"/>
      <c r="AJ520" s="34">
        <f>AD520</f>
        <v/>
      </c>
      <c r="AK520" s="34">
        <f>AJ520-(AJ520*7%)</f>
        <v/>
      </c>
      <c r="AL520" s="35">
        <f>AJ520/94</f>
        <v/>
      </c>
      <c r="AM520" s="35">
        <f>AK520/94</f>
        <v/>
      </c>
      <c r="AN520" s="36">
        <f>AJ520/24</f>
        <v/>
      </c>
      <c r="AO520" s="36">
        <f>AK520/24</f>
        <v/>
      </c>
      <c r="AP520" s="37">
        <f>AJ520/125</f>
        <v/>
      </c>
      <c r="AQ520" s="37">
        <f>AK520/125</f>
        <v/>
      </c>
    </row>
    <row r="521" ht="15.75" customHeight="1" s="50">
      <c r="A521" s="32" t="n"/>
      <c r="B521" s="32" t="inlineStr">
        <is>
          <t>26 in</t>
        </is>
      </c>
      <c r="C521" s="32" t="inlineStr">
        <is>
          <t>MI-G-P-26</t>
        </is>
      </c>
      <c r="D521" s="32" t="inlineStr">
        <is>
          <t>Parasonjeet</t>
        </is>
      </c>
      <c r="E521" s="32" t="n">
        <v>350</v>
      </c>
      <c r="G521" s="32" t="n">
        <v>0</v>
      </c>
      <c r="H521" s="32" t="n">
        <v>10</v>
      </c>
      <c r="I521" s="41" t="n">
        <v>83061000</v>
      </c>
      <c r="J521" s="30" t="n">
        <v>0.05</v>
      </c>
      <c r="K521" s="32">
        <f>D521*J521</f>
        <v/>
      </c>
      <c r="M521" s="32">
        <f>D521*4%</f>
        <v/>
      </c>
      <c r="N521" s="49">
        <f>M521+L521+K521+H521+G521+F521+E521+D521</f>
        <v/>
      </c>
      <c r="O521" s="32">
        <f>D521*1%</f>
        <v/>
      </c>
      <c r="P521" s="7">
        <f>N521*8%</f>
        <v/>
      </c>
      <c r="Q521" s="7">
        <f>N521*10%</f>
        <v/>
      </c>
      <c r="R521" s="7">
        <f>N521*5%</f>
        <v/>
      </c>
      <c r="S521" s="7">
        <f>N521*2%</f>
        <v/>
      </c>
      <c r="T521" s="7">
        <f>AE521*0.5%</f>
        <v/>
      </c>
      <c r="U521" s="7">
        <f>N521*1%</f>
        <v/>
      </c>
      <c r="V521" s="49">
        <f>U521+S521+R521+Q521+P521+O521</f>
        <v/>
      </c>
      <c r="W521" s="32">
        <f>AE521*1%</f>
        <v/>
      </c>
      <c r="X521" s="32">
        <f>AE521*10%</f>
        <v/>
      </c>
      <c r="Y521" s="32">
        <f>AE521*1%</f>
        <v/>
      </c>
      <c r="Z521" s="32">
        <f>AE521*8%</f>
        <v/>
      </c>
      <c r="AA521" s="32">
        <f>W521+X521+Y521+Z521</f>
        <v/>
      </c>
      <c r="AB521" s="31">
        <f>AA521+V521+N521</f>
        <v/>
      </c>
      <c r="AC521" s="6">
        <f>AB521*20%</f>
        <v/>
      </c>
      <c r="AD521" s="32">
        <f>AB521+AC521</f>
        <v/>
      </c>
      <c r="AE521" s="32">
        <f>D521*2.1</f>
        <v/>
      </c>
      <c r="AF521" s="7">
        <f>AD521-AE521</f>
        <v/>
      </c>
      <c r="AG521" s="7">
        <f>AF521/AD521*100</f>
        <v/>
      </c>
      <c r="AH521" s="0" t="n">
        <v>30500</v>
      </c>
      <c r="AI521" s="33" t="n"/>
      <c r="AJ521" s="34">
        <f>AD521</f>
        <v/>
      </c>
      <c r="AK521" s="34">
        <f>AJ521-(AJ521*7%)</f>
        <v/>
      </c>
      <c r="AL521" s="35">
        <f>AJ521/94</f>
        <v/>
      </c>
      <c r="AM521" s="35">
        <f>AK521/94</f>
        <v/>
      </c>
      <c r="AN521" s="36">
        <f>AJ521/24</f>
        <v/>
      </c>
      <c r="AO521" s="36">
        <f>AK521/24</f>
        <v/>
      </c>
      <c r="AP521" s="37">
        <f>AJ521/125</f>
        <v/>
      </c>
      <c r="AQ521" s="37">
        <f>AK521/125</f>
        <v/>
      </c>
    </row>
    <row r="522" ht="15.75" customHeight="1" s="50">
      <c r="A522" s="32" t="n"/>
      <c r="B522" s="32" t="inlineStr">
        <is>
          <t>28 in</t>
        </is>
      </c>
      <c r="C522" s="32" t="inlineStr">
        <is>
          <t>MI-G-P-28</t>
        </is>
      </c>
      <c r="D522" s="32" t="inlineStr">
        <is>
          <t>Parasonjeet</t>
        </is>
      </c>
      <c r="E522" s="32" t="n">
        <v>350</v>
      </c>
      <c r="G522" s="32" t="n">
        <v>0</v>
      </c>
      <c r="H522" s="32" t="n">
        <v>10</v>
      </c>
      <c r="I522" s="41" t="n">
        <v>83061000</v>
      </c>
      <c r="J522" s="30" t="n">
        <v>0.05</v>
      </c>
      <c r="K522" s="32">
        <f>D522*J522</f>
        <v/>
      </c>
      <c r="M522" s="32">
        <f>D522*4%</f>
        <v/>
      </c>
      <c r="N522" s="49">
        <f>M522+L522+K522+H522+G522+F522+E522+D522</f>
        <v/>
      </c>
      <c r="O522" s="32">
        <f>D522*1%</f>
        <v/>
      </c>
      <c r="P522" s="7">
        <f>N522*8%</f>
        <v/>
      </c>
      <c r="Q522" s="7">
        <f>N522*10%</f>
        <v/>
      </c>
      <c r="R522" s="7">
        <f>N522*5%</f>
        <v/>
      </c>
      <c r="S522" s="7">
        <f>N522*2%</f>
        <v/>
      </c>
      <c r="T522" s="7">
        <f>AE522*0.5%</f>
        <v/>
      </c>
      <c r="U522" s="7">
        <f>N522*1%</f>
        <v/>
      </c>
      <c r="V522" s="49">
        <f>U522+S522+R522+Q522+P522+O522</f>
        <v/>
      </c>
      <c r="W522" s="32">
        <f>AE522*1%</f>
        <v/>
      </c>
      <c r="X522" s="32">
        <f>AE522*10%</f>
        <v/>
      </c>
      <c r="Y522" s="32">
        <f>AE522*1%</f>
        <v/>
      </c>
      <c r="Z522" s="32">
        <f>AE522*8%</f>
        <v/>
      </c>
      <c r="AA522" s="32">
        <f>W522+X522+Y522+Z522</f>
        <v/>
      </c>
      <c r="AB522" s="31">
        <f>AA522+V522+N522</f>
        <v/>
      </c>
      <c r="AC522" s="6">
        <f>AB522*20%</f>
        <v/>
      </c>
      <c r="AD522" s="32">
        <f>AB522+AC522</f>
        <v/>
      </c>
      <c r="AE522" s="32">
        <f>D522*2.1</f>
        <v/>
      </c>
      <c r="AF522" s="7">
        <f>AD522-AE522</f>
        <v/>
      </c>
      <c r="AG522" s="7">
        <f>AF522/AD522*100</f>
        <v/>
      </c>
      <c r="AH522" s="0" t="n">
        <v>33500</v>
      </c>
      <c r="AI522" s="33" t="n"/>
      <c r="AJ522" s="34">
        <f>AD522</f>
        <v/>
      </c>
      <c r="AK522" s="34">
        <f>AJ522-(AJ522*7%)</f>
        <v/>
      </c>
      <c r="AL522" s="35">
        <f>AJ522/94</f>
        <v/>
      </c>
      <c r="AM522" s="35">
        <f>AK522/94</f>
        <v/>
      </c>
      <c r="AN522" s="36">
        <f>AJ522/24</f>
        <v/>
      </c>
      <c r="AO522" s="36">
        <f>AK522/24</f>
        <v/>
      </c>
      <c r="AP522" s="37">
        <f>AJ522/125</f>
        <v/>
      </c>
      <c r="AQ522" s="37">
        <f>AK522/125</f>
        <v/>
      </c>
    </row>
    <row r="523" ht="15" customHeight="1" s="50">
      <c r="A523" s="32" t="inlineStr">
        <is>
          <t>Pulse Tubes</t>
        </is>
      </c>
      <c r="B523" s="32" t="inlineStr">
        <is>
          <t>Big</t>
        </is>
      </c>
      <c r="D523" s="32" t="n">
        <v>900</v>
      </c>
      <c r="E523" s="32" t="n">
        <v>120</v>
      </c>
      <c r="G523" s="32" t="n">
        <v>0</v>
      </c>
      <c r="H523" s="32" t="n">
        <v>10</v>
      </c>
      <c r="I523" s="41" t="n">
        <v>83061000</v>
      </c>
      <c r="J523" s="30" t="n">
        <v>0.05</v>
      </c>
      <c r="K523" s="32">
        <f>D523*J523</f>
        <v/>
      </c>
      <c r="M523" s="32">
        <f>D523*4%</f>
        <v/>
      </c>
      <c r="N523" s="49">
        <f>M523+L523+K523+H523+G523+F523+E523+D523</f>
        <v/>
      </c>
      <c r="O523" s="32">
        <f>D523*1%</f>
        <v/>
      </c>
      <c r="P523" s="7">
        <f>N523*8%</f>
        <v/>
      </c>
      <c r="Q523" s="7">
        <f>N523*10%</f>
        <v/>
      </c>
      <c r="R523" s="7">
        <f>N523*5%</f>
        <v/>
      </c>
      <c r="S523" s="7">
        <f>N523*2%</f>
        <v/>
      </c>
      <c r="T523" s="7">
        <f>AE523*0.5%</f>
        <v/>
      </c>
      <c r="U523" s="7">
        <f>N523*1%</f>
        <v/>
      </c>
      <c r="V523" s="31">
        <f>U523+S523+R523+Q523+P523+O523</f>
        <v/>
      </c>
      <c r="W523" s="32">
        <f>AE523*1%</f>
        <v/>
      </c>
      <c r="X523" s="32">
        <f>AE523*10%</f>
        <v/>
      </c>
      <c r="Y523" s="32">
        <f>AE523*1%</f>
        <v/>
      </c>
      <c r="Z523" s="32">
        <f>AE523*8%</f>
        <v/>
      </c>
      <c r="AA523" s="32">
        <f>W523+X523+Y523+Z523</f>
        <v/>
      </c>
      <c r="AB523" s="31">
        <f>AA523+V523+N523</f>
        <v/>
      </c>
      <c r="AC523" s="6">
        <f>AB523*20%</f>
        <v/>
      </c>
      <c r="AD523" s="7">
        <f>AB523+AC523</f>
        <v/>
      </c>
      <c r="AE523" s="32">
        <f>D523*2.1</f>
        <v/>
      </c>
      <c r="AF523" s="7">
        <f>AD523-AE523</f>
        <v/>
      </c>
      <c r="AG523" s="7">
        <f>AF523/AD523*100</f>
        <v/>
      </c>
      <c r="AI523" s="33" t="n"/>
      <c r="AJ523" s="34">
        <f>AD523</f>
        <v/>
      </c>
      <c r="AK523" s="34">
        <f>AJ523-(AJ523*7%)</f>
        <v/>
      </c>
      <c r="AL523" s="35">
        <f>AJ523/94</f>
        <v/>
      </c>
      <c r="AM523" s="35">
        <f>AK523/94</f>
        <v/>
      </c>
      <c r="AN523" s="36">
        <f>AJ523/24</f>
        <v/>
      </c>
      <c r="AO523" s="36">
        <f>AK523/24</f>
        <v/>
      </c>
      <c r="AP523" s="37">
        <f>AJ523/125</f>
        <v/>
      </c>
      <c r="AQ523" s="37">
        <f>AK523/125</f>
        <v/>
      </c>
    </row>
    <row r="524" ht="15.75" customHeight="1" s="50">
      <c r="A524" s="32" t="n"/>
      <c r="B524" s="32" t="inlineStr">
        <is>
          <t>Medium</t>
        </is>
      </c>
      <c r="D524" s="32" t="n">
        <v>800</v>
      </c>
      <c r="E524" s="32" t="n">
        <v>100</v>
      </c>
      <c r="G524" s="32" t="n">
        <v>0</v>
      </c>
      <c r="H524" s="32" t="n">
        <v>10</v>
      </c>
      <c r="I524" s="41" t="n">
        <v>83061000</v>
      </c>
      <c r="J524" s="30" t="n">
        <v>0.05</v>
      </c>
      <c r="K524" s="32">
        <f>D524*J524</f>
        <v/>
      </c>
      <c r="M524" s="32">
        <f>D524*4%</f>
        <v/>
      </c>
      <c r="N524" s="49">
        <f>M524+L524+K524+H524+G524+F524+E524+D524</f>
        <v/>
      </c>
      <c r="O524" s="32">
        <f>D524*1%</f>
        <v/>
      </c>
      <c r="P524" s="7">
        <f>N524*8%</f>
        <v/>
      </c>
      <c r="Q524" s="7">
        <f>N524*10%</f>
        <v/>
      </c>
      <c r="R524" s="7">
        <f>N524*5%</f>
        <v/>
      </c>
      <c r="S524" s="7">
        <f>N524*2%</f>
        <v/>
      </c>
      <c r="T524" s="7">
        <f>AE524*0.5%</f>
        <v/>
      </c>
      <c r="U524" s="7">
        <f>N524*1%</f>
        <v/>
      </c>
      <c r="V524" s="31">
        <f>U524+S524+R524+Q524+P524+O524</f>
        <v/>
      </c>
      <c r="W524" s="32">
        <f>AE524*1%</f>
        <v/>
      </c>
      <c r="X524" s="32">
        <f>AE524*10%</f>
        <v/>
      </c>
      <c r="Y524" s="32">
        <f>AE524*1%</f>
        <v/>
      </c>
      <c r="Z524" s="32">
        <f>AE524*8%</f>
        <v/>
      </c>
      <c r="AA524" s="32">
        <f>W524+X524+Y524+Z524</f>
        <v/>
      </c>
      <c r="AB524" s="31">
        <f>AA524+V524+N524</f>
        <v/>
      </c>
      <c r="AC524" s="6">
        <f>AB524*20%</f>
        <v/>
      </c>
      <c r="AD524" s="7">
        <f>AB524+AC524</f>
        <v/>
      </c>
      <c r="AE524" s="32">
        <f>D524*2.1</f>
        <v/>
      </c>
      <c r="AF524" s="7">
        <f>AD524-AE524</f>
        <v/>
      </c>
      <c r="AG524" s="7">
        <f>AF524/AD524*100</f>
        <v/>
      </c>
      <c r="AI524" s="33" t="n"/>
      <c r="AJ524" s="34">
        <f>AD524</f>
        <v/>
      </c>
      <c r="AK524" s="34">
        <f>AJ524-(AJ524*7%)</f>
        <v/>
      </c>
      <c r="AL524" s="35">
        <f>AJ524/94</f>
        <v/>
      </c>
      <c r="AM524" s="35">
        <f>AK524/94</f>
        <v/>
      </c>
      <c r="AN524" s="36">
        <f>AJ524/24</f>
        <v/>
      </c>
      <c r="AO524" s="36">
        <f>AK524/24</f>
        <v/>
      </c>
      <c r="AP524" s="37">
        <f>AJ524/125</f>
        <v/>
      </c>
      <c r="AQ524" s="37">
        <f>AK524/125</f>
        <v/>
      </c>
    </row>
    <row r="525" ht="15.75" customHeight="1" s="50">
      <c r="A525" s="32" t="n"/>
      <c r="B525" s="32" t="inlineStr">
        <is>
          <t>Small</t>
        </is>
      </c>
      <c r="D525" s="32" t="n">
        <v>700</v>
      </c>
      <c r="E525" s="32" t="n">
        <v>80</v>
      </c>
      <c r="G525" s="32" t="n">
        <v>0</v>
      </c>
      <c r="H525" s="32" t="n">
        <v>10</v>
      </c>
      <c r="I525" s="41" t="n">
        <v>83061000</v>
      </c>
      <c r="J525" s="30" t="n">
        <v>0.05</v>
      </c>
      <c r="K525" s="32">
        <f>D525*J525</f>
        <v/>
      </c>
      <c r="M525" s="32">
        <f>D525*4%</f>
        <v/>
      </c>
      <c r="N525" s="49">
        <f>M525+L525+K525+H525+G525+F525+E525+D525</f>
        <v/>
      </c>
      <c r="O525" s="32">
        <f>D525*1%</f>
        <v/>
      </c>
      <c r="P525" s="7">
        <f>N525*8%</f>
        <v/>
      </c>
      <c r="Q525" s="7">
        <f>N525*10%</f>
        <v/>
      </c>
      <c r="R525" s="7">
        <f>N525*5%</f>
        <v/>
      </c>
      <c r="S525" s="7">
        <f>N525*2%</f>
        <v/>
      </c>
      <c r="T525" s="7">
        <f>AE525*0.5%</f>
        <v/>
      </c>
      <c r="U525" s="7">
        <f>N525*1%</f>
        <v/>
      </c>
      <c r="V525" s="31">
        <f>U525+S525+R525+Q525+P525+O525</f>
        <v/>
      </c>
      <c r="W525" s="32">
        <f>AE525*1%</f>
        <v/>
      </c>
      <c r="X525" s="32">
        <f>AE525*10%</f>
        <v/>
      </c>
      <c r="Y525" s="32">
        <f>AE525*1%</f>
        <v/>
      </c>
      <c r="Z525" s="32">
        <f>AE525*8%</f>
        <v/>
      </c>
      <c r="AA525" s="32">
        <f>W525+X525+Y525+Z525</f>
        <v/>
      </c>
      <c r="AB525" s="31">
        <f>AA525+V525+N525</f>
        <v/>
      </c>
      <c r="AC525" s="6">
        <f>AB525*20%</f>
        <v/>
      </c>
      <c r="AD525" s="7">
        <f>AB525+AC525</f>
        <v/>
      </c>
      <c r="AE525" s="32">
        <f>D525*2.1</f>
        <v/>
      </c>
      <c r="AF525" s="7">
        <f>AD525-AE525</f>
        <v/>
      </c>
      <c r="AG525" s="7">
        <f>AF525/AD525*100</f>
        <v/>
      </c>
      <c r="AI525" s="33" t="n"/>
      <c r="AJ525" s="34">
        <f>AD525</f>
        <v/>
      </c>
      <c r="AK525" s="34">
        <f>AJ525-(AJ525*7%)</f>
        <v/>
      </c>
      <c r="AL525" s="35">
        <f>AJ525/94</f>
        <v/>
      </c>
      <c r="AM525" s="35">
        <f>AK525/94</f>
        <v/>
      </c>
      <c r="AN525" s="36">
        <f>AJ525/24</f>
        <v/>
      </c>
      <c r="AO525" s="36">
        <f>AK525/24</f>
        <v/>
      </c>
      <c r="AP525" s="37">
        <f>AJ525/125</f>
        <v/>
      </c>
      <c r="AQ525" s="37">
        <f>AK525/125</f>
        <v/>
      </c>
    </row>
    <row r="526" ht="15" customHeight="1" s="50">
      <c r="A526" s="32" t="inlineStr">
        <is>
          <t>Rectangular Yoga Bolster</t>
        </is>
      </c>
      <c r="B526" s="32" t="inlineStr">
        <is>
          <t>Light Grey</t>
        </is>
      </c>
      <c r="C526" s="32" t="inlineStr">
        <is>
          <t>Yo-BR-RE-LG</t>
        </is>
      </c>
      <c r="D526" s="32" t="n">
        <v>541</v>
      </c>
      <c r="G526" s="32" t="n">
        <v>0</v>
      </c>
      <c r="H526" s="32" t="n">
        <v>10</v>
      </c>
      <c r="I526" s="41" t="n">
        <v>94041000</v>
      </c>
      <c r="J526" s="30" t="n">
        <v>0.18</v>
      </c>
      <c r="K526" s="32">
        <f>D526*J526</f>
        <v/>
      </c>
      <c r="M526" s="32">
        <f>D526*4%</f>
        <v/>
      </c>
      <c r="N526" s="49">
        <f>M526+L526+K526+H526+G526+F526+E526+D526</f>
        <v/>
      </c>
      <c r="O526" s="32">
        <f>D526*1%</f>
        <v/>
      </c>
      <c r="P526" s="7">
        <f>N526*8%</f>
        <v/>
      </c>
      <c r="Q526" s="7">
        <f>N526*10%</f>
        <v/>
      </c>
      <c r="R526" s="7">
        <f>N526*5%</f>
        <v/>
      </c>
      <c r="S526" s="7">
        <f>N526*2%</f>
        <v/>
      </c>
      <c r="T526" s="7">
        <f>AE526*0.5%</f>
        <v/>
      </c>
      <c r="U526" s="7">
        <f>N526*1%</f>
        <v/>
      </c>
      <c r="V526" s="31">
        <f>U526+S526+R526+Q526+P526+O526</f>
        <v/>
      </c>
      <c r="W526" s="32">
        <f>AE526*1%</f>
        <v/>
      </c>
      <c r="X526" s="32">
        <f>AE526*10%</f>
        <v/>
      </c>
      <c r="Y526" s="32">
        <f>AE526*1%</f>
        <v/>
      </c>
      <c r="Z526" s="32">
        <f>AE526*8%</f>
        <v/>
      </c>
      <c r="AA526" s="32">
        <f>W526+X526+Y526+Z526</f>
        <v/>
      </c>
      <c r="AB526" s="31">
        <f>AA526+V526+N526</f>
        <v/>
      </c>
      <c r="AC526" s="6">
        <f>AB526*20%</f>
        <v/>
      </c>
      <c r="AD526" s="7">
        <f>AB526+AC526</f>
        <v/>
      </c>
      <c r="AE526" s="32">
        <f>D526*2.1</f>
        <v/>
      </c>
      <c r="AF526" s="7">
        <f>AD526-AE526</f>
        <v/>
      </c>
      <c r="AG526" s="7">
        <f>AF526/AD526*100</f>
        <v/>
      </c>
      <c r="AH526" s="0" t="n">
        <v>1450</v>
      </c>
      <c r="AI526" s="33" t="n">
        <v>909</v>
      </c>
      <c r="AJ526" s="34">
        <f>AD526</f>
        <v/>
      </c>
      <c r="AK526" s="34">
        <f>AJ526-(AJ526*7%)</f>
        <v/>
      </c>
      <c r="AL526" s="35">
        <f>AJ526/94</f>
        <v/>
      </c>
      <c r="AM526" s="35">
        <f>AK526/94</f>
        <v/>
      </c>
      <c r="AN526" s="36">
        <f>AJ526/24</f>
        <v/>
      </c>
      <c r="AO526" s="36">
        <f>AK526/24</f>
        <v/>
      </c>
      <c r="AP526" s="37">
        <f>AJ526/125</f>
        <v/>
      </c>
      <c r="AQ526" s="37">
        <f>AK526/125</f>
        <v/>
      </c>
    </row>
    <row r="527" ht="15.75" customHeight="1" s="50">
      <c r="A527" s="32" t="n"/>
      <c r="B527" s="32" t="inlineStr">
        <is>
          <t>Dark Grey</t>
        </is>
      </c>
      <c r="C527" s="32" t="inlineStr">
        <is>
          <t>Yo-BR-RE-DG</t>
        </is>
      </c>
      <c r="D527" s="32" t="n">
        <v>541</v>
      </c>
      <c r="G527" s="32" t="n">
        <v>0</v>
      </c>
      <c r="H527" s="32" t="n">
        <v>10</v>
      </c>
      <c r="I527" s="41" t="n">
        <v>94041000</v>
      </c>
      <c r="J527" s="30" t="n">
        <v>0.18</v>
      </c>
      <c r="K527" s="32">
        <f>D527*J527</f>
        <v/>
      </c>
      <c r="M527" s="32">
        <f>D527*4%</f>
        <v/>
      </c>
      <c r="N527" s="49">
        <f>M527+L527+K527+H527+G527+F527+E527+D527</f>
        <v/>
      </c>
      <c r="O527" s="32">
        <f>D527*1%</f>
        <v/>
      </c>
      <c r="P527" s="7">
        <f>N527*8%</f>
        <v/>
      </c>
      <c r="Q527" s="7">
        <f>N527*10%</f>
        <v/>
      </c>
      <c r="R527" s="7">
        <f>N527*5%</f>
        <v/>
      </c>
      <c r="S527" s="7">
        <f>N527*2%</f>
        <v/>
      </c>
      <c r="T527" s="7">
        <f>AE527*0.5%</f>
        <v/>
      </c>
      <c r="U527" s="7">
        <f>N527*1%</f>
        <v/>
      </c>
      <c r="V527" s="31">
        <f>U527+S527+R527+Q527+P527+O527</f>
        <v/>
      </c>
      <c r="W527" s="32">
        <f>AE527*1%</f>
        <v/>
      </c>
      <c r="X527" s="32">
        <f>AE527*10%</f>
        <v/>
      </c>
      <c r="Y527" s="32">
        <f>AE527*1%</f>
        <v/>
      </c>
      <c r="Z527" s="32">
        <f>AE527*8%</f>
        <v/>
      </c>
      <c r="AA527" s="32">
        <f>W527+X527+Y527+Z527</f>
        <v/>
      </c>
      <c r="AB527" s="31">
        <f>AA527+V527+N527</f>
        <v/>
      </c>
      <c r="AC527" s="6">
        <f>AB527*20%</f>
        <v/>
      </c>
      <c r="AD527" s="7">
        <f>AB527+AC527</f>
        <v/>
      </c>
      <c r="AE527" s="32">
        <f>D527*2.1</f>
        <v/>
      </c>
      <c r="AF527" s="7">
        <f>AD527-AE527</f>
        <v/>
      </c>
      <c r="AG527" s="7">
        <f>AF527/AD527*100</f>
        <v/>
      </c>
      <c r="AH527" s="0" t="n">
        <v>1450</v>
      </c>
      <c r="AI527" s="33" t="n">
        <v>909</v>
      </c>
      <c r="AJ527" s="34">
        <f>AD527</f>
        <v/>
      </c>
      <c r="AK527" s="34">
        <f>AJ527-(AJ527*7%)</f>
        <v/>
      </c>
      <c r="AL527" s="35">
        <f>AJ527/94</f>
        <v/>
      </c>
      <c r="AM527" s="35">
        <f>AK527/94</f>
        <v/>
      </c>
      <c r="AN527" s="36">
        <f>AJ527/24</f>
        <v/>
      </c>
      <c r="AO527" s="36">
        <f>AK527/24</f>
        <v/>
      </c>
      <c r="AP527" s="37">
        <f>AJ527/125</f>
        <v/>
      </c>
      <c r="AQ527" s="37">
        <f>AK527/125</f>
        <v/>
      </c>
    </row>
    <row r="528" ht="15.75" customHeight="1" s="50">
      <c r="A528" s="32" t="n"/>
      <c r="B528" s="32" t="inlineStr">
        <is>
          <t>Navy Blue</t>
        </is>
      </c>
      <c r="C528" s="32" t="inlineStr">
        <is>
          <t>Yo-BR-RE-NB</t>
        </is>
      </c>
      <c r="D528" s="32" t="n">
        <v>541</v>
      </c>
      <c r="G528" s="32" t="n">
        <v>0</v>
      </c>
      <c r="H528" s="32" t="n">
        <v>10</v>
      </c>
      <c r="I528" s="41" t="n">
        <v>94041000</v>
      </c>
      <c r="J528" s="30" t="n">
        <v>0.18</v>
      </c>
      <c r="K528" s="32">
        <f>D528*J528</f>
        <v/>
      </c>
      <c r="M528" s="32">
        <f>D528*4%</f>
        <v/>
      </c>
      <c r="N528" s="49">
        <f>M528+L528+K528+H528+G528+F528+E528+D528</f>
        <v/>
      </c>
      <c r="O528" s="32">
        <f>D528*1%</f>
        <v/>
      </c>
      <c r="P528" s="7">
        <f>N528*8%</f>
        <v/>
      </c>
      <c r="Q528" s="7">
        <f>N528*10%</f>
        <v/>
      </c>
      <c r="R528" s="7">
        <f>N528*5%</f>
        <v/>
      </c>
      <c r="S528" s="7">
        <f>N528*2%</f>
        <v/>
      </c>
      <c r="T528" s="7">
        <f>AE528*0.5%</f>
        <v/>
      </c>
      <c r="U528" s="7">
        <f>N528*1%</f>
        <v/>
      </c>
      <c r="V528" s="31">
        <f>U528+S528+R528+Q528+P528+O528</f>
        <v/>
      </c>
      <c r="W528" s="32">
        <f>AE528*1%</f>
        <v/>
      </c>
      <c r="X528" s="32">
        <f>AE528*10%</f>
        <v/>
      </c>
      <c r="Y528" s="32">
        <f>AE528*1%</f>
        <v/>
      </c>
      <c r="Z528" s="32">
        <f>AE528*8%</f>
        <v/>
      </c>
      <c r="AA528" s="32">
        <f>W528+X528+Y528+Z528</f>
        <v/>
      </c>
      <c r="AB528" s="31">
        <f>AA528+V528+N528</f>
        <v/>
      </c>
      <c r="AC528" s="6">
        <f>AB528*20%</f>
        <v/>
      </c>
      <c r="AD528" s="7">
        <f>AB528+AC528</f>
        <v/>
      </c>
      <c r="AE528" s="32">
        <f>D528*2.1</f>
        <v/>
      </c>
      <c r="AF528" s="7">
        <f>AD528-AE528</f>
        <v/>
      </c>
      <c r="AG528" s="7">
        <f>AF528/AD528*100</f>
        <v/>
      </c>
      <c r="AH528" s="0" t="n">
        <v>1450</v>
      </c>
      <c r="AI528" s="33" t="n">
        <v>909</v>
      </c>
      <c r="AJ528" s="34">
        <f>AD528</f>
        <v/>
      </c>
      <c r="AK528" s="34">
        <f>AJ528-(AJ528*7%)</f>
        <v/>
      </c>
      <c r="AL528" s="35">
        <f>AJ528/94</f>
        <v/>
      </c>
      <c r="AM528" s="35">
        <f>AK528/94</f>
        <v/>
      </c>
      <c r="AN528" s="36">
        <f>AJ528/24</f>
        <v/>
      </c>
      <c r="AO528" s="36">
        <f>AK528/24</f>
        <v/>
      </c>
      <c r="AP528" s="37">
        <f>AJ528/125</f>
        <v/>
      </c>
      <c r="AQ528" s="37">
        <f>AK528/125</f>
        <v/>
      </c>
    </row>
    <row r="529" ht="15.75" customHeight="1" s="50">
      <c r="A529" s="32" t="n"/>
      <c r="B529" s="32" t="inlineStr">
        <is>
          <t>Rose</t>
        </is>
      </c>
      <c r="C529" s="32" t="inlineStr">
        <is>
          <t>Yo-BR-RE-RE</t>
        </is>
      </c>
      <c r="D529" s="32" t="n">
        <v>541</v>
      </c>
      <c r="G529" s="32" t="n">
        <v>0</v>
      </c>
      <c r="H529" s="32" t="n">
        <v>10</v>
      </c>
      <c r="I529" s="41" t="n">
        <v>94041000</v>
      </c>
      <c r="J529" s="30" t="n">
        <v>0.18</v>
      </c>
      <c r="K529" s="32">
        <f>D529*J529</f>
        <v/>
      </c>
      <c r="M529" s="32">
        <f>D529*4%</f>
        <v/>
      </c>
      <c r="N529" s="49">
        <f>M529+L529+K529+H529+G529+F529+E529+D529</f>
        <v/>
      </c>
      <c r="O529" s="32">
        <f>D529*1%</f>
        <v/>
      </c>
      <c r="P529" s="7">
        <f>N529*8%</f>
        <v/>
      </c>
      <c r="Q529" s="7">
        <f>N529*10%</f>
        <v/>
      </c>
      <c r="R529" s="7">
        <f>N529*5%</f>
        <v/>
      </c>
      <c r="S529" s="7">
        <f>N529*2%</f>
        <v/>
      </c>
      <c r="T529" s="7">
        <f>AE529*0.5%</f>
        <v/>
      </c>
      <c r="U529" s="7">
        <f>N529*1%</f>
        <v/>
      </c>
      <c r="V529" s="31">
        <f>U529+S529+R529+Q529+P529+O529</f>
        <v/>
      </c>
      <c r="W529" s="32">
        <f>AE529*1%</f>
        <v/>
      </c>
      <c r="X529" s="32">
        <f>AE529*10%</f>
        <v/>
      </c>
      <c r="Y529" s="32">
        <f>AE529*1%</f>
        <v/>
      </c>
      <c r="Z529" s="32">
        <f>AE529*8%</f>
        <v/>
      </c>
      <c r="AA529" s="32">
        <f>W529+X529+Y529+Z529</f>
        <v/>
      </c>
      <c r="AB529" s="31">
        <f>AA529+V529+N529</f>
        <v/>
      </c>
      <c r="AC529" s="6">
        <f>AB529*20%</f>
        <v/>
      </c>
      <c r="AD529" s="7">
        <f>AB529+AC529</f>
        <v/>
      </c>
      <c r="AE529" s="32">
        <f>D529*2.1</f>
        <v/>
      </c>
      <c r="AF529" s="7">
        <f>AD529-AE529</f>
        <v/>
      </c>
      <c r="AG529" s="7">
        <f>AF529/AD529*100</f>
        <v/>
      </c>
      <c r="AH529" s="0" t="n">
        <v>1450</v>
      </c>
      <c r="AI529" s="33" t="n">
        <v>909</v>
      </c>
      <c r="AJ529" s="34">
        <f>AD529</f>
        <v/>
      </c>
      <c r="AK529" s="34">
        <f>AJ529-(AJ529*7%)</f>
        <v/>
      </c>
      <c r="AL529" s="35">
        <f>AJ529/94</f>
        <v/>
      </c>
      <c r="AM529" s="35">
        <f>AK529/94</f>
        <v/>
      </c>
      <c r="AN529" s="36">
        <f>AJ529/24</f>
        <v/>
      </c>
      <c r="AO529" s="36">
        <f>AK529/24</f>
        <v/>
      </c>
      <c r="AP529" s="37">
        <f>AJ529/125</f>
        <v/>
      </c>
      <c r="AQ529" s="37">
        <f>AK529/125</f>
        <v/>
      </c>
    </row>
    <row r="530" ht="15.75" customHeight="1" s="50">
      <c r="A530" s="32" t="n"/>
      <c r="B530" s="32" t="inlineStr">
        <is>
          <t>Rouge Pink</t>
        </is>
      </c>
      <c r="C530" s="32" t="inlineStr">
        <is>
          <t>Yo-BR-RE-RP</t>
        </is>
      </c>
      <c r="D530" s="32" t="n">
        <v>541</v>
      </c>
      <c r="G530" s="32" t="n">
        <v>0</v>
      </c>
      <c r="H530" s="32" t="n">
        <v>10</v>
      </c>
      <c r="I530" s="41" t="n">
        <v>94041000</v>
      </c>
      <c r="J530" s="30" t="n">
        <v>0.18</v>
      </c>
      <c r="K530" s="32">
        <f>D530*J530</f>
        <v/>
      </c>
      <c r="M530" s="32">
        <f>D530*4%</f>
        <v/>
      </c>
      <c r="N530" s="49">
        <f>M530+L530+K530+H530+G530+F530+E530+D530</f>
        <v/>
      </c>
      <c r="O530" s="32">
        <f>D530*1%</f>
        <v/>
      </c>
      <c r="P530" s="7">
        <f>N530*8%</f>
        <v/>
      </c>
      <c r="Q530" s="7">
        <f>N530*10%</f>
        <v/>
      </c>
      <c r="R530" s="7">
        <f>N530*5%</f>
        <v/>
      </c>
      <c r="S530" s="7">
        <f>N530*2%</f>
        <v/>
      </c>
      <c r="T530" s="7">
        <f>AE530*0.5%</f>
        <v/>
      </c>
      <c r="U530" s="7">
        <f>N530*1%</f>
        <v/>
      </c>
      <c r="V530" s="31">
        <f>U530+S530+R530+Q530+P530+O530</f>
        <v/>
      </c>
      <c r="W530" s="32">
        <f>AE530*1%</f>
        <v/>
      </c>
      <c r="X530" s="32">
        <f>AE530*10%</f>
        <v/>
      </c>
      <c r="Y530" s="32">
        <f>AE530*1%</f>
        <v/>
      </c>
      <c r="Z530" s="32">
        <f>AE530*8%</f>
        <v/>
      </c>
      <c r="AA530" s="32">
        <f>W530+X530+Y530+Z530</f>
        <v/>
      </c>
      <c r="AB530" s="31">
        <f>AA530+V530+N530</f>
        <v/>
      </c>
      <c r="AC530" s="6">
        <f>AB530*20%</f>
        <v/>
      </c>
      <c r="AD530" s="7">
        <f>AB530+AC530</f>
        <v/>
      </c>
      <c r="AE530" s="32">
        <f>D530*2.1</f>
        <v/>
      </c>
      <c r="AF530" s="7">
        <f>AD530-AE530</f>
        <v/>
      </c>
      <c r="AG530" s="7">
        <f>AF530/AD530*100</f>
        <v/>
      </c>
      <c r="AH530" s="0" t="n">
        <v>1450</v>
      </c>
      <c r="AI530" s="33" t="n">
        <v>909</v>
      </c>
      <c r="AJ530" s="34">
        <f>AD530</f>
        <v/>
      </c>
      <c r="AK530" s="34">
        <f>AJ530-(AJ530*7%)</f>
        <v/>
      </c>
      <c r="AL530" s="35">
        <f>AJ530/94</f>
        <v/>
      </c>
      <c r="AM530" s="35">
        <f>AK530/94</f>
        <v/>
      </c>
      <c r="AN530" s="36">
        <f>AJ530/24</f>
        <v/>
      </c>
      <c r="AO530" s="36">
        <f>AK530/24</f>
        <v/>
      </c>
      <c r="AP530" s="37">
        <f>AJ530/125</f>
        <v/>
      </c>
      <c r="AQ530" s="37">
        <f>AK530/125</f>
        <v/>
      </c>
    </row>
    <row r="531" ht="15.75" customHeight="1" s="50">
      <c r="A531" s="32" t="n"/>
      <c r="B531" s="32" t="inlineStr">
        <is>
          <t>Sage</t>
        </is>
      </c>
      <c r="C531" s="32" t="inlineStr">
        <is>
          <t>Yo-BR-RE-SE</t>
        </is>
      </c>
      <c r="D531" s="32" t="n">
        <v>541</v>
      </c>
      <c r="G531" s="32" t="n">
        <v>0</v>
      </c>
      <c r="H531" s="32" t="n">
        <v>10</v>
      </c>
      <c r="I531" s="41" t="n">
        <v>94041000</v>
      </c>
      <c r="J531" s="30" t="n">
        <v>0.18</v>
      </c>
      <c r="K531" s="32">
        <f>D531*J531</f>
        <v/>
      </c>
      <c r="M531" s="32">
        <f>D531*4%</f>
        <v/>
      </c>
      <c r="N531" s="49">
        <f>M531+L531+K531+H531+G531+F531+E531+D531</f>
        <v/>
      </c>
      <c r="O531" s="32">
        <f>D531*1%</f>
        <v/>
      </c>
      <c r="P531" s="7">
        <f>N531*8%</f>
        <v/>
      </c>
      <c r="Q531" s="7">
        <f>N531*10%</f>
        <v/>
      </c>
      <c r="R531" s="7">
        <f>N531*5%</f>
        <v/>
      </c>
      <c r="S531" s="7">
        <f>N531*2%</f>
        <v/>
      </c>
      <c r="T531" s="7">
        <f>AE531*0.5%</f>
        <v/>
      </c>
      <c r="U531" s="7">
        <f>N531*1%</f>
        <v/>
      </c>
      <c r="V531" s="31">
        <f>U531+S531+R531+Q531+P531+O531</f>
        <v/>
      </c>
      <c r="W531" s="32">
        <f>AE531*1%</f>
        <v/>
      </c>
      <c r="X531" s="32">
        <f>AE531*10%</f>
        <v/>
      </c>
      <c r="Y531" s="32">
        <f>AE531*1%</f>
        <v/>
      </c>
      <c r="Z531" s="32">
        <f>AE531*8%</f>
        <v/>
      </c>
      <c r="AA531" s="32">
        <f>W531+X531+Y531+Z531</f>
        <v/>
      </c>
      <c r="AB531" s="31">
        <f>AA531+V531+N531</f>
        <v/>
      </c>
      <c r="AC531" s="6">
        <f>AB531*20%</f>
        <v/>
      </c>
      <c r="AD531" s="7">
        <f>AB531+AC531</f>
        <v/>
      </c>
      <c r="AE531" s="32">
        <f>D531*2.1</f>
        <v/>
      </c>
      <c r="AF531" s="7">
        <f>AD531-AE531</f>
        <v/>
      </c>
      <c r="AG531" s="7">
        <f>AF531/AD531*100</f>
        <v/>
      </c>
      <c r="AH531" s="0" t="n">
        <v>1450</v>
      </c>
      <c r="AI531" s="33" t="n">
        <v>909</v>
      </c>
      <c r="AJ531" s="34">
        <f>AD531</f>
        <v/>
      </c>
      <c r="AK531" s="34">
        <f>AJ531-(AJ531*7%)</f>
        <v/>
      </c>
      <c r="AL531" s="35">
        <f>AJ531/94</f>
        <v/>
      </c>
      <c r="AM531" s="35">
        <f>AK531/94</f>
        <v/>
      </c>
      <c r="AN531" s="36">
        <f>AJ531/24</f>
        <v/>
      </c>
      <c r="AO531" s="36">
        <f>AK531/24</f>
        <v/>
      </c>
      <c r="AP531" s="37">
        <f>AJ531/125</f>
        <v/>
      </c>
      <c r="AQ531" s="37">
        <f>AK531/125</f>
        <v/>
      </c>
    </row>
    <row r="532" ht="15.75" customHeight="1" s="50">
      <c r="A532" s="32" t="inlineStr">
        <is>
          <t>Root Chakra Singing Bowl</t>
        </is>
      </c>
      <c r="B532" s="32" t="inlineStr">
        <is>
          <t>Standard</t>
        </is>
      </c>
      <c r="D532" s="32" t="n">
        <v>541</v>
      </c>
      <c r="G532" s="32" t="n">
        <v>0</v>
      </c>
      <c r="H532" s="32" t="n">
        <v>10</v>
      </c>
      <c r="I532" s="41" t="n">
        <v>83061000</v>
      </c>
      <c r="J532" s="30" t="n">
        <v>0.05</v>
      </c>
      <c r="K532" s="32">
        <f>D532*J532</f>
        <v/>
      </c>
      <c r="M532" s="32">
        <f>D532*4%</f>
        <v/>
      </c>
      <c r="N532" s="49">
        <f>M532+L532+K532+H532+G532+F532+E532+D532</f>
        <v/>
      </c>
      <c r="O532" s="32">
        <f>D532*1%</f>
        <v/>
      </c>
      <c r="P532" s="7">
        <f>N532*8%</f>
        <v/>
      </c>
      <c r="Q532" s="7">
        <f>N532*10%</f>
        <v/>
      </c>
      <c r="R532" s="7">
        <f>N532*5%</f>
        <v/>
      </c>
      <c r="S532" s="7">
        <f>N532*2%</f>
        <v/>
      </c>
      <c r="T532" s="7">
        <f>AE532*0.5%</f>
        <v/>
      </c>
      <c r="U532" s="7">
        <f>N532*1%</f>
        <v/>
      </c>
      <c r="V532" s="31">
        <f>U532+S532+R532+Q532+P532+O532</f>
        <v/>
      </c>
      <c r="W532" s="32">
        <f>AE532*1%</f>
        <v/>
      </c>
      <c r="X532" s="32">
        <f>AE532*10%</f>
        <v/>
      </c>
      <c r="Y532" s="32">
        <f>AE532*1%</f>
        <v/>
      </c>
      <c r="Z532" s="32">
        <f>AE532*8%</f>
        <v/>
      </c>
      <c r="AA532" s="32">
        <f>W532+X532+Y532+Z532</f>
        <v/>
      </c>
      <c r="AB532" s="31">
        <f>AA532+V532+N532</f>
        <v/>
      </c>
      <c r="AC532" s="6">
        <f>AB532*20%</f>
        <v/>
      </c>
      <c r="AD532" s="7">
        <f>AB532+AC532</f>
        <v/>
      </c>
      <c r="AE532" s="32">
        <f>D532*2.1</f>
        <v/>
      </c>
      <c r="AF532" s="7">
        <f>AD532-AE532</f>
        <v/>
      </c>
      <c r="AG532" s="7">
        <f>AF532/AD532*100</f>
        <v/>
      </c>
      <c r="AI532" s="33" t="n"/>
      <c r="AJ532" s="34">
        <f>AD532</f>
        <v/>
      </c>
      <c r="AK532" s="34">
        <f>AJ532-(AJ532*7%)</f>
        <v/>
      </c>
      <c r="AL532" s="35">
        <f>AJ532/94</f>
        <v/>
      </c>
      <c r="AM532" s="35">
        <f>AK532/94</f>
        <v/>
      </c>
      <c r="AN532" s="36">
        <f>AJ532/24</f>
        <v/>
      </c>
      <c r="AO532" s="36">
        <f>AK532/24</f>
        <v/>
      </c>
      <c r="AP532" s="37">
        <f>AJ532/125</f>
        <v/>
      </c>
      <c r="AQ532" s="37">
        <f>AK532/125</f>
        <v/>
      </c>
    </row>
    <row r="533" ht="15" customHeight="1" s="50">
      <c r="A533" s="32" t="inlineStr">
        <is>
          <t>Round Yoga Bolster</t>
        </is>
      </c>
      <c r="B533" s="32" t="inlineStr">
        <is>
          <t>Dark Grey</t>
        </is>
      </c>
      <c r="C533" s="32" t="inlineStr">
        <is>
          <t>Yo-BR-R-DG</t>
        </is>
      </c>
      <c r="D533" s="32" t="n">
        <v>541</v>
      </c>
      <c r="G533" s="32" t="n">
        <v>0</v>
      </c>
      <c r="H533" s="32" t="n">
        <v>10</v>
      </c>
      <c r="I533" s="41" t="n">
        <v>94041000</v>
      </c>
      <c r="J533" s="30" t="n">
        <v>0.18</v>
      </c>
      <c r="K533" s="32">
        <f>D533*J533</f>
        <v/>
      </c>
      <c r="M533" s="32">
        <f>D533*4%</f>
        <v/>
      </c>
      <c r="N533" s="49">
        <f>M533+L533+K533+H533+G533+F533+E533+D533</f>
        <v/>
      </c>
      <c r="O533" s="32">
        <f>D533*1%</f>
        <v/>
      </c>
      <c r="P533" s="7">
        <f>N533*8%</f>
        <v/>
      </c>
      <c r="Q533" s="7">
        <f>N533*10%</f>
        <v/>
      </c>
      <c r="R533" s="7">
        <f>N533*5%</f>
        <v/>
      </c>
      <c r="S533" s="7">
        <f>N533*2%</f>
        <v/>
      </c>
      <c r="T533" s="7">
        <f>AE533*0.5%</f>
        <v/>
      </c>
      <c r="U533" s="7">
        <f>N533*1%</f>
        <v/>
      </c>
      <c r="V533" s="31">
        <f>U533+S533+R533+Q533+P533+O533</f>
        <v/>
      </c>
      <c r="W533" s="32">
        <f>AE533*1%</f>
        <v/>
      </c>
      <c r="X533" s="32">
        <f>AE533*10%</f>
        <v/>
      </c>
      <c r="Y533" s="32">
        <f>AE533*1%</f>
        <v/>
      </c>
      <c r="Z533" s="32">
        <f>AE533*8%</f>
        <v/>
      </c>
      <c r="AA533" s="32">
        <f>W533+X533+Y533+Z533</f>
        <v/>
      </c>
      <c r="AB533" s="31">
        <f>AA533+V533+N533</f>
        <v/>
      </c>
      <c r="AC533" s="6">
        <f>AB533*20%</f>
        <v/>
      </c>
      <c r="AD533" s="7">
        <f>AB533+AC533</f>
        <v/>
      </c>
      <c r="AE533" s="32">
        <f>D533*2.1</f>
        <v/>
      </c>
      <c r="AF533" s="7">
        <f>AD533-AE533</f>
        <v/>
      </c>
      <c r="AG533" s="7">
        <f>AF533/AD533*100</f>
        <v/>
      </c>
      <c r="AH533" s="0" t="n">
        <v>1550</v>
      </c>
      <c r="AI533" s="33" t="n">
        <v>1009</v>
      </c>
      <c r="AJ533" s="34">
        <f>AD533</f>
        <v/>
      </c>
      <c r="AK533" s="34">
        <f>AJ533-(AJ533*7%)</f>
        <v/>
      </c>
      <c r="AL533" s="35">
        <f>AJ533/94</f>
        <v/>
      </c>
      <c r="AM533" s="35">
        <f>AK533/94</f>
        <v/>
      </c>
      <c r="AN533" s="36">
        <f>AJ533/24</f>
        <v/>
      </c>
      <c r="AO533" s="36">
        <f>AK533/24</f>
        <v/>
      </c>
      <c r="AP533" s="37">
        <f>AJ533/125</f>
        <v/>
      </c>
      <c r="AQ533" s="37">
        <f>AK533/125</f>
        <v/>
      </c>
    </row>
    <row r="534" ht="15.75" customHeight="1" s="50">
      <c r="A534" s="32" t="n"/>
      <c r="B534" s="32" t="inlineStr">
        <is>
          <t>Grey</t>
        </is>
      </c>
      <c r="C534" s="32" t="inlineStr">
        <is>
          <t>Yo-BR-R-GY</t>
        </is>
      </c>
      <c r="D534" s="32" t="n">
        <v>541</v>
      </c>
      <c r="G534" s="32" t="n">
        <v>0</v>
      </c>
      <c r="H534" s="32" t="n">
        <v>10</v>
      </c>
      <c r="I534" s="41" t="n">
        <v>94041000</v>
      </c>
      <c r="J534" s="30" t="n">
        <v>0.18</v>
      </c>
      <c r="K534" s="32">
        <f>D534*J534</f>
        <v/>
      </c>
      <c r="M534" s="32">
        <f>D534*4%</f>
        <v/>
      </c>
      <c r="N534" s="49">
        <f>M534+L534+K534+H534+G534+F534+E534+D534</f>
        <v/>
      </c>
      <c r="O534" s="32">
        <f>D534*1%</f>
        <v/>
      </c>
      <c r="P534" s="7">
        <f>N534*8%</f>
        <v/>
      </c>
      <c r="Q534" s="7">
        <f>N534*10%</f>
        <v/>
      </c>
      <c r="R534" s="7">
        <f>N534*5%</f>
        <v/>
      </c>
      <c r="S534" s="7">
        <f>N534*2%</f>
        <v/>
      </c>
      <c r="T534" s="7">
        <f>AE534*0.5%</f>
        <v/>
      </c>
      <c r="U534" s="7">
        <f>N534*1%</f>
        <v/>
      </c>
      <c r="V534" s="31">
        <f>U534+S534+R534+Q534+P534+O534</f>
        <v/>
      </c>
      <c r="W534" s="32">
        <f>AE534*1%</f>
        <v/>
      </c>
      <c r="X534" s="32">
        <f>AE534*10%</f>
        <v/>
      </c>
      <c r="Y534" s="32">
        <f>AE534*1%</f>
        <v/>
      </c>
      <c r="Z534" s="32">
        <f>AE534*8%</f>
        <v/>
      </c>
      <c r="AA534" s="32">
        <f>W534+X534+Y534+Z534</f>
        <v/>
      </c>
      <c r="AB534" s="31">
        <f>AA534+V534+N534</f>
        <v/>
      </c>
      <c r="AC534" s="6">
        <f>AB534*20%</f>
        <v/>
      </c>
      <c r="AD534" s="7">
        <f>AB534+AC534</f>
        <v/>
      </c>
      <c r="AE534" s="32">
        <f>D534*2.1</f>
        <v/>
      </c>
      <c r="AF534" s="7">
        <f>AD534-AE534</f>
        <v/>
      </c>
      <c r="AG534" s="7">
        <f>AF534/AD534*100</f>
        <v/>
      </c>
      <c r="AH534" s="0" t="n">
        <v>1550</v>
      </c>
      <c r="AI534" s="33" t="n">
        <v>1009</v>
      </c>
      <c r="AJ534" s="34">
        <f>AD534</f>
        <v/>
      </c>
      <c r="AK534" s="34">
        <f>AJ534-(AJ534*7%)</f>
        <v/>
      </c>
      <c r="AL534" s="35">
        <f>AJ534/94</f>
        <v/>
      </c>
      <c r="AM534" s="35">
        <f>AK534/94</f>
        <v/>
      </c>
      <c r="AN534" s="36">
        <f>AJ534/24</f>
        <v/>
      </c>
      <c r="AO534" s="36">
        <f>AK534/24</f>
        <v/>
      </c>
      <c r="AP534" s="37">
        <f>AJ534/125</f>
        <v/>
      </c>
      <c r="AQ534" s="37">
        <f>AK534/125</f>
        <v/>
      </c>
    </row>
    <row r="535" ht="15.75" customHeight="1" s="50">
      <c r="A535" s="32" t="n"/>
      <c r="B535" s="32" t="inlineStr">
        <is>
          <t>Maroon</t>
        </is>
      </c>
      <c r="C535" s="32" t="inlineStr">
        <is>
          <t>Yo-BR-R-M</t>
        </is>
      </c>
      <c r="D535" s="32" t="n">
        <v>541</v>
      </c>
      <c r="G535" s="32" t="n">
        <v>0</v>
      </c>
      <c r="H535" s="32" t="n">
        <v>10</v>
      </c>
      <c r="I535" s="41" t="n">
        <v>94041000</v>
      </c>
      <c r="J535" s="30" t="n">
        <v>0.18</v>
      </c>
      <c r="K535" s="32">
        <f>D535*J535</f>
        <v/>
      </c>
      <c r="M535" s="32">
        <f>D535*4%</f>
        <v/>
      </c>
      <c r="N535" s="49">
        <f>M535+L535+K535+H535+G535+F535+E535+D535</f>
        <v/>
      </c>
      <c r="O535" s="32">
        <f>D535*1%</f>
        <v/>
      </c>
      <c r="P535" s="7">
        <f>N535*8%</f>
        <v/>
      </c>
      <c r="Q535" s="7">
        <f>N535*10%</f>
        <v/>
      </c>
      <c r="R535" s="7">
        <f>N535*5%</f>
        <v/>
      </c>
      <c r="S535" s="7">
        <f>N535*2%</f>
        <v/>
      </c>
      <c r="T535" s="7">
        <f>AE535*0.5%</f>
        <v/>
      </c>
      <c r="U535" s="7">
        <f>N535*1%</f>
        <v/>
      </c>
      <c r="V535" s="31">
        <f>U535+S535+R535+Q535+P535+O535</f>
        <v/>
      </c>
      <c r="W535" s="32">
        <f>AE535*1%</f>
        <v/>
      </c>
      <c r="X535" s="32">
        <f>AE535*10%</f>
        <v/>
      </c>
      <c r="Y535" s="32">
        <f>AE535*1%</f>
        <v/>
      </c>
      <c r="Z535" s="32">
        <f>AE535*8%</f>
        <v/>
      </c>
      <c r="AA535" s="32">
        <f>W535+X535+Y535+Z535</f>
        <v/>
      </c>
      <c r="AB535" s="31">
        <f>AA535+V535+N535</f>
        <v/>
      </c>
      <c r="AC535" s="6">
        <f>AB535*20%</f>
        <v/>
      </c>
      <c r="AD535" s="7">
        <f>AB535+AC535</f>
        <v/>
      </c>
      <c r="AE535" s="32">
        <f>D535*2.1</f>
        <v/>
      </c>
      <c r="AF535" s="7">
        <f>AD535-AE535</f>
        <v/>
      </c>
      <c r="AG535" s="7">
        <f>AF535/AD535*100</f>
        <v/>
      </c>
      <c r="AH535" s="0" t="n">
        <v>1550</v>
      </c>
      <c r="AI535" s="33" t="n">
        <v>1009</v>
      </c>
      <c r="AJ535" s="34">
        <f>AD535</f>
        <v/>
      </c>
      <c r="AK535" s="34">
        <f>AJ535-(AJ535*7%)</f>
        <v/>
      </c>
      <c r="AL535" s="35">
        <f>AJ535/94</f>
        <v/>
      </c>
      <c r="AM535" s="35">
        <f>AK535/94</f>
        <v/>
      </c>
      <c r="AN535" s="36">
        <f>AJ535/24</f>
        <v/>
      </c>
      <c r="AO535" s="36">
        <f>AK535/24</f>
        <v/>
      </c>
      <c r="AP535" s="37">
        <f>AJ535/125</f>
        <v/>
      </c>
      <c r="AQ535" s="37">
        <f>AK535/125</f>
        <v/>
      </c>
    </row>
    <row r="536" ht="15.75" customHeight="1" s="50">
      <c r="A536" s="32" t="n"/>
      <c r="B536" s="32" t="inlineStr">
        <is>
          <t>Navy Blue</t>
        </is>
      </c>
      <c r="C536" s="32" t="inlineStr">
        <is>
          <t>Yo-BR-R-NB</t>
        </is>
      </c>
      <c r="D536" s="32" t="n">
        <v>541</v>
      </c>
      <c r="G536" s="32" t="n">
        <v>0</v>
      </c>
      <c r="H536" s="32" t="n">
        <v>10</v>
      </c>
      <c r="I536" s="41" t="n">
        <v>94041000</v>
      </c>
      <c r="J536" s="30" t="n">
        <v>0.18</v>
      </c>
      <c r="K536" s="32">
        <f>D536*J536</f>
        <v/>
      </c>
      <c r="M536" s="32">
        <f>D536*4%</f>
        <v/>
      </c>
      <c r="N536" s="49">
        <f>M536+L536+K536+H536+G536+F536+E536+D536</f>
        <v/>
      </c>
      <c r="O536" s="32">
        <f>D536*1%</f>
        <v/>
      </c>
      <c r="P536" s="7">
        <f>N536*8%</f>
        <v/>
      </c>
      <c r="Q536" s="7">
        <f>N536*10%</f>
        <v/>
      </c>
      <c r="R536" s="7">
        <f>N536*5%</f>
        <v/>
      </c>
      <c r="S536" s="7">
        <f>N536*2%</f>
        <v/>
      </c>
      <c r="T536" s="7">
        <f>AE536*0.5%</f>
        <v/>
      </c>
      <c r="U536" s="7">
        <f>N536*1%</f>
        <v/>
      </c>
      <c r="V536" s="31">
        <f>U536+S536+R536+Q536+P536+O536</f>
        <v/>
      </c>
      <c r="W536" s="32">
        <f>AE536*1%</f>
        <v/>
      </c>
      <c r="X536" s="32">
        <f>AE536*10%</f>
        <v/>
      </c>
      <c r="Y536" s="32">
        <f>AE536*1%</f>
        <v/>
      </c>
      <c r="Z536" s="32">
        <f>AE536*8%</f>
        <v/>
      </c>
      <c r="AA536" s="32">
        <f>W536+X536+Y536+Z536</f>
        <v/>
      </c>
      <c r="AB536" s="31">
        <f>AA536+V536+N536</f>
        <v/>
      </c>
      <c r="AC536" s="6">
        <f>AB536*20%</f>
        <v/>
      </c>
      <c r="AD536" s="7">
        <f>AB536+AC536</f>
        <v/>
      </c>
      <c r="AE536" s="32">
        <f>D536*2.1</f>
        <v/>
      </c>
      <c r="AF536" s="7">
        <f>AD536-AE536</f>
        <v/>
      </c>
      <c r="AG536" s="7">
        <f>AF536/AD536*100</f>
        <v/>
      </c>
      <c r="AH536" s="0" t="n">
        <v>1550</v>
      </c>
      <c r="AI536" s="33" t="n">
        <v>1009</v>
      </c>
      <c r="AJ536" s="34">
        <f>AD536</f>
        <v/>
      </c>
      <c r="AK536" s="34">
        <f>AJ536-(AJ536*7%)</f>
        <v/>
      </c>
      <c r="AL536" s="35">
        <f>AJ536/94</f>
        <v/>
      </c>
      <c r="AM536" s="35">
        <f>AK536/94</f>
        <v/>
      </c>
      <c r="AN536" s="36">
        <f>AJ536/24</f>
        <v/>
      </c>
      <c r="AO536" s="36">
        <f>AK536/24</f>
        <v/>
      </c>
      <c r="AP536" s="37">
        <f>AJ536/125</f>
        <v/>
      </c>
      <c r="AQ536" s="37">
        <f>AK536/125</f>
        <v/>
      </c>
    </row>
    <row r="537" ht="15.75" customHeight="1" s="50">
      <c r="A537" s="32" t="n"/>
      <c r="B537" s="32" t="inlineStr">
        <is>
          <t>Orange</t>
        </is>
      </c>
      <c r="C537" s="32" t="inlineStr">
        <is>
          <t>Yo-BR-R-O</t>
        </is>
      </c>
      <c r="D537" s="32" t="n">
        <v>541</v>
      </c>
      <c r="G537" s="32" t="n">
        <v>0</v>
      </c>
      <c r="H537" s="32" t="n">
        <v>10</v>
      </c>
      <c r="I537" s="41" t="n">
        <v>94041000</v>
      </c>
      <c r="J537" s="30" t="n">
        <v>0.18</v>
      </c>
      <c r="K537" s="32">
        <f>D537*J537</f>
        <v/>
      </c>
      <c r="M537" s="32">
        <f>D537*4%</f>
        <v/>
      </c>
      <c r="N537" s="49">
        <f>M537+L537+K537+H537+G537+F537+E537+D537</f>
        <v/>
      </c>
      <c r="O537" s="32">
        <f>D537*1%</f>
        <v/>
      </c>
      <c r="P537" s="7">
        <f>N537*8%</f>
        <v/>
      </c>
      <c r="Q537" s="7">
        <f>N537*10%</f>
        <v/>
      </c>
      <c r="R537" s="7">
        <f>N537*5%</f>
        <v/>
      </c>
      <c r="S537" s="7">
        <f>N537*2%</f>
        <v/>
      </c>
      <c r="T537" s="7">
        <f>AE537*0.5%</f>
        <v/>
      </c>
      <c r="U537" s="7">
        <f>N537*1%</f>
        <v/>
      </c>
      <c r="V537" s="31">
        <f>U537+S537+R537+Q537+P537+O537</f>
        <v/>
      </c>
      <c r="W537" s="32">
        <f>AE537*1%</f>
        <v/>
      </c>
      <c r="X537" s="32">
        <f>AE537*10%</f>
        <v/>
      </c>
      <c r="Y537" s="32">
        <f>AE537*1%</f>
        <v/>
      </c>
      <c r="Z537" s="32">
        <f>AE537*8%</f>
        <v/>
      </c>
      <c r="AA537" s="32">
        <f>W537+X537+Y537+Z537</f>
        <v/>
      </c>
      <c r="AB537" s="31">
        <f>AA537+V537+N537</f>
        <v/>
      </c>
      <c r="AC537" s="6">
        <f>AB537*20%</f>
        <v/>
      </c>
      <c r="AD537" s="7">
        <f>AB537+AC537</f>
        <v/>
      </c>
      <c r="AE537" s="32">
        <f>D537*2.1</f>
        <v/>
      </c>
      <c r="AF537" s="7">
        <f>AD537-AE537</f>
        <v/>
      </c>
      <c r="AG537" s="7">
        <f>AF537/AD537*100</f>
        <v/>
      </c>
      <c r="AH537" s="0" t="n">
        <v>1550</v>
      </c>
      <c r="AI537" s="33" t="n">
        <v>1009</v>
      </c>
      <c r="AJ537" s="34">
        <f>AD537</f>
        <v/>
      </c>
      <c r="AK537" s="34">
        <f>AJ537-(AJ537*7%)</f>
        <v/>
      </c>
      <c r="AL537" s="35">
        <f>AJ537/94</f>
        <v/>
      </c>
      <c r="AM537" s="35">
        <f>AK537/94</f>
        <v/>
      </c>
      <c r="AN537" s="36">
        <f>AJ537/24</f>
        <v/>
      </c>
      <c r="AO537" s="36">
        <f>AK537/24</f>
        <v/>
      </c>
      <c r="AP537" s="37">
        <f>AJ537/125</f>
        <v/>
      </c>
      <c r="AQ537" s="37">
        <f>AK537/125</f>
        <v/>
      </c>
    </row>
    <row r="538" ht="15.75" customHeight="1" s="50">
      <c r="A538" s="32" t="n"/>
      <c r="B538" s="32" t="inlineStr">
        <is>
          <t>Rose</t>
        </is>
      </c>
      <c r="C538" s="32" t="inlineStr">
        <is>
          <t>Yo-BR-R-RE</t>
        </is>
      </c>
      <c r="D538" s="32" t="n">
        <v>541</v>
      </c>
      <c r="G538" s="32" t="n">
        <v>0</v>
      </c>
      <c r="H538" s="32" t="n">
        <v>10</v>
      </c>
      <c r="I538" s="41" t="n">
        <v>94041000</v>
      </c>
      <c r="J538" s="30" t="n">
        <v>0.18</v>
      </c>
      <c r="K538" s="32">
        <f>D538*J538</f>
        <v/>
      </c>
      <c r="M538" s="32">
        <f>D538*4%</f>
        <v/>
      </c>
      <c r="N538" s="49">
        <f>M538+L538+K538+H538+G538+F538+E538+D538</f>
        <v/>
      </c>
      <c r="O538" s="32">
        <f>D538*1%</f>
        <v/>
      </c>
      <c r="P538" s="7">
        <f>N538*8%</f>
        <v/>
      </c>
      <c r="Q538" s="7">
        <f>N538*10%</f>
        <v/>
      </c>
      <c r="R538" s="7">
        <f>N538*5%</f>
        <v/>
      </c>
      <c r="S538" s="7">
        <f>N538*2%</f>
        <v/>
      </c>
      <c r="T538" s="7">
        <f>AE538*0.5%</f>
        <v/>
      </c>
      <c r="U538" s="7">
        <f>N538*1%</f>
        <v/>
      </c>
      <c r="V538" s="31">
        <f>U538+S538+R538+Q538+P538+O538</f>
        <v/>
      </c>
      <c r="W538" s="32">
        <f>AE538*1%</f>
        <v/>
      </c>
      <c r="X538" s="32">
        <f>AE538*10%</f>
        <v/>
      </c>
      <c r="Y538" s="32">
        <f>AE538*1%</f>
        <v/>
      </c>
      <c r="Z538" s="32">
        <f>AE538*8%</f>
        <v/>
      </c>
      <c r="AA538" s="32">
        <f>W538+X538+Y538+Z538</f>
        <v/>
      </c>
      <c r="AB538" s="31">
        <f>AA538+V538+N538</f>
        <v/>
      </c>
      <c r="AC538" s="6">
        <f>AB538*20%</f>
        <v/>
      </c>
      <c r="AD538" s="7">
        <f>AB538+AC538</f>
        <v/>
      </c>
      <c r="AE538" s="32">
        <f>D538*2.1</f>
        <v/>
      </c>
      <c r="AF538" s="7">
        <f>AD538-AE538</f>
        <v/>
      </c>
      <c r="AG538" s="7">
        <f>AF538/AD538*100</f>
        <v/>
      </c>
      <c r="AH538" s="0" t="n">
        <v>1550</v>
      </c>
      <c r="AI538" s="33" t="n">
        <v>1009</v>
      </c>
      <c r="AJ538" s="34">
        <f>AD538</f>
        <v/>
      </c>
      <c r="AK538" s="34">
        <f>AJ538-(AJ538*7%)</f>
        <v/>
      </c>
      <c r="AL538" s="35">
        <f>AJ538/94</f>
        <v/>
      </c>
      <c r="AM538" s="35">
        <f>AK538/94</f>
        <v/>
      </c>
      <c r="AN538" s="36">
        <f>AJ538/24</f>
        <v/>
      </c>
      <c r="AO538" s="36">
        <f>AK538/24</f>
        <v/>
      </c>
      <c r="AP538" s="37">
        <f>AJ538/125</f>
        <v/>
      </c>
      <c r="AQ538" s="37">
        <f>AK538/125</f>
        <v/>
      </c>
    </row>
    <row r="539" ht="15.75" customHeight="1" s="50">
      <c r="A539" s="32" t="n"/>
      <c r="B539" s="32" t="inlineStr">
        <is>
          <t>Rogue Pink</t>
        </is>
      </c>
      <c r="C539" s="32" t="inlineStr">
        <is>
          <t>Yo-BR-R-RP</t>
        </is>
      </c>
      <c r="D539" s="32" t="n">
        <v>541</v>
      </c>
      <c r="G539" s="32" t="n">
        <v>0</v>
      </c>
      <c r="H539" s="32" t="n">
        <v>10</v>
      </c>
      <c r="I539" s="41" t="n">
        <v>94041000</v>
      </c>
      <c r="J539" s="30" t="n">
        <v>0.18</v>
      </c>
      <c r="K539" s="32">
        <f>D539*J539</f>
        <v/>
      </c>
      <c r="M539" s="32">
        <f>D539*4%</f>
        <v/>
      </c>
      <c r="N539" s="49">
        <f>M539+L539+K539+H539+G539+F539+E539+D539</f>
        <v/>
      </c>
      <c r="O539" s="32">
        <f>D539*1%</f>
        <v/>
      </c>
      <c r="P539" s="7">
        <f>N539*8%</f>
        <v/>
      </c>
      <c r="Q539" s="7">
        <f>N539*10%</f>
        <v/>
      </c>
      <c r="R539" s="7">
        <f>N539*5%</f>
        <v/>
      </c>
      <c r="S539" s="7">
        <f>N539*2%</f>
        <v/>
      </c>
      <c r="T539" s="7">
        <f>AE539*0.5%</f>
        <v/>
      </c>
      <c r="U539" s="7">
        <f>N539*1%</f>
        <v/>
      </c>
      <c r="V539" s="31">
        <f>U539+S539+R539+Q539+P539+O539</f>
        <v/>
      </c>
      <c r="W539" s="32">
        <f>AE539*1%</f>
        <v/>
      </c>
      <c r="X539" s="32">
        <f>AE539*10%</f>
        <v/>
      </c>
      <c r="Y539" s="32">
        <f>AE539*1%</f>
        <v/>
      </c>
      <c r="Z539" s="32">
        <f>AE539*8%</f>
        <v/>
      </c>
      <c r="AA539" s="32">
        <f>W539+X539+Y539+Z539</f>
        <v/>
      </c>
      <c r="AB539" s="31">
        <f>AA539+V539+N539</f>
        <v/>
      </c>
      <c r="AC539" s="6">
        <f>AB539*20%</f>
        <v/>
      </c>
      <c r="AD539" s="7">
        <f>AB539+AC539</f>
        <v/>
      </c>
      <c r="AE539" s="32">
        <f>D539*2.1</f>
        <v/>
      </c>
      <c r="AF539" s="7">
        <f>AD539-AE539</f>
        <v/>
      </c>
      <c r="AG539" s="7">
        <f>AF539/AD539*100</f>
        <v/>
      </c>
      <c r="AH539" s="0" t="n">
        <v>1550</v>
      </c>
      <c r="AI539" s="33" t="n">
        <v>1009</v>
      </c>
      <c r="AJ539" s="34">
        <f>AD539</f>
        <v/>
      </c>
      <c r="AK539" s="34">
        <f>AJ539-(AJ539*7%)</f>
        <v/>
      </c>
      <c r="AL539" s="35">
        <f>AJ539/94</f>
        <v/>
      </c>
      <c r="AM539" s="35">
        <f>AK539/94</f>
        <v/>
      </c>
      <c r="AN539" s="36">
        <f>AJ539/24</f>
        <v/>
      </c>
      <c r="AO539" s="36">
        <f>AK539/24</f>
        <v/>
      </c>
      <c r="AP539" s="37">
        <f>AJ539/125</f>
        <v/>
      </c>
      <c r="AQ539" s="37">
        <f>AK539/125</f>
        <v/>
      </c>
    </row>
    <row r="540" ht="15" customHeight="1" s="50">
      <c r="A540" s="32" t="inlineStr">
        <is>
          <t>S-Shaped Didgeridoo</t>
        </is>
      </c>
      <c r="B540" s="32" t="inlineStr">
        <is>
          <t>Green</t>
        </is>
      </c>
      <c r="C540" s="32" t="inlineStr">
        <is>
          <t>MI-DG-S-G</t>
        </is>
      </c>
      <c r="D540" s="32" t="n">
        <v>1350</v>
      </c>
      <c r="G540" s="32" t="n">
        <v>0</v>
      </c>
      <c r="H540" s="32" t="n">
        <v>10</v>
      </c>
      <c r="I540" s="47" t="n">
        <v>46021100</v>
      </c>
      <c r="J540" s="48" t="n">
        <v>0.05</v>
      </c>
      <c r="K540" s="32">
        <f>D540*J540</f>
        <v/>
      </c>
      <c r="M540" s="32">
        <f>D540*4%</f>
        <v/>
      </c>
      <c r="N540" s="49">
        <f>M540+L540+K540+H540+G540+F540+E540+D540</f>
        <v/>
      </c>
      <c r="O540" s="32">
        <f>D540*1%</f>
        <v/>
      </c>
      <c r="P540" s="7">
        <f>N540*8%</f>
        <v/>
      </c>
      <c r="Q540" s="7">
        <f>N540*10%</f>
        <v/>
      </c>
      <c r="R540" s="7">
        <f>N540*5%</f>
        <v/>
      </c>
      <c r="S540" s="7">
        <f>N540*2%</f>
        <v/>
      </c>
      <c r="T540" s="7">
        <f>AE540*0.5%</f>
        <v/>
      </c>
      <c r="U540" s="7">
        <f>N540*1%</f>
        <v/>
      </c>
      <c r="V540" s="31">
        <f>U540+S540+R540+Q540+P540+O540</f>
        <v/>
      </c>
      <c r="W540" s="32">
        <f>AE540*1%</f>
        <v/>
      </c>
      <c r="X540" s="32">
        <f>AE540*10%</f>
        <v/>
      </c>
      <c r="Y540" s="32">
        <f>AE540*1%</f>
        <v/>
      </c>
      <c r="Z540" s="32">
        <f>AE540*8%</f>
        <v/>
      </c>
      <c r="AA540" s="32">
        <f>W540+X540+Y540+Z540</f>
        <v/>
      </c>
      <c r="AB540" s="31">
        <f>AA540+V540+N540</f>
        <v/>
      </c>
      <c r="AC540" s="6">
        <f>AB540*20%</f>
        <v/>
      </c>
      <c r="AD540" s="7">
        <f>AB540+AC540</f>
        <v/>
      </c>
      <c r="AE540" s="32">
        <f>D540*2.1</f>
        <v/>
      </c>
      <c r="AF540" s="7">
        <f>AD540-AE540</f>
        <v/>
      </c>
      <c r="AG540" s="7">
        <f>AF540/AD540*100</f>
        <v/>
      </c>
      <c r="AH540" s="0" t="n">
        <v>7750</v>
      </c>
      <c r="AI540" s="33" t="n">
        <v>6400</v>
      </c>
      <c r="AJ540" s="34">
        <f>AD540</f>
        <v/>
      </c>
      <c r="AK540" s="34">
        <f>AJ540-(AJ540*7%)</f>
        <v/>
      </c>
      <c r="AL540" s="35">
        <f>AJ540/94</f>
        <v/>
      </c>
      <c r="AM540" s="35">
        <f>AK540/94</f>
        <v/>
      </c>
      <c r="AN540" s="36">
        <f>AJ540/24</f>
        <v/>
      </c>
      <c r="AO540" s="36">
        <f>AK540/24</f>
        <v/>
      </c>
      <c r="AP540" s="37">
        <f>AJ540/125</f>
        <v/>
      </c>
      <c r="AQ540" s="37">
        <f>AK540/125</f>
        <v/>
      </c>
    </row>
    <row r="541" ht="15.75" customHeight="1" s="50">
      <c r="A541" s="32" t="n"/>
      <c r="B541" s="32" t="inlineStr">
        <is>
          <t>Blue</t>
        </is>
      </c>
      <c r="C541" s="32" t="inlineStr">
        <is>
          <t>MI-DG-S-B</t>
        </is>
      </c>
      <c r="D541" s="32" t="n">
        <v>1350</v>
      </c>
      <c r="G541" s="32" t="n">
        <v>0</v>
      </c>
      <c r="H541" s="32" t="n">
        <v>10</v>
      </c>
      <c r="I541" s="47" t="n">
        <v>46021100</v>
      </c>
      <c r="J541" s="48" t="n">
        <v>0.05</v>
      </c>
      <c r="K541" s="32">
        <f>D541*J541</f>
        <v/>
      </c>
      <c r="M541" s="32">
        <f>D541*4%</f>
        <v/>
      </c>
      <c r="N541" s="49">
        <f>M541+L541+K541+H541+G541+F541+E541+D541</f>
        <v/>
      </c>
      <c r="O541" s="32">
        <f>D541*1%</f>
        <v/>
      </c>
      <c r="P541" s="7">
        <f>N541*8%</f>
        <v/>
      </c>
      <c r="Q541" s="7">
        <f>N541*10%</f>
        <v/>
      </c>
      <c r="R541" s="7">
        <f>N541*5%</f>
        <v/>
      </c>
      <c r="S541" s="7">
        <f>N541*2%</f>
        <v/>
      </c>
      <c r="T541" s="7">
        <f>AE541*0.5%</f>
        <v/>
      </c>
      <c r="U541" s="7">
        <f>N541*1%</f>
        <v/>
      </c>
      <c r="V541" s="31">
        <f>U541+S541+R541+Q541+P541+O541</f>
        <v/>
      </c>
      <c r="W541" s="32">
        <f>AE541*1%</f>
        <v/>
      </c>
      <c r="X541" s="32">
        <f>AE541*10%</f>
        <v/>
      </c>
      <c r="Y541" s="32">
        <f>AE541*1%</f>
        <v/>
      </c>
      <c r="Z541" s="32">
        <f>AE541*8%</f>
        <v/>
      </c>
      <c r="AA541" s="32">
        <f>W541+X541+Y541+Z541</f>
        <v/>
      </c>
      <c r="AB541" s="31">
        <f>AA541+V541+N541</f>
        <v/>
      </c>
      <c r="AC541" s="6">
        <f>AB541*20%</f>
        <v/>
      </c>
      <c r="AD541" s="7">
        <f>AB541+AC541</f>
        <v/>
      </c>
      <c r="AE541" s="32">
        <f>D541*2.1</f>
        <v/>
      </c>
      <c r="AF541" s="7">
        <f>AD541-AE541</f>
        <v/>
      </c>
      <c r="AG541" s="7">
        <f>AF541/AD541*100</f>
        <v/>
      </c>
      <c r="AH541" s="0" t="n">
        <v>7750</v>
      </c>
      <c r="AI541" s="33" t="n">
        <v>6400</v>
      </c>
      <c r="AJ541" s="34">
        <f>AD541</f>
        <v/>
      </c>
      <c r="AK541" s="34">
        <f>AJ541-(AJ541*7%)</f>
        <v/>
      </c>
      <c r="AL541" s="35">
        <f>AJ541/94</f>
        <v/>
      </c>
      <c r="AM541" s="35">
        <f>AK541/94</f>
        <v/>
      </c>
      <c r="AN541" s="36">
        <f>AJ541/24</f>
        <v/>
      </c>
      <c r="AO541" s="36">
        <f>AK541/24</f>
        <v/>
      </c>
      <c r="AP541" s="37">
        <f>AJ541/125</f>
        <v/>
      </c>
      <c r="AQ541" s="37">
        <f>AK541/125</f>
        <v/>
      </c>
    </row>
    <row r="542" ht="15.75" customHeight="1" s="50">
      <c r="A542" s="32" t="n"/>
      <c r="B542" s="32" t="inlineStr">
        <is>
          <t>Red</t>
        </is>
      </c>
      <c r="C542" s="32" t="inlineStr">
        <is>
          <t>MI-DG-S-R</t>
        </is>
      </c>
      <c r="D542" s="32" t="n">
        <v>1350</v>
      </c>
      <c r="G542" s="32" t="n">
        <v>0</v>
      </c>
      <c r="H542" s="32" t="n">
        <v>10</v>
      </c>
      <c r="I542" s="47" t="n">
        <v>46021100</v>
      </c>
      <c r="J542" s="48" t="n">
        <v>0.05</v>
      </c>
      <c r="K542" s="32">
        <f>D542*J542</f>
        <v/>
      </c>
      <c r="M542" s="32">
        <f>D542*4%</f>
        <v/>
      </c>
      <c r="N542" s="49">
        <f>M542+L542+K542+H542+G542+F542+E542+D542</f>
        <v/>
      </c>
      <c r="O542" s="32">
        <f>D542*1%</f>
        <v/>
      </c>
      <c r="P542" s="7">
        <f>N542*8%</f>
        <v/>
      </c>
      <c r="Q542" s="7">
        <f>N542*10%</f>
        <v/>
      </c>
      <c r="R542" s="7">
        <f>N542*5%</f>
        <v/>
      </c>
      <c r="S542" s="7">
        <f>N542*2%</f>
        <v/>
      </c>
      <c r="T542" s="7">
        <f>AE542*0.5%</f>
        <v/>
      </c>
      <c r="U542" s="7">
        <f>N542*1%</f>
        <v/>
      </c>
      <c r="V542" s="31">
        <f>U542+S542+R542+Q542+P542+O542</f>
        <v/>
      </c>
      <c r="W542" s="32">
        <f>AE542*1%</f>
        <v/>
      </c>
      <c r="X542" s="32">
        <f>AE542*10%</f>
        <v/>
      </c>
      <c r="Y542" s="32">
        <f>AE542*1%</f>
        <v/>
      </c>
      <c r="Z542" s="32">
        <f>AE542*8%</f>
        <v/>
      </c>
      <c r="AA542" s="32">
        <f>W542+X542+Y542+Z542</f>
        <v/>
      </c>
      <c r="AB542" s="31">
        <f>AA542+V542+N542</f>
        <v/>
      </c>
      <c r="AC542" s="6">
        <f>AB542*20%</f>
        <v/>
      </c>
      <c r="AD542" s="7">
        <f>AB542+AC542</f>
        <v/>
      </c>
      <c r="AE542" s="32">
        <f>D542*2.1</f>
        <v/>
      </c>
      <c r="AF542" s="7">
        <f>AD542-AE542</f>
        <v/>
      </c>
      <c r="AG542" s="7">
        <f>AF542/AD542*100</f>
        <v/>
      </c>
      <c r="AH542" s="0" t="n">
        <v>7750</v>
      </c>
      <c r="AI542" s="33" t="n">
        <v>6400</v>
      </c>
      <c r="AJ542" s="34">
        <f>AD542</f>
        <v/>
      </c>
      <c r="AK542" s="34">
        <f>AJ542-(AJ542*7%)</f>
        <v/>
      </c>
      <c r="AL542" s="35">
        <f>AJ542/94</f>
        <v/>
      </c>
      <c r="AM542" s="35">
        <f>AK542/94</f>
        <v/>
      </c>
      <c r="AN542" s="36">
        <f>AJ542/24</f>
        <v/>
      </c>
      <c r="AO542" s="36">
        <f>AK542/24</f>
        <v/>
      </c>
      <c r="AP542" s="37">
        <f>AJ542/125</f>
        <v/>
      </c>
      <c r="AQ542" s="37">
        <f>AK542/125</f>
        <v/>
      </c>
    </row>
    <row r="543" ht="15" customHeight="1" s="50">
      <c r="A543" s="32" t="inlineStr">
        <is>
          <t>Sacred Symbols Singing Bowls</t>
        </is>
      </c>
      <c r="B543" s="32" t="inlineStr">
        <is>
          <t>3.5 in / Green</t>
        </is>
      </c>
      <c r="C543" s="32" t="inlineStr">
        <is>
          <t>MI-SB-P-SS-G-3.5</t>
        </is>
      </c>
      <c r="D543" s="32" t="n">
        <v>350</v>
      </c>
      <c r="E543" s="32" t="n">
        <v>55</v>
      </c>
      <c r="F543" s="32" t="n">
        <v>45</v>
      </c>
      <c r="G543" s="32" t="n">
        <v>0</v>
      </c>
      <c r="H543" s="32" t="n">
        <v>10</v>
      </c>
      <c r="I543" s="41" t="n">
        <v>83061000</v>
      </c>
      <c r="J543" s="30" t="n">
        <v>0.05</v>
      </c>
      <c r="K543" s="32">
        <f>D543*J543</f>
        <v/>
      </c>
      <c r="M543" s="32">
        <f>D543*4%</f>
        <v/>
      </c>
      <c r="N543" s="49">
        <f>M543+L543+K543+H543+G543+F543+E543+D543</f>
        <v/>
      </c>
      <c r="O543" s="32">
        <f>D543*1%</f>
        <v/>
      </c>
      <c r="P543" s="7">
        <f>N543*8%</f>
        <v/>
      </c>
      <c r="Q543" s="7">
        <f>N543*10%</f>
        <v/>
      </c>
      <c r="R543" s="7">
        <f>N543*5%</f>
        <v/>
      </c>
      <c r="S543" s="7">
        <f>N543*2%</f>
        <v/>
      </c>
      <c r="T543" s="7">
        <f>AE543*0.5%</f>
        <v/>
      </c>
      <c r="U543" s="7">
        <f>N543*1%</f>
        <v/>
      </c>
      <c r="V543" s="31">
        <f>U543+S543+R543+Q543+P543+O543</f>
        <v/>
      </c>
      <c r="W543" s="32">
        <f>AE543*1%</f>
        <v/>
      </c>
      <c r="X543" s="32">
        <f>AE543*10%</f>
        <v/>
      </c>
      <c r="Y543" s="32">
        <f>AE543*1%</f>
        <v/>
      </c>
      <c r="Z543" s="32">
        <f>AE543*8%</f>
        <v/>
      </c>
      <c r="AA543" s="32">
        <f>W543+X543+Y543+Z543</f>
        <v/>
      </c>
      <c r="AB543" s="31">
        <f>AA543+V543+N543</f>
        <v/>
      </c>
      <c r="AC543" s="6">
        <f>AB543*20%</f>
        <v/>
      </c>
      <c r="AD543" s="7">
        <f>AB543+AC543</f>
        <v/>
      </c>
      <c r="AE543" s="32">
        <f>D543*2.1</f>
        <v/>
      </c>
      <c r="AF543" s="7">
        <f>AD543-AE543</f>
        <v/>
      </c>
      <c r="AG543" s="7">
        <f>AF543/AD543*100</f>
        <v/>
      </c>
      <c r="AH543" s="0" t="n">
        <v>1295</v>
      </c>
      <c r="AI543" s="33" t="n">
        <v>945</v>
      </c>
      <c r="AJ543" s="34">
        <f>AD543</f>
        <v/>
      </c>
      <c r="AK543" s="34">
        <f>AJ543-(AJ543*7%)</f>
        <v/>
      </c>
      <c r="AL543" s="35">
        <f>AJ543/94</f>
        <v/>
      </c>
      <c r="AM543" s="35">
        <f>AK543/94</f>
        <v/>
      </c>
      <c r="AN543" s="36">
        <f>AJ543/24</f>
        <v/>
      </c>
      <c r="AO543" s="36">
        <f>AK543/24</f>
        <v/>
      </c>
      <c r="AP543" s="37">
        <f>AJ543/125</f>
        <v/>
      </c>
      <c r="AQ543" s="37">
        <f>AK543/125</f>
        <v/>
      </c>
    </row>
    <row r="544" ht="15.75" customHeight="1" s="50">
      <c r="A544" s="32" t="n"/>
      <c r="B544" s="32" t="inlineStr">
        <is>
          <t>Blue / 3.5 in</t>
        </is>
      </c>
      <c r="C544" s="32" t="inlineStr">
        <is>
          <t>MI-SB-P-SS-B-3.5</t>
        </is>
      </c>
      <c r="D544" s="32" t="n">
        <v>350</v>
      </c>
      <c r="E544" s="32" t="n">
        <v>55</v>
      </c>
      <c r="F544" s="32" t="n">
        <v>45</v>
      </c>
      <c r="G544" s="32" t="n">
        <v>0</v>
      </c>
      <c r="H544" s="32" t="n">
        <v>10</v>
      </c>
      <c r="I544" s="41" t="n">
        <v>83061000</v>
      </c>
      <c r="J544" s="30" t="n">
        <v>0.05</v>
      </c>
      <c r="K544" s="32">
        <f>D544*J544</f>
        <v/>
      </c>
      <c r="M544" s="32">
        <f>D544*4%</f>
        <v/>
      </c>
      <c r="N544" s="49">
        <f>M544+L544+K544+H544+G544+F544+E544+D544</f>
        <v/>
      </c>
      <c r="O544" s="32">
        <f>D544*1%</f>
        <v/>
      </c>
      <c r="P544" s="7">
        <f>N544*8%</f>
        <v/>
      </c>
      <c r="Q544" s="7">
        <f>N544*10%</f>
        <v/>
      </c>
      <c r="R544" s="7">
        <f>N544*5%</f>
        <v/>
      </c>
      <c r="S544" s="7">
        <f>N544*2%</f>
        <v/>
      </c>
      <c r="T544" s="7">
        <f>AE544*0.5%</f>
        <v/>
      </c>
      <c r="U544" s="7">
        <f>N544*1%</f>
        <v/>
      </c>
      <c r="V544" s="31">
        <f>U544+S544+R544+Q544+P544+O544</f>
        <v/>
      </c>
      <c r="W544" s="32">
        <f>AE544*1%</f>
        <v/>
      </c>
      <c r="X544" s="32">
        <f>AE544*10%</f>
        <v/>
      </c>
      <c r="Y544" s="32">
        <f>AE544*1%</f>
        <v/>
      </c>
      <c r="Z544" s="32">
        <f>AE544*8%</f>
        <v/>
      </c>
      <c r="AA544" s="32">
        <f>W544+X544+Y544+Z544</f>
        <v/>
      </c>
      <c r="AB544" s="31">
        <f>AA544+V544+N544</f>
        <v/>
      </c>
      <c r="AC544" s="6">
        <f>AB544*20%</f>
        <v/>
      </c>
      <c r="AD544" s="7">
        <f>AB544+AC544</f>
        <v/>
      </c>
      <c r="AE544" s="32">
        <f>D544*2.1</f>
        <v/>
      </c>
      <c r="AF544" s="7">
        <f>AD544-AE544</f>
        <v/>
      </c>
      <c r="AG544" s="7">
        <f>AF544/AD544*100</f>
        <v/>
      </c>
      <c r="AH544" s="0" t="n">
        <v>1295</v>
      </c>
      <c r="AI544" s="33" t="n">
        <v>945</v>
      </c>
      <c r="AJ544" s="34">
        <f>AD544</f>
        <v/>
      </c>
      <c r="AK544" s="34">
        <f>AJ544-(AJ544*7%)</f>
        <v/>
      </c>
      <c r="AL544" s="35">
        <f>AJ544/94</f>
        <v/>
      </c>
      <c r="AM544" s="35">
        <f>AK544/94</f>
        <v/>
      </c>
      <c r="AN544" s="36">
        <f>AJ544/24</f>
        <v/>
      </c>
      <c r="AO544" s="36">
        <f>AK544/24</f>
        <v/>
      </c>
      <c r="AP544" s="37">
        <f>AJ544/125</f>
        <v/>
      </c>
      <c r="AQ544" s="37">
        <f>AK544/125</f>
        <v/>
      </c>
    </row>
    <row r="545" ht="15.75" customHeight="1" s="50">
      <c r="A545" s="32" t="n"/>
      <c r="B545" s="32" t="inlineStr">
        <is>
          <t>Blue / 4 in</t>
        </is>
      </c>
      <c r="C545" s="32" t="inlineStr">
        <is>
          <t>MI-SB-P-SS-B-4</t>
        </is>
      </c>
      <c r="D545" s="32" t="n">
        <v>575</v>
      </c>
      <c r="E545" s="32" t="n">
        <v>55</v>
      </c>
      <c r="F545" s="32" t="n">
        <v>45</v>
      </c>
      <c r="G545" s="32" t="n">
        <v>0</v>
      </c>
      <c r="H545" s="32" t="n">
        <v>10</v>
      </c>
      <c r="I545" s="41" t="n">
        <v>83061000</v>
      </c>
      <c r="J545" s="30" t="n">
        <v>0.05</v>
      </c>
      <c r="K545" s="32">
        <f>D545*J545</f>
        <v/>
      </c>
      <c r="M545" s="32">
        <f>D545*4%</f>
        <v/>
      </c>
      <c r="N545" s="49">
        <f>M545+L545+K545+H545+G545+F545+E545+D545</f>
        <v/>
      </c>
      <c r="O545" s="32">
        <f>D545*1%</f>
        <v/>
      </c>
      <c r="P545" s="7">
        <f>N545*8%</f>
        <v/>
      </c>
      <c r="Q545" s="7">
        <f>N545*10%</f>
        <v/>
      </c>
      <c r="R545" s="7">
        <f>N545*5%</f>
        <v/>
      </c>
      <c r="S545" s="7">
        <f>N545*2%</f>
        <v/>
      </c>
      <c r="T545" s="7">
        <f>AE545*0.5%</f>
        <v/>
      </c>
      <c r="U545" s="7">
        <f>N545*1%</f>
        <v/>
      </c>
      <c r="V545" s="31">
        <f>U545+S545+R545+Q545+P545+O545</f>
        <v/>
      </c>
      <c r="W545" s="32">
        <f>AE545*1%</f>
        <v/>
      </c>
      <c r="X545" s="32">
        <f>AE545*10%</f>
        <v/>
      </c>
      <c r="Y545" s="32">
        <f>AE545*1%</f>
        <v/>
      </c>
      <c r="Z545" s="32">
        <f>AE545*8%</f>
        <v/>
      </c>
      <c r="AA545" s="32">
        <f>W545+X545+Y545+Z545</f>
        <v/>
      </c>
      <c r="AB545" s="31">
        <f>AA545+V545+N545</f>
        <v/>
      </c>
      <c r="AC545" s="6">
        <f>AB545*20%</f>
        <v/>
      </c>
      <c r="AD545" s="7">
        <f>AB545+AC545</f>
        <v/>
      </c>
      <c r="AE545" s="32">
        <f>D545*2.1</f>
        <v/>
      </c>
      <c r="AF545" s="7">
        <f>AD545-AE545</f>
        <v/>
      </c>
      <c r="AG545" s="7">
        <f>AF545/AD545*100</f>
        <v/>
      </c>
      <c r="AH545" s="0" t="n">
        <v>1545</v>
      </c>
      <c r="AI545" s="33" t="n">
        <v>970</v>
      </c>
      <c r="AJ545" s="34">
        <f>AD545</f>
        <v/>
      </c>
      <c r="AK545" s="34">
        <f>AJ545-(AJ545*7%)</f>
        <v/>
      </c>
      <c r="AL545" s="35">
        <f>AJ545/94</f>
        <v/>
      </c>
      <c r="AM545" s="35">
        <f>AK545/94</f>
        <v/>
      </c>
      <c r="AN545" s="36">
        <f>AJ545/24</f>
        <v/>
      </c>
      <c r="AO545" s="36">
        <f>AK545/24</f>
        <v/>
      </c>
      <c r="AP545" s="37">
        <f>AJ545/125</f>
        <v/>
      </c>
      <c r="AQ545" s="37">
        <f>AK545/125</f>
        <v/>
      </c>
    </row>
    <row r="546" ht="15.75" customHeight="1" s="50">
      <c r="A546" s="32" t="n"/>
      <c r="B546" s="32" t="inlineStr">
        <is>
          <t>Blue / 5.5 in</t>
        </is>
      </c>
      <c r="C546" s="32" t="inlineStr">
        <is>
          <t>MI-SB-P-SS-B-5.5</t>
        </is>
      </c>
      <c r="D546" s="32" t="n">
        <v>1150</v>
      </c>
      <c r="E546" s="32" t="n">
        <v>55</v>
      </c>
      <c r="F546" s="32" t="n">
        <v>45</v>
      </c>
      <c r="G546" s="32" t="n">
        <v>0</v>
      </c>
      <c r="H546" s="32" t="n">
        <v>10</v>
      </c>
      <c r="I546" s="41" t="n">
        <v>83061000</v>
      </c>
      <c r="J546" s="30" t="n">
        <v>0.05</v>
      </c>
      <c r="K546" s="32">
        <f>D546*J546</f>
        <v/>
      </c>
      <c r="M546" s="32">
        <f>D546*4%</f>
        <v/>
      </c>
      <c r="N546" s="49">
        <f>M546+L546+K546+H546+G546+F546+E546+D546</f>
        <v/>
      </c>
      <c r="O546" s="32">
        <f>D546*1%</f>
        <v/>
      </c>
      <c r="P546" s="7">
        <f>N546*8%</f>
        <v/>
      </c>
      <c r="Q546" s="7">
        <f>N546*10%</f>
        <v/>
      </c>
      <c r="R546" s="7">
        <f>N546*5%</f>
        <v/>
      </c>
      <c r="S546" s="7">
        <f>N546*2%</f>
        <v/>
      </c>
      <c r="T546" s="7">
        <f>AE546*0.5%</f>
        <v/>
      </c>
      <c r="U546" s="7">
        <f>N546*1%</f>
        <v/>
      </c>
      <c r="V546" s="31">
        <f>U546+S546+R546+Q546+P546+O546</f>
        <v/>
      </c>
      <c r="W546" s="32">
        <f>AE546*1%</f>
        <v/>
      </c>
      <c r="X546" s="32">
        <f>AE546*10%</f>
        <v/>
      </c>
      <c r="Y546" s="32">
        <f>AE546*1%</f>
        <v/>
      </c>
      <c r="Z546" s="32">
        <f>AE546*8%</f>
        <v/>
      </c>
      <c r="AA546" s="32">
        <f>W546+X546+Y546+Z546</f>
        <v/>
      </c>
      <c r="AB546" s="31">
        <f>AA546+V546+N546</f>
        <v/>
      </c>
      <c r="AC546" s="6">
        <f>AB546*20%</f>
        <v/>
      </c>
      <c r="AD546" s="7">
        <f>AB546+AC546</f>
        <v/>
      </c>
      <c r="AE546" s="32">
        <f>D546*2.1</f>
        <v/>
      </c>
      <c r="AF546" s="7">
        <f>AD546-AE546</f>
        <v/>
      </c>
      <c r="AG546" s="7">
        <f>AF546/AD546*100</f>
        <v/>
      </c>
      <c r="AH546" s="0" t="n">
        <v>1995</v>
      </c>
      <c r="AI546" s="33" t="n">
        <v>845</v>
      </c>
      <c r="AJ546" s="34">
        <f>AD546</f>
        <v/>
      </c>
      <c r="AK546" s="34">
        <f>AJ546-(AJ546*7%)</f>
        <v/>
      </c>
      <c r="AL546" s="35">
        <f>AJ546/94</f>
        <v/>
      </c>
      <c r="AM546" s="35">
        <f>AK546/94</f>
        <v/>
      </c>
      <c r="AN546" s="36">
        <f>AJ546/24</f>
        <v/>
      </c>
      <c r="AO546" s="36">
        <f>AK546/24</f>
        <v/>
      </c>
      <c r="AP546" s="37">
        <f>AJ546/125</f>
        <v/>
      </c>
      <c r="AQ546" s="37">
        <f>AK546/125</f>
        <v/>
      </c>
    </row>
    <row r="547" ht="15.75" customHeight="1" s="50">
      <c r="A547" s="32" t="n"/>
      <c r="B547" s="32" t="inlineStr">
        <is>
          <t>Black / 3.5 in</t>
        </is>
      </c>
      <c r="C547" s="32" t="inlineStr">
        <is>
          <t>MI-SB-P-SS-BK-3.5</t>
        </is>
      </c>
      <c r="D547" s="32" t="n">
        <v>350</v>
      </c>
      <c r="E547" s="32" t="n">
        <v>55</v>
      </c>
      <c r="F547" s="32" t="n">
        <v>45</v>
      </c>
      <c r="G547" s="32" t="n">
        <v>0</v>
      </c>
      <c r="H547" s="32" t="n">
        <v>10</v>
      </c>
      <c r="I547" s="41" t="n">
        <v>83061000</v>
      </c>
      <c r="J547" s="30" t="n">
        <v>0.05</v>
      </c>
      <c r="K547" s="32">
        <f>D547*J547</f>
        <v/>
      </c>
      <c r="M547" s="32">
        <f>D547*4%</f>
        <v/>
      </c>
      <c r="N547" s="49">
        <f>M547+L547+K547+H547+G547+F547+E547+D547</f>
        <v/>
      </c>
      <c r="O547" s="32">
        <f>D547*1%</f>
        <v/>
      </c>
      <c r="P547" s="7">
        <f>N547*8%</f>
        <v/>
      </c>
      <c r="Q547" s="7">
        <f>N547*10%</f>
        <v/>
      </c>
      <c r="R547" s="7">
        <f>N547*5%</f>
        <v/>
      </c>
      <c r="S547" s="7">
        <f>N547*2%</f>
        <v/>
      </c>
      <c r="T547" s="7">
        <f>AE547*0.5%</f>
        <v/>
      </c>
      <c r="U547" s="7">
        <f>N547*1%</f>
        <v/>
      </c>
      <c r="V547" s="31">
        <f>U547+S547+R547+Q547+P547+O547</f>
        <v/>
      </c>
      <c r="W547" s="32">
        <f>AE547*1%</f>
        <v/>
      </c>
      <c r="X547" s="32">
        <f>AE547*10%</f>
        <v/>
      </c>
      <c r="Y547" s="32">
        <f>AE547*1%</f>
        <v/>
      </c>
      <c r="Z547" s="32">
        <f>AE547*8%</f>
        <v/>
      </c>
      <c r="AA547" s="32">
        <f>W547+X547+Y547+Z547</f>
        <v/>
      </c>
      <c r="AB547" s="31">
        <f>AA547+V547+N547</f>
        <v/>
      </c>
      <c r="AC547" s="6">
        <f>AB547*20%</f>
        <v/>
      </c>
      <c r="AD547" s="7">
        <f>AB547+AC547</f>
        <v/>
      </c>
      <c r="AE547" s="32">
        <f>D547*2.1</f>
        <v/>
      </c>
      <c r="AF547" s="7">
        <f>AD547-AE547</f>
        <v/>
      </c>
      <c r="AG547" s="7">
        <f>AF547/AD547*100</f>
        <v/>
      </c>
      <c r="AH547" s="0" t="n">
        <v>1295</v>
      </c>
      <c r="AI547" s="33" t="n">
        <v>945</v>
      </c>
      <c r="AJ547" s="34">
        <f>AD547</f>
        <v/>
      </c>
      <c r="AK547" s="34">
        <f>AJ547-(AJ547*7%)</f>
        <v/>
      </c>
      <c r="AL547" s="35">
        <f>AJ547/94</f>
        <v/>
      </c>
      <c r="AM547" s="35">
        <f>AK547/94</f>
        <v/>
      </c>
      <c r="AN547" s="36">
        <f>AJ547/24</f>
        <v/>
      </c>
      <c r="AO547" s="36">
        <f>AK547/24</f>
        <v/>
      </c>
      <c r="AP547" s="37">
        <f>AJ547/125</f>
        <v/>
      </c>
      <c r="AQ547" s="37">
        <f>AK547/125</f>
        <v/>
      </c>
    </row>
    <row r="548" ht="15.75" customHeight="1" s="50">
      <c r="A548" s="32" t="n"/>
      <c r="B548" s="32" t="inlineStr">
        <is>
          <t>Black / 4 in</t>
        </is>
      </c>
      <c r="C548" s="32" t="inlineStr">
        <is>
          <t>MI-SB-P-SS-BK-4</t>
        </is>
      </c>
      <c r="D548" s="32" t="n">
        <v>575</v>
      </c>
      <c r="E548" s="32" t="n">
        <v>55</v>
      </c>
      <c r="F548" s="32" t="n">
        <v>45</v>
      </c>
      <c r="G548" s="32" t="n">
        <v>0</v>
      </c>
      <c r="H548" s="32" t="n">
        <v>10</v>
      </c>
      <c r="I548" s="41" t="n">
        <v>83061000</v>
      </c>
      <c r="J548" s="30" t="n">
        <v>0.05</v>
      </c>
      <c r="K548" s="32">
        <f>D548*J548</f>
        <v/>
      </c>
      <c r="M548" s="32">
        <f>D548*4%</f>
        <v/>
      </c>
      <c r="N548" s="49">
        <f>M548+L548+K548+H548+G548+F548+E548+D548</f>
        <v/>
      </c>
      <c r="O548" s="32">
        <f>D548*1%</f>
        <v/>
      </c>
      <c r="P548" s="7">
        <f>N548*8%</f>
        <v/>
      </c>
      <c r="Q548" s="7">
        <f>N548*10%</f>
        <v/>
      </c>
      <c r="R548" s="7">
        <f>N548*5%</f>
        <v/>
      </c>
      <c r="S548" s="7">
        <f>N548*2%</f>
        <v/>
      </c>
      <c r="T548" s="7">
        <f>AE548*0.5%</f>
        <v/>
      </c>
      <c r="U548" s="7">
        <f>N548*1%</f>
        <v/>
      </c>
      <c r="V548" s="31">
        <f>U548+S548+R548+Q548+P548+O548</f>
        <v/>
      </c>
      <c r="W548" s="32">
        <f>AE548*1%</f>
        <v/>
      </c>
      <c r="X548" s="32">
        <f>AE548*10%</f>
        <v/>
      </c>
      <c r="Y548" s="32">
        <f>AE548*1%</f>
        <v/>
      </c>
      <c r="Z548" s="32">
        <f>AE548*8%</f>
        <v/>
      </c>
      <c r="AA548" s="32">
        <f>W548+X548+Y548+Z548</f>
        <v/>
      </c>
      <c r="AB548" s="31">
        <f>AA548+V548+N548</f>
        <v/>
      </c>
      <c r="AC548" s="6">
        <f>AB548*20%</f>
        <v/>
      </c>
      <c r="AD548" s="7">
        <f>AB548+AC548</f>
        <v/>
      </c>
      <c r="AE548" s="32">
        <f>D548*2.1</f>
        <v/>
      </c>
      <c r="AF548" s="7">
        <f>AD548-AE548</f>
        <v/>
      </c>
      <c r="AG548" s="7">
        <f>AF548/AD548*100</f>
        <v/>
      </c>
      <c r="AH548" s="0" t="n">
        <v>1545</v>
      </c>
      <c r="AI548" s="33" t="n">
        <v>970</v>
      </c>
      <c r="AJ548" s="34">
        <f>AD548</f>
        <v/>
      </c>
      <c r="AK548" s="34">
        <f>AJ548-(AJ548*7%)</f>
        <v/>
      </c>
      <c r="AL548" s="35">
        <f>AJ548/94</f>
        <v/>
      </c>
      <c r="AM548" s="35">
        <f>AK548/94</f>
        <v/>
      </c>
      <c r="AN548" s="36">
        <f>AJ548/24</f>
        <v/>
      </c>
      <c r="AO548" s="36">
        <f>AK548/24</f>
        <v/>
      </c>
      <c r="AP548" s="37">
        <f>AJ548/125</f>
        <v/>
      </c>
      <c r="AQ548" s="37">
        <f>AK548/125</f>
        <v/>
      </c>
    </row>
    <row r="549" ht="15.75" customHeight="1" s="50">
      <c r="A549" s="32" t="n"/>
      <c r="B549" s="32" t="inlineStr">
        <is>
          <t>Black / 5.5 in</t>
        </is>
      </c>
      <c r="C549" s="32" t="inlineStr">
        <is>
          <t>MI-SB-P-SS-BK-5.5</t>
        </is>
      </c>
      <c r="D549" s="32" t="n">
        <v>1150</v>
      </c>
      <c r="E549" s="32" t="n">
        <v>55</v>
      </c>
      <c r="F549" s="32" t="n">
        <v>45</v>
      </c>
      <c r="G549" s="32" t="n">
        <v>0</v>
      </c>
      <c r="H549" s="32" t="n">
        <v>10</v>
      </c>
      <c r="I549" s="41" t="n">
        <v>83061000</v>
      </c>
      <c r="J549" s="30" t="n">
        <v>0.05</v>
      </c>
      <c r="K549" s="32">
        <f>D549*J549</f>
        <v/>
      </c>
      <c r="M549" s="32">
        <f>D549*4%</f>
        <v/>
      </c>
      <c r="N549" s="49">
        <f>M549+L549+K549+H549+G549+F549+E549+D549</f>
        <v/>
      </c>
      <c r="O549" s="32">
        <f>D549*1%</f>
        <v/>
      </c>
      <c r="P549" s="7">
        <f>N549*8%</f>
        <v/>
      </c>
      <c r="Q549" s="7">
        <f>N549*10%</f>
        <v/>
      </c>
      <c r="R549" s="7">
        <f>N549*5%</f>
        <v/>
      </c>
      <c r="S549" s="7">
        <f>N549*2%</f>
        <v/>
      </c>
      <c r="T549" s="7">
        <f>AE549*0.5%</f>
        <v/>
      </c>
      <c r="U549" s="7">
        <f>N549*1%</f>
        <v/>
      </c>
      <c r="V549" s="31">
        <f>U549+S549+R549+Q549+P549+O549</f>
        <v/>
      </c>
      <c r="W549" s="32">
        <f>AE549*1%</f>
        <v/>
      </c>
      <c r="X549" s="32">
        <f>AE549*10%</f>
        <v/>
      </c>
      <c r="Y549" s="32">
        <f>AE549*1%</f>
        <v/>
      </c>
      <c r="Z549" s="32">
        <f>AE549*8%</f>
        <v/>
      </c>
      <c r="AA549" s="32">
        <f>W549+X549+Y549+Z549</f>
        <v/>
      </c>
      <c r="AB549" s="31">
        <f>AA549+V549+N549</f>
        <v/>
      </c>
      <c r="AC549" s="6">
        <f>AB549*20%</f>
        <v/>
      </c>
      <c r="AD549" s="7">
        <f>AB549+AC549</f>
        <v/>
      </c>
      <c r="AE549" s="32">
        <f>D549*2.1</f>
        <v/>
      </c>
      <c r="AF549" s="7">
        <f>AD549-AE549</f>
        <v/>
      </c>
      <c r="AG549" s="7">
        <f>AF549/AD549*100</f>
        <v/>
      </c>
      <c r="AH549" s="0" t="n">
        <v>1995</v>
      </c>
      <c r="AI549" s="33" t="n">
        <v>845</v>
      </c>
      <c r="AJ549" s="34">
        <f>AD549</f>
        <v/>
      </c>
      <c r="AK549" s="34">
        <f>AJ549-(AJ549*7%)</f>
        <v/>
      </c>
      <c r="AL549" s="35">
        <f>AJ549/94</f>
        <v/>
      </c>
      <c r="AM549" s="35">
        <f>AK549/94</f>
        <v/>
      </c>
      <c r="AN549" s="36">
        <f>AJ549/24</f>
        <v/>
      </c>
      <c r="AO549" s="36">
        <f>AK549/24</f>
        <v/>
      </c>
      <c r="AP549" s="37">
        <f>AJ549/125</f>
        <v/>
      </c>
      <c r="AQ549" s="37">
        <f>AK549/125</f>
        <v/>
      </c>
    </row>
    <row r="550" ht="15.75" customHeight="1" s="50">
      <c r="A550" s="32" t="n"/>
      <c r="B550" s="32" t="inlineStr">
        <is>
          <t>4 in / Green</t>
        </is>
      </c>
      <c r="C550" s="32" t="inlineStr">
        <is>
          <t>MI-SB-P-SS-G-4</t>
        </is>
      </c>
      <c r="D550" s="32" t="n">
        <v>575</v>
      </c>
      <c r="E550" s="32" t="n">
        <v>55</v>
      </c>
      <c r="F550" s="32" t="n">
        <v>45</v>
      </c>
      <c r="G550" s="32" t="n">
        <v>0</v>
      </c>
      <c r="H550" s="32" t="n">
        <v>10</v>
      </c>
      <c r="I550" s="41" t="n">
        <v>83061000</v>
      </c>
      <c r="J550" s="30" t="n">
        <v>0.05</v>
      </c>
      <c r="K550" s="32">
        <f>D550*J550</f>
        <v/>
      </c>
      <c r="M550" s="32">
        <f>D550*4%</f>
        <v/>
      </c>
      <c r="N550" s="49">
        <f>M550+L550+K550+H550+G550+F550+E550+D550</f>
        <v/>
      </c>
      <c r="O550" s="32">
        <f>D550*1%</f>
        <v/>
      </c>
      <c r="P550" s="7">
        <f>N550*8%</f>
        <v/>
      </c>
      <c r="Q550" s="7">
        <f>N550*10%</f>
        <v/>
      </c>
      <c r="R550" s="7">
        <f>N550*5%</f>
        <v/>
      </c>
      <c r="S550" s="7">
        <f>N550*2%</f>
        <v/>
      </c>
      <c r="T550" s="7">
        <f>AE550*0.5%</f>
        <v/>
      </c>
      <c r="U550" s="7">
        <f>N550*1%</f>
        <v/>
      </c>
      <c r="V550" s="31">
        <f>U550+S550+R550+Q550+P550+O550</f>
        <v/>
      </c>
      <c r="W550" s="32">
        <f>AE550*1%</f>
        <v/>
      </c>
      <c r="X550" s="32">
        <f>AE550*10%</f>
        <v/>
      </c>
      <c r="Y550" s="32">
        <f>AE550*1%</f>
        <v/>
      </c>
      <c r="Z550" s="32">
        <f>AE550*8%</f>
        <v/>
      </c>
      <c r="AA550" s="32">
        <f>W550+X550+Y550+Z550</f>
        <v/>
      </c>
      <c r="AB550" s="31">
        <f>AA550+V550+N550</f>
        <v/>
      </c>
      <c r="AC550" s="6">
        <f>AB550*20%</f>
        <v/>
      </c>
      <c r="AD550" s="7">
        <f>AB550+AC550</f>
        <v/>
      </c>
      <c r="AE550" s="32">
        <f>D550*2.1</f>
        <v/>
      </c>
      <c r="AF550" s="7">
        <f>AD550-AE550</f>
        <v/>
      </c>
      <c r="AG550" s="7">
        <f>AF550/AD550*100</f>
        <v/>
      </c>
      <c r="AH550" s="0" t="n">
        <v>1545</v>
      </c>
      <c r="AI550" s="33" t="n">
        <v>970</v>
      </c>
      <c r="AJ550" s="34">
        <f>AD550</f>
        <v/>
      </c>
      <c r="AK550" s="34">
        <f>AJ550-(AJ550*7%)</f>
        <v/>
      </c>
      <c r="AL550" s="35">
        <f>AJ550/94</f>
        <v/>
      </c>
      <c r="AM550" s="35">
        <f>AK550/94</f>
        <v/>
      </c>
      <c r="AN550" s="36">
        <f>AJ550/24</f>
        <v/>
      </c>
      <c r="AO550" s="36">
        <f>AK550/24</f>
        <v/>
      </c>
      <c r="AP550" s="37">
        <f>AJ550/125</f>
        <v/>
      </c>
      <c r="AQ550" s="37">
        <f>AK550/125</f>
        <v/>
      </c>
    </row>
    <row r="551" ht="15.75" customHeight="1" s="50">
      <c r="A551" s="32" t="n"/>
      <c r="B551" s="32" t="inlineStr">
        <is>
          <t>5.5 in / Green</t>
        </is>
      </c>
      <c r="C551" s="32" t="inlineStr">
        <is>
          <t>MI-SB-P-SS-G-5.5</t>
        </is>
      </c>
      <c r="D551" s="32" t="n">
        <v>1150</v>
      </c>
      <c r="E551" s="32" t="n">
        <v>55</v>
      </c>
      <c r="F551" s="32" t="n">
        <v>45</v>
      </c>
      <c r="G551" s="32" t="n">
        <v>0</v>
      </c>
      <c r="H551" s="32" t="n">
        <v>10</v>
      </c>
      <c r="I551" s="41" t="n">
        <v>83061000</v>
      </c>
      <c r="J551" s="30" t="n">
        <v>0.05</v>
      </c>
      <c r="K551" s="32">
        <f>D551*J551</f>
        <v/>
      </c>
      <c r="M551" s="32">
        <f>D551*4%</f>
        <v/>
      </c>
      <c r="N551" s="49">
        <f>M551+L551+K551+H551+G551+F551+E551+D551</f>
        <v/>
      </c>
      <c r="O551" s="32">
        <f>D551*1%</f>
        <v/>
      </c>
      <c r="P551" s="7">
        <f>N551*8%</f>
        <v/>
      </c>
      <c r="Q551" s="7">
        <f>N551*10%</f>
        <v/>
      </c>
      <c r="R551" s="7">
        <f>N551*5%</f>
        <v/>
      </c>
      <c r="S551" s="7">
        <f>N551*2%</f>
        <v/>
      </c>
      <c r="T551" s="7">
        <f>AE551*0.5%</f>
        <v/>
      </c>
      <c r="U551" s="7">
        <f>N551*1%</f>
        <v/>
      </c>
      <c r="V551" s="31">
        <f>U551+S551+R551+Q551+P551+O551</f>
        <v/>
      </c>
      <c r="W551" s="32">
        <f>AE551*1%</f>
        <v/>
      </c>
      <c r="X551" s="32">
        <f>AE551*10%</f>
        <v/>
      </c>
      <c r="Y551" s="32">
        <f>AE551*1%</f>
        <v/>
      </c>
      <c r="Z551" s="32">
        <f>AE551*8%</f>
        <v/>
      </c>
      <c r="AA551" s="32">
        <f>W551+X551+Y551+Z551</f>
        <v/>
      </c>
      <c r="AB551" s="31">
        <f>AA551+V551+N551</f>
        <v/>
      </c>
      <c r="AC551" s="6">
        <f>AB551*20%</f>
        <v/>
      </c>
      <c r="AD551" s="7">
        <f>AB551+AC551</f>
        <v/>
      </c>
      <c r="AE551" s="32">
        <f>D551*2.1</f>
        <v/>
      </c>
      <c r="AF551" s="7">
        <f>AD551-AE551</f>
        <v/>
      </c>
      <c r="AG551" s="7">
        <f>AF551/AD551*100</f>
        <v/>
      </c>
      <c r="AH551" s="0" t="n">
        <v>1995</v>
      </c>
      <c r="AI551" s="33" t="n">
        <v>845</v>
      </c>
      <c r="AJ551" s="34">
        <f>AD551</f>
        <v/>
      </c>
      <c r="AK551" s="34">
        <f>AJ551-(AJ551*7%)</f>
        <v/>
      </c>
      <c r="AL551" s="35">
        <f>AJ551/94</f>
        <v/>
      </c>
      <c r="AM551" s="35">
        <f>AK551/94</f>
        <v/>
      </c>
      <c r="AN551" s="36">
        <f>AJ551/24</f>
        <v/>
      </c>
      <c r="AO551" s="36">
        <f>AK551/24</f>
        <v/>
      </c>
      <c r="AP551" s="37">
        <f>AJ551/125</f>
        <v/>
      </c>
      <c r="AQ551" s="37">
        <f>AK551/125</f>
        <v/>
      </c>
    </row>
    <row r="552" ht="15.75" customHeight="1" s="50">
      <c r="A552" s="32" t="n"/>
      <c r="B552" s="32" t="inlineStr">
        <is>
          <t>Red / 3.5 in</t>
        </is>
      </c>
      <c r="C552" s="32" t="inlineStr">
        <is>
          <t>MI-SB-P-SS-R-3.5</t>
        </is>
      </c>
      <c r="D552" s="32" t="n">
        <v>350</v>
      </c>
      <c r="E552" s="32" t="n">
        <v>55</v>
      </c>
      <c r="F552" s="32" t="n">
        <v>45</v>
      </c>
      <c r="G552" s="32" t="n">
        <v>0</v>
      </c>
      <c r="H552" s="32" t="n">
        <v>10</v>
      </c>
      <c r="I552" s="41" t="n">
        <v>83061000</v>
      </c>
      <c r="J552" s="30" t="n">
        <v>0.05</v>
      </c>
      <c r="K552" s="32">
        <f>D552*J552</f>
        <v/>
      </c>
      <c r="M552" s="32">
        <f>D552*4%</f>
        <v/>
      </c>
      <c r="N552" s="49">
        <f>M552+L552+K552+H552+G552+F552+E552+D552</f>
        <v/>
      </c>
      <c r="O552" s="32">
        <f>D552*1%</f>
        <v/>
      </c>
      <c r="P552" s="7">
        <f>N552*8%</f>
        <v/>
      </c>
      <c r="Q552" s="7">
        <f>N552*10%</f>
        <v/>
      </c>
      <c r="R552" s="7">
        <f>N552*5%</f>
        <v/>
      </c>
      <c r="S552" s="7">
        <f>N552*2%</f>
        <v/>
      </c>
      <c r="T552" s="7">
        <f>AE552*0.5%</f>
        <v/>
      </c>
      <c r="U552" s="7">
        <f>N552*1%</f>
        <v/>
      </c>
      <c r="V552" s="31">
        <f>U552+S552+R552+Q552+P552+O552</f>
        <v/>
      </c>
      <c r="W552" s="32">
        <f>AE552*1%</f>
        <v/>
      </c>
      <c r="X552" s="32">
        <f>AE552*10%</f>
        <v/>
      </c>
      <c r="Y552" s="32">
        <f>AE552*1%</f>
        <v/>
      </c>
      <c r="Z552" s="32">
        <f>AE552*8%</f>
        <v/>
      </c>
      <c r="AA552" s="32">
        <f>W552+X552+Y552+Z552</f>
        <v/>
      </c>
      <c r="AB552" s="31">
        <f>AA552+V552+N552</f>
        <v/>
      </c>
      <c r="AC552" s="6">
        <f>AB552*20%</f>
        <v/>
      </c>
      <c r="AD552" s="7">
        <f>AB552+AC552</f>
        <v/>
      </c>
      <c r="AE552" s="32">
        <f>D552*2.1</f>
        <v/>
      </c>
      <c r="AF552" s="7">
        <f>AD552-AE552</f>
        <v/>
      </c>
      <c r="AG552" s="7">
        <f>AF552/AD552*100</f>
        <v/>
      </c>
      <c r="AH552" s="0" t="n">
        <v>1295</v>
      </c>
      <c r="AI552" s="33" t="n">
        <v>945</v>
      </c>
      <c r="AJ552" s="34">
        <f>AD552</f>
        <v/>
      </c>
      <c r="AK552" s="34">
        <f>AJ552-(AJ552*7%)</f>
        <v/>
      </c>
      <c r="AL552" s="35">
        <f>AJ552/94</f>
        <v/>
      </c>
      <c r="AM552" s="35">
        <f>AK552/94</f>
        <v/>
      </c>
      <c r="AN552" s="36">
        <f>AJ552/24</f>
        <v/>
      </c>
      <c r="AO552" s="36">
        <f>AK552/24</f>
        <v/>
      </c>
      <c r="AP552" s="37">
        <f>AJ552/125</f>
        <v/>
      </c>
      <c r="AQ552" s="37">
        <f>AK552/125</f>
        <v/>
      </c>
    </row>
    <row r="553" ht="15.75" customHeight="1" s="50">
      <c r="A553" s="32" t="n"/>
      <c r="B553" s="32" t="inlineStr">
        <is>
          <t>Red / 4 in</t>
        </is>
      </c>
      <c r="C553" s="32" t="inlineStr">
        <is>
          <t>MI-SB-P-SS-R-4</t>
        </is>
      </c>
      <c r="D553" s="32" t="n">
        <v>575</v>
      </c>
      <c r="E553" s="32" t="n">
        <v>55</v>
      </c>
      <c r="F553" s="32" t="n">
        <v>45</v>
      </c>
      <c r="G553" s="32" t="n">
        <v>0</v>
      </c>
      <c r="H553" s="32" t="n">
        <v>10</v>
      </c>
      <c r="I553" s="41" t="n">
        <v>83061000</v>
      </c>
      <c r="J553" s="30" t="n">
        <v>0.05</v>
      </c>
      <c r="K553" s="32">
        <f>D553*J553</f>
        <v/>
      </c>
      <c r="M553" s="32">
        <f>D553*4%</f>
        <v/>
      </c>
      <c r="N553" s="49">
        <f>M553+L553+K553+H553+G553+F553+E553+D553</f>
        <v/>
      </c>
      <c r="O553" s="32">
        <f>D553*1%</f>
        <v/>
      </c>
      <c r="P553" s="7">
        <f>N553*8%</f>
        <v/>
      </c>
      <c r="Q553" s="7">
        <f>N553*10%</f>
        <v/>
      </c>
      <c r="R553" s="7">
        <f>N553*5%</f>
        <v/>
      </c>
      <c r="S553" s="7">
        <f>N553*2%</f>
        <v/>
      </c>
      <c r="T553" s="7">
        <f>AE553*0.5%</f>
        <v/>
      </c>
      <c r="U553" s="7">
        <f>N553*1%</f>
        <v/>
      </c>
      <c r="V553" s="31">
        <f>U553+S553+R553+Q553+P553+O553</f>
        <v/>
      </c>
      <c r="W553" s="32">
        <f>AE553*1%</f>
        <v/>
      </c>
      <c r="X553" s="32">
        <f>AE553*10%</f>
        <v/>
      </c>
      <c r="Y553" s="32">
        <f>AE553*1%</f>
        <v/>
      </c>
      <c r="Z553" s="32">
        <f>AE553*8%</f>
        <v/>
      </c>
      <c r="AA553" s="32">
        <f>W553+X553+Y553+Z553</f>
        <v/>
      </c>
      <c r="AB553" s="31">
        <f>AA553+V553+N553</f>
        <v/>
      </c>
      <c r="AC553" s="6">
        <f>AB553*20%</f>
        <v/>
      </c>
      <c r="AD553" s="7">
        <f>AB553+AC553</f>
        <v/>
      </c>
      <c r="AE553" s="32">
        <f>D553*2.1</f>
        <v/>
      </c>
      <c r="AF553" s="7">
        <f>AD553-AE553</f>
        <v/>
      </c>
      <c r="AG553" s="7">
        <f>AF553/AD553*100</f>
        <v/>
      </c>
      <c r="AH553" s="0" t="n">
        <v>1545</v>
      </c>
      <c r="AI553" s="33" t="n">
        <v>970</v>
      </c>
      <c r="AJ553" s="34">
        <f>AD553</f>
        <v/>
      </c>
      <c r="AK553" s="34">
        <f>AJ553-(AJ553*7%)</f>
        <v/>
      </c>
      <c r="AL553" s="35">
        <f>AJ553/94</f>
        <v/>
      </c>
      <c r="AM553" s="35">
        <f>AK553/94</f>
        <v/>
      </c>
      <c r="AN553" s="36">
        <f>AJ553/24</f>
        <v/>
      </c>
      <c r="AO553" s="36">
        <f>AK553/24</f>
        <v/>
      </c>
      <c r="AP553" s="37">
        <f>AJ553/125</f>
        <v/>
      </c>
      <c r="AQ553" s="37">
        <f>AK553/125</f>
        <v/>
      </c>
    </row>
    <row r="554" ht="15.75" customHeight="1" s="50">
      <c r="A554" s="32" t="n"/>
      <c r="B554" s="32" t="inlineStr">
        <is>
          <t>Red / 5.5 in</t>
        </is>
      </c>
      <c r="C554" s="32" t="inlineStr">
        <is>
          <t>MI-SB-P-SS-R-5.5</t>
        </is>
      </c>
      <c r="D554" s="32" t="n">
        <v>1150</v>
      </c>
      <c r="E554" s="32" t="n">
        <v>55</v>
      </c>
      <c r="F554" s="32" t="n">
        <v>45</v>
      </c>
      <c r="G554" s="32" t="n">
        <v>0</v>
      </c>
      <c r="H554" s="32" t="n">
        <v>10</v>
      </c>
      <c r="I554" s="41" t="n">
        <v>83061000</v>
      </c>
      <c r="J554" s="30" t="n">
        <v>0.05</v>
      </c>
      <c r="K554" s="32">
        <f>D554*J554</f>
        <v/>
      </c>
      <c r="M554" s="32">
        <f>D554*4%</f>
        <v/>
      </c>
      <c r="N554" s="49">
        <f>M554+L554+K554+H554+G554+F554+E554+D554</f>
        <v/>
      </c>
      <c r="O554" s="32">
        <f>D554*1%</f>
        <v/>
      </c>
      <c r="P554" s="7">
        <f>N554*8%</f>
        <v/>
      </c>
      <c r="Q554" s="7">
        <f>N554*10%</f>
        <v/>
      </c>
      <c r="R554" s="7">
        <f>N554*5%</f>
        <v/>
      </c>
      <c r="S554" s="7">
        <f>N554*2%</f>
        <v/>
      </c>
      <c r="T554" s="7">
        <f>AE554*0.5%</f>
        <v/>
      </c>
      <c r="U554" s="7">
        <f>N554*1%</f>
        <v/>
      </c>
      <c r="V554" s="31">
        <f>U554+S554+R554+Q554+P554+O554</f>
        <v/>
      </c>
      <c r="W554" s="32">
        <f>AE554*1%</f>
        <v/>
      </c>
      <c r="X554" s="32">
        <f>AE554*10%</f>
        <v/>
      </c>
      <c r="Y554" s="32">
        <f>AE554*1%</f>
        <v/>
      </c>
      <c r="Z554" s="32">
        <f>AE554*8%</f>
        <v/>
      </c>
      <c r="AA554" s="32">
        <f>W554+X554+Y554+Z554</f>
        <v/>
      </c>
      <c r="AB554" s="31">
        <f>AA554+V554+N554</f>
        <v/>
      </c>
      <c r="AC554" s="6">
        <f>AB554*20%</f>
        <v/>
      </c>
      <c r="AD554" s="7">
        <f>AB554+AC554</f>
        <v/>
      </c>
      <c r="AE554" s="32">
        <f>D554*2.1</f>
        <v/>
      </c>
      <c r="AF554" s="7">
        <f>AD554-AE554</f>
        <v/>
      </c>
      <c r="AG554" s="7">
        <f>AF554/AD554*100</f>
        <v/>
      </c>
      <c r="AH554" s="0" t="n">
        <v>1995</v>
      </c>
      <c r="AI554" s="33" t="n">
        <v>845</v>
      </c>
      <c r="AJ554" s="34">
        <f>AD554</f>
        <v/>
      </c>
      <c r="AK554" s="34">
        <f>AJ554-(AJ554*7%)</f>
        <v/>
      </c>
      <c r="AL554" s="35">
        <f>AJ554/94</f>
        <v/>
      </c>
      <c r="AM554" s="35">
        <f>AK554/94</f>
        <v/>
      </c>
      <c r="AN554" s="36">
        <f>AJ554/24</f>
        <v/>
      </c>
      <c r="AO554" s="36">
        <f>AK554/24</f>
        <v/>
      </c>
      <c r="AP554" s="37">
        <f>AJ554/125</f>
        <v/>
      </c>
      <c r="AQ554" s="37">
        <f>AK554/125</f>
        <v/>
      </c>
    </row>
    <row r="555" ht="15.75" customHeight="1" s="50">
      <c r="A555" s="32" t="n"/>
      <c r="B555" s="32" t="inlineStr">
        <is>
          <t>Yellow / 3.5 in</t>
        </is>
      </c>
      <c r="C555" s="32" t="inlineStr">
        <is>
          <t>MI-SB-P-SS-Y-3.5</t>
        </is>
      </c>
      <c r="D555" s="32" t="n">
        <v>350</v>
      </c>
      <c r="E555" s="32" t="n">
        <v>55</v>
      </c>
      <c r="F555" s="32" t="n">
        <v>45</v>
      </c>
      <c r="G555" s="32" t="n">
        <v>0</v>
      </c>
      <c r="H555" s="32" t="n">
        <v>10</v>
      </c>
      <c r="I555" s="41" t="n">
        <v>83061000</v>
      </c>
      <c r="J555" s="30" t="n">
        <v>0.05</v>
      </c>
      <c r="K555" s="32">
        <f>D555*J555</f>
        <v/>
      </c>
      <c r="M555" s="32">
        <f>D555*4%</f>
        <v/>
      </c>
      <c r="N555" s="49">
        <f>M555+L555+K555+H555+G555+F555+E555+D555</f>
        <v/>
      </c>
      <c r="O555" s="32">
        <f>D555*1%</f>
        <v/>
      </c>
      <c r="P555" s="7">
        <f>N555*8%</f>
        <v/>
      </c>
      <c r="Q555" s="7">
        <f>N555*10%</f>
        <v/>
      </c>
      <c r="R555" s="7">
        <f>N555*5%</f>
        <v/>
      </c>
      <c r="S555" s="7">
        <f>N555*2%</f>
        <v/>
      </c>
      <c r="T555" s="7">
        <f>AE555*0.5%</f>
        <v/>
      </c>
      <c r="U555" s="7">
        <f>N555*1%</f>
        <v/>
      </c>
      <c r="V555" s="31">
        <f>U555+S555+R555+Q555+P555+O555</f>
        <v/>
      </c>
      <c r="W555" s="32">
        <f>AE555*1%</f>
        <v/>
      </c>
      <c r="X555" s="32">
        <f>AE555*10%</f>
        <v/>
      </c>
      <c r="Y555" s="32">
        <f>AE555*1%</f>
        <v/>
      </c>
      <c r="Z555" s="32">
        <f>AE555*8%</f>
        <v/>
      </c>
      <c r="AA555" s="32">
        <f>W555+X555+Y555+Z555</f>
        <v/>
      </c>
      <c r="AB555" s="31">
        <f>AA555+V555+N555</f>
        <v/>
      </c>
      <c r="AC555" s="6">
        <f>AB555*20%</f>
        <v/>
      </c>
      <c r="AD555" s="7">
        <f>AB555+AC555</f>
        <v/>
      </c>
      <c r="AE555" s="32">
        <f>D555*2.1</f>
        <v/>
      </c>
      <c r="AF555" s="7">
        <f>AD555-AE555</f>
        <v/>
      </c>
      <c r="AG555" s="7">
        <f>AF555/AD555*100</f>
        <v/>
      </c>
      <c r="AH555" s="0" t="n">
        <v>1295</v>
      </c>
      <c r="AI555" s="33" t="n">
        <v>945</v>
      </c>
      <c r="AJ555" s="34">
        <f>AD555</f>
        <v/>
      </c>
      <c r="AK555" s="34">
        <f>AJ555-(AJ555*7%)</f>
        <v/>
      </c>
      <c r="AL555" s="35">
        <f>AJ555/94</f>
        <v/>
      </c>
      <c r="AM555" s="35">
        <f>AK555/94</f>
        <v/>
      </c>
      <c r="AN555" s="36">
        <f>AJ555/24</f>
        <v/>
      </c>
      <c r="AO555" s="36">
        <f>AK555/24</f>
        <v/>
      </c>
      <c r="AP555" s="37">
        <f>AJ555/125</f>
        <v/>
      </c>
      <c r="AQ555" s="37">
        <f>AK555/125</f>
        <v/>
      </c>
    </row>
    <row r="556" ht="15.75" customHeight="1" s="50">
      <c r="A556" s="32" t="n"/>
      <c r="B556" s="32" t="inlineStr">
        <is>
          <t>Yellow / 4 in</t>
        </is>
      </c>
      <c r="C556" s="32" t="inlineStr">
        <is>
          <t>MI-SB-P-SS-Y-4</t>
        </is>
      </c>
      <c r="D556" s="32" t="n">
        <v>575</v>
      </c>
      <c r="E556" s="32" t="n">
        <v>55</v>
      </c>
      <c r="F556" s="32" t="n">
        <v>45</v>
      </c>
      <c r="G556" s="32" t="n">
        <v>0</v>
      </c>
      <c r="H556" s="32" t="n">
        <v>10</v>
      </c>
      <c r="I556" s="41" t="n">
        <v>83061000</v>
      </c>
      <c r="J556" s="30" t="n">
        <v>0.05</v>
      </c>
      <c r="K556" s="32">
        <f>D556*J556</f>
        <v/>
      </c>
      <c r="M556" s="32">
        <f>D556*4%</f>
        <v/>
      </c>
      <c r="N556" s="49">
        <f>M556+L556+K556+H556+G556+F556+E556+D556</f>
        <v/>
      </c>
      <c r="O556" s="32">
        <f>D556*1%</f>
        <v/>
      </c>
      <c r="P556" s="7">
        <f>N556*8%</f>
        <v/>
      </c>
      <c r="Q556" s="7">
        <f>N556*10%</f>
        <v/>
      </c>
      <c r="R556" s="7">
        <f>N556*5%</f>
        <v/>
      </c>
      <c r="S556" s="7">
        <f>N556*2%</f>
        <v/>
      </c>
      <c r="T556" s="7">
        <f>AE556*0.5%</f>
        <v/>
      </c>
      <c r="U556" s="7">
        <f>N556*1%</f>
        <v/>
      </c>
      <c r="V556" s="31">
        <f>U556+S556+R556+Q556+P556+O556</f>
        <v/>
      </c>
      <c r="W556" s="32">
        <f>AE556*1%</f>
        <v/>
      </c>
      <c r="X556" s="32">
        <f>AE556*10%</f>
        <v/>
      </c>
      <c r="Y556" s="32">
        <f>AE556*1%</f>
        <v/>
      </c>
      <c r="Z556" s="32">
        <f>AE556*8%</f>
        <v/>
      </c>
      <c r="AA556" s="32">
        <f>W556+X556+Y556+Z556</f>
        <v/>
      </c>
      <c r="AB556" s="31">
        <f>AA556+V556+N556</f>
        <v/>
      </c>
      <c r="AC556" s="6">
        <f>AB556*20%</f>
        <v/>
      </c>
      <c r="AD556" s="7">
        <f>AB556+AC556</f>
        <v/>
      </c>
      <c r="AE556" s="32">
        <f>D556*2.1</f>
        <v/>
      </c>
      <c r="AF556" s="7">
        <f>AD556-AE556</f>
        <v/>
      </c>
      <c r="AG556" s="7">
        <f>AF556/AD556*100</f>
        <v/>
      </c>
      <c r="AH556" s="0" t="n">
        <v>1545</v>
      </c>
      <c r="AI556" s="33" t="n">
        <v>970</v>
      </c>
      <c r="AJ556" s="34">
        <f>AD556</f>
        <v/>
      </c>
      <c r="AK556" s="34">
        <f>AJ556-(AJ556*7%)</f>
        <v/>
      </c>
      <c r="AL556" s="35">
        <f>AJ556/94</f>
        <v/>
      </c>
      <c r="AM556" s="35">
        <f>AK556/94</f>
        <v/>
      </c>
      <c r="AN556" s="36">
        <f>AJ556/24</f>
        <v/>
      </c>
      <c r="AO556" s="36">
        <f>AK556/24</f>
        <v/>
      </c>
      <c r="AP556" s="37">
        <f>AJ556/125</f>
        <v/>
      </c>
      <c r="AQ556" s="37">
        <f>AK556/125</f>
        <v/>
      </c>
    </row>
    <row r="557" ht="15.75" customHeight="1" s="50">
      <c r="A557" s="32" t="n"/>
      <c r="B557" s="32" t="inlineStr">
        <is>
          <t>Yellow / 5.5 in</t>
        </is>
      </c>
      <c r="C557" s="32" t="inlineStr">
        <is>
          <t>MI-SB-P-SS-Y-5.5</t>
        </is>
      </c>
      <c r="D557" s="32" t="n">
        <v>1150</v>
      </c>
      <c r="E557" s="32" t="n">
        <v>55</v>
      </c>
      <c r="F557" s="32" t="n">
        <v>45</v>
      </c>
      <c r="G557" s="32" t="n">
        <v>0</v>
      </c>
      <c r="H557" s="32" t="n">
        <v>10</v>
      </c>
      <c r="I557" s="41" t="n">
        <v>83061000</v>
      </c>
      <c r="J557" s="30" t="n">
        <v>0.05</v>
      </c>
      <c r="K557" s="32">
        <f>D557*J557</f>
        <v/>
      </c>
      <c r="M557" s="32">
        <f>D557*4%</f>
        <v/>
      </c>
      <c r="N557" s="49">
        <f>M557+L557+K557+H557+G557+F557+E557+D557</f>
        <v/>
      </c>
      <c r="O557" s="32">
        <f>D557*1%</f>
        <v/>
      </c>
      <c r="P557" s="7">
        <f>N557*8%</f>
        <v/>
      </c>
      <c r="Q557" s="7">
        <f>N557*10%</f>
        <v/>
      </c>
      <c r="R557" s="7">
        <f>N557*5%</f>
        <v/>
      </c>
      <c r="S557" s="7">
        <f>N557*2%</f>
        <v/>
      </c>
      <c r="T557" s="7">
        <f>AE557*0.5%</f>
        <v/>
      </c>
      <c r="U557" s="7">
        <f>N557*1%</f>
        <v/>
      </c>
      <c r="V557" s="31">
        <f>U557+S557+R557+Q557+P557+O557</f>
        <v/>
      </c>
      <c r="W557" s="32">
        <f>AE557*1%</f>
        <v/>
      </c>
      <c r="X557" s="32">
        <f>AE557*10%</f>
        <v/>
      </c>
      <c r="Y557" s="32">
        <f>AE557*1%</f>
        <v/>
      </c>
      <c r="Z557" s="32">
        <f>AE557*8%</f>
        <v/>
      </c>
      <c r="AA557" s="32">
        <f>W557+X557+Y557+Z557</f>
        <v/>
      </c>
      <c r="AB557" s="31">
        <f>AA557+V557+N557</f>
        <v/>
      </c>
      <c r="AC557" s="6">
        <f>AB557*20%</f>
        <v/>
      </c>
      <c r="AD557" s="7">
        <f>AB557+AC557</f>
        <v/>
      </c>
      <c r="AE557" s="32">
        <f>D557*2.1</f>
        <v/>
      </c>
      <c r="AF557" s="7">
        <f>AD557-AE557</f>
        <v/>
      </c>
      <c r="AG557" s="7">
        <f>AF557/AD557*100</f>
        <v/>
      </c>
      <c r="AH557" s="0" t="n">
        <v>1995</v>
      </c>
      <c r="AI557" s="33" t="n">
        <v>845</v>
      </c>
      <c r="AJ557" s="34">
        <f>AD557</f>
        <v/>
      </c>
      <c r="AK557" s="34">
        <f>AJ557-(AJ557*7%)</f>
        <v/>
      </c>
      <c r="AL557" s="35">
        <f>AJ557/94</f>
        <v/>
      </c>
      <c r="AM557" s="35">
        <f>AK557/94</f>
        <v/>
      </c>
      <c r="AN557" s="36">
        <f>AJ557/24</f>
        <v/>
      </c>
      <c r="AO557" s="36">
        <f>AK557/24</f>
        <v/>
      </c>
      <c r="AP557" s="37">
        <f>AJ557/125</f>
        <v/>
      </c>
      <c r="AQ557" s="37">
        <f>AK557/125</f>
        <v/>
      </c>
    </row>
    <row r="558" ht="15" customHeight="1" s="50">
      <c r="A558" s="32" t="inlineStr">
        <is>
          <t>Shamanic Drum</t>
        </is>
      </c>
      <c r="B558" s="32" t="inlineStr">
        <is>
          <t>Plain / 30 cms</t>
        </is>
      </c>
      <c r="C558" s="32" t="inlineStr">
        <is>
          <t>MI-SD-P-30</t>
        </is>
      </c>
      <c r="D558" s="32" t="n">
        <v>105</v>
      </c>
      <c r="G558" s="32" t="n">
        <v>0</v>
      </c>
      <c r="H558" s="32" t="n">
        <v>10</v>
      </c>
      <c r="I558" s="41" t="n">
        <v>44201900</v>
      </c>
      <c r="J558" s="30" t="n">
        <v>0.05</v>
      </c>
      <c r="K558" s="32">
        <f>D558*J558</f>
        <v/>
      </c>
      <c r="L558" s="32">
        <f>D558*5%</f>
        <v/>
      </c>
      <c r="M558" s="32">
        <f>D558*4%</f>
        <v/>
      </c>
      <c r="N558" s="49">
        <f>M558+L558+K558+H558+G558+F558+E558+D558</f>
        <v/>
      </c>
      <c r="O558" s="32">
        <f>D558*1%</f>
        <v/>
      </c>
      <c r="P558" s="7">
        <f>N558*8%</f>
        <v/>
      </c>
      <c r="Q558" s="7">
        <f>N558*10%</f>
        <v/>
      </c>
      <c r="R558" s="7">
        <f>N558*5%</f>
        <v/>
      </c>
      <c r="S558" s="7">
        <f>N558*2%</f>
        <v/>
      </c>
      <c r="T558" s="7">
        <f>AE558*0.5%</f>
        <v/>
      </c>
      <c r="U558" s="7">
        <f>N558*1%</f>
        <v/>
      </c>
      <c r="V558" s="31">
        <f>U558+S558+R558+Q558+P558+O558</f>
        <v/>
      </c>
      <c r="W558" s="32">
        <f>AE558*1%</f>
        <v/>
      </c>
      <c r="X558" s="32">
        <f>AE558*10%</f>
        <v/>
      </c>
      <c r="Y558" s="32">
        <f>AE558*1%</f>
        <v/>
      </c>
      <c r="Z558" s="32">
        <f>AE558*8%</f>
        <v/>
      </c>
      <c r="AA558" s="32">
        <f>W558+X558+Y558+Z558</f>
        <v/>
      </c>
      <c r="AB558" s="31">
        <f>AA558+V558+N558</f>
        <v/>
      </c>
      <c r="AC558" s="6">
        <f>AB558*20%</f>
        <v/>
      </c>
      <c r="AD558" s="7">
        <f>AB558+AC558</f>
        <v/>
      </c>
      <c r="AE558" s="32">
        <f>D558*2.1</f>
        <v/>
      </c>
      <c r="AF558" s="7">
        <f>AD558-AE558</f>
        <v/>
      </c>
      <c r="AG558" s="7">
        <f>AF558/AD558*100</f>
        <v/>
      </c>
      <c r="AH558" s="0" t="n">
        <v>4650</v>
      </c>
      <c r="AI558" s="33" t="n">
        <v>4545</v>
      </c>
      <c r="AJ558" s="34">
        <f>AD558</f>
        <v/>
      </c>
      <c r="AK558" s="34">
        <f>AJ558-(AJ558*7%)</f>
        <v/>
      </c>
      <c r="AL558" s="35">
        <f>AJ558/94</f>
        <v/>
      </c>
      <c r="AM558" s="35">
        <f>AK558/94</f>
        <v/>
      </c>
      <c r="AN558" s="36">
        <f>AJ558/24</f>
        <v/>
      </c>
      <c r="AO558" s="36">
        <f>AK558/24</f>
        <v/>
      </c>
      <c r="AP558" s="37">
        <f>AJ558/125</f>
        <v/>
      </c>
      <c r="AQ558" s="37">
        <f>AK558/125</f>
        <v/>
      </c>
    </row>
    <row r="559" ht="15.75" customHeight="1" s="50">
      <c r="A559" s="32" t="n"/>
      <c r="B559" s="32" t="inlineStr">
        <is>
          <t>30 cms / Butterfly</t>
        </is>
      </c>
      <c r="C559" s="32" t="inlineStr">
        <is>
          <t>MI-SD-B-30</t>
        </is>
      </c>
      <c r="D559" s="32" t="n">
        <v>105</v>
      </c>
      <c r="G559" s="32" t="n">
        <v>0</v>
      </c>
      <c r="H559" s="32" t="n">
        <v>10</v>
      </c>
      <c r="I559" s="41" t="n">
        <v>44201900</v>
      </c>
      <c r="J559" s="30" t="n">
        <v>0.05</v>
      </c>
      <c r="K559" s="32">
        <f>D559*J559</f>
        <v/>
      </c>
      <c r="L559" s="32">
        <f>D559*5%</f>
        <v/>
      </c>
      <c r="M559" s="32">
        <f>D559*4%</f>
        <v/>
      </c>
      <c r="N559" s="49">
        <f>M559+L559+K559+H559+G559+F559+E559+D559</f>
        <v/>
      </c>
      <c r="O559" s="32">
        <f>D559*1%</f>
        <v/>
      </c>
      <c r="P559" s="7">
        <f>N559*8%</f>
        <v/>
      </c>
      <c r="Q559" s="7">
        <f>N559*10%</f>
        <v/>
      </c>
      <c r="R559" s="7">
        <f>N559*5%</f>
        <v/>
      </c>
      <c r="S559" s="7">
        <f>N559*2%</f>
        <v/>
      </c>
      <c r="T559" s="7">
        <f>AE559*0.5%</f>
        <v/>
      </c>
      <c r="U559" s="7">
        <f>N559*1%</f>
        <v/>
      </c>
      <c r="V559" s="31">
        <f>U559+S559+R559+Q559+P559+O559</f>
        <v/>
      </c>
      <c r="W559" s="32">
        <f>AE559*1%</f>
        <v/>
      </c>
      <c r="X559" s="32">
        <f>AE559*10%</f>
        <v/>
      </c>
      <c r="Y559" s="32">
        <f>AE559*1%</f>
        <v/>
      </c>
      <c r="Z559" s="32">
        <f>AE559*8%</f>
        <v/>
      </c>
      <c r="AA559" s="32">
        <f>W559+X559+Y559+Z559</f>
        <v/>
      </c>
      <c r="AB559" s="31">
        <f>AA559+V559+N559</f>
        <v/>
      </c>
      <c r="AC559" s="6">
        <f>AB559*20%</f>
        <v/>
      </c>
      <c r="AD559" s="7">
        <f>AB559+AC559</f>
        <v/>
      </c>
      <c r="AE559" s="32">
        <f>D559*2.1</f>
        <v/>
      </c>
      <c r="AF559" s="7">
        <f>AD559-AE559</f>
        <v/>
      </c>
      <c r="AG559" s="7">
        <f>AF559/AD559*100</f>
        <v/>
      </c>
      <c r="AH559" s="0" t="n">
        <v>4950</v>
      </c>
      <c r="AI559" s="33" t="n">
        <v>4845</v>
      </c>
      <c r="AJ559" s="34">
        <f>AD559</f>
        <v/>
      </c>
      <c r="AK559" s="34">
        <f>AJ559-(AJ559*7%)</f>
        <v/>
      </c>
      <c r="AL559" s="35">
        <f>AJ559/94</f>
        <v/>
      </c>
      <c r="AM559" s="35">
        <f>AK559/94</f>
        <v/>
      </c>
      <c r="AN559" s="36">
        <f>AJ559/24</f>
        <v/>
      </c>
      <c r="AO559" s="36">
        <f>AK559/24</f>
        <v/>
      </c>
      <c r="AP559" s="37">
        <f>AJ559/125</f>
        <v/>
      </c>
      <c r="AQ559" s="37">
        <f>AK559/125</f>
        <v/>
      </c>
    </row>
    <row r="560" ht="15.75" customHeight="1" s="50">
      <c r="A560" s="32" t="n"/>
      <c r="B560" s="32" t="inlineStr">
        <is>
          <t>40 cms / Butterfly</t>
        </is>
      </c>
      <c r="C560" s="32" t="inlineStr">
        <is>
          <t>MI-SD-B-40</t>
        </is>
      </c>
      <c r="D560" s="32" t="n">
        <v>115</v>
      </c>
      <c r="G560" s="32" t="n">
        <v>0</v>
      </c>
      <c r="H560" s="32" t="n">
        <v>10</v>
      </c>
      <c r="I560" s="41" t="n">
        <v>44201900</v>
      </c>
      <c r="J560" s="30" t="n">
        <v>0.05</v>
      </c>
      <c r="K560" s="32">
        <f>D560*J560</f>
        <v/>
      </c>
      <c r="L560" s="32">
        <f>D560*5%</f>
        <v/>
      </c>
      <c r="M560" s="32">
        <f>D560*4%</f>
        <v/>
      </c>
      <c r="N560" s="49">
        <f>M560+L560+K560+H560+G560+F560+E560+D560</f>
        <v/>
      </c>
      <c r="O560" s="32">
        <f>D560*1%</f>
        <v/>
      </c>
      <c r="P560" s="7">
        <f>N560*8%</f>
        <v/>
      </c>
      <c r="Q560" s="7">
        <f>N560*10%</f>
        <v/>
      </c>
      <c r="R560" s="7">
        <f>N560*5%</f>
        <v/>
      </c>
      <c r="S560" s="7">
        <f>N560*2%</f>
        <v/>
      </c>
      <c r="T560" s="7">
        <f>AE560*0.5%</f>
        <v/>
      </c>
      <c r="U560" s="7">
        <f>N560*1%</f>
        <v/>
      </c>
      <c r="V560" s="31">
        <f>U560+S560+R560+Q560+P560+O560</f>
        <v/>
      </c>
      <c r="W560" s="32">
        <f>AE560*1%</f>
        <v/>
      </c>
      <c r="X560" s="32">
        <f>AE560*10%</f>
        <v/>
      </c>
      <c r="Y560" s="32">
        <f>AE560*1%</f>
        <v/>
      </c>
      <c r="Z560" s="32">
        <f>AE560*8%</f>
        <v/>
      </c>
      <c r="AA560" s="32">
        <f>W560+X560+Y560+Z560</f>
        <v/>
      </c>
      <c r="AB560" s="31">
        <f>AA560+V560+N560</f>
        <v/>
      </c>
      <c r="AC560" s="6">
        <f>AB560*20%</f>
        <v/>
      </c>
      <c r="AD560" s="7">
        <f>AB560+AC560</f>
        <v/>
      </c>
      <c r="AE560" s="32">
        <f>D560*2.1</f>
        <v/>
      </c>
      <c r="AF560" s="7">
        <f>AD560-AE560</f>
        <v/>
      </c>
      <c r="AG560" s="7">
        <f>AF560/AD560*100</f>
        <v/>
      </c>
      <c r="AH560" s="0" t="n">
        <v>5550</v>
      </c>
      <c r="AI560" s="33" t="n">
        <v>5435</v>
      </c>
      <c r="AJ560" s="34">
        <f>AD560</f>
        <v/>
      </c>
      <c r="AK560" s="34">
        <f>AJ560-(AJ560*7%)</f>
        <v/>
      </c>
      <c r="AL560" s="35">
        <f>AJ560/94</f>
        <v/>
      </c>
      <c r="AM560" s="35">
        <f>AK560/94</f>
        <v/>
      </c>
      <c r="AN560" s="36">
        <f>AJ560/24</f>
        <v/>
      </c>
      <c r="AO560" s="36">
        <f>AK560/24</f>
        <v/>
      </c>
      <c r="AP560" s="37">
        <f>AJ560/125</f>
        <v/>
      </c>
      <c r="AQ560" s="37">
        <f>AK560/125</f>
        <v/>
      </c>
    </row>
    <row r="561" ht="15.75" customHeight="1" s="50">
      <c r="A561" s="32" t="n"/>
      <c r="B561" s="32" t="inlineStr">
        <is>
          <t>45 cms / Butterfly</t>
        </is>
      </c>
      <c r="C561" s="32" t="inlineStr">
        <is>
          <t>MI-SD-B-45</t>
        </is>
      </c>
      <c r="D561" s="32" t="n">
        <v>120</v>
      </c>
      <c r="G561" s="32" t="n">
        <v>0</v>
      </c>
      <c r="H561" s="32" t="n">
        <v>10</v>
      </c>
      <c r="I561" s="41" t="n">
        <v>44201900</v>
      </c>
      <c r="J561" s="30" t="n">
        <v>0.05</v>
      </c>
      <c r="K561" s="32">
        <f>D561*J561</f>
        <v/>
      </c>
      <c r="L561" s="32">
        <f>D561*5%</f>
        <v/>
      </c>
      <c r="M561" s="32">
        <f>D561*4%</f>
        <v/>
      </c>
      <c r="N561" s="49">
        <f>M561+L561+K561+H561+G561+F561+E561+D561</f>
        <v/>
      </c>
      <c r="O561" s="32">
        <f>D561*1%</f>
        <v/>
      </c>
      <c r="P561" s="7">
        <f>N561*8%</f>
        <v/>
      </c>
      <c r="Q561" s="7">
        <f>N561*10%</f>
        <v/>
      </c>
      <c r="R561" s="7">
        <f>N561*5%</f>
        <v/>
      </c>
      <c r="S561" s="7">
        <f>N561*2%</f>
        <v/>
      </c>
      <c r="T561" s="7">
        <f>AE561*0.5%</f>
        <v/>
      </c>
      <c r="U561" s="7">
        <f>N561*1%</f>
        <v/>
      </c>
      <c r="V561" s="31">
        <f>U561+S561+R561+Q561+P561+O561</f>
        <v/>
      </c>
      <c r="W561" s="32">
        <f>AE561*1%</f>
        <v/>
      </c>
      <c r="X561" s="32">
        <f>AE561*10%</f>
        <v/>
      </c>
      <c r="Y561" s="32">
        <f>AE561*1%</f>
        <v/>
      </c>
      <c r="Z561" s="32">
        <f>AE561*8%</f>
        <v/>
      </c>
      <c r="AA561" s="32">
        <f>W561+X561+Y561+Z561</f>
        <v/>
      </c>
      <c r="AB561" s="31">
        <f>AA561+V561+N561</f>
        <v/>
      </c>
      <c r="AC561" s="6">
        <f>AB561*20%</f>
        <v/>
      </c>
      <c r="AD561" s="7">
        <f>AB561+AC561</f>
        <v/>
      </c>
      <c r="AE561" s="32">
        <f>D561*2.1</f>
        <v/>
      </c>
      <c r="AF561" s="7">
        <f>AD561-AE561</f>
        <v/>
      </c>
      <c r="AG561" s="7">
        <f>AF561/AD561*100</f>
        <v/>
      </c>
      <c r="AH561" s="0" t="n">
        <v>6250</v>
      </c>
      <c r="AI561" s="33" t="n">
        <v>6130</v>
      </c>
      <c r="AJ561" s="34">
        <f>AD561</f>
        <v/>
      </c>
      <c r="AK561" s="34">
        <f>AJ561-(AJ561*7%)</f>
        <v/>
      </c>
      <c r="AL561" s="35">
        <f>AJ561/94</f>
        <v/>
      </c>
      <c r="AM561" s="35">
        <f>AK561/94</f>
        <v/>
      </c>
      <c r="AN561" s="36">
        <f>AJ561/24</f>
        <v/>
      </c>
      <c r="AO561" s="36">
        <f>AK561/24</f>
        <v/>
      </c>
      <c r="AP561" s="37">
        <f>AJ561/125</f>
        <v/>
      </c>
      <c r="AQ561" s="37">
        <f>AK561/125</f>
        <v/>
      </c>
    </row>
    <row r="562" ht="15.75" customHeight="1" s="50">
      <c r="A562" s="32" t="n"/>
      <c r="B562" s="32" t="inlineStr">
        <is>
          <t>Plain / 40 cms</t>
        </is>
      </c>
      <c r="C562" s="32" t="inlineStr">
        <is>
          <t>MI-SD-P-40</t>
        </is>
      </c>
      <c r="D562" s="32" t="n">
        <v>120</v>
      </c>
      <c r="G562" s="32" t="n">
        <v>0</v>
      </c>
      <c r="H562" s="32" t="n">
        <v>10</v>
      </c>
      <c r="I562" s="41" t="n">
        <v>44201900</v>
      </c>
      <c r="J562" s="30" t="n">
        <v>0.05</v>
      </c>
      <c r="K562" s="32">
        <f>D562*J562</f>
        <v/>
      </c>
      <c r="L562" s="32">
        <f>D562*5%</f>
        <v/>
      </c>
      <c r="M562" s="32">
        <f>D562*4%</f>
        <v/>
      </c>
      <c r="N562" s="49">
        <f>M562+L562+K562+H562+G562+F562+E562+D562</f>
        <v/>
      </c>
      <c r="O562" s="32">
        <f>D562*1%</f>
        <v/>
      </c>
      <c r="P562" s="7">
        <f>N562*8%</f>
        <v/>
      </c>
      <c r="Q562" s="7">
        <f>N562*10%</f>
        <v/>
      </c>
      <c r="R562" s="7">
        <f>N562*5%</f>
        <v/>
      </c>
      <c r="S562" s="7">
        <f>N562*2%</f>
        <v/>
      </c>
      <c r="T562" s="7">
        <f>AE562*0.5%</f>
        <v/>
      </c>
      <c r="U562" s="7">
        <f>N562*1%</f>
        <v/>
      </c>
      <c r="V562" s="31">
        <f>U562+S562+R562+Q562+P562+O562</f>
        <v/>
      </c>
      <c r="W562" s="32">
        <f>AE562*1%</f>
        <v/>
      </c>
      <c r="X562" s="32">
        <f>AE562*10%</f>
        <v/>
      </c>
      <c r="Y562" s="32">
        <f>AE562*1%</f>
        <v/>
      </c>
      <c r="Z562" s="32">
        <f>AE562*8%</f>
        <v/>
      </c>
      <c r="AA562" s="32">
        <f>W562+X562+Y562+Z562</f>
        <v/>
      </c>
      <c r="AB562" s="31">
        <f>AA562+V562+N562</f>
        <v/>
      </c>
      <c r="AC562" s="6">
        <f>AB562*20%</f>
        <v/>
      </c>
      <c r="AD562" s="7">
        <f>AB562+AC562</f>
        <v/>
      </c>
      <c r="AE562" s="32">
        <f>D562*2.1</f>
        <v/>
      </c>
      <c r="AF562" s="7">
        <f>AD562-AE562</f>
        <v/>
      </c>
      <c r="AG562" s="7">
        <f>AF562/AD562*100</f>
        <v/>
      </c>
      <c r="AH562" s="0" t="n">
        <v>5250</v>
      </c>
      <c r="AI562" s="33" t="n">
        <v>5130</v>
      </c>
      <c r="AJ562" s="34">
        <f>AD562</f>
        <v/>
      </c>
      <c r="AK562" s="34">
        <f>AJ562-(AJ562*7%)</f>
        <v/>
      </c>
      <c r="AL562" s="35">
        <f>AJ562/94</f>
        <v/>
      </c>
      <c r="AM562" s="35">
        <f>AK562/94</f>
        <v/>
      </c>
      <c r="AN562" s="36">
        <f>AJ562/24</f>
        <v/>
      </c>
      <c r="AO562" s="36">
        <f>AK562/24</f>
        <v/>
      </c>
      <c r="AP562" s="37">
        <f>AJ562/125</f>
        <v/>
      </c>
      <c r="AQ562" s="37">
        <f>AK562/125</f>
        <v/>
      </c>
    </row>
    <row r="563" ht="15.75" customHeight="1" s="50">
      <c r="A563" s="32" t="n"/>
      <c r="B563" s="32" t="inlineStr">
        <is>
          <t>Plain / 45 cms</t>
        </is>
      </c>
      <c r="C563" s="32" t="inlineStr">
        <is>
          <t>MI-SD-P-45</t>
        </is>
      </c>
      <c r="D563" s="32" t="n">
        <v>125</v>
      </c>
      <c r="G563" s="32" t="n">
        <v>0</v>
      </c>
      <c r="H563" s="32" t="n">
        <v>10</v>
      </c>
      <c r="I563" s="41" t="n">
        <v>44201900</v>
      </c>
      <c r="J563" s="30" t="n">
        <v>0.05</v>
      </c>
      <c r="K563" s="32">
        <f>D563*J563</f>
        <v/>
      </c>
      <c r="L563" s="32">
        <f>D563*5%</f>
        <v/>
      </c>
      <c r="M563" s="32">
        <f>D563*4%</f>
        <v/>
      </c>
      <c r="N563" s="49">
        <f>M563+L563+K563+H563+G563+F563+E563+D563</f>
        <v/>
      </c>
      <c r="O563" s="32">
        <f>D563*1%</f>
        <v/>
      </c>
      <c r="P563" s="7">
        <f>N563*8%</f>
        <v/>
      </c>
      <c r="Q563" s="7">
        <f>N563*10%</f>
        <v/>
      </c>
      <c r="R563" s="7">
        <f>N563*5%</f>
        <v/>
      </c>
      <c r="S563" s="7">
        <f>N563*2%</f>
        <v/>
      </c>
      <c r="T563" s="7">
        <f>AE563*0.5%</f>
        <v/>
      </c>
      <c r="U563" s="7">
        <f>N563*1%</f>
        <v/>
      </c>
      <c r="V563" s="31">
        <f>U563+S563+R563+Q563+P563+O563</f>
        <v/>
      </c>
      <c r="W563" s="32">
        <f>AE563*1%</f>
        <v/>
      </c>
      <c r="X563" s="32">
        <f>AE563*10%</f>
        <v/>
      </c>
      <c r="Y563" s="32">
        <f>AE563*1%</f>
        <v/>
      </c>
      <c r="Z563" s="32">
        <f>AE563*8%</f>
        <v/>
      </c>
      <c r="AA563" s="32">
        <f>W563+X563+Y563+Z563</f>
        <v/>
      </c>
      <c r="AB563" s="31">
        <f>AA563+V563+N563</f>
        <v/>
      </c>
      <c r="AC563" s="6">
        <f>AB563*20%</f>
        <v/>
      </c>
      <c r="AD563" s="7">
        <f>AB563+AC563</f>
        <v/>
      </c>
      <c r="AE563" s="32">
        <f>D563*2.1</f>
        <v/>
      </c>
      <c r="AF563" s="7">
        <f>AD563-AE563</f>
        <v/>
      </c>
      <c r="AG563" s="7">
        <f>AF563/AD563*100</f>
        <v/>
      </c>
      <c r="AH563" s="0" t="n">
        <v>5850</v>
      </c>
      <c r="AI563" s="33" t="n">
        <v>5725</v>
      </c>
      <c r="AJ563" s="34">
        <f>AD563</f>
        <v/>
      </c>
      <c r="AK563" s="34">
        <f>AJ563-(AJ563*7%)</f>
        <v/>
      </c>
      <c r="AL563" s="35">
        <f>AJ563/94</f>
        <v/>
      </c>
      <c r="AM563" s="35">
        <f>AK563/94</f>
        <v/>
      </c>
      <c r="AN563" s="36">
        <f>AJ563/24</f>
        <v/>
      </c>
      <c r="AO563" s="36">
        <f>AK563/24</f>
        <v/>
      </c>
      <c r="AP563" s="37">
        <f>AJ563/125</f>
        <v/>
      </c>
      <c r="AQ563" s="37">
        <f>AK563/125</f>
        <v/>
      </c>
    </row>
    <row r="564" ht="15.75" customHeight="1" s="50">
      <c r="A564" s="32" t="n"/>
      <c r="B564" s="32" t="inlineStr">
        <is>
          <t>30 cms / Tree of Life</t>
        </is>
      </c>
      <c r="D564" s="32" t="n">
        <v>110</v>
      </c>
      <c r="E564" s="32" t="n">
        <v>105</v>
      </c>
      <c r="G564" s="32" t="n">
        <v>0</v>
      </c>
      <c r="H564" s="32" t="n">
        <v>10</v>
      </c>
      <c r="I564" s="41" t="n">
        <v>44201900</v>
      </c>
      <c r="J564" s="30" t="n">
        <v>0.05</v>
      </c>
      <c r="K564" s="32">
        <f>D564*J564</f>
        <v/>
      </c>
      <c r="M564" s="32">
        <f>D564*4%</f>
        <v/>
      </c>
      <c r="N564" s="49">
        <f>M564+L564+K564+H564+G564+F564+E564+D564</f>
        <v/>
      </c>
      <c r="O564" s="32">
        <f>D564*1%</f>
        <v/>
      </c>
      <c r="P564" s="7">
        <f>N564*8%</f>
        <v/>
      </c>
      <c r="Q564" s="7">
        <f>N564*10%</f>
        <v/>
      </c>
      <c r="R564" s="7">
        <f>N564*5%</f>
        <v/>
      </c>
      <c r="S564" s="7">
        <f>N564*2%</f>
        <v/>
      </c>
      <c r="T564" s="7">
        <f>AE564*0.5%</f>
        <v/>
      </c>
      <c r="U564" s="7">
        <f>N564*1%</f>
        <v/>
      </c>
      <c r="V564" s="31">
        <f>U564+S564+R564+Q564+P564+O564</f>
        <v/>
      </c>
      <c r="W564" s="32">
        <f>AE564*1%</f>
        <v/>
      </c>
      <c r="X564" s="32">
        <f>AE564*10%</f>
        <v/>
      </c>
      <c r="Y564" s="32">
        <f>AE564*1%</f>
        <v/>
      </c>
      <c r="Z564" s="32">
        <f>AE564*8%</f>
        <v/>
      </c>
      <c r="AA564" s="32">
        <f>W564+X564+Y564+Z564</f>
        <v/>
      </c>
      <c r="AB564" s="31">
        <f>AA564+V564+N564</f>
        <v/>
      </c>
      <c r="AC564" s="6">
        <f>AB564*20%</f>
        <v/>
      </c>
      <c r="AD564" s="7">
        <f>AB564+AC564</f>
        <v/>
      </c>
      <c r="AE564" s="32">
        <f>D564*2.1</f>
        <v/>
      </c>
      <c r="AF564" s="7">
        <f>AD564-AE564</f>
        <v/>
      </c>
      <c r="AG564" s="7">
        <f>AF564/AD564*100</f>
        <v/>
      </c>
      <c r="AI564" s="33" t="n"/>
      <c r="AJ564" s="34">
        <f>AD564</f>
        <v/>
      </c>
      <c r="AK564" s="34">
        <f>AJ564-(AJ564*7%)</f>
        <v/>
      </c>
      <c r="AL564" s="35">
        <f>AJ564/94</f>
        <v/>
      </c>
      <c r="AM564" s="35">
        <f>AK564/94</f>
        <v/>
      </c>
      <c r="AN564" s="36">
        <f>AJ564/24</f>
        <v/>
      </c>
      <c r="AO564" s="36">
        <f>AK564/24</f>
        <v/>
      </c>
      <c r="AP564" s="37">
        <f>AJ564/125</f>
        <v/>
      </c>
      <c r="AQ564" s="37">
        <f>AK564/125</f>
        <v/>
      </c>
    </row>
    <row r="565" ht="15.75" customHeight="1" s="50">
      <c r="A565" s="32" t="n"/>
      <c r="B565" s="32" t="inlineStr">
        <is>
          <t>40 cms / Tree of Life</t>
        </is>
      </c>
      <c r="D565" s="32" t="n">
        <v>115</v>
      </c>
      <c r="E565" s="32" t="n">
        <v>120</v>
      </c>
      <c r="G565" s="32" t="n">
        <v>0</v>
      </c>
      <c r="H565" s="32" t="n">
        <v>10</v>
      </c>
      <c r="I565" s="41" t="n">
        <v>44201900</v>
      </c>
      <c r="J565" s="30" t="n">
        <v>0.05</v>
      </c>
      <c r="K565" s="32">
        <f>D565*J565</f>
        <v/>
      </c>
      <c r="M565" s="32">
        <f>D565*4%</f>
        <v/>
      </c>
      <c r="N565" s="49">
        <f>M565+L565+K565+H565+G565+F565+E565+D565</f>
        <v/>
      </c>
      <c r="O565" s="32">
        <f>D565*1%</f>
        <v/>
      </c>
      <c r="P565" s="7">
        <f>N565*8%</f>
        <v/>
      </c>
      <c r="Q565" s="7">
        <f>N565*10%</f>
        <v/>
      </c>
      <c r="R565" s="7">
        <f>N565*5%</f>
        <v/>
      </c>
      <c r="S565" s="7">
        <f>N565*2%</f>
        <v/>
      </c>
      <c r="T565" s="7">
        <f>AE565*0.5%</f>
        <v/>
      </c>
      <c r="U565" s="7">
        <f>N565*1%</f>
        <v/>
      </c>
      <c r="V565" s="31">
        <f>U565+S565+R565+Q565+P565+O565</f>
        <v/>
      </c>
      <c r="W565" s="32">
        <f>AE565*1%</f>
        <v/>
      </c>
      <c r="X565" s="32">
        <f>AE565*10%</f>
        <v/>
      </c>
      <c r="Y565" s="32">
        <f>AE565*1%</f>
        <v/>
      </c>
      <c r="Z565" s="32">
        <f>AE565*8%</f>
        <v/>
      </c>
      <c r="AA565" s="32">
        <f>W565+X565+Y565+Z565</f>
        <v/>
      </c>
      <c r="AB565" s="31">
        <f>AA565+V565+N565</f>
        <v/>
      </c>
      <c r="AC565" s="6">
        <f>AB565*20%</f>
        <v/>
      </c>
      <c r="AD565" s="7">
        <f>AB565+AC565</f>
        <v/>
      </c>
      <c r="AE565" s="32">
        <f>D565*2.1</f>
        <v/>
      </c>
      <c r="AF565" s="7">
        <f>AD565-AE565</f>
        <v/>
      </c>
      <c r="AG565" s="7">
        <f>AF565/AD565*100</f>
        <v/>
      </c>
      <c r="AI565" s="33" t="n"/>
      <c r="AJ565" s="34">
        <f>AD565</f>
        <v/>
      </c>
      <c r="AK565" s="34">
        <f>AJ565-(AJ565*7%)</f>
        <v/>
      </c>
      <c r="AL565" s="35">
        <f>AJ565/94</f>
        <v/>
      </c>
      <c r="AM565" s="35">
        <f>AK565/94</f>
        <v/>
      </c>
      <c r="AN565" s="36">
        <f>AJ565/24</f>
        <v/>
      </c>
      <c r="AO565" s="36">
        <f>AK565/24</f>
        <v/>
      </c>
      <c r="AP565" s="37">
        <f>AJ565/125</f>
        <v/>
      </c>
      <c r="AQ565" s="37">
        <f>AK565/125</f>
        <v/>
      </c>
    </row>
    <row r="566" ht="15.75" customHeight="1" s="50">
      <c r="A566" s="32" t="n"/>
      <c r="B566" s="32" t="inlineStr">
        <is>
          <t>45 cms / Tree of Life</t>
        </is>
      </c>
      <c r="D566" s="32" t="n">
        <v>130</v>
      </c>
      <c r="E566" s="32" t="n">
        <v>125</v>
      </c>
      <c r="G566" s="32" t="n">
        <v>0</v>
      </c>
      <c r="H566" s="32" t="n">
        <v>10</v>
      </c>
      <c r="I566" s="41" t="n">
        <v>44201900</v>
      </c>
      <c r="J566" s="30" t="n">
        <v>0.05</v>
      </c>
      <c r="K566" s="32">
        <f>D566*J566</f>
        <v/>
      </c>
      <c r="M566" s="32">
        <f>D566*4%</f>
        <v/>
      </c>
      <c r="N566" s="49">
        <f>M566+L566+K566+H566+G566+F566+E566+D566</f>
        <v/>
      </c>
      <c r="O566" s="32">
        <f>D566*1%</f>
        <v/>
      </c>
      <c r="P566" s="7">
        <f>N566*8%</f>
        <v/>
      </c>
      <c r="Q566" s="7">
        <f>N566*10%</f>
        <v/>
      </c>
      <c r="R566" s="7">
        <f>N566*5%</f>
        <v/>
      </c>
      <c r="S566" s="7">
        <f>N566*2%</f>
        <v/>
      </c>
      <c r="T566" s="7">
        <f>AE566*0.5%</f>
        <v/>
      </c>
      <c r="U566" s="7">
        <f>N566*1%</f>
        <v/>
      </c>
      <c r="V566" s="31">
        <f>U566+S566+R566+Q566+P566+O566</f>
        <v/>
      </c>
      <c r="W566" s="32">
        <f>AE566*1%</f>
        <v/>
      </c>
      <c r="X566" s="32">
        <f>AE566*10%</f>
        <v/>
      </c>
      <c r="Y566" s="32">
        <f>AE566*1%</f>
        <v/>
      </c>
      <c r="Z566" s="32">
        <f>AE566*8%</f>
        <v/>
      </c>
      <c r="AA566" s="32">
        <f>W566+X566+Y566+Z566</f>
        <v/>
      </c>
      <c r="AB566" s="31">
        <f>AA566+V566+N566</f>
        <v/>
      </c>
      <c r="AC566" s="6">
        <f>AB566*20%</f>
        <v/>
      </c>
      <c r="AD566" s="7">
        <f>AB566+AC566</f>
        <v/>
      </c>
      <c r="AE566" s="32">
        <f>D566*2.1</f>
        <v/>
      </c>
      <c r="AF566" s="7">
        <f>AD566-AE566</f>
        <v/>
      </c>
      <c r="AG566" s="7">
        <f>AF566/AD566*100</f>
        <v/>
      </c>
      <c r="AI566" s="33" t="n"/>
      <c r="AJ566" s="34">
        <f>AD566</f>
        <v/>
      </c>
      <c r="AK566" s="34">
        <f>AJ566-(AJ566*7%)</f>
        <v/>
      </c>
      <c r="AL566" s="35">
        <f>AJ566/94</f>
        <v/>
      </c>
      <c r="AM566" s="35">
        <f>AK566/94</f>
        <v/>
      </c>
      <c r="AN566" s="36">
        <f>AJ566/24</f>
        <v/>
      </c>
      <c r="AO566" s="36">
        <f>AK566/24</f>
        <v/>
      </c>
      <c r="AP566" s="37">
        <f>AJ566/125</f>
        <v/>
      </c>
      <c r="AQ566" s="37">
        <f>AK566/125</f>
        <v/>
      </c>
    </row>
    <row r="567" ht="15" customHeight="1" s="50">
      <c r="A567" s="32" t="inlineStr">
        <is>
          <t>Shamanic Drum Bags/Ocean Drum Bags</t>
        </is>
      </c>
      <c r="B567" s="32" t="inlineStr">
        <is>
          <t>Small</t>
        </is>
      </c>
      <c r="D567" s="32" t="n">
        <v>105</v>
      </c>
      <c r="G567" s="32" t="n">
        <v>0</v>
      </c>
      <c r="H567" s="32" t="n">
        <v>10</v>
      </c>
      <c r="I567" s="41" t="n">
        <v>4202</v>
      </c>
      <c r="J567" s="30" t="n">
        <v>0.18</v>
      </c>
      <c r="K567" s="32">
        <f>D567*J567</f>
        <v/>
      </c>
      <c r="M567" s="32">
        <f>D567*4%</f>
        <v/>
      </c>
      <c r="N567" s="49">
        <f>M567+L567+K567+H567+G567+F567+E567+D567</f>
        <v/>
      </c>
      <c r="O567" s="32">
        <f>D567*1%</f>
        <v/>
      </c>
      <c r="P567" s="7">
        <f>N567*8%</f>
        <v/>
      </c>
      <c r="Q567" s="7">
        <f>N567*10%</f>
        <v/>
      </c>
      <c r="R567" s="7">
        <f>N567*5%</f>
        <v/>
      </c>
      <c r="S567" s="7">
        <f>N567*2%</f>
        <v/>
      </c>
      <c r="T567" s="7">
        <f>AE567*0.5%</f>
        <v/>
      </c>
      <c r="U567" s="7">
        <f>N567*1%</f>
        <v/>
      </c>
      <c r="V567" s="31">
        <f>U567+S567+R567+Q567+P567+O567</f>
        <v/>
      </c>
      <c r="W567" s="32">
        <f>AE567*1%</f>
        <v/>
      </c>
      <c r="X567" s="32">
        <f>AE567*10%</f>
        <v/>
      </c>
      <c r="Y567" s="32">
        <f>AE567*1%</f>
        <v/>
      </c>
      <c r="Z567" s="32">
        <f>AE567*8%</f>
        <v/>
      </c>
      <c r="AA567" s="32">
        <f>W567+X567+Y567+Z567</f>
        <v/>
      </c>
      <c r="AB567" s="31">
        <f>AA567+V567+N567</f>
        <v/>
      </c>
      <c r="AC567" s="6">
        <f>AB567*20%</f>
        <v/>
      </c>
      <c r="AD567" s="7">
        <f>AB567+AC567</f>
        <v/>
      </c>
      <c r="AE567" s="32">
        <f>D567*2.1</f>
        <v/>
      </c>
      <c r="AF567" s="7">
        <f>AD567-AE567</f>
        <v/>
      </c>
      <c r="AG567" s="7">
        <f>AF567/AD567*100</f>
        <v/>
      </c>
      <c r="AI567" s="33" t="n"/>
      <c r="AJ567" s="34">
        <f>AD567</f>
        <v/>
      </c>
      <c r="AK567" s="34">
        <f>AJ567-(AJ567*7%)</f>
        <v/>
      </c>
      <c r="AL567" s="35">
        <f>AJ567/94</f>
        <v/>
      </c>
      <c r="AM567" s="35">
        <f>AK567/94</f>
        <v/>
      </c>
      <c r="AN567" s="36">
        <f>AJ567/24</f>
        <v/>
      </c>
      <c r="AO567" s="36">
        <f>AK567/24</f>
        <v/>
      </c>
      <c r="AP567" s="37">
        <f>AJ567/125</f>
        <v/>
      </c>
      <c r="AQ567" s="37">
        <f>AK567/125</f>
        <v/>
      </c>
    </row>
    <row r="568" ht="15.75" customHeight="1" s="50">
      <c r="A568" s="32" t="n"/>
      <c r="B568" s="32" t="inlineStr">
        <is>
          <t>Large</t>
        </is>
      </c>
      <c r="D568" s="32" t="n">
        <v>120</v>
      </c>
      <c r="G568" s="32" t="n">
        <v>0</v>
      </c>
      <c r="H568" s="32" t="n">
        <v>10</v>
      </c>
      <c r="I568" s="41" t="n">
        <v>4202</v>
      </c>
      <c r="J568" s="30" t="n">
        <v>0.18</v>
      </c>
      <c r="K568" s="32">
        <f>D568*J568</f>
        <v/>
      </c>
      <c r="M568" s="32">
        <f>D568*4%</f>
        <v/>
      </c>
      <c r="N568" s="49">
        <f>M568+L568+K568+H568+G568+F568+E568+D568</f>
        <v/>
      </c>
      <c r="O568" s="32">
        <f>D568*1%</f>
        <v/>
      </c>
      <c r="P568" s="7">
        <f>N568*8%</f>
        <v/>
      </c>
      <c r="Q568" s="7">
        <f>N568*10%</f>
        <v/>
      </c>
      <c r="R568" s="7">
        <f>N568*5%</f>
        <v/>
      </c>
      <c r="S568" s="7">
        <f>N568*2%</f>
        <v/>
      </c>
      <c r="T568" s="7">
        <f>AE568*0.5%</f>
        <v/>
      </c>
      <c r="U568" s="7">
        <f>N568*1%</f>
        <v/>
      </c>
      <c r="V568" s="31">
        <f>U568+S568+R568+Q568+P568+O568</f>
        <v/>
      </c>
      <c r="W568" s="32">
        <f>AE568*1%</f>
        <v/>
      </c>
      <c r="X568" s="32">
        <f>AE568*10%</f>
        <v/>
      </c>
      <c r="Y568" s="32">
        <f>AE568*1%</f>
        <v/>
      </c>
      <c r="Z568" s="32">
        <f>AE568*8%</f>
        <v/>
      </c>
      <c r="AA568" s="32">
        <f>W568+X568+Y568+Z568</f>
        <v/>
      </c>
      <c r="AB568" s="31">
        <f>AA568+V568+N568</f>
        <v/>
      </c>
      <c r="AC568" s="6">
        <f>AB568*20%</f>
        <v/>
      </c>
      <c r="AD568" s="7">
        <f>AB568+AC568</f>
        <v/>
      </c>
      <c r="AE568" s="32">
        <f>D568*2.1</f>
        <v/>
      </c>
      <c r="AF568" s="7">
        <f>AD568-AE568</f>
        <v/>
      </c>
      <c r="AG568" s="7">
        <f>AF568/AD568*100</f>
        <v/>
      </c>
      <c r="AI568" s="33" t="n"/>
      <c r="AJ568" s="34">
        <f>AD568</f>
        <v/>
      </c>
      <c r="AK568" s="34">
        <f>AJ568-(AJ568*7%)</f>
        <v/>
      </c>
      <c r="AL568" s="35">
        <f>AJ568/94</f>
        <v/>
      </c>
      <c r="AM568" s="35">
        <f>AK568/94</f>
        <v/>
      </c>
      <c r="AN568" s="36">
        <f>AJ568/24</f>
        <v/>
      </c>
      <c r="AO568" s="36">
        <f>AK568/24</f>
        <v/>
      </c>
      <c r="AP568" s="37">
        <f>AJ568/125</f>
        <v/>
      </c>
      <c r="AQ568" s="37">
        <f>AK568/125</f>
        <v/>
      </c>
    </row>
    <row r="569" ht="15.75" customHeight="1" s="50">
      <c r="A569" s="32" t="n"/>
      <c r="B569" s="32" t="inlineStr">
        <is>
          <t>Medium</t>
        </is>
      </c>
      <c r="D569" s="32" t="n">
        <v>115</v>
      </c>
      <c r="G569" s="32" t="n">
        <v>0</v>
      </c>
      <c r="H569" s="32" t="n">
        <v>10</v>
      </c>
      <c r="I569" s="41" t="n">
        <v>4202</v>
      </c>
      <c r="J569" s="30" t="n">
        <v>0.18</v>
      </c>
      <c r="K569" s="32">
        <f>D569*J569</f>
        <v/>
      </c>
      <c r="M569" s="32">
        <f>D569*4%</f>
        <v/>
      </c>
      <c r="N569" s="49">
        <f>M569+L569+K569+H569+G569+F569+E569+D569</f>
        <v/>
      </c>
      <c r="O569" s="32">
        <f>D569*1%</f>
        <v/>
      </c>
      <c r="P569" s="7">
        <f>N569*8%</f>
        <v/>
      </c>
      <c r="Q569" s="7">
        <f>N569*10%</f>
        <v/>
      </c>
      <c r="R569" s="7">
        <f>N569*5%</f>
        <v/>
      </c>
      <c r="S569" s="7">
        <f>N569*2%</f>
        <v/>
      </c>
      <c r="T569" s="7">
        <f>AE569*0.5%</f>
        <v/>
      </c>
      <c r="U569" s="7">
        <f>N569*1%</f>
        <v/>
      </c>
      <c r="V569" s="31">
        <f>U569+S569+R569+Q569+P569+O569</f>
        <v/>
      </c>
      <c r="W569" s="32">
        <f>AE569*1%</f>
        <v/>
      </c>
      <c r="X569" s="32">
        <f>AE569*10%</f>
        <v/>
      </c>
      <c r="Y569" s="32">
        <f>AE569*1%</f>
        <v/>
      </c>
      <c r="Z569" s="32">
        <f>AE569*8%</f>
        <v/>
      </c>
      <c r="AA569" s="32">
        <f>W569+X569+Y569+Z569</f>
        <v/>
      </c>
      <c r="AB569" s="31">
        <f>AA569+V569+N569</f>
        <v/>
      </c>
      <c r="AC569" s="6">
        <f>AB569*20%</f>
        <v/>
      </c>
      <c r="AD569" s="7">
        <f>AB569+AC569</f>
        <v/>
      </c>
      <c r="AE569" s="32">
        <f>D569*2.1</f>
        <v/>
      </c>
      <c r="AF569" s="7">
        <f>AD569-AE569</f>
        <v/>
      </c>
      <c r="AG569" s="7">
        <f>AF569/AD569*100</f>
        <v/>
      </c>
      <c r="AI569" s="33" t="n"/>
      <c r="AJ569" s="34">
        <f>AD569</f>
        <v/>
      </c>
      <c r="AK569" s="34">
        <f>AJ569-(AJ569*7%)</f>
        <v/>
      </c>
      <c r="AL569" s="35">
        <f>AJ569/94</f>
        <v/>
      </c>
      <c r="AM569" s="35">
        <f>AK569/94</f>
        <v/>
      </c>
      <c r="AN569" s="36">
        <f>AJ569/24</f>
        <v/>
      </c>
      <c r="AO569" s="36">
        <f>AK569/24</f>
        <v/>
      </c>
      <c r="AP569" s="37">
        <f>AJ569/125</f>
        <v/>
      </c>
      <c r="AQ569" s="37">
        <f>AK569/125</f>
        <v/>
      </c>
    </row>
    <row r="570" ht="15" customHeight="1" s="50">
      <c r="A570" s="32" t="inlineStr">
        <is>
          <t>Shankh/Conch</t>
        </is>
      </c>
      <c r="B570" s="32" t="inlineStr">
        <is>
          <t>Small</t>
        </is>
      </c>
      <c r="C570" s="32" t="inlineStr">
        <is>
          <t>MI-SH-S</t>
        </is>
      </c>
      <c r="D570" s="32" t="n">
        <v>650</v>
      </c>
      <c r="E570" s="32" t="n">
        <v>0</v>
      </c>
      <c r="F570" s="32" t="n">
        <v>0</v>
      </c>
      <c r="G570" s="32" t="n">
        <v>0</v>
      </c>
      <c r="H570" s="32" t="n">
        <v>10</v>
      </c>
      <c r="I570" s="41" t="inlineStr">
        <is>
          <t>0508 00 20</t>
        </is>
      </c>
      <c r="J570" s="41" t="n">
        <v>0</v>
      </c>
      <c r="K570" s="32">
        <f>D570*J570</f>
        <v/>
      </c>
      <c r="M570" s="32">
        <f>D570*4%</f>
        <v/>
      </c>
      <c r="N570" s="49">
        <f>M570+L570+K570+H570+G570+F570+E570+D570</f>
        <v/>
      </c>
      <c r="O570" s="32">
        <f>D570*1%</f>
        <v/>
      </c>
      <c r="P570" s="7">
        <f>N570*8%</f>
        <v/>
      </c>
      <c r="Q570" s="7">
        <f>N570*10%</f>
        <v/>
      </c>
      <c r="R570" s="7">
        <f>N570*5%</f>
        <v/>
      </c>
      <c r="S570" s="7">
        <f>N570*2%</f>
        <v/>
      </c>
      <c r="T570" s="7">
        <f>AE570*0.5%</f>
        <v/>
      </c>
      <c r="U570" s="7">
        <f>N570*1%</f>
        <v/>
      </c>
      <c r="V570" s="31">
        <f>U570+S570+R570+Q570+P570+O570</f>
        <v/>
      </c>
      <c r="W570" s="32">
        <f>AE570*1%</f>
        <v/>
      </c>
      <c r="X570" s="32">
        <f>AE570*10%</f>
        <v/>
      </c>
      <c r="Y570" s="32">
        <f>AE570*1%</f>
        <v/>
      </c>
      <c r="Z570" s="32">
        <f>AE570*8%</f>
        <v/>
      </c>
      <c r="AA570" s="32">
        <f>W570+X570+Y570+Z570</f>
        <v/>
      </c>
      <c r="AB570" s="31">
        <f>AA570+V570+N570</f>
        <v/>
      </c>
      <c r="AC570" s="6">
        <f>AB570*20%</f>
        <v/>
      </c>
      <c r="AD570" s="7">
        <f>AB570+AC570</f>
        <v/>
      </c>
      <c r="AE570" s="32">
        <f>D570*2.1</f>
        <v/>
      </c>
      <c r="AF570" s="7">
        <f>AD570-AE570</f>
        <v/>
      </c>
      <c r="AG570" s="7">
        <f>AF570/AD570*100</f>
        <v/>
      </c>
      <c r="AI570" s="33" t="n"/>
      <c r="AJ570" s="34">
        <f>AD570</f>
        <v/>
      </c>
      <c r="AK570" s="34">
        <f>AJ570-(AJ570*7%)</f>
        <v/>
      </c>
      <c r="AL570" s="35">
        <f>AJ570/94</f>
        <v/>
      </c>
      <c r="AM570" s="35">
        <f>AK570/94</f>
        <v/>
      </c>
      <c r="AN570" s="36">
        <f>AJ570/24</f>
        <v/>
      </c>
      <c r="AO570" s="36">
        <f>AK570/24</f>
        <v/>
      </c>
      <c r="AP570" s="37">
        <f>AJ570/125</f>
        <v/>
      </c>
      <c r="AQ570" s="37">
        <f>AK570/125</f>
        <v/>
      </c>
    </row>
    <row r="571" ht="15.75" customHeight="1" s="50">
      <c r="A571" s="32" t="n"/>
      <c r="B571" s="32" t="inlineStr">
        <is>
          <t>Medium</t>
        </is>
      </c>
      <c r="C571" s="32" t="inlineStr">
        <is>
          <t>MI-SH-M</t>
        </is>
      </c>
      <c r="D571" s="32" t="n">
        <v>950</v>
      </c>
      <c r="E571" s="32" t="n">
        <v>0</v>
      </c>
      <c r="F571" s="32" t="n">
        <v>0</v>
      </c>
      <c r="G571" s="32" t="n">
        <v>0</v>
      </c>
      <c r="H571" s="32" t="n">
        <v>10</v>
      </c>
      <c r="I571" s="41" t="inlineStr">
        <is>
          <t>0508 00 20</t>
        </is>
      </c>
      <c r="J571" s="41" t="n">
        <v>0</v>
      </c>
      <c r="K571" s="32">
        <f>D571*J571</f>
        <v/>
      </c>
      <c r="M571" s="32">
        <f>D571*4%</f>
        <v/>
      </c>
      <c r="N571" s="49">
        <f>M571+L571+K571+H571+G571+F571+E571+D571</f>
        <v/>
      </c>
      <c r="O571" s="32">
        <f>D571*1%</f>
        <v/>
      </c>
      <c r="P571" s="7">
        <f>N571*8%</f>
        <v/>
      </c>
      <c r="Q571" s="7">
        <f>N571*10%</f>
        <v/>
      </c>
      <c r="R571" s="7">
        <f>N571*5%</f>
        <v/>
      </c>
      <c r="S571" s="7">
        <f>N571*2%</f>
        <v/>
      </c>
      <c r="T571" s="7">
        <f>AE571*0.5%</f>
        <v/>
      </c>
      <c r="U571" s="7">
        <f>N571*1%</f>
        <v/>
      </c>
      <c r="V571" s="31">
        <f>U571+S571+R571+Q571+P571+O571</f>
        <v/>
      </c>
      <c r="W571" s="32">
        <f>AE571*1%</f>
        <v/>
      </c>
      <c r="X571" s="32">
        <f>AE571*10%</f>
        <v/>
      </c>
      <c r="Y571" s="32">
        <f>AE571*1%</f>
        <v/>
      </c>
      <c r="Z571" s="32">
        <f>AE571*8%</f>
        <v/>
      </c>
      <c r="AA571" s="32">
        <f>W571+X571+Y571+Z571</f>
        <v/>
      </c>
      <c r="AB571" s="31">
        <f>AA571+V571+N571</f>
        <v/>
      </c>
      <c r="AC571" s="6">
        <f>AB571*20%</f>
        <v/>
      </c>
      <c r="AD571" s="7">
        <f>AB571+AC571</f>
        <v/>
      </c>
      <c r="AE571" s="32">
        <f>D571*2.1</f>
        <v/>
      </c>
      <c r="AF571" s="7">
        <f>AD571-AE571</f>
        <v/>
      </c>
      <c r="AG571" s="7">
        <f>AF571/AD571*100</f>
        <v/>
      </c>
      <c r="AI571" s="33" t="n"/>
      <c r="AJ571" s="34">
        <f>AD571</f>
        <v/>
      </c>
      <c r="AK571" s="34">
        <f>AJ571-(AJ571*7%)</f>
        <v/>
      </c>
      <c r="AL571" s="35">
        <f>AJ571/94</f>
        <v/>
      </c>
      <c r="AM571" s="35">
        <f>AK571/94</f>
        <v/>
      </c>
      <c r="AN571" s="36">
        <f>AJ571/24</f>
        <v/>
      </c>
      <c r="AO571" s="36">
        <f>AK571/24</f>
        <v/>
      </c>
      <c r="AP571" s="37">
        <f>AJ571/125</f>
        <v/>
      </c>
      <c r="AQ571" s="37">
        <f>AK571/125</f>
        <v/>
      </c>
    </row>
    <row r="572" ht="15.75" customHeight="1" s="50">
      <c r="A572" s="32" t="n"/>
      <c r="B572" s="32" t="inlineStr">
        <is>
          <t>Large</t>
        </is>
      </c>
      <c r="C572" s="32" t="inlineStr">
        <is>
          <t>MI-SH-L</t>
        </is>
      </c>
      <c r="D572" s="32" t="n">
        <v>1200</v>
      </c>
      <c r="E572" s="32" t="n">
        <v>0</v>
      </c>
      <c r="F572" s="32" t="n">
        <v>0</v>
      </c>
      <c r="G572" s="32" t="n">
        <v>0</v>
      </c>
      <c r="H572" s="32" t="n">
        <v>10</v>
      </c>
      <c r="I572" s="41" t="inlineStr">
        <is>
          <t>0508 00 20</t>
        </is>
      </c>
      <c r="J572" s="41" t="n">
        <v>0</v>
      </c>
      <c r="K572" s="32">
        <f>D572*J572</f>
        <v/>
      </c>
      <c r="M572" s="32">
        <f>D572*4%</f>
        <v/>
      </c>
      <c r="N572" s="49">
        <f>M572+L572+K572+H572+G572+F572+E572+D572</f>
        <v/>
      </c>
      <c r="O572" s="32">
        <f>D572*1%</f>
        <v/>
      </c>
      <c r="P572" s="7">
        <f>N572*8%</f>
        <v/>
      </c>
      <c r="Q572" s="7">
        <f>N572*10%</f>
        <v/>
      </c>
      <c r="R572" s="7">
        <f>N572*5%</f>
        <v/>
      </c>
      <c r="S572" s="7">
        <f>N572*2%</f>
        <v/>
      </c>
      <c r="T572" s="7">
        <f>AE572*0.5%</f>
        <v/>
      </c>
      <c r="U572" s="7">
        <f>N572*1%</f>
        <v/>
      </c>
      <c r="V572" s="31">
        <f>U572+S572+R572+Q572+P572+O572</f>
        <v/>
      </c>
      <c r="W572" s="32">
        <f>AE572*1%</f>
        <v/>
      </c>
      <c r="X572" s="32">
        <f>AE572*10%</f>
        <v/>
      </c>
      <c r="Y572" s="32">
        <f>AE572*1%</f>
        <v/>
      </c>
      <c r="Z572" s="32">
        <f>AE572*8%</f>
        <v/>
      </c>
      <c r="AA572" s="32">
        <f>W572+X572+Y572+Z572</f>
        <v/>
      </c>
      <c r="AB572" s="31">
        <f>AA572+V572+N572</f>
        <v/>
      </c>
      <c r="AC572" s="6">
        <f>AB572*20%</f>
        <v/>
      </c>
      <c r="AD572" s="7">
        <f>AB572+AC572</f>
        <v/>
      </c>
      <c r="AE572" s="32">
        <f>D572*2.1</f>
        <v/>
      </c>
      <c r="AF572" s="7">
        <f>AD572-AE572</f>
        <v/>
      </c>
      <c r="AG572" s="7">
        <f>AF572/AD572*100</f>
        <v/>
      </c>
      <c r="AI572" s="33" t="n"/>
      <c r="AJ572" s="34">
        <f>AD572</f>
        <v/>
      </c>
      <c r="AK572" s="34">
        <f>AJ572-(AJ572*7%)</f>
        <v/>
      </c>
      <c r="AL572" s="35">
        <f>AJ572/94</f>
        <v/>
      </c>
      <c r="AM572" s="35">
        <f>AK572/94</f>
        <v/>
      </c>
      <c r="AN572" s="36">
        <f>AJ572/24</f>
        <v/>
      </c>
      <c r="AO572" s="36">
        <f>AK572/24</f>
        <v/>
      </c>
      <c r="AP572" s="37">
        <f>AJ572/125</f>
        <v/>
      </c>
      <c r="AQ572" s="37">
        <f>AK572/125</f>
        <v/>
      </c>
    </row>
    <row r="573" ht="15" customHeight="1" s="50">
      <c r="A573" s="32" t="inlineStr">
        <is>
          <t>Shruthi Thali/Gong Plates</t>
        </is>
      </c>
      <c r="B573" s="32" t="inlineStr">
        <is>
          <t>B Plate</t>
        </is>
      </c>
      <c r="D573" s="32" t="n">
        <v>4400</v>
      </c>
      <c r="E573" s="32" t="n">
        <v>190</v>
      </c>
      <c r="G573" s="32" t="n">
        <v>0</v>
      </c>
      <c r="H573" s="32" t="n">
        <v>10</v>
      </c>
      <c r="I573" s="41" t="n">
        <v>83061000</v>
      </c>
      <c r="J573" s="30" t="n">
        <v>0.05</v>
      </c>
      <c r="K573" s="32">
        <f>D573*J573</f>
        <v/>
      </c>
      <c r="M573" s="32">
        <f>D573*4%</f>
        <v/>
      </c>
      <c r="N573" s="49">
        <f>M573+L573+K573+H573+G573+F573+E573+D573</f>
        <v/>
      </c>
      <c r="O573" s="32">
        <f>D573*1%</f>
        <v/>
      </c>
      <c r="P573" s="7">
        <f>N573*8%</f>
        <v/>
      </c>
      <c r="Q573" s="7">
        <f>N573*10%</f>
        <v/>
      </c>
      <c r="R573" s="7">
        <f>N573*5%</f>
        <v/>
      </c>
      <c r="S573" s="7">
        <f>N573*2%</f>
        <v/>
      </c>
      <c r="T573" s="7">
        <f>AE573*0.5%</f>
        <v/>
      </c>
      <c r="U573" s="7">
        <f>N573*1%</f>
        <v/>
      </c>
      <c r="V573" s="31">
        <f>U573+S573+R573+Q573+P573+O573</f>
        <v/>
      </c>
      <c r="W573" s="32">
        <f>AE573*1%</f>
        <v/>
      </c>
      <c r="X573" s="32">
        <f>AE573*10%</f>
        <v/>
      </c>
      <c r="Y573" s="32">
        <f>AE573*1%</f>
        <v/>
      </c>
      <c r="Z573" s="32">
        <f>AE573*8%</f>
        <v/>
      </c>
      <c r="AA573" s="32">
        <f>W573+X573+Y573+Z573</f>
        <v/>
      </c>
      <c r="AB573" s="31">
        <f>AA573+V573+N573</f>
        <v/>
      </c>
      <c r="AC573" s="6">
        <f>AB573*20%</f>
        <v/>
      </c>
      <c r="AD573" s="7">
        <f>AB573+AC573</f>
        <v/>
      </c>
      <c r="AE573" s="32">
        <f>D573*2.1</f>
        <v/>
      </c>
      <c r="AF573" s="7">
        <f>AD573-AE573</f>
        <v/>
      </c>
      <c r="AG573" s="7">
        <f>AF573/AD573*100</f>
        <v/>
      </c>
      <c r="AI573" s="33" t="n"/>
      <c r="AJ573" s="34">
        <f>AD573</f>
        <v/>
      </c>
      <c r="AK573" s="34">
        <f>AJ573-(AJ573*7%)</f>
        <v/>
      </c>
      <c r="AL573" s="35">
        <f>AJ573/94</f>
        <v/>
      </c>
      <c r="AM573" s="35">
        <f>AK573/94</f>
        <v/>
      </c>
      <c r="AN573" s="36">
        <f>AJ573/24</f>
        <v/>
      </c>
      <c r="AO573" s="36">
        <f>AK573/24</f>
        <v/>
      </c>
      <c r="AP573" s="37">
        <f>AJ573/125</f>
        <v/>
      </c>
      <c r="AQ573" s="37">
        <f>AK573/125</f>
        <v/>
      </c>
    </row>
    <row r="574" ht="15.75" customHeight="1" s="50">
      <c r="A574" s="32" t="n"/>
      <c r="B574" s="32" t="inlineStr">
        <is>
          <t>A Plate</t>
        </is>
      </c>
      <c r="D574" s="32" t="n">
        <v>4950</v>
      </c>
      <c r="E574" s="32" t="n">
        <v>190</v>
      </c>
      <c r="G574" s="32" t="n">
        <v>0</v>
      </c>
      <c r="H574" s="32" t="n">
        <v>10</v>
      </c>
      <c r="I574" s="41" t="n">
        <v>83061000</v>
      </c>
      <c r="J574" s="30" t="n">
        <v>0.05</v>
      </c>
      <c r="K574" s="32">
        <f>D574*J574</f>
        <v/>
      </c>
      <c r="M574" s="32">
        <f>D574*4%</f>
        <v/>
      </c>
      <c r="N574" s="49">
        <f>M574+L574+K574+H574+G574+F574+E574+D574</f>
        <v/>
      </c>
      <c r="O574" s="32">
        <f>D574*1%</f>
        <v/>
      </c>
      <c r="P574" s="7">
        <f>N574*8%</f>
        <v/>
      </c>
      <c r="Q574" s="7">
        <f>N574*10%</f>
        <v/>
      </c>
      <c r="R574" s="7">
        <f>N574*5%</f>
        <v/>
      </c>
      <c r="S574" s="7">
        <f>N574*2%</f>
        <v/>
      </c>
      <c r="T574" s="7">
        <f>AE574*0.5%</f>
        <v/>
      </c>
      <c r="U574" s="7">
        <f>N574*1%</f>
        <v/>
      </c>
      <c r="V574" s="31">
        <f>U574+S574+R574+Q574+P574+O574</f>
        <v/>
      </c>
      <c r="W574" s="32">
        <f>AE574*1%</f>
        <v/>
      </c>
      <c r="X574" s="32">
        <f>AE574*10%</f>
        <v/>
      </c>
      <c r="Y574" s="32">
        <f>AE574*1%</f>
        <v/>
      </c>
      <c r="Z574" s="32">
        <f>AE574*8%</f>
        <v/>
      </c>
      <c r="AA574" s="32">
        <f>W574+X574+Y574+Z574</f>
        <v/>
      </c>
      <c r="AB574" s="31">
        <f>AA574+V574+N574</f>
        <v/>
      </c>
      <c r="AC574" s="6">
        <f>AB574*20%</f>
        <v/>
      </c>
      <c r="AD574" s="7">
        <f>AB574+AC574</f>
        <v/>
      </c>
      <c r="AE574" s="32">
        <f>D574*2.1</f>
        <v/>
      </c>
      <c r="AF574" s="7">
        <f>AD574-AE574</f>
        <v/>
      </c>
      <c r="AG574" s="7">
        <f>AF574/AD574*100</f>
        <v/>
      </c>
      <c r="AI574" s="33" t="n"/>
      <c r="AJ574" s="34">
        <f>AD574</f>
        <v/>
      </c>
      <c r="AK574" s="34">
        <f>AJ574-(AJ574*7%)</f>
        <v/>
      </c>
      <c r="AL574" s="35">
        <f>AJ574/94</f>
        <v/>
      </c>
      <c r="AM574" s="35">
        <f>AK574/94</f>
        <v/>
      </c>
      <c r="AN574" s="36">
        <f>AJ574/24</f>
        <v/>
      </c>
      <c r="AO574" s="36">
        <f>AK574/24</f>
        <v/>
      </c>
      <c r="AP574" s="37">
        <f>AJ574/125</f>
        <v/>
      </c>
      <c r="AQ574" s="37">
        <f>AK574/125</f>
        <v/>
      </c>
    </row>
    <row r="575" ht="15.75" customHeight="1" s="50">
      <c r="A575" s="32" t="n"/>
      <c r="B575" s="32" t="inlineStr">
        <is>
          <t>G Plate</t>
        </is>
      </c>
      <c r="D575" s="32" t="n">
        <v>5500</v>
      </c>
      <c r="E575" s="32" t="n">
        <v>190</v>
      </c>
      <c r="G575" s="32" t="n">
        <v>0</v>
      </c>
      <c r="H575" s="32" t="n">
        <v>10</v>
      </c>
      <c r="I575" s="41" t="n">
        <v>83061000</v>
      </c>
      <c r="J575" s="30" t="n">
        <v>0.05</v>
      </c>
      <c r="K575" s="32">
        <f>D575*J575</f>
        <v/>
      </c>
      <c r="M575" s="32">
        <f>D575*4%</f>
        <v/>
      </c>
      <c r="N575" s="49">
        <f>M575+L575+K575+H575+G575+F575+E575+D575</f>
        <v/>
      </c>
      <c r="O575" s="32">
        <f>D575*1%</f>
        <v/>
      </c>
      <c r="P575" s="7">
        <f>N575*8%</f>
        <v/>
      </c>
      <c r="Q575" s="7">
        <f>N575*10%</f>
        <v/>
      </c>
      <c r="R575" s="7">
        <f>N575*5%</f>
        <v/>
      </c>
      <c r="S575" s="7">
        <f>N575*2%</f>
        <v/>
      </c>
      <c r="T575" s="7">
        <f>AE575*0.5%</f>
        <v/>
      </c>
      <c r="U575" s="7">
        <f>N575*1%</f>
        <v/>
      </c>
      <c r="V575" s="31">
        <f>U575+S575+R575+Q575+P575+O575</f>
        <v/>
      </c>
      <c r="W575" s="32">
        <f>AE575*1%</f>
        <v/>
      </c>
      <c r="X575" s="32">
        <f>AE575*10%</f>
        <v/>
      </c>
      <c r="Y575" s="32">
        <f>AE575*1%</f>
        <v/>
      </c>
      <c r="Z575" s="32">
        <f>AE575*8%</f>
        <v/>
      </c>
      <c r="AA575" s="32">
        <f>W575+X575+Y575+Z575</f>
        <v/>
      </c>
      <c r="AB575" s="31">
        <f>AA575+V575+N575</f>
        <v/>
      </c>
      <c r="AC575" s="6">
        <f>AB575*20%</f>
        <v/>
      </c>
      <c r="AD575" s="7">
        <f>AB575+AC575</f>
        <v/>
      </c>
      <c r="AE575" s="32">
        <f>D575*2.1</f>
        <v/>
      </c>
      <c r="AF575" s="7">
        <f>AD575-AE575</f>
        <v/>
      </c>
      <c r="AG575" s="7">
        <f>AF575/AD575*100</f>
        <v/>
      </c>
      <c r="AI575" s="33" t="n"/>
      <c r="AJ575" s="34">
        <f>AD575</f>
        <v/>
      </c>
      <c r="AK575" s="34">
        <f>AJ575-(AJ575*7%)</f>
        <v/>
      </c>
      <c r="AL575" s="35">
        <f>AJ575/94</f>
        <v/>
      </c>
      <c r="AM575" s="35">
        <f>AK575/94</f>
        <v/>
      </c>
      <c r="AN575" s="36">
        <f>AJ575/24</f>
        <v/>
      </c>
      <c r="AO575" s="36">
        <f>AK575/24</f>
        <v/>
      </c>
      <c r="AP575" s="37">
        <f>AJ575/125</f>
        <v/>
      </c>
      <c r="AQ575" s="37">
        <f>AK575/125</f>
        <v/>
      </c>
    </row>
    <row r="576" ht="15.75" customHeight="1" s="50">
      <c r="A576" s="32" t="n"/>
      <c r="B576" s="32" t="inlineStr">
        <is>
          <t>F Plate</t>
        </is>
      </c>
      <c r="D576" s="32" t="n">
        <v>6050</v>
      </c>
      <c r="E576" s="32" t="n">
        <v>190</v>
      </c>
      <c r="G576" s="32" t="n">
        <v>0</v>
      </c>
      <c r="H576" s="32" t="n">
        <v>10</v>
      </c>
      <c r="I576" s="41" t="n">
        <v>83061000</v>
      </c>
      <c r="J576" s="30" t="n">
        <v>0.05</v>
      </c>
      <c r="K576" s="32">
        <f>D576*J576</f>
        <v/>
      </c>
      <c r="M576" s="32">
        <f>D576*4%</f>
        <v/>
      </c>
      <c r="N576" s="49">
        <f>M576+L576+K576+H576+G576+F576+E576+D576</f>
        <v/>
      </c>
      <c r="O576" s="32">
        <f>D576*1%</f>
        <v/>
      </c>
      <c r="P576" s="7">
        <f>N576*8%</f>
        <v/>
      </c>
      <c r="Q576" s="7">
        <f>N576*10%</f>
        <v/>
      </c>
      <c r="R576" s="7">
        <f>N576*5%</f>
        <v/>
      </c>
      <c r="S576" s="7">
        <f>N576*2%</f>
        <v/>
      </c>
      <c r="T576" s="7">
        <f>AE576*0.5%</f>
        <v/>
      </c>
      <c r="U576" s="7">
        <f>N576*1%</f>
        <v/>
      </c>
      <c r="V576" s="31">
        <f>U576+S576+R576+Q576+P576+O576</f>
        <v/>
      </c>
      <c r="W576" s="32">
        <f>AE576*1%</f>
        <v/>
      </c>
      <c r="X576" s="32">
        <f>AE576*10%</f>
        <v/>
      </c>
      <c r="Y576" s="32">
        <f>AE576*1%</f>
        <v/>
      </c>
      <c r="Z576" s="32">
        <f>AE576*8%</f>
        <v/>
      </c>
      <c r="AA576" s="32">
        <f>W576+X576+Y576+Z576</f>
        <v/>
      </c>
      <c r="AB576" s="31">
        <f>AA576+V576+N576</f>
        <v/>
      </c>
      <c r="AC576" s="6">
        <f>AB576*20%</f>
        <v/>
      </c>
      <c r="AD576" s="7">
        <f>AB576+AC576</f>
        <v/>
      </c>
      <c r="AE576" s="32">
        <f>D576*2.1</f>
        <v/>
      </c>
      <c r="AF576" s="7">
        <f>AD576-AE576</f>
        <v/>
      </c>
      <c r="AG576" s="7">
        <f>AF576/AD576*100</f>
        <v/>
      </c>
      <c r="AI576" s="33" t="n"/>
      <c r="AJ576" s="34">
        <f>AD576</f>
        <v/>
      </c>
      <c r="AK576" s="34">
        <f>AJ576-(AJ576*7%)</f>
        <v/>
      </c>
      <c r="AL576" s="35">
        <f>AJ576/94</f>
        <v/>
      </c>
      <c r="AM576" s="35">
        <f>AK576/94</f>
        <v/>
      </c>
      <c r="AN576" s="36">
        <f>AJ576/24</f>
        <v/>
      </c>
      <c r="AO576" s="36">
        <f>AK576/24</f>
        <v/>
      </c>
      <c r="AP576" s="37">
        <f>AJ576/125</f>
        <v/>
      </c>
      <c r="AQ576" s="37">
        <f>AK576/125</f>
        <v/>
      </c>
    </row>
    <row r="577" ht="15.75" customHeight="1" s="50">
      <c r="A577" s="32" t="n"/>
      <c r="B577" s="32" t="inlineStr">
        <is>
          <t>E Plate</t>
        </is>
      </c>
      <c r="D577" s="32" t="n">
        <v>6600</v>
      </c>
      <c r="E577" s="32" t="n">
        <v>190</v>
      </c>
      <c r="G577" s="32" t="n">
        <v>0</v>
      </c>
      <c r="H577" s="32" t="n">
        <v>10</v>
      </c>
      <c r="I577" s="41" t="n">
        <v>83061000</v>
      </c>
      <c r="J577" s="30" t="n">
        <v>0.05</v>
      </c>
      <c r="K577" s="32">
        <f>D577*J577</f>
        <v/>
      </c>
      <c r="M577" s="32">
        <f>D577*4%</f>
        <v/>
      </c>
      <c r="N577" s="49">
        <f>M577+L577+K577+H577+G577+F577+E577+D577</f>
        <v/>
      </c>
      <c r="O577" s="32">
        <f>D577*1%</f>
        <v/>
      </c>
      <c r="P577" s="7">
        <f>N577*8%</f>
        <v/>
      </c>
      <c r="Q577" s="7">
        <f>N577*10%</f>
        <v/>
      </c>
      <c r="R577" s="7">
        <f>N577*5%</f>
        <v/>
      </c>
      <c r="S577" s="7">
        <f>N577*2%</f>
        <v/>
      </c>
      <c r="T577" s="7">
        <f>AE577*0.5%</f>
        <v/>
      </c>
      <c r="U577" s="7">
        <f>N577*1%</f>
        <v/>
      </c>
      <c r="V577" s="31">
        <f>U577+S577+R577+Q577+P577+O577</f>
        <v/>
      </c>
      <c r="W577" s="32">
        <f>AE577*1%</f>
        <v/>
      </c>
      <c r="X577" s="32">
        <f>AE577*10%</f>
        <v/>
      </c>
      <c r="Y577" s="32">
        <f>AE577*1%</f>
        <v/>
      </c>
      <c r="Z577" s="32">
        <f>AE577*8%</f>
        <v/>
      </c>
      <c r="AA577" s="32">
        <f>W577+X577+Y577+Z577</f>
        <v/>
      </c>
      <c r="AB577" s="31">
        <f>AA577+V577+N577</f>
        <v/>
      </c>
      <c r="AC577" s="6">
        <f>AB577*20%</f>
        <v/>
      </c>
      <c r="AD577" s="7">
        <f>AB577+AC577</f>
        <v/>
      </c>
      <c r="AE577" s="32">
        <f>D577*2.1</f>
        <v/>
      </c>
      <c r="AF577" s="7">
        <f>AD577-AE577</f>
        <v/>
      </c>
      <c r="AG577" s="7">
        <f>AF577/AD577*100</f>
        <v/>
      </c>
      <c r="AI577" s="33" t="n"/>
      <c r="AJ577" s="34">
        <f>AD577</f>
        <v/>
      </c>
      <c r="AK577" s="34">
        <f>AJ577-(AJ577*7%)</f>
        <v/>
      </c>
      <c r="AL577" s="35">
        <f>AJ577/94</f>
        <v/>
      </c>
      <c r="AM577" s="35">
        <f>AK577/94</f>
        <v/>
      </c>
      <c r="AN577" s="36">
        <f>AJ577/24</f>
        <v/>
      </c>
      <c r="AO577" s="36">
        <f>AK577/24</f>
        <v/>
      </c>
      <c r="AP577" s="37">
        <f>AJ577/125</f>
        <v/>
      </c>
      <c r="AQ577" s="37">
        <f>AK577/125</f>
        <v/>
      </c>
    </row>
    <row r="578" ht="15.75" customHeight="1" s="50">
      <c r="A578" s="32" t="n"/>
      <c r="B578" s="32" t="inlineStr">
        <is>
          <t>D Plate</t>
        </is>
      </c>
      <c r="D578" s="32" t="n">
        <v>8250</v>
      </c>
      <c r="E578" s="32" t="n">
        <v>190</v>
      </c>
      <c r="G578" s="32" t="n">
        <v>0</v>
      </c>
      <c r="H578" s="32" t="n">
        <v>10</v>
      </c>
      <c r="I578" s="41" t="n">
        <v>83061000</v>
      </c>
      <c r="J578" s="30" t="n">
        <v>0.05</v>
      </c>
      <c r="K578" s="32">
        <f>D578*J578</f>
        <v/>
      </c>
      <c r="M578" s="32">
        <f>D578*4%</f>
        <v/>
      </c>
      <c r="N578" s="49">
        <f>M578+L578+K578+H578+G578+F578+E578+D578</f>
        <v/>
      </c>
      <c r="O578" s="32">
        <f>D578*1%</f>
        <v/>
      </c>
      <c r="P578" s="7">
        <f>N578*8%</f>
        <v/>
      </c>
      <c r="Q578" s="7">
        <f>N578*10%</f>
        <v/>
      </c>
      <c r="R578" s="7">
        <f>N578*5%</f>
        <v/>
      </c>
      <c r="S578" s="7">
        <f>N578*2%</f>
        <v/>
      </c>
      <c r="T578" s="7">
        <f>AE578*0.5%</f>
        <v/>
      </c>
      <c r="U578" s="7">
        <f>N578*1%</f>
        <v/>
      </c>
      <c r="V578" s="31">
        <f>U578+S578+R578+Q578+P578+O578</f>
        <v/>
      </c>
      <c r="W578" s="32">
        <f>AE578*1%</f>
        <v/>
      </c>
      <c r="X578" s="32">
        <f>AE578*10%</f>
        <v/>
      </c>
      <c r="Y578" s="32">
        <f>AE578*1%</f>
        <v/>
      </c>
      <c r="Z578" s="32">
        <f>AE578*8%</f>
        <v/>
      </c>
      <c r="AA578" s="32">
        <f>W578+X578+Y578+Z578</f>
        <v/>
      </c>
      <c r="AB578" s="31">
        <f>AA578+V578+N578</f>
        <v/>
      </c>
      <c r="AC578" s="6">
        <f>AB578*20%</f>
        <v/>
      </c>
      <c r="AD578" s="7">
        <f>AB578+AC578</f>
        <v/>
      </c>
      <c r="AE578" s="32">
        <f>D578*2.1</f>
        <v/>
      </c>
      <c r="AF578" s="7">
        <f>AD578-AE578</f>
        <v/>
      </c>
      <c r="AG578" s="7">
        <f>AF578/AD578*100</f>
        <v/>
      </c>
      <c r="AI578" s="33" t="n"/>
      <c r="AJ578" s="34">
        <f>AD578</f>
        <v/>
      </c>
      <c r="AK578" s="34">
        <f>AJ578-(AJ578*7%)</f>
        <v/>
      </c>
      <c r="AL578" s="35">
        <f>AJ578/94</f>
        <v/>
      </c>
      <c r="AM578" s="35">
        <f>AK578/94</f>
        <v/>
      </c>
      <c r="AN578" s="36">
        <f>AJ578/24</f>
        <v/>
      </c>
      <c r="AO578" s="36">
        <f>AK578/24</f>
        <v/>
      </c>
      <c r="AP578" s="37">
        <f>AJ578/125</f>
        <v/>
      </c>
      <c r="AQ578" s="37">
        <f>AK578/125</f>
        <v/>
      </c>
    </row>
    <row r="579" ht="15.75" customHeight="1" s="50">
      <c r="A579" s="32" t="n"/>
      <c r="B579" s="32" t="inlineStr">
        <is>
          <t>C Plate</t>
        </is>
      </c>
      <c r="D579" s="32" t="n">
        <v>9350</v>
      </c>
      <c r="E579" s="32" t="n">
        <v>190</v>
      </c>
      <c r="G579" s="32" t="n">
        <v>0</v>
      </c>
      <c r="H579" s="32" t="n">
        <v>10</v>
      </c>
      <c r="I579" s="41" t="n">
        <v>83061000</v>
      </c>
      <c r="J579" s="30" t="n">
        <v>0.05</v>
      </c>
      <c r="K579" s="32">
        <f>D579*J579</f>
        <v/>
      </c>
      <c r="M579" s="32">
        <f>D579*4%</f>
        <v/>
      </c>
      <c r="N579" s="49">
        <f>M579+L579+K579+H579+G579+F579+E579+D579</f>
        <v/>
      </c>
      <c r="O579" s="32">
        <f>D579*1%</f>
        <v/>
      </c>
      <c r="P579" s="7">
        <f>N579*8%</f>
        <v/>
      </c>
      <c r="Q579" s="7">
        <f>N579*10%</f>
        <v/>
      </c>
      <c r="R579" s="7">
        <f>N579*5%</f>
        <v/>
      </c>
      <c r="S579" s="7">
        <f>N579*2%</f>
        <v/>
      </c>
      <c r="T579" s="7">
        <f>AE579*0.5%</f>
        <v/>
      </c>
      <c r="U579" s="7">
        <f>N579*1%</f>
        <v/>
      </c>
      <c r="V579" s="31">
        <f>U579+S579+R579+Q579+P579+O579</f>
        <v/>
      </c>
      <c r="W579" s="32">
        <f>AE579*1%</f>
        <v/>
      </c>
      <c r="X579" s="32">
        <f>AE579*10%</f>
        <v/>
      </c>
      <c r="Y579" s="32">
        <f>AE579*1%</f>
        <v/>
      </c>
      <c r="Z579" s="32">
        <f>AE579*8%</f>
        <v/>
      </c>
      <c r="AA579" s="32">
        <f>W579+X579+Y579+Z579</f>
        <v/>
      </c>
      <c r="AB579" s="31">
        <f>AA579+V579+N579</f>
        <v/>
      </c>
      <c r="AC579" s="6">
        <f>AB579*20%</f>
        <v/>
      </c>
      <c r="AD579" s="7">
        <f>AB579+AC579</f>
        <v/>
      </c>
      <c r="AE579" s="32">
        <f>D579*2.1</f>
        <v/>
      </c>
      <c r="AF579" s="7">
        <f>AD579-AE579</f>
        <v/>
      </c>
      <c r="AG579" s="7">
        <f>AF579/AD579*100</f>
        <v/>
      </c>
      <c r="AI579" s="33" t="n"/>
      <c r="AJ579" s="34">
        <f>AD579</f>
        <v/>
      </c>
      <c r="AK579" s="34">
        <f>AJ579-(AJ579*7%)</f>
        <v/>
      </c>
      <c r="AL579" s="35">
        <f>AJ579/94</f>
        <v/>
      </c>
      <c r="AM579" s="35">
        <f>AK579/94</f>
        <v/>
      </c>
      <c r="AN579" s="36">
        <f>AJ579/24</f>
        <v/>
      </c>
      <c r="AO579" s="36">
        <f>AK579/24</f>
        <v/>
      </c>
      <c r="AP579" s="37">
        <f>AJ579/125</f>
        <v/>
      </c>
      <c r="AQ579" s="37">
        <f>AK579/125</f>
        <v/>
      </c>
    </row>
    <row r="580" ht="15.75" customHeight="1" s="50">
      <c r="A580" s="32" t="n"/>
      <c r="B580" s="32" t="inlineStr">
        <is>
          <t>Full Set</t>
        </is>
      </c>
      <c r="D580" s="32" t="n">
        <v>52100</v>
      </c>
      <c r="E580" s="32" t="n">
        <v>700</v>
      </c>
      <c r="G580" s="32" t="n">
        <v>0</v>
      </c>
      <c r="H580" s="32" t="n">
        <v>10</v>
      </c>
      <c r="I580" s="41" t="n">
        <v>83061000</v>
      </c>
      <c r="J580" s="30" t="n">
        <v>0.05</v>
      </c>
      <c r="K580" s="32">
        <f>D580*J580</f>
        <v/>
      </c>
      <c r="M580" s="32">
        <f>D580*4%</f>
        <v/>
      </c>
      <c r="N580" s="49">
        <f>M580+L580+K580+H580+G580+F580+E580+D580</f>
        <v/>
      </c>
      <c r="O580" s="32">
        <f>D580*1%</f>
        <v/>
      </c>
      <c r="P580" s="7">
        <f>N580*8%</f>
        <v/>
      </c>
      <c r="Q580" s="7">
        <f>N580*10%</f>
        <v/>
      </c>
      <c r="R580" s="7">
        <f>N580*5%</f>
        <v/>
      </c>
      <c r="S580" s="7">
        <f>N580*2%</f>
        <v/>
      </c>
      <c r="T580" s="7">
        <f>AE580*0.5%</f>
        <v/>
      </c>
      <c r="U580" s="7">
        <f>N580*1%</f>
        <v/>
      </c>
      <c r="V580" s="31">
        <f>U580+S580+R580+Q580+P580+O580</f>
        <v/>
      </c>
      <c r="W580" s="32">
        <f>AE580*1%</f>
        <v/>
      </c>
      <c r="X580" s="32">
        <f>AE580*10%</f>
        <v/>
      </c>
      <c r="Y580" s="32">
        <f>AE580*1%</f>
        <v/>
      </c>
      <c r="Z580" s="32">
        <f>AE580*8%</f>
        <v/>
      </c>
      <c r="AA580" s="32">
        <f>W580+X580+Y580+Z580</f>
        <v/>
      </c>
      <c r="AB580" s="31">
        <f>AA580+V580+N580</f>
        <v/>
      </c>
      <c r="AC580" s="6">
        <f>AB580*20%</f>
        <v/>
      </c>
      <c r="AD580" s="7">
        <f>AB580+AC580</f>
        <v/>
      </c>
      <c r="AE580" s="32">
        <f>D580*2.1</f>
        <v/>
      </c>
      <c r="AF580" s="7">
        <f>AD580-AE580</f>
        <v/>
      </c>
      <c r="AG580" s="7">
        <f>AF580/AD580*100</f>
        <v/>
      </c>
      <c r="AI580" s="33" t="n"/>
      <c r="AJ580" s="34">
        <f>AD580</f>
        <v/>
      </c>
      <c r="AK580" s="34">
        <f>AJ580-(AJ580*7%)</f>
        <v/>
      </c>
      <c r="AL580" s="35">
        <f>AJ580/94</f>
        <v/>
      </c>
      <c r="AM580" s="35">
        <f>AK580/94</f>
        <v/>
      </c>
      <c r="AN580" s="36">
        <f>AJ580/24</f>
        <v/>
      </c>
      <c r="AO580" s="36">
        <f>AK580/24</f>
        <v/>
      </c>
      <c r="AP580" s="37">
        <f>AJ580/125</f>
        <v/>
      </c>
      <c r="AQ580" s="37">
        <f>AK580/125</f>
        <v/>
      </c>
    </row>
    <row r="581" ht="15" customHeight="1" s="50">
      <c r="A581" s="32" t="inlineStr">
        <is>
          <t>Shruti Box</t>
        </is>
      </c>
      <c r="B581" s="32" t="inlineStr">
        <is>
          <t>1 Octave</t>
        </is>
      </c>
      <c r="D581" s="32" t="n">
        <v>6500</v>
      </c>
      <c r="G581" s="32" t="n">
        <v>0</v>
      </c>
      <c r="H581" s="32" t="n">
        <v>10</v>
      </c>
      <c r="I581" s="41" t="n">
        <v>92030010</v>
      </c>
      <c r="J581" s="41" t="n">
        <v>0</v>
      </c>
      <c r="K581" s="32">
        <f>#REF!*J581</f>
        <v/>
      </c>
      <c r="M581" s="32">
        <f>#REF!*4%</f>
        <v/>
      </c>
      <c r="N581" s="49">
        <f>M581+L581+K581+H581+G581+F581+E581+#REF!</f>
        <v/>
      </c>
      <c r="O581" s="32">
        <f>#REF!*1%</f>
        <v/>
      </c>
      <c r="P581" s="7">
        <f>N581*8%</f>
        <v/>
      </c>
      <c r="Q581" s="7">
        <f>N581*10%</f>
        <v/>
      </c>
      <c r="R581" s="7">
        <f>N581*5%</f>
        <v/>
      </c>
      <c r="S581" s="7">
        <f>N581*2%</f>
        <v/>
      </c>
      <c r="T581" s="7">
        <f>AE581*0.5%</f>
        <v/>
      </c>
      <c r="U581" s="7">
        <f>N581*1%</f>
        <v/>
      </c>
      <c r="V581" s="49">
        <f>U581+S581+R581+Q581+P581+O581</f>
        <v/>
      </c>
      <c r="W581" s="32">
        <f>AE581*1%</f>
        <v/>
      </c>
      <c r="X581" s="32">
        <f>AE581*10%</f>
        <v/>
      </c>
      <c r="Y581" s="32">
        <f>AE581*1%</f>
        <v/>
      </c>
      <c r="Z581" s="32">
        <f>AE581*8%</f>
        <v/>
      </c>
      <c r="AA581" s="32">
        <f>W581+X581+Y581+Z581</f>
        <v/>
      </c>
      <c r="AB581" s="31">
        <f>AA581+V581+N581</f>
        <v/>
      </c>
      <c r="AC581" s="6">
        <f>AB581*20%</f>
        <v/>
      </c>
      <c r="AD581" s="32">
        <f>AB581+AC581</f>
        <v/>
      </c>
      <c r="AE581" s="32">
        <f>#REF!*2.1</f>
        <v/>
      </c>
      <c r="AF581" s="7">
        <f>AD581-AE581</f>
        <v/>
      </c>
      <c r="AG581" s="7">
        <f>AF581/AD581*100</f>
        <v/>
      </c>
      <c r="AI581" s="33" t="n"/>
      <c r="AJ581" s="34">
        <f>AD581</f>
        <v/>
      </c>
      <c r="AK581" s="34">
        <f>AJ581-(AJ581*7%)</f>
        <v/>
      </c>
      <c r="AL581" s="35">
        <f>AJ581/94</f>
        <v/>
      </c>
      <c r="AM581" s="35">
        <f>AK581/94</f>
        <v/>
      </c>
      <c r="AN581" s="36">
        <f>AJ581/24</f>
        <v/>
      </c>
      <c r="AO581" s="36">
        <f>AK581/24</f>
        <v/>
      </c>
      <c r="AP581" s="37">
        <f>AJ581/125</f>
        <v/>
      </c>
      <c r="AQ581" s="37">
        <f>AK581/125</f>
        <v/>
      </c>
    </row>
    <row r="582" ht="15.75" customHeight="1" s="50">
      <c r="A582" s="32" t="n"/>
      <c r="B582" s="32" t="inlineStr">
        <is>
          <t>2 Octaves</t>
        </is>
      </c>
      <c r="D582" s="32" t="n">
        <v>7800</v>
      </c>
      <c r="G582" s="32" t="n">
        <v>0</v>
      </c>
      <c r="H582" s="32" t="n">
        <v>10</v>
      </c>
      <c r="I582" s="41" t="n">
        <v>92030010</v>
      </c>
      <c r="J582" s="41" t="n">
        <v>0</v>
      </c>
      <c r="K582" s="32">
        <f>D582*J582</f>
        <v/>
      </c>
      <c r="M582" s="32">
        <f>D582*4%</f>
        <v/>
      </c>
      <c r="N582" s="49">
        <f>M582+L582+K582+H582+G582+F582+E582+D582</f>
        <v/>
      </c>
      <c r="O582" s="32">
        <f>D582*1%</f>
        <v/>
      </c>
      <c r="P582" s="7">
        <f>N582*8%</f>
        <v/>
      </c>
      <c r="Q582" s="7">
        <f>N582*10%</f>
        <v/>
      </c>
      <c r="R582" s="7">
        <f>N582*5%</f>
        <v/>
      </c>
      <c r="S582" s="7">
        <f>N582*2%</f>
        <v/>
      </c>
      <c r="T582" s="7">
        <f>AE582*0.5%</f>
        <v/>
      </c>
      <c r="U582" s="7">
        <f>N582*1%</f>
        <v/>
      </c>
      <c r="V582" s="31">
        <f>U582+S582+R582+Q582+P582+O582</f>
        <v/>
      </c>
      <c r="W582" s="32">
        <f>AE582*1%</f>
        <v/>
      </c>
      <c r="X582" s="32">
        <f>AE582*10%</f>
        <v/>
      </c>
      <c r="Y582" s="32">
        <f>AE582*1%</f>
        <v/>
      </c>
      <c r="Z582" s="32">
        <f>AE582*8%</f>
        <v/>
      </c>
      <c r="AA582" s="32">
        <f>W582+X582+Y582+Z582</f>
        <v/>
      </c>
      <c r="AB582" s="31">
        <f>AA582+V582+N582</f>
        <v/>
      </c>
      <c r="AC582" s="6">
        <f>AB582*20%</f>
        <v/>
      </c>
      <c r="AD582" s="7">
        <f>AB582+AC582</f>
        <v/>
      </c>
      <c r="AE582" s="32">
        <f>D582*2.1</f>
        <v/>
      </c>
      <c r="AF582" s="7">
        <f>AD582-AE582</f>
        <v/>
      </c>
      <c r="AG582" s="7">
        <f>AF582/AD582*100</f>
        <v/>
      </c>
      <c r="AI582" s="33" t="n"/>
      <c r="AJ582" s="34">
        <f>AD582</f>
        <v/>
      </c>
      <c r="AK582" s="34">
        <f>AJ582-(AJ582*7%)</f>
        <v/>
      </c>
      <c r="AL582" s="35">
        <f>AJ582/94</f>
        <v/>
      </c>
      <c r="AM582" s="35">
        <f>AK582/94</f>
        <v/>
      </c>
      <c r="AN582" s="36">
        <f>AJ582/24</f>
        <v/>
      </c>
      <c r="AO582" s="36">
        <f>AK582/24</f>
        <v/>
      </c>
      <c r="AP582" s="37">
        <f>AJ582/125</f>
        <v/>
      </c>
      <c r="AQ582" s="37">
        <f>AK582/125</f>
        <v/>
      </c>
    </row>
    <row r="583" ht="15.75" customHeight="1" s="50">
      <c r="A583" s="32" t="n"/>
      <c r="B583" s="32" t="inlineStr">
        <is>
          <t>3 Octaves</t>
        </is>
      </c>
      <c r="D583" s="32" t="n">
        <v>8700</v>
      </c>
      <c r="G583" s="32" t="n">
        <v>0</v>
      </c>
      <c r="H583" s="32" t="n">
        <v>10</v>
      </c>
      <c r="I583" s="41" t="n">
        <v>92030010</v>
      </c>
      <c r="J583" s="41" t="n">
        <v>0</v>
      </c>
      <c r="K583" s="32">
        <f>D583*J583</f>
        <v/>
      </c>
      <c r="M583" s="32">
        <f>D583*4%</f>
        <v/>
      </c>
      <c r="N583" s="49">
        <f>M583+L583+K583+H583+G583+F583+E583+D583</f>
        <v/>
      </c>
      <c r="O583" s="32">
        <f>D583*1%</f>
        <v/>
      </c>
      <c r="P583" s="7">
        <f>N583*8%</f>
        <v/>
      </c>
      <c r="Q583" s="7">
        <f>N583*10%</f>
        <v/>
      </c>
      <c r="R583" s="7">
        <f>N583*5%</f>
        <v/>
      </c>
      <c r="S583" s="7">
        <f>N583*2%</f>
        <v/>
      </c>
      <c r="T583" s="7">
        <f>AE583*0.5%</f>
        <v/>
      </c>
      <c r="U583" s="7">
        <f>N583*1%</f>
        <v/>
      </c>
      <c r="V583" s="31">
        <f>U583+S583+R583+Q583+P583+O583</f>
        <v/>
      </c>
      <c r="W583" s="32">
        <f>AE583*1%</f>
        <v/>
      </c>
      <c r="X583" s="32">
        <f>AE583*10%</f>
        <v/>
      </c>
      <c r="Y583" s="32">
        <f>AE583*1%</f>
        <v/>
      </c>
      <c r="Z583" s="32">
        <f>AE583*8%</f>
        <v/>
      </c>
      <c r="AA583" s="32">
        <f>W583+X583+Y583+Z583</f>
        <v/>
      </c>
      <c r="AB583" s="31">
        <f>AA583+V583+N583</f>
        <v/>
      </c>
      <c r="AC583" s="6">
        <f>AB583*20%</f>
        <v/>
      </c>
      <c r="AD583" s="7">
        <f>AB583+AC583</f>
        <v/>
      </c>
      <c r="AE583" s="32">
        <f>D583*2.1</f>
        <v/>
      </c>
      <c r="AF583" s="7">
        <f>AD583-AE583</f>
        <v/>
      </c>
      <c r="AG583" s="7">
        <f>AF583/AD583*100</f>
        <v/>
      </c>
      <c r="AI583" s="33" t="n"/>
      <c r="AJ583" s="34">
        <f>AD583</f>
        <v/>
      </c>
      <c r="AK583" s="34">
        <f>AJ583-(AJ583*7%)</f>
        <v/>
      </c>
      <c r="AL583" s="35">
        <f>AJ583/94</f>
        <v/>
      </c>
      <c r="AM583" s="35">
        <f>AK583/94</f>
        <v/>
      </c>
      <c r="AN583" s="36">
        <f>AJ583/24</f>
        <v/>
      </c>
      <c r="AO583" s="36">
        <f>AK583/24</f>
        <v/>
      </c>
      <c r="AP583" s="37">
        <f>AJ583/125</f>
        <v/>
      </c>
      <c r="AQ583" s="37">
        <f>AK583/125</f>
        <v/>
      </c>
    </row>
    <row r="584" ht="15" customHeight="1" s="50">
      <c r="A584" s="32" t="inlineStr">
        <is>
          <t>Singing Bowl Bags</t>
        </is>
      </c>
      <c r="B584" s="32" t="inlineStr">
        <is>
          <t>Small</t>
        </is>
      </c>
      <c r="C584" s="32" t="inlineStr">
        <is>
          <t>MI-SB-Bag-S</t>
        </is>
      </c>
      <c r="D584" s="32" t="n">
        <v>495</v>
      </c>
      <c r="G584" s="32" t="n">
        <v>0</v>
      </c>
      <c r="H584" s="32" t="n">
        <v>10</v>
      </c>
      <c r="I584" s="41" t="n">
        <v>4202</v>
      </c>
      <c r="J584" s="30" t="n">
        <v>0.18</v>
      </c>
      <c r="K584" s="32">
        <f>D584*J584</f>
        <v/>
      </c>
      <c r="M584" s="32">
        <f>D584*4%</f>
        <v/>
      </c>
      <c r="N584" s="49">
        <f>M584+L584+K584+H584+G584+F584+E584+D584</f>
        <v/>
      </c>
      <c r="O584" s="32">
        <f>D584*1%</f>
        <v/>
      </c>
      <c r="P584" s="7">
        <f>N584*8%</f>
        <v/>
      </c>
      <c r="Q584" s="7">
        <f>N584*10%</f>
        <v/>
      </c>
      <c r="R584" s="7">
        <f>N584*5%</f>
        <v/>
      </c>
      <c r="S584" s="7">
        <f>N584*2%</f>
        <v/>
      </c>
      <c r="T584" s="7">
        <f>AE584*0.5%</f>
        <v/>
      </c>
      <c r="U584" s="7">
        <f>N584*1%</f>
        <v/>
      </c>
      <c r="V584" s="31">
        <f>U584+S584+R584+Q584+P584+O584</f>
        <v/>
      </c>
      <c r="W584" s="32">
        <f>AE584*1%</f>
        <v/>
      </c>
      <c r="X584" s="32">
        <f>AE584*10%</f>
        <v/>
      </c>
      <c r="Y584" s="32">
        <f>AE584*1%</f>
        <v/>
      </c>
      <c r="Z584" s="32">
        <f>AE584*8%</f>
        <v/>
      </c>
      <c r="AA584" s="32">
        <f>W584+X584+Y584+Z584</f>
        <v/>
      </c>
      <c r="AB584" s="31">
        <f>AA584+V584+N584</f>
        <v/>
      </c>
      <c r="AC584" s="6">
        <f>AB584*20%</f>
        <v/>
      </c>
      <c r="AD584" s="7">
        <f>AB584+AC584</f>
        <v/>
      </c>
      <c r="AE584" s="32">
        <f>D584*2.1</f>
        <v/>
      </c>
      <c r="AF584" s="7">
        <f>AD584-AE584</f>
        <v/>
      </c>
      <c r="AG584" s="7">
        <f>AF584/AD584*100</f>
        <v/>
      </c>
      <c r="AH584" s="0" t="n">
        <v>1790</v>
      </c>
      <c r="AI584" s="33" t="n">
        <v>1295</v>
      </c>
      <c r="AJ584" s="34">
        <f>AD584</f>
        <v/>
      </c>
      <c r="AK584" s="34">
        <f>AJ584-(AJ584*7%)</f>
        <v/>
      </c>
      <c r="AL584" s="35">
        <f>AJ584/94</f>
        <v/>
      </c>
      <c r="AM584" s="35">
        <f>AK584/94</f>
        <v/>
      </c>
      <c r="AN584" s="36">
        <f>AJ584/24</f>
        <v/>
      </c>
      <c r="AO584" s="36">
        <f>AK584/24</f>
        <v/>
      </c>
      <c r="AP584" s="37">
        <f>AJ584/125</f>
        <v/>
      </c>
      <c r="AQ584" s="37">
        <f>AK584/125</f>
        <v/>
      </c>
    </row>
    <row r="585" ht="15.75" customHeight="1" s="50">
      <c r="A585" s="32" t="n"/>
      <c r="B585" s="32" t="inlineStr">
        <is>
          <t>Large</t>
        </is>
      </c>
      <c r="C585" s="32" t="inlineStr">
        <is>
          <t>MI-SB-Bag-L</t>
        </is>
      </c>
      <c r="D585" s="32" t="n">
        <v>910</v>
      </c>
      <c r="G585" s="32" t="n">
        <v>0</v>
      </c>
      <c r="H585" s="32" t="n">
        <v>10</v>
      </c>
      <c r="I585" s="41" t="n">
        <v>4202</v>
      </c>
      <c r="J585" s="30" t="n">
        <v>0.18</v>
      </c>
      <c r="K585" s="32">
        <f>D585*J585</f>
        <v/>
      </c>
      <c r="M585" s="32">
        <f>D585*4%</f>
        <v/>
      </c>
      <c r="N585" s="49">
        <f>M585+L585+K585+H585+G585+F585+E585+D585</f>
        <v/>
      </c>
      <c r="O585" s="32">
        <f>D585*1%</f>
        <v/>
      </c>
      <c r="P585" s="7">
        <f>N585*8%</f>
        <v/>
      </c>
      <c r="Q585" s="7">
        <f>N585*10%</f>
        <v/>
      </c>
      <c r="R585" s="7">
        <f>N585*5%</f>
        <v/>
      </c>
      <c r="S585" s="7">
        <f>N585*2%</f>
        <v/>
      </c>
      <c r="T585" s="7">
        <f>AE585*0.5%</f>
        <v/>
      </c>
      <c r="U585" s="7">
        <f>N585*1%</f>
        <v/>
      </c>
      <c r="V585" s="31">
        <f>U585+S585+R585+Q585+P585+O585</f>
        <v/>
      </c>
      <c r="W585" s="32">
        <f>AE585*1%</f>
        <v/>
      </c>
      <c r="X585" s="32">
        <f>AE585*10%</f>
        <v/>
      </c>
      <c r="Y585" s="32">
        <f>AE585*1%</f>
        <v/>
      </c>
      <c r="Z585" s="32">
        <f>AE585*8%</f>
        <v/>
      </c>
      <c r="AA585" s="32">
        <f>W585+X585+Y585+Z585</f>
        <v/>
      </c>
      <c r="AB585" s="31">
        <f>AA585+V585+N585</f>
        <v/>
      </c>
      <c r="AC585" s="6">
        <f>AB585*20%</f>
        <v/>
      </c>
      <c r="AD585" s="7">
        <f>AB585+AC585</f>
        <v/>
      </c>
      <c r="AE585" s="32">
        <f>D585*2.1</f>
        <v/>
      </c>
      <c r="AF585" s="7">
        <f>AD585-AE585</f>
        <v/>
      </c>
      <c r="AG585" s="7">
        <f>AF585/AD585*100</f>
        <v/>
      </c>
      <c r="AH585" s="0" t="n">
        <v>2290</v>
      </c>
      <c r="AI585" s="33" t="n">
        <v>1380</v>
      </c>
      <c r="AJ585" s="34">
        <f>AD585</f>
        <v/>
      </c>
      <c r="AK585" s="34">
        <f>AJ585-(AJ585*7%)</f>
        <v/>
      </c>
      <c r="AL585" s="35">
        <f>AJ585/94</f>
        <v/>
      </c>
      <c r="AM585" s="35">
        <f>AK585/94</f>
        <v/>
      </c>
      <c r="AN585" s="36">
        <f>AJ585/24</f>
        <v/>
      </c>
      <c r="AO585" s="36">
        <f>AK585/24</f>
        <v/>
      </c>
      <c r="AP585" s="37">
        <f>AJ585/125</f>
        <v/>
      </c>
      <c r="AQ585" s="37">
        <f>AK585/125</f>
        <v/>
      </c>
    </row>
    <row r="586" ht="15.75" customHeight="1" s="50">
      <c r="A586" s="32" t="n"/>
      <c r="B586" s="32" t="inlineStr">
        <is>
          <t>Standard</t>
        </is>
      </c>
      <c r="C586" s="32" t="inlineStr">
        <is>
          <t>MI-SB-Bag-M</t>
        </is>
      </c>
      <c r="D586" s="32" t="n">
        <v>695</v>
      </c>
      <c r="G586" s="32" t="n">
        <v>0</v>
      </c>
      <c r="H586" s="32" t="n">
        <v>10</v>
      </c>
      <c r="I586" s="41" t="n">
        <v>940490099</v>
      </c>
      <c r="J586" s="30" t="n">
        <v>0.05</v>
      </c>
      <c r="K586" s="32">
        <f>D586*J586</f>
        <v/>
      </c>
      <c r="M586" s="32">
        <f>D586*4%</f>
        <v/>
      </c>
      <c r="N586" s="49">
        <f>M586+L586+K586+H586+G586+F586+E586+D586</f>
        <v/>
      </c>
      <c r="O586" s="32">
        <f>D586*1%</f>
        <v/>
      </c>
      <c r="P586" s="7">
        <f>N586*8%</f>
        <v/>
      </c>
      <c r="Q586" s="7">
        <f>N586*10%</f>
        <v/>
      </c>
      <c r="R586" s="7">
        <f>N586*5%</f>
        <v/>
      </c>
      <c r="S586" s="7">
        <f>N586*2%</f>
        <v/>
      </c>
      <c r="T586" s="7">
        <f>AE586*0.5%</f>
        <v/>
      </c>
      <c r="U586" s="7">
        <f>N586*1%</f>
        <v/>
      </c>
      <c r="V586" s="31">
        <f>U586+S586+R586+Q586+P586+O586</f>
        <v/>
      </c>
      <c r="W586" s="32">
        <f>AE586*1%</f>
        <v/>
      </c>
      <c r="X586" s="32">
        <f>AE586*10%</f>
        <v/>
      </c>
      <c r="Y586" s="32">
        <f>AE586*1%</f>
        <v/>
      </c>
      <c r="Z586" s="32">
        <f>AE586*8%</f>
        <v/>
      </c>
      <c r="AA586" s="32">
        <f>W586+X586+Y586+Z586</f>
        <v/>
      </c>
      <c r="AB586" s="31">
        <f>AA586+V586+N586</f>
        <v/>
      </c>
      <c r="AC586" s="6">
        <f>AB586*20%</f>
        <v/>
      </c>
      <c r="AD586" s="7">
        <f>AB586+AC586</f>
        <v/>
      </c>
      <c r="AE586" s="32">
        <f>D586*2.1</f>
        <v/>
      </c>
      <c r="AF586" s="7">
        <f>AD586-AE586</f>
        <v/>
      </c>
      <c r="AG586" s="7">
        <f>AF586/AD586*100</f>
        <v/>
      </c>
      <c r="AH586" s="0" t="n">
        <v>1990</v>
      </c>
      <c r="AI586" s="33" t="n">
        <v>1295</v>
      </c>
      <c r="AJ586" s="34">
        <f>AD586</f>
        <v/>
      </c>
      <c r="AK586" s="34">
        <f>AJ586-(AJ586*7%)</f>
        <v/>
      </c>
      <c r="AL586" s="35">
        <f>AJ586/94</f>
        <v/>
      </c>
      <c r="AM586" s="35">
        <f>AK586/94</f>
        <v/>
      </c>
      <c r="AN586" s="36">
        <f>AJ586/24</f>
        <v/>
      </c>
      <c r="AO586" s="36">
        <f>AK586/24</f>
        <v/>
      </c>
      <c r="AP586" s="37">
        <f>AJ586/125</f>
        <v/>
      </c>
      <c r="AQ586" s="37">
        <f>AK586/125</f>
        <v/>
      </c>
    </row>
    <row r="587" ht="15.75" customHeight="1" s="50">
      <c r="A587" s="32" t="inlineStr">
        <is>
          <t>Singing Bowl with Handle</t>
        </is>
      </c>
      <c r="B587" s="32" t="inlineStr">
        <is>
          <t>Standard</t>
        </is>
      </c>
      <c r="D587" s="32" t="inlineStr">
        <is>
          <t>Paronjit</t>
        </is>
      </c>
      <c r="E587" s="32" t="n">
        <v>125</v>
      </c>
      <c r="G587" s="32" t="n">
        <v>0</v>
      </c>
      <c r="H587" s="32" t="n">
        <v>10</v>
      </c>
      <c r="I587" s="41" t="n">
        <v>83061000</v>
      </c>
      <c r="J587" s="30" t="n">
        <v>0.05</v>
      </c>
      <c r="K587" s="32">
        <f>D587*J587</f>
        <v/>
      </c>
      <c r="M587" s="32">
        <f>D587*4%</f>
        <v/>
      </c>
      <c r="N587" s="49">
        <f>M587+L587+K587+H587+G587+F587+E587+D587</f>
        <v/>
      </c>
      <c r="O587" s="32">
        <f>D587*1%</f>
        <v/>
      </c>
      <c r="P587" s="7">
        <f>N587*8%</f>
        <v/>
      </c>
      <c r="Q587" s="7">
        <f>N587*10%</f>
        <v/>
      </c>
      <c r="R587" s="7">
        <f>N587*5%</f>
        <v/>
      </c>
      <c r="S587" s="7">
        <f>N587*2%</f>
        <v/>
      </c>
      <c r="T587" s="7">
        <f>AE587*0.5%</f>
        <v/>
      </c>
      <c r="U587" s="7">
        <f>N587*1%</f>
        <v/>
      </c>
      <c r="V587" s="49">
        <f>U587+S587+R587+Q587+P587+O587</f>
        <v/>
      </c>
      <c r="W587" s="32">
        <f>AE587*1%</f>
        <v/>
      </c>
      <c r="X587" s="32">
        <f>AE587*10%</f>
        <v/>
      </c>
      <c r="Y587" s="32">
        <f>AE587*1%</f>
        <v/>
      </c>
      <c r="Z587" s="32">
        <f>AE587*8%</f>
        <v/>
      </c>
      <c r="AA587" s="32">
        <f>W587+X587+Y587+Z587</f>
        <v/>
      </c>
      <c r="AB587" s="31">
        <f>AA587+V587+N587</f>
        <v/>
      </c>
      <c r="AC587" s="6">
        <f>AB587*20%</f>
        <v/>
      </c>
      <c r="AD587" s="32">
        <f>AB587+AC587</f>
        <v/>
      </c>
      <c r="AE587" s="32">
        <f>D587*2.1</f>
        <v/>
      </c>
      <c r="AF587" s="7">
        <f>AD587-AE587</f>
        <v/>
      </c>
      <c r="AG587" s="7">
        <f>AF587/AD587*100</f>
        <v/>
      </c>
      <c r="AI587" s="33" t="n"/>
      <c r="AJ587" s="34">
        <f>AD587</f>
        <v/>
      </c>
      <c r="AK587" s="34">
        <f>AJ587-(AJ587*7%)</f>
        <v/>
      </c>
      <c r="AL587" s="35">
        <f>AJ587/94</f>
        <v/>
      </c>
      <c r="AM587" s="35">
        <f>AK587/94</f>
        <v/>
      </c>
      <c r="AN587" s="36">
        <f>AJ587/24</f>
        <v/>
      </c>
      <c r="AO587" s="36">
        <f>AK587/24</f>
        <v/>
      </c>
      <c r="AP587" s="37">
        <f>AJ587/125</f>
        <v/>
      </c>
      <c r="AQ587" s="37">
        <f>AK587/125</f>
        <v/>
      </c>
    </row>
    <row r="588" ht="15" customHeight="1" s="50">
      <c r="A588" s="32" t="inlineStr">
        <is>
          <t>Singing Bowl with Mantra - Rustic Blue Colour</t>
        </is>
      </c>
      <c r="B588" s="32" t="inlineStr">
        <is>
          <t>6 inches</t>
        </is>
      </c>
      <c r="C588" s="32" t="inlineStr">
        <is>
          <t>MI-SB-RB-6</t>
        </is>
      </c>
      <c r="D588" s="32" t="n">
        <v>450</v>
      </c>
      <c r="E588" s="32" t="n">
        <v>55</v>
      </c>
      <c r="F588" s="32" t="n">
        <v>55</v>
      </c>
      <c r="G588" s="32" t="n">
        <v>0</v>
      </c>
      <c r="H588" s="32" t="n">
        <v>10</v>
      </c>
      <c r="I588" s="41" t="n">
        <v>83061000</v>
      </c>
      <c r="J588" s="30" t="n">
        <v>0.05</v>
      </c>
      <c r="K588" s="32">
        <f>D588*J588</f>
        <v/>
      </c>
      <c r="M588" s="32">
        <f>D588*4%</f>
        <v/>
      </c>
      <c r="N588" s="49">
        <f>M588+L588+K588+H588+G588+F588+E588+D588</f>
        <v/>
      </c>
      <c r="O588" s="32">
        <f>D588*1%</f>
        <v/>
      </c>
      <c r="P588" s="7">
        <f>N588*8%</f>
        <v/>
      </c>
      <c r="Q588" s="7">
        <f>N588*10%</f>
        <v/>
      </c>
      <c r="R588" s="7">
        <f>N588*5%</f>
        <v/>
      </c>
      <c r="S588" s="7">
        <f>N588*2%</f>
        <v/>
      </c>
      <c r="T588" s="7">
        <f>AE588*0.5%</f>
        <v/>
      </c>
      <c r="U588" s="7">
        <f>N588*1%</f>
        <v/>
      </c>
      <c r="V588" s="31">
        <f>U588+S588+R588+Q588+P588+O588</f>
        <v/>
      </c>
      <c r="W588" s="32">
        <f>AE588*1%</f>
        <v/>
      </c>
      <c r="X588" s="32">
        <f>AE588*10%</f>
        <v/>
      </c>
      <c r="Y588" s="32">
        <f>AE588*1%</f>
        <v/>
      </c>
      <c r="Z588" s="32">
        <f>AE588*8%</f>
        <v/>
      </c>
      <c r="AA588" s="32">
        <f>W588+X588+Y588+Z588</f>
        <v/>
      </c>
      <c r="AB588" s="31">
        <f>AA588+V588+N588</f>
        <v/>
      </c>
      <c r="AC588" s="6">
        <f>AB588*20%</f>
        <v/>
      </c>
      <c r="AD588" s="7">
        <f>AB588+AC588</f>
        <v/>
      </c>
      <c r="AE588" s="32">
        <f>D588*2.1</f>
        <v/>
      </c>
      <c r="AF588" s="7">
        <f>AD588-AE588</f>
        <v/>
      </c>
      <c r="AG588" s="7">
        <f>AF588/AD588*100</f>
        <v/>
      </c>
      <c r="AH588" s="0" t="n">
        <v>1445</v>
      </c>
      <c r="AI588" s="33" t="n">
        <v>995</v>
      </c>
      <c r="AJ588" s="34">
        <f>AD588</f>
        <v/>
      </c>
      <c r="AK588" s="34">
        <f>AJ588-(AJ588*7%)</f>
        <v/>
      </c>
      <c r="AL588" s="35">
        <f>AJ588/94</f>
        <v/>
      </c>
      <c r="AM588" s="35">
        <f>AK588/94</f>
        <v/>
      </c>
      <c r="AN588" s="36">
        <f>AJ588/24</f>
        <v/>
      </c>
      <c r="AO588" s="36">
        <f>AK588/24</f>
        <v/>
      </c>
      <c r="AP588" s="37">
        <f>AJ588/125</f>
        <v/>
      </c>
      <c r="AQ588" s="37">
        <f>AK588/125</f>
        <v/>
      </c>
    </row>
    <row r="589" ht="15.75" customHeight="1" s="50">
      <c r="A589" s="32" t="n"/>
      <c r="B589" s="32" t="inlineStr">
        <is>
          <t>7 Inches</t>
        </is>
      </c>
      <c r="C589" s="32" t="inlineStr">
        <is>
          <t>MI-SB-RB-7</t>
        </is>
      </c>
      <c r="D589" s="32" t="n">
        <v>550</v>
      </c>
      <c r="E589" s="32" t="n">
        <v>55</v>
      </c>
      <c r="F589" s="32" t="n">
        <v>65</v>
      </c>
      <c r="G589" s="32" t="n">
        <v>0</v>
      </c>
      <c r="H589" s="32" t="n">
        <v>10</v>
      </c>
      <c r="I589" s="41" t="n">
        <v>83061000</v>
      </c>
      <c r="J589" s="30" t="n">
        <v>0.05</v>
      </c>
      <c r="K589" s="32">
        <f>D589*J589</f>
        <v/>
      </c>
      <c r="M589" s="32">
        <f>D589*4%</f>
        <v/>
      </c>
      <c r="N589" s="49">
        <f>M589+L589+K589+H589+G589+F589+E589+D589</f>
        <v/>
      </c>
      <c r="O589" s="32">
        <f>D589*1%</f>
        <v/>
      </c>
      <c r="P589" s="7">
        <f>N589*8%</f>
        <v/>
      </c>
      <c r="Q589" s="7">
        <f>N589*10%</f>
        <v/>
      </c>
      <c r="R589" s="7">
        <f>N589*5%</f>
        <v/>
      </c>
      <c r="S589" s="7">
        <f>N589*2%</f>
        <v/>
      </c>
      <c r="T589" s="7">
        <f>AE589*0.5%</f>
        <v/>
      </c>
      <c r="U589" s="7">
        <f>N589*1%</f>
        <v/>
      </c>
      <c r="V589" s="31">
        <f>U589+S589+R589+Q589+P589+O589</f>
        <v/>
      </c>
      <c r="W589" s="32">
        <f>AE589*1%</f>
        <v/>
      </c>
      <c r="X589" s="32">
        <f>AE589*10%</f>
        <v/>
      </c>
      <c r="Y589" s="32">
        <f>AE589*1%</f>
        <v/>
      </c>
      <c r="Z589" s="32">
        <f>AE589*8%</f>
        <v/>
      </c>
      <c r="AA589" s="32">
        <f>W589+X589+Y589+Z589</f>
        <v/>
      </c>
      <c r="AB589" s="31">
        <f>AA589+V589+N589</f>
        <v/>
      </c>
      <c r="AC589" s="6">
        <f>AB589*20%</f>
        <v/>
      </c>
      <c r="AD589" s="7">
        <f>AB589+AC589</f>
        <v/>
      </c>
      <c r="AE589" s="32">
        <f>D589*2.1</f>
        <v/>
      </c>
      <c r="AF589" s="7">
        <f>AD589-AE589</f>
        <v/>
      </c>
      <c r="AG589" s="7">
        <f>AF589/AD589*100</f>
        <v/>
      </c>
      <c r="AH589" s="0" t="n">
        <v>1745</v>
      </c>
      <c r="AI589" s="33" t="n">
        <v>1195</v>
      </c>
      <c r="AJ589" s="34">
        <f>AD589</f>
        <v/>
      </c>
      <c r="AK589" s="34">
        <f>AJ589-(AJ589*7%)</f>
        <v/>
      </c>
      <c r="AL589" s="35">
        <f>AJ589/94</f>
        <v/>
      </c>
      <c r="AM589" s="35">
        <f>AK589/94</f>
        <v/>
      </c>
      <c r="AN589" s="36">
        <f>AJ589/24</f>
        <v/>
      </c>
      <c r="AO589" s="36">
        <f>AK589/24</f>
        <v/>
      </c>
      <c r="AP589" s="37">
        <f>AJ589/125</f>
        <v/>
      </c>
      <c r="AQ589" s="37">
        <f>AK589/125</f>
        <v/>
      </c>
    </row>
    <row r="590" ht="15" customHeight="1" s="50">
      <c r="A590" s="32" t="inlineStr">
        <is>
          <t>Singing Bowls Silk Ring Cushion Accessories</t>
        </is>
      </c>
      <c r="B590" s="32" t="inlineStr">
        <is>
          <t>10 cms / Green</t>
        </is>
      </c>
      <c r="C590" s="32" t="inlineStr">
        <is>
          <t>MI-SB-C-G-10</t>
        </is>
      </c>
      <c r="D590" s="32" t="n">
        <v>45</v>
      </c>
      <c r="E590" s="32" t="n">
        <v>0</v>
      </c>
      <c r="F590" s="32" t="n">
        <v>0</v>
      </c>
      <c r="G590" s="32" t="n">
        <v>0</v>
      </c>
      <c r="H590" s="32" t="n">
        <v>10</v>
      </c>
      <c r="I590" s="41" t="n">
        <v>940490099</v>
      </c>
      <c r="J590" s="30" t="n">
        <v>0.05</v>
      </c>
      <c r="K590" s="32">
        <f>D590*J590</f>
        <v/>
      </c>
      <c r="M590" s="32">
        <f>D590*4%</f>
        <v/>
      </c>
      <c r="N590" s="49">
        <f>M590+L590+K590+H590+G590+F590+E590+D590</f>
        <v/>
      </c>
      <c r="O590" s="32">
        <f>D590*1%</f>
        <v/>
      </c>
      <c r="P590" s="7">
        <f>N590*8%</f>
        <v/>
      </c>
      <c r="Q590" s="7">
        <f>N590*10%</f>
        <v/>
      </c>
      <c r="R590" s="7">
        <f>N590*5%</f>
        <v/>
      </c>
      <c r="S590" s="7">
        <f>N590*2%</f>
        <v/>
      </c>
      <c r="T590" s="7">
        <f>AE590*0.5%</f>
        <v/>
      </c>
      <c r="U590" s="7">
        <f>N590*1%</f>
        <v/>
      </c>
      <c r="V590" s="31">
        <f>U590+S590+R590+Q590+P590+O590</f>
        <v/>
      </c>
      <c r="W590" s="32">
        <f>AE590*1%</f>
        <v/>
      </c>
      <c r="X590" s="32">
        <f>AE590*10%</f>
        <v/>
      </c>
      <c r="Y590" s="32">
        <f>AE590*1%</f>
        <v/>
      </c>
      <c r="Z590" s="32">
        <f>AE590*8%</f>
        <v/>
      </c>
      <c r="AA590" s="32">
        <f>W590+X590+Y590+Z590</f>
        <v/>
      </c>
      <c r="AB590" s="31">
        <f>AA590+V590+N590</f>
        <v/>
      </c>
      <c r="AC590" s="6">
        <f>AB590*20%</f>
        <v/>
      </c>
      <c r="AD590" s="7">
        <f>AB590+AC590</f>
        <v/>
      </c>
      <c r="AE590" s="32">
        <f>D590*2.1</f>
        <v/>
      </c>
      <c r="AF590" s="7">
        <f>AD590-AE590</f>
        <v/>
      </c>
      <c r="AG590" s="7">
        <f>AF590/AD590*100</f>
        <v/>
      </c>
      <c r="AH590" s="0" t="n">
        <v>245</v>
      </c>
      <c r="AI590" s="33" t="n">
        <v>200</v>
      </c>
      <c r="AJ590" s="34">
        <f>AD590</f>
        <v/>
      </c>
      <c r="AK590" s="34">
        <f>AJ590-(AJ590*7%)</f>
        <v/>
      </c>
      <c r="AL590" s="35">
        <f>AJ590/94</f>
        <v/>
      </c>
      <c r="AM590" s="35">
        <f>AK590/94</f>
        <v/>
      </c>
      <c r="AN590" s="36">
        <f>AJ590/24</f>
        <v/>
      </c>
      <c r="AO590" s="36">
        <f>AK590/24</f>
        <v/>
      </c>
      <c r="AP590" s="37">
        <f>AJ590/125</f>
        <v/>
      </c>
      <c r="AQ590" s="37">
        <f>AK590/125</f>
        <v/>
      </c>
    </row>
    <row r="591" ht="15.75" customHeight="1" s="50">
      <c r="A591" s="32" t="n"/>
      <c r="B591" s="32" t="inlineStr">
        <is>
          <t>10 cms / Blue</t>
        </is>
      </c>
      <c r="C591" s="32" t="inlineStr">
        <is>
          <t>MI-SB-C-B-10</t>
        </is>
      </c>
      <c r="D591" s="32" t="n">
        <v>45</v>
      </c>
      <c r="E591" s="32" t="n">
        <v>0</v>
      </c>
      <c r="F591" s="32" t="n">
        <v>0</v>
      </c>
      <c r="G591" s="32" t="n">
        <v>0</v>
      </c>
      <c r="H591" s="32" t="n">
        <v>10</v>
      </c>
      <c r="I591" s="41" t="n">
        <v>940490099</v>
      </c>
      <c r="J591" s="30" t="n">
        <v>0.05</v>
      </c>
      <c r="K591" s="32">
        <f>D591*J591</f>
        <v/>
      </c>
      <c r="M591" s="32">
        <f>D591*4%</f>
        <v/>
      </c>
      <c r="N591" s="49">
        <f>M591+L591+K591+H591+G591+F591+E591+D591</f>
        <v/>
      </c>
      <c r="O591" s="32">
        <f>D591*1%</f>
        <v/>
      </c>
      <c r="P591" s="7">
        <f>N591*8%</f>
        <v/>
      </c>
      <c r="Q591" s="7">
        <f>N591*10%</f>
        <v/>
      </c>
      <c r="R591" s="7">
        <f>N591*5%</f>
        <v/>
      </c>
      <c r="S591" s="7">
        <f>N591*2%</f>
        <v/>
      </c>
      <c r="T591" s="7">
        <f>AE591*0.5%</f>
        <v/>
      </c>
      <c r="U591" s="7">
        <f>N591*1%</f>
        <v/>
      </c>
      <c r="V591" s="31">
        <f>U591+S591+R591+Q591+P591+O591</f>
        <v/>
      </c>
      <c r="W591" s="32">
        <f>AE591*1%</f>
        <v/>
      </c>
      <c r="X591" s="32">
        <f>AE591*10%</f>
        <v/>
      </c>
      <c r="Y591" s="32">
        <f>AE591*1%</f>
        <v/>
      </c>
      <c r="Z591" s="32">
        <f>AE591*8%</f>
        <v/>
      </c>
      <c r="AA591" s="32">
        <f>W591+X591+Y591+Z591</f>
        <v/>
      </c>
      <c r="AB591" s="31">
        <f>AA591+V591+N591</f>
        <v/>
      </c>
      <c r="AC591" s="6">
        <f>AB591*20%</f>
        <v/>
      </c>
      <c r="AD591" s="7">
        <f>AB591+AC591</f>
        <v/>
      </c>
      <c r="AE591" s="32">
        <f>D591*2.1</f>
        <v/>
      </c>
      <c r="AF591" s="7">
        <f>AD591-AE591</f>
        <v/>
      </c>
      <c r="AG591" s="7">
        <f>AF591/AD591*100</f>
        <v/>
      </c>
      <c r="AH591" s="0" t="n">
        <v>245</v>
      </c>
      <c r="AI591" s="33" t="n">
        <v>200</v>
      </c>
      <c r="AJ591" s="34">
        <f>AD591</f>
        <v/>
      </c>
      <c r="AK591" s="34">
        <f>AJ591-(AJ591*7%)</f>
        <v/>
      </c>
      <c r="AL591" s="35">
        <f>AJ591/94</f>
        <v/>
      </c>
      <c r="AM591" s="35">
        <f>AK591/94</f>
        <v/>
      </c>
      <c r="AN591" s="36">
        <f>AJ591/24</f>
        <v/>
      </c>
      <c r="AO591" s="36">
        <f>AK591/24</f>
        <v/>
      </c>
      <c r="AP591" s="37">
        <f>AJ591/125</f>
        <v/>
      </c>
      <c r="AQ591" s="37">
        <f>AK591/125</f>
        <v/>
      </c>
    </row>
    <row r="592" ht="15.75" customHeight="1" s="50">
      <c r="A592" s="32" t="n"/>
      <c r="B592" s="32" t="inlineStr">
        <is>
          <t>Blue / 12 cms</t>
        </is>
      </c>
      <c r="C592" s="32" t="inlineStr">
        <is>
          <t>MI-SB-C-B-12</t>
        </is>
      </c>
      <c r="D592" s="32" t="n">
        <v>45</v>
      </c>
      <c r="E592" s="32" t="n">
        <v>0</v>
      </c>
      <c r="F592" s="32" t="n">
        <v>0</v>
      </c>
      <c r="G592" s="32" t="n">
        <v>0</v>
      </c>
      <c r="H592" s="32" t="n">
        <v>10</v>
      </c>
      <c r="I592" s="41" t="n">
        <v>940490099</v>
      </c>
      <c r="J592" s="30" t="n">
        <v>0.05</v>
      </c>
      <c r="K592" s="32">
        <f>D592*J592</f>
        <v/>
      </c>
      <c r="M592" s="32">
        <f>D592*4%</f>
        <v/>
      </c>
      <c r="N592" s="49">
        <f>M592+L592+K592+H592+G592+F592+E592+D592</f>
        <v/>
      </c>
      <c r="O592" s="32">
        <f>D592*1%</f>
        <v/>
      </c>
      <c r="P592" s="7">
        <f>N592*8%</f>
        <v/>
      </c>
      <c r="Q592" s="7">
        <f>N592*10%</f>
        <v/>
      </c>
      <c r="R592" s="7">
        <f>N592*5%</f>
        <v/>
      </c>
      <c r="S592" s="7">
        <f>N592*2%</f>
        <v/>
      </c>
      <c r="T592" s="7">
        <f>AE592*0.5%</f>
        <v/>
      </c>
      <c r="U592" s="7">
        <f>N592*1%</f>
        <v/>
      </c>
      <c r="V592" s="31">
        <f>U592+S592+R592+Q592+P592+O592</f>
        <v/>
      </c>
      <c r="W592" s="32">
        <f>AE592*1%</f>
        <v/>
      </c>
      <c r="X592" s="32">
        <f>AE592*10%</f>
        <v/>
      </c>
      <c r="Y592" s="32">
        <f>AE592*1%</f>
        <v/>
      </c>
      <c r="Z592" s="32">
        <f>AE592*8%</f>
        <v/>
      </c>
      <c r="AA592" s="32">
        <f>W592+X592+Y592+Z592</f>
        <v/>
      </c>
      <c r="AB592" s="31">
        <f>AA592+V592+N592</f>
        <v/>
      </c>
      <c r="AC592" s="6">
        <f>AB592*20%</f>
        <v/>
      </c>
      <c r="AD592" s="7">
        <f>AB592+AC592</f>
        <v/>
      </c>
      <c r="AE592" s="32">
        <f>D592*2.1</f>
        <v/>
      </c>
      <c r="AF592" s="7">
        <f>AD592-AE592</f>
        <v/>
      </c>
      <c r="AG592" s="7">
        <f>AF592/AD592*100</f>
        <v/>
      </c>
      <c r="AH592" s="0" t="n">
        <v>275</v>
      </c>
      <c r="AI592" s="33" t="n">
        <v>230</v>
      </c>
      <c r="AJ592" s="34">
        <f>AD592</f>
        <v/>
      </c>
      <c r="AK592" s="34">
        <f>AJ592-(AJ592*7%)</f>
        <v/>
      </c>
      <c r="AL592" s="35">
        <f>AJ592/94</f>
        <v/>
      </c>
      <c r="AM592" s="35">
        <f>AK592/94</f>
        <v/>
      </c>
      <c r="AN592" s="36">
        <f>AJ592/24</f>
        <v/>
      </c>
      <c r="AO592" s="36">
        <f>AK592/24</f>
        <v/>
      </c>
      <c r="AP592" s="37">
        <f>AJ592/125</f>
        <v/>
      </c>
      <c r="AQ592" s="37">
        <f>AK592/125</f>
        <v/>
      </c>
    </row>
    <row r="593" ht="15.75" customHeight="1" s="50">
      <c r="A593" s="32" t="n"/>
      <c r="B593" s="32" t="inlineStr">
        <is>
          <t>Blue / 14 cms</t>
        </is>
      </c>
      <c r="C593" s="32" t="inlineStr">
        <is>
          <t>MI-SB-C-B-14</t>
        </is>
      </c>
      <c r="D593" s="32" t="n">
        <v>45</v>
      </c>
      <c r="E593" s="32" t="n">
        <v>0</v>
      </c>
      <c r="F593" s="32" t="n">
        <v>0</v>
      </c>
      <c r="G593" s="32" t="n">
        <v>0</v>
      </c>
      <c r="H593" s="32" t="n">
        <v>10</v>
      </c>
      <c r="I593" s="41" t="n">
        <v>940490099</v>
      </c>
      <c r="J593" s="30" t="n">
        <v>0.05</v>
      </c>
      <c r="K593" s="32">
        <f>D593*J593</f>
        <v/>
      </c>
      <c r="M593" s="32">
        <f>D593*4%</f>
        <v/>
      </c>
      <c r="N593" s="49">
        <f>M593+L593+K593+H593+G593+F593+E593+D593</f>
        <v/>
      </c>
      <c r="O593" s="32">
        <f>D593*1%</f>
        <v/>
      </c>
      <c r="P593" s="7">
        <f>N593*8%</f>
        <v/>
      </c>
      <c r="Q593" s="7">
        <f>N593*10%</f>
        <v/>
      </c>
      <c r="R593" s="7">
        <f>N593*5%</f>
        <v/>
      </c>
      <c r="S593" s="7">
        <f>N593*2%</f>
        <v/>
      </c>
      <c r="T593" s="7">
        <f>AE593*0.5%</f>
        <v/>
      </c>
      <c r="U593" s="7">
        <f>N593*1%</f>
        <v/>
      </c>
      <c r="V593" s="31">
        <f>U593+S593+R593+Q593+P593+O593</f>
        <v/>
      </c>
      <c r="W593" s="32">
        <f>AE593*1%</f>
        <v/>
      </c>
      <c r="X593" s="32">
        <f>AE593*10%</f>
        <v/>
      </c>
      <c r="Y593" s="32">
        <f>AE593*1%</f>
        <v/>
      </c>
      <c r="Z593" s="32">
        <f>AE593*8%</f>
        <v/>
      </c>
      <c r="AA593" s="32">
        <f>W593+X593+Y593+Z593</f>
        <v/>
      </c>
      <c r="AB593" s="31">
        <f>AA593+V593+N593</f>
        <v/>
      </c>
      <c r="AC593" s="6">
        <f>AB593*20%</f>
        <v/>
      </c>
      <c r="AD593" s="7">
        <f>AB593+AC593</f>
        <v/>
      </c>
      <c r="AE593" s="32">
        <f>D593*2.1</f>
        <v/>
      </c>
      <c r="AF593" s="7">
        <f>AD593-AE593</f>
        <v/>
      </c>
      <c r="AG593" s="7">
        <f>AF593/AD593*100</f>
        <v/>
      </c>
      <c r="AH593" s="0" t="n">
        <v>295</v>
      </c>
      <c r="AI593" s="33" t="n">
        <v>250</v>
      </c>
      <c r="AJ593" s="34">
        <f>AD593</f>
        <v/>
      </c>
      <c r="AK593" s="34">
        <f>AJ593-(AJ593*7%)</f>
        <v/>
      </c>
      <c r="AL593" s="35">
        <f>AJ593/94</f>
        <v/>
      </c>
      <c r="AM593" s="35">
        <f>AK593/94</f>
        <v/>
      </c>
      <c r="AN593" s="36">
        <f>AJ593/24</f>
        <v/>
      </c>
      <c r="AO593" s="36">
        <f>AK593/24</f>
        <v/>
      </c>
      <c r="AP593" s="37">
        <f>AJ593/125</f>
        <v/>
      </c>
      <c r="AQ593" s="37">
        <f>AK593/125</f>
        <v/>
      </c>
    </row>
    <row r="594" ht="15.75" customHeight="1" s="50">
      <c r="A594" s="32" t="n"/>
      <c r="B594" s="32" t="inlineStr">
        <is>
          <t>16 cms / Blue</t>
        </is>
      </c>
      <c r="C594" s="32" t="inlineStr">
        <is>
          <t>MI-SB-C-B-16</t>
        </is>
      </c>
      <c r="D594" s="32" t="n">
        <v>55</v>
      </c>
      <c r="E594" s="32" t="n">
        <v>0</v>
      </c>
      <c r="F594" s="32" t="n">
        <v>0</v>
      </c>
      <c r="G594" s="32" t="n">
        <v>0</v>
      </c>
      <c r="H594" s="32" t="n">
        <v>10</v>
      </c>
      <c r="I594" s="41" t="n">
        <v>940490099</v>
      </c>
      <c r="J594" s="30" t="n">
        <v>0.05</v>
      </c>
      <c r="K594" s="32">
        <f>D594*J594</f>
        <v/>
      </c>
      <c r="M594" s="32">
        <f>D594*4%</f>
        <v/>
      </c>
      <c r="N594" s="49">
        <f>M594+L594+K594+H594+G594+F594+E594+D594</f>
        <v/>
      </c>
      <c r="O594" s="32">
        <f>D594*1%</f>
        <v/>
      </c>
      <c r="P594" s="7">
        <f>N594*8%</f>
        <v/>
      </c>
      <c r="Q594" s="7">
        <f>N594*10%</f>
        <v/>
      </c>
      <c r="R594" s="7">
        <f>N594*5%</f>
        <v/>
      </c>
      <c r="S594" s="7">
        <f>N594*2%</f>
        <v/>
      </c>
      <c r="T594" s="7">
        <f>AE594*0.5%</f>
        <v/>
      </c>
      <c r="U594" s="7">
        <f>N594*1%</f>
        <v/>
      </c>
      <c r="V594" s="31">
        <f>U594+S594+R594+Q594+P594+O594</f>
        <v/>
      </c>
      <c r="W594" s="32">
        <f>AE594*1%</f>
        <v/>
      </c>
      <c r="X594" s="32">
        <f>AE594*10%</f>
        <v/>
      </c>
      <c r="Y594" s="32">
        <f>AE594*1%</f>
        <v/>
      </c>
      <c r="Z594" s="32">
        <f>AE594*8%</f>
        <v/>
      </c>
      <c r="AA594" s="32">
        <f>W594+X594+Y594+Z594</f>
        <v/>
      </c>
      <c r="AB594" s="31">
        <f>AA594+V594+N594</f>
        <v/>
      </c>
      <c r="AC594" s="6">
        <f>AB594*20%</f>
        <v/>
      </c>
      <c r="AD594" s="7">
        <f>AB594+AC594</f>
        <v/>
      </c>
      <c r="AE594" s="32">
        <f>D594*2.1</f>
        <v/>
      </c>
      <c r="AF594" s="7">
        <f>AD594-AE594</f>
        <v/>
      </c>
      <c r="AG594" s="7">
        <f>AF594/AD594*100</f>
        <v/>
      </c>
      <c r="AH594" s="0" t="n">
        <v>325</v>
      </c>
      <c r="AI594" s="33" t="n">
        <v>270</v>
      </c>
      <c r="AJ594" s="34">
        <f>AD594</f>
        <v/>
      </c>
      <c r="AK594" s="34">
        <f>AJ594-(AJ594*7%)</f>
        <v/>
      </c>
      <c r="AL594" s="35">
        <f>AJ594/94</f>
        <v/>
      </c>
      <c r="AM594" s="35">
        <f>AK594/94</f>
        <v/>
      </c>
      <c r="AN594" s="36">
        <f>AJ594/24</f>
        <v/>
      </c>
      <c r="AO594" s="36">
        <f>AK594/24</f>
        <v/>
      </c>
      <c r="AP594" s="37">
        <f>AJ594/125</f>
        <v/>
      </c>
      <c r="AQ594" s="37">
        <f>AK594/125</f>
        <v/>
      </c>
    </row>
    <row r="595" ht="15.75" customHeight="1" s="50">
      <c r="A595" s="32" t="n"/>
      <c r="B595" s="32" t="inlineStr">
        <is>
          <t>18 cms / Blue</t>
        </is>
      </c>
      <c r="C595" s="32" t="inlineStr">
        <is>
          <t>MI-SB-C-B-18</t>
        </is>
      </c>
      <c r="D595" s="32" t="n">
        <v>65</v>
      </c>
      <c r="E595" s="32" t="n">
        <v>0</v>
      </c>
      <c r="F595" s="32" t="n">
        <v>0</v>
      </c>
      <c r="G595" s="32" t="n">
        <v>0</v>
      </c>
      <c r="H595" s="32" t="n">
        <v>10</v>
      </c>
      <c r="I595" s="41" t="n">
        <v>940490099</v>
      </c>
      <c r="J595" s="30" t="n">
        <v>0.05</v>
      </c>
      <c r="K595" s="32">
        <f>D595*J595</f>
        <v/>
      </c>
      <c r="M595" s="32">
        <f>D595*4%</f>
        <v/>
      </c>
      <c r="N595" s="49">
        <f>M595+L595+K595+H595+G595+F595+E595+D595</f>
        <v/>
      </c>
      <c r="O595" s="32">
        <f>D595*1%</f>
        <v/>
      </c>
      <c r="P595" s="7">
        <f>N595*8%</f>
        <v/>
      </c>
      <c r="Q595" s="7">
        <f>N595*10%</f>
        <v/>
      </c>
      <c r="R595" s="7">
        <f>N595*5%</f>
        <v/>
      </c>
      <c r="S595" s="7">
        <f>N595*2%</f>
        <v/>
      </c>
      <c r="T595" s="7">
        <f>AE595*0.5%</f>
        <v/>
      </c>
      <c r="U595" s="7">
        <f>N595*1%</f>
        <v/>
      </c>
      <c r="V595" s="31">
        <f>U595+S595+R595+Q595+P595+O595</f>
        <v/>
      </c>
      <c r="W595" s="32">
        <f>AE595*1%</f>
        <v/>
      </c>
      <c r="X595" s="32">
        <f>AE595*10%</f>
        <v/>
      </c>
      <c r="Y595" s="32">
        <f>AE595*1%</f>
        <v/>
      </c>
      <c r="Z595" s="32">
        <f>AE595*8%</f>
        <v/>
      </c>
      <c r="AA595" s="32">
        <f>W595+X595+Y595+Z595</f>
        <v/>
      </c>
      <c r="AB595" s="31">
        <f>AA595+V595+N595</f>
        <v/>
      </c>
      <c r="AC595" s="6">
        <f>AB595*20%</f>
        <v/>
      </c>
      <c r="AD595" s="7">
        <f>AB595+AC595</f>
        <v/>
      </c>
      <c r="AE595" s="32">
        <f>D595*2.1</f>
        <v/>
      </c>
      <c r="AF595" s="7">
        <f>AD595-AE595</f>
        <v/>
      </c>
      <c r="AG595" s="7">
        <f>AF595/AD595*100</f>
        <v/>
      </c>
      <c r="AH595" s="0" t="n">
        <v>345</v>
      </c>
      <c r="AI595" s="33" t="n">
        <v>280</v>
      </c>
      <c r="AJ595" s="34">
        <f>AD595</f>
        <v/>
      </c>
      <c r="AK595" s="34">
        <f>AJ595-(AJ595*7%)</f>
        <v/>
      </c>
      <c r="AL595" s="35">
        <f>AJ595/94</f>
        <v/>
      </c>
      <c r="AM595" s="35">
        <f>AK595/94</f>
        <v/>
      </c>
      <c r="AN595" s="36">
        <f>AJ595/24</f>
        <v/>
      </c>
      <c r="AO595" s="36">
        <f>AK595/24</f>
        <v/>
      </c>
      <c r="AP595" s="37">
        <f>AJ595/125</f>
        <v/>
      </c>
      <c r="AQ595" s="37">
        <f>AK595/125</f>
        <v/>
      </c>
    </row>
    <row r="596" ht="15.75" customHeight="1" s="50">
      <c r="A596" s="32" t="n"/>
      <c r="B596" s="32" t="inlineStr">
        <is>
          <t>20 cms / Blue</t>
        </is>
      </c>
      <c r="C596" s="32" t="inlineStr">
        <is>
          <t>MI-SB-C-B-20</t>
        </is>
      </c>
      <c r="D596" s="32" t="n">
        <v>80</v>
      </c>
      <c r="E596" s="32" t="n">
        <v>0</v>
      </c>
      <c r="F596" s="32" t="n">
        <v>0</v>
      </c>
      <c r="G596" s="32" t="n">
        <v>0</v>
      </c>
      <c r="H596" s="32" t="n">
        <v>10</v>
      </c>
      <c r="I596" s="41" t="n">
        <v>940490099</v>
      </c>
      <c r="J596" s="30" t="n">
        <v>0.05</v>
      </c>
      <c r="K596" s="32">
        <f>D596*J596</f>
        <v/>
      </c>
      <c r="M596" s="32">
        <f>D596*4%</f>
        <v/>
      </c>
      <c r="N596" s="49">
        <f>M596+L596+K596+H596+G596+F596+E596+D596</f>
        <v/>
      </c>
      <c r="O596" s="32">
        <f>D596*1%</f>
        <v/>
      </c>
      <c r="P596" s="7">
        <f>N596*8%</f>
        <v/>
      </c>
      <c r="Q596" s="7">
        <f>N596*10%</f>
        <v/>
      </c>
      <c r="R596" s="7">
        <f>N596*5%</f>
        <v/>
      </c>
      <c r="S596" s="7">
        <f>N596*2%</f>
        <v/>
      </c>
      <c r="T596" s="7">
        <f>AE596*0.5%</f>
        <v/>
      </c>
      <c r="U596" s="7">
        <f>N596*1%</f>
        <v/>
      </c>
      <c r="V596" s="31">
        <f>U596+S596+R596+Q596+P596+O596</f>
        <v/>
      </c>
      <c r="W596" s="32">
        <f>AE596*1%</f>
        <v/>
      </c>
      <c r="X596" s="32">
        <f>AE596*10%</f>
        <v/>
      </c>
      <c r="Y596" s="32">
        <f>AE596*1%</f>
        <v/>
      </c>
      <c r="Z596" s="32">
        <f>AE596*8%</f>
        <v/>
      </c>
      <c r="AA596" s="32">
        <f>W596+X596+Y596+Z596</f>
        <v/>
      </c>
      <c r="AB596" s="31">
        <f>AA596+V596+N596</f>
        <v/>
      </c>
      <c r="AC596" s="6">
        <f>AB596*20%</f>
        <v/>
      </c>
      <c r="AD596" s="7">
        <f>AB596+AC596</f>
        <v/>
      </c>
      <c r="AE596" s="32">
        <f>D596*2.1</f>
        <v/>
      </c>
      <c r="AF596" s="7">
        <f>AD596-AE596</f>
        <v/>
      </c>
      <c r="AG596" s="7">
        <f>AF596/AD596*100</f>
        <v/>
      </c>
      <c r="AH596" s="0" t="n">
        <v>495</v>
      </c>
      <c r="AI596" s="33" t="n">
        <v>415</v>
      </c>
      <c r="AJ596" s="34">
        <f>AD596</f>
        <v/>
      </c>
      <c r="AK596" s="34">
        <f>AJ596-(AJ596*7%)</f>
        <v/>
      </c>
      <c r="AL596" s="35">
        <f>AJ596/94</f>
        <v/>
      </c>
      <c r="AM596" s="35">
        <f>AK596/94</f>
        <v/>
      </c>
      <c r="AN596" s="36">
        <f>AJ596/24</f>
        <v/>
      </c>
      <c r="AO596" s="36">
        <f>AK596/24</f>
        <v/>
      </c>
      <c r="AP596" s="37">
        <f>AJ596/125</f>
        <v/>
      </c>
      <c r="AQ596" s="37">
        <f>AK596/125</f>
        <v/>
      </c>
    </row>
    <row r="597" ht="15.75" customHeight="1" s="50">
      <c r="A597" s="32" t="n"/>
      <c r="B597" s="32" t="inlineStr">
        <is>
          <t>22 cms / Blue</t>
        </is>
      </c>
      <c r="C597" s="32" t="inlineStr">
        <is>
          <t>MI-SB-C-B-22</t>
        </is>
      </c>
      <c r="D597" s="32" t="n">
        <v>90</v>
      </c>
      <c r="E597" s="32" t="n">
        <v>0</v>
      </c>
      <c r="F597" s="32" t="n">
        <v>0</v>
      </c>
      <c r="G597" s="32" t="n">
        <v>0</v>
      </c>
      <c r="H597" s="32" t="n">
        <v>10</v>
      </c>
      <c r="I597" s="41" t="n">
        <v>940490099</v>
      </c>
      <c r="J597" s="30" t="n">
        <v>0.05</v>
      </c>
      <c r="K597" s="32">
        <f>D597*J597</f>
        <v/>
      </c>
      <c r="M597" s="32">
        <f>D597*4%</f>
        <v/>
      </c>
      <c r="N597" s="49">
        <f>M597+L597+K597+H597+G597+F597+E597+D597</f>
        <v/>
      </c>
      <c r="O597" s="32">
        <f>D597*1%</f>
        <v/>
      </c>
      <c r="P597" s="7">
        <f>N597*8%</f>
        <v/>
      </c>
      <c r="Q597" s="7">
        <f>N597*10%</f>
        <v/>
      </c>
      <c r="R597" s="7">
        <f>N597*5%</f>
        <v/>
      </c>
      <c r="S597" s="7">
        <f>N597*2%</f>
        <v/>
      </c>
      <c r="T597" s="7">
        <f>AE597*0.5%</f>
        <v/>
      </c>
      <c r="U597" s="7">
        <f>N597*1%</f>
        <v/>
      </c>
      <c r="V597" s="31">
        <f>U597+S597+R597+Q597+P597+O597</f>
        <v/>
      </c>
      <c r="W597" s="32">
        <f>AE597*1%</f>
        <v/>
      </c>
      <c r="X597" s="32">
        <f>AE597*10%</f>
        <v/>
      </c>
      <c r="Y597" s="32">
        <f>AE597*1%</f>
        <v/>
      </c>
      <c r="Z597" s="32">
        <f>AE597*8%</f>
        <v/>
      </c>
      <c r="AA597" s="32">
        <f>W597+X597+Y597+Z597</f>
        <v/>
      </c>
      <c r="AB597" s="31">
        <f>AA597+V597+N597</f>
        <v/>
      </c>
      <c r="AC597" s="6">
        <f>AB597*20%</f>
        <v/>
      </c>
      <c r="AD597" s="7">
        <f>AB597+AC597</f>
        <v/>
      </c>
      <c r="AE597" s="32">
        <f>D597*2.1</f>
        <v/>
      </c>
      <c r="AF597" s="7">
        <f>AD597-AE597</f>
        <v/>
      </c>
      <c r="AG597" s="7">
        <f>AF597/AD597*100</f>
        <v/>
      </c>
      <c r="AH597" s="0" t="n">
        <v>595</v>
      </c>
      <c r="AI597" s="33" t="n">
        <v>505</v>
      </c>
      <c r="AJ597" s="34">
        <f>AD597</f>
        <v/>
      </c>
      <c r="AK597" s="34">
        <f>AJ597-(AJ597*7%)</f>
        <v/>
      </c>
      <c r="AL597" s="35">
        <f>AJ597/94</f>
        <v/>
      </c>
      <c r="AM597" s="35">
        <f>AK597/94</f>
        <v/>
      </c>
      <c r="AN597" s="36">
        <f>AJ597/24</f>
        <v/>
      </c>
      <c r="AO597" s="36">
        <f>AK597/24</f>
        <v/>
      </c>
      <c r="AP597" s="37">
        <f>AJ597/125</f>
        <v/>
      </c>
      <c r="AQ597" s="37">
        <f>AK597/125</f>
        <v/>
      </c>
    </row>
    <row r="598" ht="15.75" customHeight="1" s="50">
      <c r="A598" s="32" t="n"/>
      <c r="B598" s="32" t="inlineStr">
        <is>
          <t>10 cms / Black</t>
        </is>
      </c>
      <c r="C598" s="32" t="inlineStr">
        <is>
          <t>MI-SB-C-BK-10</t>
        </is>
      </c>
      <c r="D598" s="32" t="n">
        <v>45</v>
      </c>
      <c r="E598" s="32" t="n">
        <v>0</v>
      </c>
      <c r="F598" s="32" t="n">
        <v>0</v>
      </c>
      <c r="G598" s="32" t="n">
        <v>0</v>
      </c>
      <c r="H598" s="32" t="n">
        <v>10</v>
      </c>
      <c r="I598" s="41" t="n">
        <v>940490099</v>
      </c>
      <c r="J598" s="30" t="n">
        <v>0.05</v>
      </c>
      <c r="K598" s="32">
        <f>D598*J598</f>
        <v/>
      </c>
      <c r="M598" s="32">
        <f>D598*4%</f>
        <v/>
      </c>
      <c r="N598" s="49">
        <f>M598+L598+K598+H598+G598+F598+E598+D598</f>
        <v/>
      </c>
      <c r="O598" s="32">
        <f>D598*1%</f>
        <v/>
      </c>
      <c r="P598" s="7">
        <f>N598*8%</f>
        <v/>
      </c>
      <c r="Q598" s="7">
        <f>N598*10%</f>
        <v/>
      </c>
      <c r="R598" s="7">
        <f>N598*5%</f>
        <v/>
      </c>
      <c r="S598" s="7">
        <f>N598*2%</f>
        <v/>
      </c>
      <c r="T598" s="7">
        <f>AE598*0.5%</f>
        <v/>
      </c>
      <c r="U598" s="7">
        <f>N598*1%</f>
        <v/>
      </c>
      <c r="V598" s="31">
        <f>U598+S598+R598+Q598+P598+O598</f>
        <v/>
      </c>
      <c r="W598" s="32">
        <f>AE598*1%</f>
        <v/>
      </c>
      <c r="X598" s="32">
        <f>AE598*10%</f>
        <v/>
      </c>
      <c r="Y598" s="32">
        <f>AE598*1%</f>
        <v/>
      </c>
      <c r="Z598" s="32">
        <f>AE598*8%</f>
        <v/>
      </c>
      <c r="AA598" s="32">
        <f>W598+X598+Y598+Z598</f>
        <v/>
      </c>
      <c r="AB598" s="31">
        <f>AA598+V598+N598</f>
        <v/>
      </c>
      <c r="AC598" s="6">
        <f>AB598*20%</f>
        <v/>
      </c>
      <c r="AD598" s="7">
        <f>AB598+AC598</f>
        <v/>
      </c>
      <c r="AE598" s="32">
        <f>D598*2.1</f>
        <v/>
      </c>
      <c r="AF598" s="7">
        <f>AD598-AE598</f>
        <v/>
      </c>
      <c r="AG598" s="7">
        <f>AF598/AD598*100</f>
        <v/>
      </c>
      <c r="AH598" s="0" t="n">
        <v>190</v>
      </c>
      <c r="AI598" s="33" t="n">
        <v>145</v>
      </c>
      <c r="AJ598" s="34">
        <f>AD598</f>
        <v/>
      </c>
      <c r="AK598" s="34">
        <f>AJ598-(AJ598*7%)</f>
        <v/>
      </c>
      <c r="AL598" s="35">
        <f>AJ598/94</f>
        <v/>
      </c>
      <c r="AM598" s="35">
        <f>AK598/94</f>
        <v/>
      </c>
      <c r="AN598" s="36">
        <f>AJ598/24</f>
        <v/>
      </c>
      <c r="AO598" s="36">
        <f>AK598/24</f>
        <v/>
      </c>
      <c r="AP598" s="37">
        <f>AJ598/125</f>
        <v/>
      </c>
      <c r="AQ598" s="37">
        <f>AK598/125</f>
        <v/>
      </c>
    </row>
    <row r="599" ht="15.75" customHeight="1" s="50">
      <c r="A599" s="32" t="n"/>
      <c r="B599" s="32" t="inlineStr">
        <is>
          <t>Black / 12 cms</t>
        </is>
      </c>
      <c r="C599" s="32" t="inlineStr">
        <is>
          <t>MI-SB-C-BK-12</t>
        </is>
      </c>
      <c r="D599" s="32" t="n">
        <v>45</v>
      </c>
      <c r="E599" s="32" t="n">
        <v>0</v>
      </c>
      <c r="F599" s="32" t="n">
        <v>0</v>
      </c>
      <c r="G599" s="32" t="n">
        <v>0</v>
      </c>
      <c r="H599" s="32" t="n">
        <v>10</v>
      </c>
      <c r="I599" s="41" t="n">
        <v>940490099</v>
      </c>
      <c r="J599" s="30" t="n">
        <v>0.05</v>
      </c>
      <c r="K599" s="32">
        <f>D599*J599</f>
        <v/>
      </c>
      <c r="M599" s="32">
        <f>D599*4%</f>
        <v/>
      </c>
      <c r="N599" s="49">
        <f>M599+L599+K599+H599+G599+F599+E599+D599</f>
        <v/>
      </c>
      <c r="O599" s="32">
        <f>D599*1%</f>
        <v/>
      </c>
      <c r="P599" s="7">
        <f>N599*8%</f>
        <v/>
      </c>
      <c r="Q599" s="7">
        <f>N599*10%</f>
        <v/>
      </c>
      <c r="R599" s="7">
        <f>N599*5%</f>
        <v/>
      </c>
      <c r="S599" s="7">
        <f>N599*2%</f>
        <v/>
      </c>
      <c r="T599" s="7">
        <f>AE599*0.5%</f>
        <v/>
      </c>
      <c r="U599" s="7">
        <f>N599*1%</f>
        <v/>
      </c>
      <c r="V599" s="31">
        <f>U599+S599+R599+Q599+P599+O599</f>
        <v/>
      </c>
      <c r="W599" s="32">
        <f>AE599*1%</f>
        <v/>
      </c>
      <c r="X599" s="32">
        <f>AE599*10%</f>
        <v/>
      </c>
      <c r="Y599" s="32">
        <f>AE599*1%</f>
        <v/>
      </c>
      <c r="Z599" s="32">
        <f>AE599*8%</f>
        <v/>
      </c>
      <c r="AA599" s="32">
        <f>W599+X599+Y599+Z599</f>
        <v/>
      </c>
      <c r="AB599" s="31">
        <f>AA599+V599+N599</f>
        <v/>
      </c>
      <c r="AC599" s="6">
        <f>AB599*20%</f>
        <v/>
      </c>
      <c r="AD599" s="7">
        <f>AB599+AC599</f>
        <v/>
      </c>
      <c r="AE599" s="32">
        <f>D599*2.1</f>
        <v/>
      </c>
      <c r="AF599" s="7">
        <f>AD599-AE599</f>
        <v/>
      </c>
      <c r="AG599" s="7">
        <f>AF599/AD599*100</f>
        <v/>
      </c>
      <c r="AH599" s="0" t="n">
        <v>220</v>
      </c>
      <c r="AI599" s="33" t="n">
        <v>175</v>
      </c>
      <c r="AJ599" s="34">
        <f>AD599</f>
        <v/>
      </c>
      <c r="AK599" s="34">
        <f>AJ599-(AJ599*7%)</f>
        <v/>
      </c>
      <c r="AL599" s="35">
        <f>AJ599/94</f>
        <v/>
      </c>
      <c r="AM599" s="35">
        <f>AK599/94</f>
        <v/>
      </c>
      <c r="AN599" s="36">
        <f>AJ599/24</f>
        <v/>
      </c>
      <c r="AO599" s="36">
        <f>AK599/24</f>
        <v/>
      </c>
      <c r="AP599" s="37">
        <f>AJ599/125</f>
        <v/>
      </c>
      <c r="AQ599" s="37">
        <f>AK599/125</f>
        <v/>
      </c>
    </row>
    <row r="600" ht="15.75" customHeight="1" s="50">
      <c r="A600" s="32" t="n"/>
      <c r="B600" s="32" t="inlineStr">
        <is>
          <t>Black / 14 cms</t>
        </is>
      </c>
      <c r="C600" s="32" t="inlineStr">
        <is>
          <t>MI-SB-C-BK-14</t>
        </is>
      </c>
      <c r="D600" s="32" t="n">
        <v>45</v>
      </c>
      <c r="E600" s="32" t="n">
        <v>0</v>
      </c>
      <c r="F600" s="32" t="n">
        <v>0</v>
      </c>
      <c r="G600" s="32" t="n">
        <v>0</v>
      </c>
      <c r="H600" s="32" t="n">
        <v>10</v>
      </c>
      <c r="I600" s="41" t="n">
        <v>940490099</v>
      </c>
      <c r="J600" s="30" t="n">
        <v>0.05</v>
      </c>
      <c r="K600" s="32">
        <f>D600*J600</f>
        <v/>
      </c>
      <c r="M600" s="32">
        <f>D600*4%</f>
        <v/>
      </c>
      <c r="N600" s="49">
        <f>M600+L600+K600+H600+G600+F600+E600+D600</f>
        <v/>
      </c>
      <c r="O600" s="32">
        <f>D600*1%</f>
        <v/>
      </c>
      <c r="P600" s="7">
        <f>N600*8%</f>
        <v/>
      </c>
      <c r="Q600" s="7">
        <f>N600*10%</f>
        <v/>
      </c>
      <c r="R600" s="7">
        <f>N600*5%</f>
        <v/>
      </c>
      <c r="S600" s="7">
        <f>N600*2%</f>
        <v/>
      </c>
      <c r="T600" s="7">
        <f>AE600*0.5%</f>
        <v/>
      </c>
      <c r="U600" s="7">
        <f>N600*1%</f>
        <v/>
      </c>
      <c r="V600" s="31">
        <f>U600+S600+R600+Q600+P600+O600</f>
        <v/>
      </c>
      <c r="W600" s="32">
        <f>AE600*1%</f>
        <v/>
      </c>
      <c r="X600" s="32">
        <f>AE600*10%</f>
        <v/>
      </c>
      <c r="Y600" s="32">
        <f>AE600*1%</f>
        <v/>
      </c>
      <c r="Z600" s="32">
        <f>AE600*8%</f>
        <v/>
      </c>
      <c r="AA600" s="32">
        <f>W600+X600+Y600+Z600</f>
        <v/>
      </c>
      <c r="AB600" s="31">
        <f>AA600+V600+N600</f>
        <v/>
      </c>
      <c r="AC600" s="6">
        <f>AB600*20%</f>
        <v/>
      </c>
      <c r="AD600" s="7">
        <f>AB600+AC600</f>
        <v/>
      </c>
      <c r="AE600" s="32">
        <f>D600*2.1</f>
        <v/>
      </c>
      <c r="AF600" s="7">
        <f>AD600-AE600</f>
        <v/>
      </c>
      <c r="AG600" s="7">
        <f>AF600/AD600*100</f>
        <v/>
      </c>
      <c r="AH600" s="0" t="n">
        <v>295</v>
      </c>
      <c r="AI600" s="33" t="n">
        <v>250</v>
      </c>
      <c r="AJ600" s="34">
        <f>AD600</f>
        <v/>
      </c>
      <c r="AK600" s="34">
        <f>AJ600-(AJ600*7%)</f>
        <v/>
      </c>
      <c r="AL600" s="35">
        <f>AJ600/94</f>
        <v/>
      </c>
      <c r="AM600" s="35">
        <f>AK600/94</f>
        <v/>
      </c>
      <c r="AN600" s="36">
        <f>AJ600/24</f>
        <v/>
      </c>
      <c r="AO600" s="36">
        <f>AK600/24</f>
        <v/>
      </c>
      <c r="AP600" s="37">
        <f>AJ600/125</f>
        <v/>
      </c>
      <c r="AQ600" s="37">
        <f>AK600/125</f>
        <v/>
      </c>
    </row>
    <row r="601" ht="15.75" customHeight="1" s="50">
      <c r="A601" s="32" t="n"/>
      <c r="B601" s="32" t="inlineStr">
        <is>
          <t>Black / 16 cms</t>
        </is>
      </c>
      <c r="C601" s="32" t="inlineStr">
        <is>
          <t>MI-SB-C-BK-16</t>
        </is>
      </c>
      <c r="D601" s="32" t="n">
        <v>55</v>
      </c>
      <c r="E601" s="32" t="n">
        <v>0</v>
      </c>
      <c r="F601" s="32" t="n">
        <v>0</v>
      </c>
      <c r="G601" s="32" t="n">
        <v>0</v>
      </c>
      <c r="H601" s="32" t="n">
        <v>10</v>
      </c>
      <c r="I601" s="41" t="n">
        <v>940490099</v>
      </c>
      <c r="J601" s="30" t="n">
        <v>0.05</v>
      </c>
      <c r="K601" s="32">
        <f>D601*J601</f>
        <v/>
      </c>
      <c r="M601" s="32">
        <f>D601*4%</f>
        <v/>
      </c>
      <c r="N601" s="49">
        <f>M601+L601+K601+H601+G601+F601+E601+D601</f>
        <v/>
      </c>
      <c r="O601" s="32">
        <f>D601*1%</f>
        <v/>
      </c>
      <c r="P601" s="7">
        <f>N601*8%</f>
        <v/>
      </c>
      <c r="Q601" s="7">
        <f>N601*10%</f>
        <v/>
      </c>
      <c r="R601" s="7">
        <f>N601*5%</f>
        <v/>
      </c>
      <c r="S601" s="7">
        <f>N601*2%</f>
        <v/>
      </c>
      <c r="T601" s="7">
        <f>AE601*0.5%</f>
        <v/>
      </c>
      <c r="U601" s="7">
        <f>N601*1%</f>
        <v/>
      </c>
      <c r="V601" s="31">
        <f>U601+S601+R601+Q601+P601+O601</f>
        <v/>
      </c>
      <c r="W601" s="32">
        <f>AE601*1%</f>
        <v/>
      </c>
      <c r="X601" s="32">
        <f>AE601*10%</f>
        <v/>
      </c>
      <c r="Y601" s="32">
        <f>AE601*1%</f>
        <v/>
      </c>
      <c r="Z601" s="32">
        <f>AE601*8%</f>
        <v/>
      </c>
      <c r="AA601" s="32">
        <f>W601+X601+Y601+Z601</f>
        <v/>
      </c>
      <c r="AB601" s="31">
        <f>AA601+V601+N601</f>
        <v/>
      </c>
      <c r="AC601" s="6">
        <f>AB601*20%</f>
        <v/>
      </c>
      <c r="AD601" s="7">
        <f>AB601+AC601</f>
        <v/>
      </c>
      <c r="AE601" s="32">
        <f>D601*2.1</f>
        <v/>
      </c>
      <c r="AF601" s="7">
        <f>AD601-AE601</f>
        <v/>
      </c>
      <c r="AG601" s="7">
        <f>AF601/AD601*100</f>
        <v/>
      </c>
      <c r="AH601" s="0" t="n">
        <v>325</v>
      </c>
      <c r="AI601" s="33" t="n">
        <v>270</v>
      </c>
      <c r="AJ601" s="34">
        <f>AD601</f>
        <v/>
      </c>
      <c r="AK601" s="34">
        <f>AJ601-(AJ601*7%)</f>
        <v/>
      </c>
      <c r="AL601" s="35">
        <f>AJ601/94</f>
        <v/>
      </c>
      <c r="AM601" s="35">
        <f>AK601/94</f>
        <v/>
      </c>
      <c r="AN601" s="36">
        <f>AJ601/24</f>
        <v/>
      </c>
      <c r="AO601" s="36">
        <f>AK601/24</f>
        <v/>
      </c>
      <c r="AP601" s="37">
        <f>AJ601/125</f>
        <v/>
      </c>
      <c r="AQ601" s="37">
        <f>AK601/125</f>
        <v/>
      </c>
    </row>
    <row r="602" ht="15.75" customHeight="1" s="50">
      <c r="A602" s="32" t="n"/>
      <c r="B602" s="32" t="inlineStr">
        <is>
          <t>Black / 18 cms</t>
        </is>
      </c>
      <c r="C602" s="32" t="inlineStr">
        <is>
          <t>MI-SB-C-BK-18</t>
        </is>
      </c>
      <c r="D602" s="32" t="n">
        <v>65</v>
      </c>
      <c r="E602" s="32" t="n">
        <v>0</v>
      </c>
      <c r="F602" s="32" t="n">
        <v>0</v>
      </c>
      <c r="G602" s="32" t="n">
        <v>0</v>
      </c>
      <c r="H602" s="32" t="n">
        <v>10</v>
      </c>
      <c r="I602" s="41" t="n">
        <v>940490099</v>
      </c>
      <c r="J602" s="30" t="n">
        <v>0.05</v>
      </c>
      <c r="K602" s="32">
        <f>D602*J602</f>
        <v/>
      </c>
      <c r="M602" s="32">
        <f>D602*4%</f>
        <v/>
      </c>
      <c r="N602" s="49">
        <f>M602+L602+K602+H602+G602+F602+E602+D602</f>
        <v/>
      </c>
      <c r="O602" s="32">
        <f>D602*1%</f>
        <v/>
      </c>
      <c r="P602" s="7">
        <f>N602*8%</f>
        <v/>
      </c>
      <c r="Q602" s="7">
        <f>N602*10%</f>
        <v/>
      </c>
      <c r="R602" s="7">
        <f>N602*5%</f>
        <v/>
      </c>
      <c r="S602" s="7">
        <f>N602*2%</f>
        <v/>
      </c>
      <c r="T602" s="7">
        <f>AE602*0.5%</f>
        <v/>
      </c>
      <c r="U602" s="7">
        <f>N602*1%</f>
        <v/>
      </c>
      <c r="V602" s="31">
        <f>U602+S602+R602+Q602+P602+O602</f>
        <v/>
      </c>
      <c r="W602" s="32">
        <f>AE602*1%</f>
        <v/>
      </c>
      <c r="X602" s="32">
        <f>AE602*10%</f>
        <v/>
      </c>
      <c r="Y602" s="32">
        <f>AE602*1%</f>
        <v/>
      </c>
      <c r="Z602" s="32">
        <f>AE602*8%</f>
        <v/>
      </c>
      <c r="AA602" s="32">
        <f>W602+X602+Y602+Z602</f>
        <v/>
      </c>
      <c r="AB602" s="31">
        <f>AA602+V602+N602</f>
        <v/>
      </c>
      <c r="AC602" s="6">
        <f>AB602*20%</f>
        <v/>
      </c>
      <c r="AD602" s="7">
        <f>AB602+AC602</f>
        <v/>
      </c>
      <c r="AE602" s="32">
        <f>D602*2.1</f>
        <v/>
      </c>
      <c r="AF602" s="7">
        <f>AD602-AE602</f>
        <v/>
      </c>
      <c r="AG602" s="7">
        <f>AF602/AD602*100</f>
        <v/>
      </c>
      <c r="AH602" s="0" t="n">
        <v>385</v>
      </c>
      <c r="AI602" s="33" t="n">
        <v>320</v>
      </c>
      <c r="AJ602" s="34">
        <f>AD602</f>
        <v/>
      </c>
      <c r="AK602" s="34">
        <f>AJ602-(AJ602*7%)</f>
        <v/>
      </c>
      <c r="AL602" s="35">
        <f>AJ602/94</f>
        <v/>
      </c>
      <c r="AM602" s="35">
        <f>AK602/94</f>
        <v/>
      </c>
      <c r="AN602" s="36">
        <f>AJ602/24</f>
        <v/>
      </c>
      <c r="AO602" s="36">
        <f>AK602/24</f>
        <v/>
      </c>
      <c r="AP602" s="37">
        <f>AJ602/125</f>
        <v/>
      </c>
      <c r="AQ602" s="37">
        <f>AK602/125</f>
        <v/>
      </c>
    </row>
    <row r="603" ht="15.75" customHeight="1" s="50">
      <c r="A603" s="32" t="n"/>
      <c r="B603" s="32" t="inlineStr">
        <is>
          <t>Black / 20 cms</t>
        </is>
      </c>
      <c r="C603" s="32" t="inlineStr">
        <is>
          <t>MI-SB-C-BK-20</t>
        </is>
      </c>
      <c r="D603" s="32" t="n">
        <v>80</v>
      </c>
      <c r="E603" s="32" t="n">
        <v>0</v>
      </c>
      <c r="F603" s="32" t="n">
        <v>0</v>
      </c>
      <c r="G603" s="32" t="n">
        <v>0</v>
      </c>
      <c r="H603" s="32" t="n">
        <v>10</v>
      </c>
      <c r="I603" s="41" t="n">
        <v>940490099</v>
      </c>
      <c r="J603" s="30" t="n">
        <v>0.05</v>
      </c>
      <c r="K603" s="32">
        <f>D603*J603</f>
        <v/>
      </c>
      <c r="M603" s="32">
        <f>D603*4%</f>
        <v/>
      </c>
      <c r="N603" s="49">
        <f>M603+L603+K603+H603+G603+F603+E603+D603</f>
        <v/>
      </c>
      <c r="O603" s="32">
        <f>D603*1%</f>
        <v/>
      </c>
      <c r="P603" s="7">
        <f>N603*8%</f>
        <v/>
      </c>
      <c r="Q603" s="7">
        <f>N603*10%</f>
        <v/>
      </c>
      <c r="R603" s="7">
        <f>N603*5%</f>
        <v/>
      </c>
      <c r="S603" s="7">
        <f>N603*2%</f>
        <v/>
      </c>
      <c r="T603" s="7">
        <f>AE603*0.5%</f>
        <v/>
      </c>
      <c r="U603" s="7">
        <f>N603*1%</f>
        <v/>
      </c>
      <c r="V603" s="31">
        <f>U603+S603+R603+Q603+P603+O603</f>
        <v/>
      </c>
      <c r="W603" s="32">
        <f>AE603*1%</f>
        <v/>
      </c>
      <c r="X603" s="32">
        <f>AE603*10%</f>
        <v/>
      </c>
      <c r="Y603" s="32">
        <f>AE603*1%</f>
        <v/>
      </c>
      <c r="Z603" s="32">
        <f>AE603*8%</f>
        <v/>
      </c>
      <c r="AA603" s="32">
        <f>W603+X603+Y603+Z603</f>
        <v/>
      </c>
      <c r="AB603" s="31">
        <f>AA603+V603+N603</f>
        <v/>
      </c>
      <c r="AC603" s="6">
        <f>AB603*20%</f>
        <v/>
      </c>
      <c r="AD603" s="7">
        <f>AB603+AC603</f>
        <v/>
      </c>
      <c r="AE603" s="32">
        <f>D603*2.1</f>
        <v/>
      </c>
      <c r="AF603" s="7">
        <f>AD603-AE603</f>
        <v/>
      </c>
      <c r="AG603" s="7">
        <f>AF603/AD603*100</f>
        <v/>
      </c>
      <c r="AH603" s="0" t="n">
        <v>495</v>
      </c>
      <c r="AI603" s="33" t="n">
        <v>415</v>
      </c>
      <c r="AJ603" s="34">
        <f>AD603</f>
        <v/>
      </c>
      <c r="AK603" s="34">
        <f>AJ603-(AJ603*7%)</f>
        <v/>
      </c>
      <c r="AL603" s="35">
        <f>AJ603/94</f>
        <v/>
      </c>
      <c r="AM603" s="35">
        <f>AK603/94</f>
        <v/>
      </c>
      <c r="AN603" s="36">
        <f>AJ603/24</f>
        <v/>
      </c>
      <c r="AO603" s="36">
        <f>AK603/24</f>
        <v/>
      </c>
      <c r="AP603" s="37">
        <f>AJ603/125</f>
        <v/>
      </c>
      <c r="AQ603" s="37">
        <f>AK603/125</f>
        <v/>
      </c>
    </row>
    <row r="604" ht="15.75" customHeight="1" s="50">
      <c r="A604" s="32" t="n"/>
      <c r="B604" s="32" t="inlineStr">
        <is>
          <t>Black / 22 cms</t>
        </is>
      </c>
      <c r="C604" s="32" t="inlineStr">
        <is>
          <t>MI-SB-C-BK-22</t>
        </is>
      </c>
      <c r="D604" s="32" t="n">
        <v>90</v>
      </c>
      <c r="E604" s="32" t="n">
        <v>0</v>
      </c>
      <c r="F604" s="32" t="n">
        <v>0</v>
      </c>
      <c r="G604" s="32" t="n">
        <v>0</v>
      </c>
      <c r="H604" s="32" t="n">
        <v>10</v>
      </c>
      <c r="I604" s="41" t="n">
        <v>940490099</v>
      </c>
      <c r="J604" s="30" t="n">
        <v>0.05</v>
      </c>
      <c r="K604" s="32">
        <f>D604*J604</f>
        <v/>
      </c>
      <c r="M604" s="32">
        <f>D604*4%</f>
        <v/>
      </c>
      <c r="N604" s="49">
        <f>M604+L604+K604+H604+G604+F604+E604+D604</f>
        <v/>
      </c>
      <c r="O604" s="32">
        <f>D604*1%</f>
        <v/>
      </c>
      <c r="P604" s="7">
        <f>N604*8%</f>
        <v/>
      </c>
      <c r="Q604" s="7">
        <f>N604*10%</f>
        <v/>
      </c>
      <c r="R604" s="7">
        <f>N604*5%</f>
        <v/>
      </c>
      <c r="S604" s="7">
        <f>N604*2%</f>
        <v/>
      </c>
      <c r="T604" s="7">
        <f>AE604*0.5%</f>
        <v/>
      </c>
      <c r="U604" s="7">
        <f>N604*1%</f>
        <v/>
      </c>
      <c r="V604" s="31">
        <f>U604+S604+R604+Q604+P604+O604</f>
        <v/>
      </c>
      <c r="W604" s="32">
        <f>AE604*1%</f>
        <v/>
      </c>
      <c r="X604" s="32">
        <f>AE604*10%</f>
        <v/>
      </c>
      <c r="Y604" s="32">
        <f>AE604*1%</f>
        <v/>
      </c>
      <c r="Z604" s="32">
        <f>AE604*8%</f>
        <v/>
      </c>
      <c r="AA604" s="32">
        <f>W604+X604+Y604+Z604</f>
        <v/>
      </c>
      <c r="AB604" s="31">
        <f>AA604+V604+N604</f>
        <v/>
      </c>
      <c r="AC604" s="6">
        <f>AB604*20%</f>
        <v/>
      </c>
      <c r="AD604" s="7">
        <f>AB604+AC604</f>
        <v/>
      </c>
      <c r="AE604" s="32">
        <f>D604*2.1</f>
        <v/>
      </c>
      <c r="AF604" s="7">
        <f>AD604-AE604</f>
        <v/>
      </c>
      <c r="AG604" s="7">
        <f>AF604/AD604*100</f>
        <v/>
      </c>
      <c r="AH604" s="0" t="n">
        <v>595</v>
      </c>
      <c r="AI604" s="33" t="n">
        <v>505</v>
      </c>
      <c r="AJ604" s="34">
        <f>AD604</f>
        <v/>
      </c>
      <c r="AK604" s="34">
        <f>AJ604-(AJ604*7%)</f>
        <v/>
      </c>
      <c r="AL604" s="35">
        <f>AJ604/94</f>
        <v/>
      </c>
      <c r="AM604" s="35">
        <f>AK604/94</f>
        <v/>
      </c>
      <c r="AN604" s="36">
        <f>AJ604/24</f>
        <v/>
      </c>
      <c r="AO604" s="36">
        <f>AK604/24</f>
        <v/>
      </c>
      <c r="AP604" s="37">
        <f>AJ604/125</f>
        <v/>
      </c>
      <c r="AQ604" s="37">
        <f>AK604/125</f>
        <v/>
      </c>
    </row>
    <row r="605" ht="15.75" customHeight="1" s="50">
      <c r="A605" s="32" t="n"/>
      <c r="B605" s="32" t="inlineStr">
        <is>
          <t>10 cms / Brown</t>
        </is>
      </c>
      <c r="C605" s="32" t="inlineStr">
        <is>
          <t>MI-SB-C-Bn-10</t>
        </is>
      </c>
      <c r="D605" s="32" t="n">
        <v>45</v>
      </c>
      <c r="E605" s="32" t="n">
        <v>0</v>
      </c>
      <c r="F605" s="32" t="n">
        <v>0</v>
      </c>
      <c r="G605" s="32" t="n">
        <v>0</v>
      </c>
      <c r="H605" s="32" t="n">
        <v>10</v>
      </c>
      <c r="I605" s="41" t="n">
        <v>940490099</v>
      </c>
      <c r="J605" s="30" t="n">
        <v>0.05</v>
      </c>
      <c r="K605" s="32">
        <f>D605*J605</f>
        <v/>
      </c>
      <c r="M605" s="32">
        <f>D605*4%</f>
        <v/>
      </c>
      <c r="N605" s="49">
        <f>M605+L605+K605+H605+G605+F605+E605+D605</f>
        <v/>
      </c>
      <c r="O605" s="32">
        <f>D605*1%</f>
        <v/>
      </c>
      <c r="P605" s="7">
        <f>N605*8%</f>
        <v/>
      </c>
      <c r="Q605" s="7">
        <f>N605*10%</f>
        <v/>
      </c>
      <c r="R605" s="7">
        <f>N605*5%</f>
        <v/>
      </c>
      <c r="S605" s="7">
        <f>N605*2%</f>
        <v/>
      </c>
      <c r="T605" s="7">
        <f>AE605*0.5%</f>
        <v/>
      </c>
      <c r="U605" s="7">
        <f>N605*1%</f>
        <v/>
      </c>
      <c r="V605" s="31">
        <f>U605+S605+R605+Q605+P605+O605</f>
        <v/>
      </c>
      <c r="W605" s="32">
        <f>AE605*1%</f>
        <v/>
      </c>
      <c r="X605" s="32">
        <f>AE605*10%</f>
        <v/>
      </c>
      <c r="Y605" s="32">
        <f>AE605*1%</f>
        <v/>
      </c>
      <c r="Z605" s="32">
        <f>AE605*8%</f>
        <v/>
      </c>
      <c r="AA605" s="32">
        <f>W605+X605+Y605+Z605</f>
        <v/>
      </c>
      <c r="AB605" s="31">
        <f>AA605+V605+N605</f>
        <v/>
      </c>
      <c r="AC605" s="6">
        <f>AB605*20%</f>
        <v/>
      </c>
      <c r="AD605" s="7">
        <f>AB605+AC605</f>
        <v/>
      </c>
      <c r="AE605" s="32">
        <f>D605*2.1</f>
        <v/>
      </c>
      <c r="AF605" s="7">
        <f>AD605-AE605</f>
        <v/>
      </c>
      <c r="AG605" s="7">
        <f>AF605/AD605*100</f>
        <v/>
      </c>
      <c r="AH605" s="0" t="n">
        <v>245</v>
      </c>
      <c r="AI605" s="33" t="n">
        <v>200</v>
      </c>
      <c r="AJ605" s="34">
        <f>AD605</f>
        <v/>
      </c>
      <c r="AK605" s="34">
        <f>AJ605-(AJ605*7%)</f>
        <v/>
      </c>
      <c r="AL605" s="35">
        <f>AJ605/94</f>
        <v/>
      </c>
      <c r="AM605" s="35">
        <f>AK605/94</f>
        <v/>
      </c>
      <c r="AN605" s="36">
        <f>AJ605/24</f>
        <v/>
      </c>
      <c r="AO605" s="36">
        <f>AK605/24</f>
        <v/>
      </c>
      <c r="AP605" s="37">
        <f>AJ605/125</f>
        <v/>
      </c>
      <c r="AQ605" s="37">
        <f>AK605/125</f>
        <v/>
      </c>
    </row>
    <row r="606" ht="15.75" customHeight="1" s="50">
      <c r="A606" s="32" t="n"/>
      <c r="B606" s="32" t="inlineStr">
        <is>
          <t>Brown / 12 cms</t>
        </is>
      </c>
      <c r="C606" s="32" t="inlineStr">
        <is>
          <t>MI-SB-C-Bn-12</t>
        </is>
      </c>
      <c r="D606" s="32" t="n">
        <v>45</v>
      </c>
      <c r="E606" s="32" t="n">
        <v>0</v>
      </c>
      <c r="F606" s="32" t="n">
        <v>0</v>
      </c>
      <c r="G606" s="32" t="n">
        <v>0</v>
      </c>
      <c r="H606" s="32" t="n">
        <v>10</v>
      </c>
      <c r="I606" s="41" t="n">
        <v>940490099</v>
      </c>
      <c r="J606" s="30" t="n">
        <v>0.05</v>
      </c>
      <c r="K606" s="32">
        <f>D606*J606</f>
        <v/>
      </c>
      <c r="M606" s="32">
        <f>D606*4%</f>
        <v/>
      </c>
      <c r="N606" s="49">
        <f>M606+L606+K606+H606+G606+F606+E606+D606</f>
        <v/>
      </c>
      <c r="O606" s="32">
        <f>D606*1%</f>
        <v/>
      </c>
      <c r="P606" s="7">
        <f>N606*8%</f>
        <v/>
      </c>
      <c r="Q606" s="7">
        <f>N606*10%</f>
        <v/>
      </c>
      <c r="R606" s="7">
        <f>N606*5%</f>
        <v/>
      </c>
      <c r="S606" s="7">
        <f>N606*2%</f>
        <v/>
      </c>
      <c r="T606" s="7">
        <f>AE606*0.5%</f>
        <v/>
      </c>
      <c r="U606" s="7">
        <f>N606*1%</f>
        <v/>
      </c>
      <c r="V606" s="31">
        <f>U606+S606+R606+Q606+P606+O606</f>
        <v/>
      </c>
      <c r="W606" s="32">
        <f>AE606*1%</f>
        <v/>
      </c>
      <c r="X606" s="32">
        <f>AE606*10%</f>
        <v/>
      </c>
      <c r="Y606" s="32">
        <f>AE606*1%</f>
        <v/>
      </c>
      <c r="Z606" s="32">
        <f>AE606*8%</f>
        <v/>
      </c>
      <c r="AA606" s="32">
        <f>W606+X606+Y606+Z606</f>
        <v/>
      </c>
      <c r="AB606" s="31">
        <f>AA606+V606+N606</f>
        <v/>
      </c>
      <c r="AC606" s="6">
        <f>AB606*20%</f>
        <v/>
      </c>
      <c r="AD606" s="7">
        <f>AB606+AC606</f>
        <v/>
      </c>
      <c r="AE606" s="32">
        <f>D606*2.1</f>
        <v/>
      </c>
      <c r="AF606" s="7">
        <f>AD606-AE606</f>
        <v/>
      </c>
      <c r="AG606" s="7">
        <f>AF606/AD606*100</f>
        <v/>
      </c>
      <c r="AH606" s="0" t="n">
        <v>275</v>
      </c>
      <c r="AI606" s="33" t="n">
        <v>230</v>
      </c>
      <c r="AJ606" s="34">
        <f>AD606</f>
        <v/>
      </c>
      <c r="AK606" s="34">
        <f>AJ606-(AJ606*7%)</f>
        <v/>
      </c>
      <c r="AL606" s="35">
        <f>AJ606/94</f>
        <v/>
      </c>
      <c r="AM606" s="35">
        <f>AK606/94</f>
        <v/>
      </c>
      <c r="AN606" s="36">
        <f>AJ606/24</f>
        <v/>
      </c>
      <c r="AO606" s="36">
        <f>AK606/24</f>
        <v/>
      </c>
      <c r="AP606" s="37">
        <f>AJ606/125</f>
        <v/>
      </c>
      <c r="AQ606" s="37">
        <f>AK606/125</f>
        <v/>
      </c>
    </row>
    <row r="607" ht="15.75" customHeight="1" s="50">
      <c r="A607" s="32" t="n"/>
      <c r="B607" s="32" t="inlineStr">
        <is>
          <t>Brown / 14 cms</t>
        </is>
      </c>
      <c r="C607" s="32" t="inlineStr">
        <is>
          <t>MI-SB-C-Bn-14</t>
        </is>
      </c>
      <c r="D607" s="32" t="n">
        <v>45</v>
      </c>
      <c r="E607" s="32" t="n">
        <v>0</v>
      </c>
      <c r="F607" s="32" t="n">
        <v>0</v>
      </c>
      <c r="G607" s="32" t="n">
        <v>0</v>
      </c>
      <c r="H607" s="32" t="n">
        <v>10</v>
      </c>
      <c r="I607" s="41" t="n">
        <v>940490099</v>
      </c>
      <c r="J607" s="30" t="n">
        <v>0.05</v>
      </c>
      <c r="K607" s="32">
        <f>D607*J607</f>
        <v/>
      </c>
      <c r="M607" s="32">
        <f>D607*4%</f>
        <v/>
      </c>
      <c r="N607" s="49">
        <f>M607+L607+K607+H607+G607+F607+E607+D607</f>
        <v/>
      </c>
      <c r="O607" s="32">
        <f>D607*1%</f>
        <v/>
      </c>
      <c r="P607" s="7">
        <f>N607*8%</f>
        <v/>
      </c>
      <c r="Q607" s="7">
        <f>N607*10%</f>
        <v/>
      </c>
      <c r="R607" s="7">
        <f>N607*5%</f>
        <v/>
      </c>
      <c r="S607" s="7">
        <f>N607*2%</f>
        <v/>
      </c>
      <c r="T607" s="7">
        <f>AE607*0.5%</f>
        <v/>
      </c>
      <c r="U607" s="7">
        <f>N607*1%</f>
        <v/>
      </c>
      <c r="V607" s="31">
        <f>U607+S607+R607+Q607+P607+O607</f>
        <v/>
      </c>
      <c r="W607" s="32">
        <f>AE607*1%</f>
        <v/>
      </c>
      <c r="X607" s="32">
        <f>AE607*10%</f>
        <v/>
      </c>
      <c r="Y607" s="32">
        <f>AE607*1%</f>
        <v/>
      </c>
      <c r="Z607" s="32">
        <f>AE607*8%</f>
        <v/>
      </c>
      <c r="AA607" s="32">
        <f>W607+X607+Y607+Z607</f>
        <v/>
      </c>
      <c r="AB607" s="31">
        <f>AA607+V607+N607</f>
        <v/>
      </c>
      <c r="AC607" s="6">
        <f>AB607*20%</f>
        <v/>
      </c>
      <c r="AD607" s="7">
        <f>AB607+AC607</f>
        <v/>
      </c>
      <c r="AE607" s="32">
        <f>D607*2.1</f>
        <v/>
      </c>
      <c r="AF607" s="7">
        <f>AD607-AE607</f>
        <v/>
      </c>
      <c r="AG607" s="7">
        <f>AF607/AD607*100</f>
        <v/>
      </c>
      <c r="AH607" s="0" t="n">
        <v>295</v>
      </c>
      <c r="AI607" s="33" t="n">
        <v>250</v>
      </c>
      <c r="AJ607" s="34">
        <f>AD607</f>
        <v/>
      </c>
      <c r="AK607" s="34">
        <f>AJ607-(AJ607*7%)</f>
        <v/>
      </c>
      <c r="AL607" s="35">
        <f>AJ607/94</f>
        <v/>
      </c>
      <c r="AM607" s="35">
        <f>AK607/94</f>
        <v/>
      </c>
      <c r="AN607" s="36">
        <f>AJ607/24</f>
        <v/>
      </c>
      <c r="AO607" s="36">
        <f>AK607/24</f>
        <v/>
      </c>
      <c r="AP607" s="37">
        <f>AJ607/125</f>
        <v/>
      </c>
      <c r="AQ607" s="37">
        <f>AK607/125</f>
        <v/>
      </c>
    </row>
    <row r="608" ht="15.75" customHeight="1" s="50">
      <c r="A608" s="32" t="n"/>
      <c r="B608" s="32" t="inlineStr">
        <is>
          <t>Brown / 16 cms</t>
        </is>
      </c>
      <c r="C608" s="32" t="inlineStr">
        <is>
          <t>MI-SB-C-Bn-16</t>
        </is>
      </c>
      <c r="D608" s="32" t="n">
        <v>55</v>
      </c>
      <c r="E608" s="32" t="n">
        <v>0</v>
      </c>
      <c r="F608" s="32" t="n">
        <v>0</v>
      </c>
      <c r="G608" s="32" t="n">
        <v>0</v>
      </c>
      <c r="H608" s="32" t="n">
        <v>10</v>
      </c>
      <c r="I608" s="41" t="n">
        <v>940490099</v>
      </c>
      <c r="J608" s="30" t="n">
        <v>0.05</v>
      </c>
      <c r="K608" s="32">
        <f>D608*J608</f>
        <v/>
      </c>
      <c r="M608" s="32">
        <f>D608*4%</f>
        <v/>
      </c>
      <c r="N608" s="49">
        <f>M608+L608+K608+H608+G608+F608+E608+D608</f>
        <v/>
      </c>
      <c r="O608" s="32">
        <f>D608*1%</f>
        <v/>
      </c>
      <c r="P608" s="7">
        <f>N608*8%</f>
        <v/>
      </c>
      <c r="Q608" s="7">
        <f>N608*10%</f>
        <v/>
      </c>
      <c r="R608" s="7">
        <f>N608*5%</f>
        <v/>
      </c>
      <c r="S608" s="7">
        <f>N608*2%</f>
        <v/>
      </c>
      <c r="T608" s="7">
        <f>AE608*0.5%</f>
        <v/>
      </c>
      <c r="U608" s="7">
        <f>N608*1%</f>
        <v/>
      </c>
      <c r="V608" s="31">
        <f>U608+S608+R608+Q608+P608+O608</f>
        <v/>
      </c>
      <c r="W608" s="32">
        <f>AE608*1%</f>
        <v/>
      </c>
      <c r="X608" s="32">
        <f>AE608*10%</f>
        <v/>
      </c>
      <c r="Y608" s="32">
        <f>AE608*1%</f>
        <v/>
      </c>
      <c r="Z608" s="32">
        <f>AE608*8%</f>
        <v/>
      </c>
      <c r="AA608" s="32">
        <f>W608+X608+Y608+Z608</f>
        <v/>
      </c>
      <c r="AB608" s="31">
        <f>AA608+V608+N608</f>
        <v/>
      </c>
      <c r="AC608" s="6">
        <f>AB608*20%</f>
        <v/>
      </c>
      <c r="AD608" s="7">
        <f>AB608+AC608</f>
        <v/>
      </c>
      <c r="AE608" s="32">
        <f>D608*2.1</f>
        <v/>
      </c>
      <c r="AF608" s="7">
        <f>AD608-AE608</f>
        <v/>
      </c>
      <c r="AG608" s="7">
        <f>AF608/AD608*100</f>
        <v/>
      </c>
      <c r="AH608" s="0" t="n">
        <v>325</v>
      </c>
      <c r="AI608" s="33" t="n">
        <v>270</v>
      </c>
      <c r="AJ608" s="34">
        <f>AD608</f>
        <v/>
      </c>
      <c r="AK608" s="34">
        <f>AJ608-(AJ608*7%)</f>
        <v/>
      </c>
      <c r="AL608" s="35">
        <f>AJ608/94</f>
        <v/>
      </c>
      <c r="AM608" s="35">
        <f>AK608/94</f>
        <v/>
      </c>
      <c r="AN608" s="36">
        <f>AJ608/24</f>
        <v/>
      </c>
      <c r="AO608" s="36">
        <f>AK608/24</f>
        <v/>
      </c>
      <c r="AP608" s="37">
        <f>AJ608/125</f>
        <v/>
      </c>
      <c r="AQ608" s="37">
        <f>AK608/125</f>
        <v/>
      </c>
    </row>
    <row r="609" ht="15.75" customHeight="1" s="50">
      <c r="A609" s="32" t="n"/>
      <c r="B609" s="32" t="inlineStr">
        <is>
          <t>Brown / 18 cms</t>
        </is>
      </c>
      <c r="C609" s="32" t="inlineStr">
        <is>
          <t>MI-SB-C-Bn-18</t>
        </is>
      </c>
      <c r="D609" s="32" t="n">
        <v>65</v>
      </c>
      <c r="E609" s="32" t="n">
        <v>0</v>
      </c>
      <c r="F609" s="32" t="n">
        <v>0</v>
      </c>
      <c r="G609" s="32" t="n">
        <v>0</v>
      </c>
      <c r="H609" s="32" t="n">
        <v>10</v>
      </c>
      <c r="I609" s="41" t="n">
        <v>940490099</v>
      </c>
      <c r="J609" s="30" t="n">
        <v>0.05</v>
      </c>
      <c r="K609" s="32">
        <f>D609*J609</f>
        <v/>
      </c>
      <c r="M609" s="32">
        <f>D609*4%</f>
        <v/>
      </c>
      <c r="N609" s="49">
        <f>M609+L609+K609+H609+G609+F609+E609+D609</f>
        <v/>
      </c>
      <c r="O609" s="32">
        <f>D609*1%</f>
        <v/>
      </c>
      <c r="P609" s="7">
        <f>N609*8%</f>
        <v/>
      </c>
      <c r="Q609" s="7">
        <f>N609*10%</f>
        <v/>
      </c>
      <c r="R609" s="7">
        <f>N609*5%</f>
        <v/>
      </c>
      <c r="S609" s="7">
        <f>N609*2%</f>
        <v/>
      </c>
      <c r="T609" s="7">
        <f>AE609*0.5%</f>
        <v/>
      </c>
      <c r="U609" s="7">
        <f>N609*1%</f>
        <v/>
      </c>
      <c r="V609" s="31">
        <f>U609+S609+R609+Q609+P609+O609</f>
        <v/>
      </c>
      <c r="W609" s="32">
        <f>AE609*1%</f>
        <v/>
      </c>
      <c r="X609" s="32">
        <f>AE609*10%</f>
        <v/>
      </c>
      <c r="Y609" s="32">
        <f>AE609*1%</f>
        <v/>
      </c>
      <c r="Z609" s="32">
        <f>AE609*8%</f>
        <v/>
      </c>
      <c r="AA609" s="32">
        <f>W609+X609+Y609+Z609</f>
        <v/>
      </c>
      <c r="AB609" s="31">
        <f>AA609+V609+N609</f>
        <v/>
      </c>
      <c r="AC609" s="6">
        <f>AB609*20%</f>
        <v/>
      </c>
      <c r="AD609" s="7">
        <f>AB609+AC609</f>
        <v/>
      </c>
      <c r="AE609" s="32">
        <f>D609*2.1</f>
        <v/>
      </c>
      <c r="AF609" s="7">
        <f>AD609-AE609</f>
        <v/>
      </c>
      <c r="AG609" s="7">
        <f>AF609/AD609*100</f>
        <v/>
      </c>
      <c r="AH609" s="0" t="n">
        <v>345</v>
      </c>
      <c r="AI609" s="33" t="n">
        <v>280</v>
      </c>
      <c r="AJ609" s="34">
        <f>AD609</f>
        <v/>
      </c>
      <c r="AK609" s="34">
        <f>AJ609-(AJ609*7%)</f>
        <v/>
      </c>
      <c r="AL609" s="35">
        <f>AJ609/94</f>
        <v/>
      </c>
      <c r="AM609" s="35">
        <f>AK609/94</f>
        <v/>
      </c>
      <c r="AN609" s="36">
        <f>AJ609/24</f>
        <v/>
      </c>
      <c r="AO609" s="36">
        <f>AK609/24</f>
        <v/>
      </c>
      <c r="AP609" s="37">
        <f>AJ609/125</f>
        <v/>
      </c>
      <c r="AQ609" s="37">
        <f>AK609/125</f>
        <v/>
      </c>
    </row>
    <row r="610" ht="15.75" customHeight="1" s="50">
      <c r="A610" s="32" t="n"/>
      <c r="B610" s="32" t="inlineStr">
        <is>
          <t>Brown / 20 cms</t>
        </is>
      </c>
      <c r="C610" s="32" t="inlineStr">
        <is>
          <t>MI-SB-C-Bn-20</t>
        </is>
      </c>
      <c r="D610" s="32" t="n">
        <v>80</v>
      </c>
      <c r="E610" s="32" t="n">
        <v>0</v>
      </c>
      <c r="F610" s="32" t="n">
        <v>0</v>
      </c>
      <c r="G610" s="32" t="n">
        <v>0</v>
      </c>
      <c r="H610" s="32" t="n">
        <v>10</v>
      </c>
      <c r="I610" s="41" t="n">
        <v>940490099</v>
      </c>
      <c r="J610" s="30" t="n">
        <v>0.05</v>
      </c>
      <c r="K610" s="32">
        <f>D610*J610</f>
        <v/>
      </c>
      <c r="M610" s="32">
        <f>D610*4%</f>
        <v/>
      </c>
      <c r="N610" s="49">
        <f>M610+L610+K610+H610+G610+F610+E610+D610</f>
        <v/>
      </c>
      <c r="O610" s="32">
        <f>D610*1%</f>
        <v/>
      </c>
      <c r="P610" s="7">
        <f>N610*8%</f>
        <v/>
      </c>
      <c r="Q610" s="7">
        <f>N610*10%</f>
        <v/>
      </c>
      <c r="R610" s="7">
        <f>N610*5%</f>
        <v/>
      </c>
      <c r="S610" s="7">
        <f>N610*2%</f>
        <v/>
      </c>
      <c r="T610" s="7">
        <f>AE610*0.5%</f>
        <v/>
      </c>
      <c r="U610" s="7">
        <f>N610*1%</f>
        <v/>
      </c>
      <c r="V610" s="31">
        <f>U610+S610+R610+Q610+P610+O610</f>
        <v/>
      </c>
      <c r="W610" s="32">
        <f>AE610*1%</f>
        <v/>
      </c>
      <c r="X610" s="32">
        <f>AE610*10%</f>
        <v/>
      </c>
      <c r="Y610" s="32">
        <f>AE610*1%</f>
        <v/>
      </c>
      <c r="Z610" s="32">
        <f>AE610*8%</f>
        <v/>
      </c>
      <c r="AA610" s="32">
        <f>W610+X610+Y610+Z610</f>
        <v/>
      </c>
      <c r="AB610" s="31">
        <f>AA610+V610+N610</f>
        <v/>
      </c>
      <c r="AC610" s="6">
        <f>AB610*20%</f>
        <v/>
      </c>
      <c r="AD610" s="7">
        <f>AB610+AC610</f>
        <v/>
      </c>
      <c r="AE610" s="32">
        <f>D610*2.1</f>
        <v/>
      </c>
      <c r="AF610" s="7">
        <f>AD610-AE610</f>
        <v/>
      </c>
      <c r="AG610" s="7">
        <f>AF610/AD610*100</f>
        <v/>
      </c>
      <c r="AH610" s="0" t="n">
        <v>495</v>
      </c>
      <c r="AI610" s="33" t="n">
        <v>415</v>
      </c>
      <c r="AJ610" s="34">
        <f>AD610</f>
        <v/>
      </c>
      <c r="AK610" s="34">
        <f>AJ610-(AJ610*7%)</f>
        <v/>
      </c>
      <c r="AL610" s="35">
        <f>AJ610/94</f>
        <v/>
      </c>
      <c r="AM610" s="35">
        <f>AK610/94</f>
        <v/>
      </c>
      <c r="AN610" s="36">
        <f>AJ610/24</f>
        <v/>
      </c>
      <c r="AO610" s="36">
        <f>AK610/24</f>
        <v/>
      </c>
      <c r="AP610" s="37">
        <f>AJ610/125</f>
        <v/>
      </c>
      <c r="AQ610" s="37">
        <f>AK610/125</f>
        <v/>
      </c>
    </row>
    <row r="611" ht="15.75" customHeight="1" s="50">
      <c r="A611" s="32" t="n"/>
      <c r="B611" s="32" t="inlineStr">
        <is>
          <t>Brown / 22 cms</t>
        </is>
      </c>
      <c r="C611" s="32" t="inlineStr">
        <is>
          <t>MI-SB-C-Bn-22</t>
        </is>
      </c>
      <c r="D611" s="32" t="n">
        <v>90</v>
      </c>
      <c r="E611" s="32" t="n">
        <v>0</v>
      </c>
      <c r="F611" s="32" t="n">
        <v>0</v>
      </c>
      <c r="G611" s="32" t="n">
        <v>0</v>
      </c>
      <c r="H611" s="32" t="n">
        <v>10</v>
      </c>
      <c r="I611" s="41" t="n">
        <v>940490099</v>
      </c>
      <c r="J611" s="30" t="n">
        <v>0.05</v>
      </c>
      <c r="K611" s="32">
        <f>D611*J611</f>
        <v/>
      </c>
      <c r="M611" s="32">
        <f>D611*4%</f>
        <v/>
      </c>
      <c r="N611" s="49">
        <f>M611+L611+K611+H611+G611+F611+E611+D611</f>
        <v/>
      </c>
      <c r="O611" s="32">
        <f>D611*1%</f>
        <v/>
      </c>
      <c r="P611" s="7">
        <f>N611*8%</f>
        <v/>
      </c>
      <c r="Q611" s="7">
        <f>N611*10%</f>
        <v/>
      </c>
      <c r="R611" s="7">
        <f>N611*5%</f>
        <v/>
      </c>
      <c r="S611" s="7">
        <f>N611*2%</f>
        <v/>
      </c>
      <c r="T611" s="7">
        <f>AE611*0.5%</f>
        <v/>
      </c>
      <c r="U611" s="7">
        <f>N611*1%</f>
        <v/>
      </c>
      <c r="V611" s="31">
        <f>U611+S611+R611+Q611+P611+O611</f>
        <v/>
      </c>
      <c r="W611" s="32">
        <f>AE611*1%</f>
        <v/>
      </c>
      <c r="X611" s="32">
        <f>AE611*10%</f>
        <v/>
      </c>
      <c r="Y611" s="32">
        <f>AE611*1%</f>
        <v/>
      </c>
      <c r="Z611" s="32">
        <f>AE611*8%</f>
        <v/>
      </c>
      <c r="AA611" s="32">
        <f>W611+X611+Y611+Z611</f>
        <v/>
      </c>
      <c r="AB611" s="31">
        <f>AA611+V611+N611</f>
        <v/>
      </c>
      <c r="AC611" s="6">
        <f>AB611*20%</f>
        <v/>
      </c>
      <c r="AD611" s="7">
        <f>AB611+AC611</f>
        <v/>
      </c>
      <c r="AE611" s="32">
        <f>D611*2.1</f>
        <v/>
      </c>
      <c r="AF611" s="7">
        <f>AD611-AE611</f>
        <v/>
      </c>
      <c r="AG611" s="7">
        <f>AF611/AD611*100</f>
        <v/>
      </c>
      <c r="AH611" s="0" t="n">
        <v>595</v>
      </c>
      <c r="AI611" s="33" t="n">
        <v>505</v>
      </c>
      <c r="AJ611" s="34">
        <f>AD611</f>
        <v/>
      </c>
      <c r="AK611" s="34">
        <f>AJ611-(AJ611*7%)</f>
        <v/>
      </c>
      <c r="AL611" s="35">
        <f>AJ611/94</f>
        <v/>
      </c>
      <c r="AM611" s="35">
        <f>AK611/94</f>
        <v/>
      </c>
      <c r="AN611" s="36">
        <f>AJ611/24</f>
        <v/>
      </c>
      <c r="AO611" s="36">
        <f>AK611/24</f>
        <v/>
      </c>
      <c r="AP611" s="37">
        <f>AJ611/125</f>
        <v/>
      </c>
      <c r="AQ611" s="37">
        <f>AK611/125</f>
        <v/>
      </c>
    </row>
    <row r="612" ht="15.75" customHeight="1" s="50">
      <c r="A612" s="32" t="n"/>
      <c r="B612" s="32" t="inlineStr">
        <is>
          <t>10 cms / Green</t>
        </is>
      </c>
      <c r="C612" s="32" t="inlineStr">
        <is>
          <t>MI-SB-C-G-12</t>
        </is>
      </c>
      <c r="D612" s="32" t="n">
        <v>45</v>
      </c>
      <c r="E612" s="32" t="n">
        <v>0</v>
      </c>
      <c r="F612" s="32" t="n">
        <v>0</v>
      </c>
      <c r="G612" s="32" t="n">
        <v>0</v>
      </c>
      <c r="H612" s="32" t="n">
        <v>10</v>
      </c>
      <c r="I612" s="41" t="n">
        <v>940490099</v>
      </c>
      <c r="J612" s="30" t="n">
        <v>0.05</v>
      </c>
      <c r="K612" s="32">
        <f>D612*J612</f>
        <v/>
      </c>
      <c r="M612" s="32">
        <f>D612*4%</f>
        <v/>
      </c>
      <c r="N612" s="49">
        <f>M612+L612+K612+H612+G612+F612+E612+D612</f>
        <v/>
      </c>
      <c r="O612" s="32">
        <f>D612*1%</f>
        <v/>
      </c>
      <c r="P612" s="7">
        <f>N612*8%</f>
        <v/>
      </c>
      <c r="Q612" s="7">
        <f>N612*10%</f>
        <v/>
      </c>
      <c r="R612" s="7">
        <f>N612*5%</f>
        <v/>
      </c>
      <c r="S612" s="7">
        <f>N612*2%</f>
        <v/>
      </c>
      <c r="T612" s="7">
        <f>AE612*0.5%</f>
        <v/>
      </c>
      <c r="U612" s="7">
        <f>N612*1%</f>
        <v/>
      </c>
      <c r="V612" s="31">
        <f>U612+S612+R612+Q612+P612+O612</f>
        <v/>
      </c>
      <c r="W612" s="32">
        <f>AE612*1%</f>
        <v/>
      </c>
      <c r="X612" s="32">
        <f>AE612*10%</f>
        <v/>
      </c>
      <c r="Y612" s="32">
        <f>AE612*1%</f>
        <v/>
      </c>
      <c r="Z612" s="32">
        <f>AE612*8%</f>
        <v/>
      </c>
      <c r="AA612" s="32">
        <f>W612+X612+Y612+Z612</f>
        <v/>
      </c>
      <c r="AB612" s="31">
        <f>AA612+V612+N612</f>
        <v/>
      </c>
      <c r="AC612" s="6">
        <f>AB612*20%</f>
        <v/>
      </c>
      <c r="AD612" s="7">
        <f>AB612+AC612</f>
        <v/>
      </c>
      <c r="AE612" s="32">
        <f>D612*2.1</f>
        <v/>
      </c>
      <c r="AF612" s="7">
        <f>AD612-AE612</f>
        <v/>
      </c>
      <c r="AG612" s="7">
        <f>AF612/AD612*100</f>
        <v/>
      </c>
      <c r="AH612" s="0" t="n">
        <v>275</v>
      </c>
      <c r="AI612" s="33" t="n">
        <v>230</v>
      </c>
      <c r="AJ612" s="34">
        <f>AD612</f>
        <v/>
      </c>
      <c r="AK612" s="34">
        <f>AJ612-(AJ612*7%)</f>
        <v/>
      </c>
      <c r="AL612" s="35">
        <f>AJ612/94</f>
        <v/>
      </c>
      <c r="AM612" s="35">
        <f>AK612/94</f>
        <v/>
      </c>
      <c r="AN612" s="36">
        <f>AJ612/24</f>
        <v/>
      </c>
      <c r="AO612" s="36">
        <f>AK612/24</f>
        <v/>
      </c>
      <c r="AP612" s="37">
        <f>AJ612/125</f>
        <v/>
      </c>
      <c r="AQ612" s="37">
        <f>AK612/125</f>
        <v/>
      </c>
    </row>
    <row r="613" ht="15.75" customHeight="1" s="50">
      <c r="A613" s="32" t="n"/>
      <c r="B613" s="32" t="inlineStr">
        <is>
          <t>14 cms / Green</t>
        </is>
      </c>
      <c r="C613" s="32" t="inlineStr">
        <is>
          <t>MI-SB-C-G-14</t>
        </is>
      </c>
      <c r="D613" s="32" t="n">
        <v>45</v>
      </c>
      <c r="E613" s="32" t="n">
        <v>0</v>
      </c>
      <c r="F613" s="32" t="n">
        <v>0</v>
      </c>
      <c r="G613" s="32" t="n">
        <v>0</v>
      </c>
      <c r="H613" s="32" t="n">
        <v>10</v>
      </c>
      <c r="I613" s="41" t="n">
        <v>940490099</v>
      </c>
      <c r="J613" s="30" t="n">
        <v>0.05</v>
      </c>
      <c r="K613" s="32">
        <f>D613*J613</f>
        <v/>
      </c>
      <c r="M613" s="32">
        <f>D613*4%</f>
        <v/>
      </c>
      <c r="N613" s="49">
        <f>M613+L613+K613+H613+G613+F613+E613+D613</f>
        <v/>
      </c>
      <c r="O613" s="32">
        <f>D613*1%</f>
        <v/>
      </c>
      <c r="P613" s="7">
        <f>N613*8%</f>
        <v/>
      </c>
      <c r="Q613" s="7">
        <f>N613*10%</f>
        <v/>
      </c>
      <c r="R613" s="7">
        <f>N613*5%</f>
        <v/>
      </c>
      <c r="S613" s="7">
        <f>N613*2%</f>
        <v/>
      </c>
      <c r="T613" s="7">
        <f>AE613*0.5%</f>
        <v/>
      </c>
      <c r="U613" s="7">
        <f>N613*1%</f>
        <v/>
      </c>
      <c r="V613" s="31">
        <f>U613+S613+R613+Q613+P613+O613</f>
        <v/>
      </c>
      <c r="W613" s="32">
        <f>AE613*1%</f>
        <v/>
      </c>
      <c r="X613" s="32">
        <f>AE613*10%</f>
        <v/>
      </c>
      <c r="Y613" s="32">
        <f>AE613*1%</f>
        <v/>
      </c>
      <c r="Z613" s="32">
        <f>AE613*8%</f>
        <v/>
      </c>
      <c r="AA613" s="32">
        <f>W613+X613+Y613+Z613</f>
        <v/>
      </c>
      <c r="AB613" s="31">
        <f>AA613+V613+N613</f>
        <v/>
      </c>
      <c r="AC613" s="6">
        <f>AB613*20%</f>
        <v/>
      </c>
      <c r="AD613" s="7">
        <f>AB613+AC613</f>
        <v/>
      </c>
      <c r="AE613" s="32">
        <f>D613*2.1</f>
        <v/>
      </c>
      <c r="AF613" s="7">
        <f>AD613-AE613</f>
        <v/>
      </c>
      <c r="AG613" s="7">
        <f>AF613/AD613*100</f>
        <v/>
      </c>
      <c r="AH613" s="0" t="n">
        <v>295</v>
      </c>
      <c r="AI613" s="33" t="n">
        <v>250</v>
      </c>
      <c r="AJ613" s="34">
        <f>AD613</f>
        <v/>
      </c>
      <c r="AK613" s="34">
        <f>AJ613-(AJ613*7%)</f>
        <v/>
      </c>
      <c r="AL613" s="35">
        <f>AJ613/94</f>
        <v/>
      </c>
      <c r="AM613" s="35">
        <f>AK613/94</f>
        <v/>
      </c>
      <c r="AN613" s="36">
        <f>AJ613/24</f>
        <v/>
      </c>
      <c r="AO613" s="36">
        <f>AK613/24</f>
        <v/>
      </c>
      <c r="AP613" s="37">
        <f>AJ613/125</f>
        <v/>
      </c>
      <c r="AQ613" s="37">
        <f>AK613/125</f>
        <v/>
      </c>
    </row>
    <row r="614" ht="15.75" customHeight="1" s="50">
      <c r="A614" s="32" t="n"/>
      <c r="B614" s="32" t="inlineStr">
        <is>
          <t>16 cms / Green</t>
        </is>
      </c>
      <c r="C614" s="32" t="inlineStr">
        <is>
          <t>MI-SB-C-G-16</t>
        </is>
      </c>
      <c r="D614" s="32" t="n">
        <v>55</v>
      </c>
      <c r="E614" s="32" t="n">
        <v>0</v>
      </c>
      <c r="F614" s="32" t="n">
        <v>0</v>
      </c>
      <c r="G614" s="32" t="n">
        <v>0</v>
      </c>
      <c r="H614" s="32" t="n">
        <v>10</v>
      </c>
      <c r="I614" s="41" t="n">
        <v>940490099</v>
      </c>
      <c r="J614" s="30" t="n">
        <v>0.05</v>
      </c>
      <c r="K614" s="32">
        <f>D614*J614</f>
        <v/>
      </c>
      <c r="M614" s="32">
        <f>D614*4%</f>
        <v/>
      </c>
      <c r="N614" s="49">
        <f>M614+L614+K614+H614+G614+F614+E614+D614</f>
        <v/>
      </c>
      <c r="O614" s="32">
        <f>D614*1%</f>
        <v/>
      </c>
      <c r="P614" s="7">
        <f>N614*8%</f>
        <v/>
      </c>
      <c r="Q614" s="7">
        <f>N614*10%</f>
        <v/>
      </c>
      <c r="R614" s="7">
        <f>N614*5%</f>
        <v/>
      </c>
      <c r="S614" s="7">
        <f>N614*2%</f>
        <v/>
      </c>
      <c r="T614" s="7">
        <f>AE614*0.5%</f>
        <v/>
      </c>
      <c r="U614" s="7">
        <f>N614*1%</f>
        <v/>
      </c>
      <c r="V614" s="31">
        <f>U614+S614+R614+Q614+P614+O614</f>
        <v/>
      </c>
      <c r="W614" s="32">
        <f>AE614*1%</f>
        <v/>
      </c>
      <c r="X614" s="32">
        <f>AE614*10%</f>
        <v/>
      </c>
      <c r="Y614" s="32">
        <f>AE614*1%</f>
        <v/>
      </c>
      <c r="Z614" s="32">
        <f>AE614*8%</f>
        <v/>
      </c>
      <c r="AA614" s="32">
        <f>W614+X614+Y614+Z614</f>
        <v/>
      </c>
      <c r="AB614" s="31">
        <f>AA614+V614+N614</f>
        <v/>
      </c>
      <c r="AC614" s="6">
        <f>AB614*20%</f>
        <v/>
      </c>
      <c r="AD614" s="7">
        <f>AB614+AC614</f>
        <v/>
      </c>
      <c r="AE614" s="32">
        <f>D614*2.1</f>
        <v/>
      </c>
      <c r="AF614" s="7">
        <f>AD614-AE614</f>
        <v/>
      </c>
      <c r="AG614" s="7">
        <f>AF614/AD614*100</f>
        <v/>
      </c>
      <c r="AH614" s="0" t="n">
        <v>325</v>
      </c>
      <c r="AI614" s="33" t="n">
        <v>270</v>
      </c>
      <c r="AJ614" s="34">
        <f>AD614</f>
        <v/>
      </c>
      <c r="AK614" s="34">
        <f>AJ614-(AJ614*7%)</f>
        <v/>
      </c>
      <c r="AL614" s="35">
        <f>AJ614/94</f>
        <v/>
      </c>
      <c r="AM614" s="35">
        <f>AK614/94</f>
        <v/>
      </c>
      <c r="AN614" s="36">
        <f>AJ614/24</f>
        <v/>
      </c>
      <c r="AO614" s="36">
        <f>AK614/24</f>
        <v/>
      </c>
      <c r="AP614" s="37">
        <f>AJ614/125</f>
        <v/>
      </c>
      <c r="AQ614" s="37">
        <f>AK614/125</f>
        <v/>
      </c>
    </row>
    <row r="615" ht="15.75" customHeight="1" s="50">
      <c r="A615" s="32" t="n"/>
      <c r="B615" s="32" t="inlineStr">
        <is>
          <t>18 cms / Green</t>
        </is>
      </c>
      <c r="C615" s="32" t="inlineStr">
        <is>
          <t>MI-SB-C-G-18</t>
        </is>
      </c>
      <c r="D615" s="32" t="n">
        <v>65</v>
      </c>
      <c r="E615" s="32" t="n">
        <v>0</v>
      </c>
      <c r="F615" s="32" t="n">
        <v>0</v>
      </c>
      <c r="G615" s="32" t="n">
        <v>0</v>
      </c>
      <c r="H615" s="32" t="n">
        <v>10</v>
      </c>
      <c r="I615" s="41" t="n">
        <v>940490099</v>
      </c>
      <c r="J615" s="30" t="n">
        <v>0.05</v>
      </c>
      <c r="K615" s="32">
        <f>D615*J615</f>
        <v/>
      </c>
      <c r="M615" s="32">
        <f>D615*4%</f>
        <v/>
      </c>
      <c r="N615" s="49">
        <f>M615+L615+K615+H615+G615+F615+E615+D615</f>
        <v/>
      </c>
      <c r="O615" s="32">
        <f>D615*1%</f>
        <v/>
      </c>
      <c r="P615" s="7">
        <f>N615*8%</f>
        <v/>
      </c>
      <c r="Q615" s="7">
        <f>N615*10%</f>
        <v/>
      </c>
      <c r="R615" s="7">
        <f>N615*5%</f>
        <v/>
      </c>
      <c r="S615" s="7">
        <f>N615*2%</f>
        <v/>
      </c>
      <c r="T615" s="7">
        <f>AE615*0.5%</f>
        <v/>
      </c>
      <c r="U615" s="7">
        <f>N615*1%</f>
        <v/>
      </c>
      <c r="V615" s="31">
        <f>U615+S615+R615+Q615+P615+O615</f>
        <v/>
      </c>
      <c r="W615" s="32">
        <f>AE615*1%</f>
        <v/>
      </c>
      <c r="X615" s="32">
        <f>AE615*10%</f>
        <v/>
      </c>
      <c r="Y615" s="32">
        <f>AE615*1%</f>
        <v/>
      </c>
      <c r="Z615" s="32">
        <f>AE615*8%</f>
        <v/>
      </c>
      <c r="AA615" s="32">
        <f>W615+X615+Y615+Z615</f>
        <v/>
      </c>
      <c r="AB615" s="31">
        <f>AA615+V615+N615</f>
        <v/>
      </c>
      <c r="AC615" s="6">
        <f>AB615*20%</f>
        <v/>
      </c>
      <c r="AD615" s="7">
        <f>AB615+AC615</f>
        <v/>
      </c>
      <c r="AE615" s="32">
        <f>D615*2.1</f>
        <v/>
      </c>
      <c r="AF615" s="7">
        <f>AD615-AE615</f>
        <v/>
      </c>
      <c r="AG615" s="7">
        <f>AF615/AD615*100</f>
        <v/>
      </c>
      <c r="AH615" s="0" t="n">
        <v>345</v>
      </c>
      <c r="AI615" s="33" t="n">
        <v>280</v>
      </c>
      <c r="AJ615" s="34">
        <f>AD615</f>
        <v/>
      </c>
      <c r="AK615" s="34">
        <f>AJ615-(AJ615*7%)</f>
        <v/>
      </c>
      <c r="AL615" s="35">
        <f>AJ615/94</f>
        <v/>
      </c>
      <c r="AM615" s="35">
        <f>AK615/94</f>
        <v/>
      </c>
      <c r="AN615" s="36">
        <f>AJ615/24</f>
        <v/>
      </c>
      <c r="AO615" s="36">
        <f>AK615/24</f>
        <v/>
      </c>
      <c r="AP615" s="37">
        <f>AJ615/125</f>
        <v/>
      </c>
      <c r="AQ615" s="37">
        <f>AK615/125</f>
        <v/>
      </c>
    </row>
    <row r="616" ht="15.75" customHeight="1" s="50">
      <c r="A616" s="32" t="n"/>
      <c r="B616" s="32" t="inlineStr">
        <is>
          <t>20 cms / Green</t>
        </is>
      </c>
      <c r="C616" s="32" t="inlineStr">
        <is>
          <t>MI-SB-C-G-20</t>
        </is>
      </c>
      <c r="D616" s="32" t="n">
        <v>80</v>
      </c>
      <c r="E616" s="32" t="n">
        <v>0</v>
      </c>
      <c r="F616" s="32" t="n">
        <v>0</v>
      </c>
      <c r="G616" s="32" t="n">
        <v>0</v>
      </c>
      <c r="H616" s="32" t="n">
        <v>10</v>
      </c>
      <c r="I616" s="41" t="n">
        <v>940490099</v>
      </c>
      <c r="J616" s="30" t="n">
        <v>0.05</v>
      </c>
      <c r="K616" s="32">
        <f>D616*J616</f>
        <v/>
      </c>
      <c r="M616" s="32">
        <f>D616*4%</f>
        <v/>
      </c>
      <c r="N616" s="49">
        <f>M616+L616+K616+H616+G616+F616+E616+D616</f>
        <v/>
      </c>
      <c r="O616" s="32">
        <f>D616*1%</f>
        <v/>
      </c>
      <c r="P616" s="7">
        <f>N616*8%</f>
        <v/>
      </c>
      <c r="Q616" s="7">
        <f>N616*10%</f>
        <v/>
      </c>
      <c r="R616" s="7">
        <f>N616*5%</f>
        <v/>
      </c>
      <c r="S616" s="7">
        <f>N616*2%</f>
        <v/>
      </c>
      <c r="T616" s="7">
        <f>AE616*0.5%</f>
        <v/>
      </c>
      <c r="U616" s="7">
        <f>N616*1%</f>
        <v/>
      </c>
      <c r="V616" s="31">
        <f>U616+S616+R616+Q616+P616+O616</f>
        <v/>
      </c>
      <c r="W616" s="32">
        <f>AE616*1%</f>
        <v/>
      </c>
      <c r="X616" s="32">
        <f>AE616*10%</f>
        <v/>
      </c>
      <c r="Y616" s="32">
        <f>AE616*1%</f>
        <v/>
      </c>
      <c r="Z616" s="32">
        <f>AE616*8%</f>
        <v/>
      </c>
      <c r="AA616" s="32">
        <f>W616+X616+Y616+Z616</f>
        <v/>
      </c>
      <c r="AB616" s="31">
        <f>AA616+V616+N616</f>
        <v/>
      </c>
      <c r="AC616" s="6">
        <f>AB616*20%</f>
        <v/>
      </c>
      <c r="AD616" s="7">
        <f>AB616+AC616</f>
        <v/>
      </c>
      <c r="AE616" s="32">
        <f>D616*2.1</f>
        <v/>
      </c>
      <c r="AF616" s="7">
        <f>AD616-AE616</f>
        <v/>
      </c>
      <c r="AG616" s="7">
        <f>AF616/AD616*100</f>
        <v/>
      </c>
      <c r="AH616" s="0" t="n">
        <v>495</v>
      </c>
      <c r="AI616" s="33" t="n">
        <v>415</v>
      </c>
      <c r="AJ616" s="34">
        <f>AD616</f>
        <v/>
      </c>
      <c r="AK616" s="34">
        <f>AJ616-(AJ616*7%)</f>
        <v/>
      </c>
      <c r="AL616" s="35">
        <f>AJ616/94</f>
        <v/>
      </c>
      <c r="AM616" s="35">
        <f>AK616/94</f>
        <v/>
      </c>
      <c r="AN616" s="36">
        <f>AJ616/24</f>
        <v/>
      </c>
      <c r="AO616" s="36">
        <f>AK616/24</f>
        <v/>
      </c>
      <c r="AP616" s="37">
        <f>AJ616/125</f>
        <v/>
      </c>
      <c r="AQ616" s="37">
        <f>AK616/125</f>
        <v/>
      </c>
    </row>
    <row r="617" ht="15.75" customHeight="1" s="50">
      <c r="A617" s="32" t="n"/>
      <c r="B617" s="32" t="inlineStr">
        <is>
          <t>22 cms / Green</t>
        </is>
      </c>
      <c r="C617" s="32" t="inlineStr">
        <is>
          <t>MI-SB-C-G-22</t>
        </is>
      </c>
      <c r="D617" s="32" t="n">
        <v>90</v>
      </c>
      <c r="E617" s="32" t="n">
        <v>0</v>
      </c>
      <c r="F617" s="32" t="n">
        <v>0</v>
      </c>
      <c r="G617" s="32" t="n">
        <v>0</v>
      </c>
      <c r="H617" s="32" t="n">
        <v>10</v>
      </c>
      <c r="I617" s="41" t="n">
        <v>940490099</v>
      </c>
      <c r="J617" s="30" t="n">
        <v>0.05</v>
      </c>
      <c r="K617" s="32">
        <f>D617*J617</f>
        <v/>
      </c>
      <c r="M617" s="32">
        <f>D617*4%</f>
        <v/>
      </c>
      <c r="N617" s="49">
        <f>M617+L617+K617+H617+G617+F617+E617+D617</f>
        <v/>
      </c>
      <c r="O617" s="32">
        <f>D617*1%</f>
        <v/>
      </c>
      <c r="P617" s="7">
        <f>N617*8%</f>
        <v/>
      </c>
      <c r="Q617" s="7">
        <f>N617*10%</f>
        <v/>
      </c>
      <c r="R617" s="7">
        <f>N617*5%</f>
        <v/>
      </c>
      <c r="S617" s="7">
        <f>N617*2%</f>
        <v/>
      </c>
      <c r="T617" s="7">
        <f>AE617*0.5%</f>
        <v/>
      </c>
      <c r="U617" s="7">
        <f>N617*1%</f>
        <v/>
      </c>
      <c r="V617" s="31">
        <f>U617+S617+R617+Q617+P617+O617</f>
        <v/>
      </c>
      <c r="W617" s="32">
        <f>AE617*1%</f>
        <v/>
      </c>
      <c r="X617" s="32">
        <f>AE617*10%</f>
        <v/>
      </c>
      <c r="Y617" s="32">
        <f>AE617*1%</f>
        <v/>
      </c>
      <c r="Z617" s="32">
        <f>AE617*8%</f>
        <v/>
      </c>
      <c r="AA617" s="32">
        <f>W617+X617+Y617+Z617</f>
        <v/>
      </c>
      <c r="AB617" s="31">
        <f>AA617+V617+N617</f>
        <v/>
      </c>
      <c r="AC617" s="6">
        <f>AB617*20%</f>
        <v/>
      </c>
      <c r="AD617" s="7">
        <f>AB617+AC617</f>
        <v/>
      </c>
      <c r="AE617" s="32">
        <f>D617*2.1</f>
        <v/>
      </c>
      <c r="AF617" s="7">
        <f>AD617-AE617</f>
        <v/>
      </c>
      <c r="AG617" s="7">
        <f>AF617/AD617*100</f>
        <v/>
      </c>
      <c r="AH617" s="0" t="n">
        <v>595</v>
      </c>
      <c r="AI617" s="33" t="n">
        <v>505</v>
      </c>
      <c r="AJ617" s="34">
        <f>AD617</f>
        <v/>
      </c>
      <c r="AK617" s="34">
        <f>AJ617-(AJ617*7%)</f>
        <v/>
      </c>
      <c r="AL617" s="35">
        <f>AJ617/94</f>
        <v/>
      </c>
      <c r="AM617" s="35">
        <f>AK617/94</f>
        <v/>
      </c>
      <c r="AN617" s="36">
        <f>AJ617/24</f>
        <v/>
      </c>
      <c r="AO617" s="36">
        <f>AK617/24</f>
        <v/>
      </c>
      <c r="AP617" s="37">
        <f>AJ617/125</f>
        <v/>
      </c>
      <c r="AQ617" s="37">
        <f>AK617/125</f>
        <v/>
      </c>
    </row>
    <row r="618" ht="15.75" customHeight="1" s="50">
      <c r="A618" s="32" t="n"/>
      <c r="B618" s="32" t="inlineStr">
        <is>
          <t>10 cms / Navy Blue</t>
        </is>
      </c>
      <c r="C618" s="32" t="inlineStr">
        <is>
          <t>MI-SB-C-NB-10</t>
        </is>
      </c>
      <c r="D618" s="32" t="n">
        <v>45</v>
      </c>
      <c r="E618" s="32" t="n">
        <v>0</v>
      </c>
      <c r="F618" s="32" t="n">
        <v>0</v>
      </c>
      <c r="G618" s="32" t="n">
        <v>0</v>
      </c>
      <c r="H618" s="32" t="n">
        <v>10</v>
      </c>
      <c r="I618" s="41" t="n">
        <v>940490099</v>
      </c>
      <c r="J618" s="30" t="n">
        <v>0.05</v>
      </c>
      <c r="K618" s="32">
        <f>D618*J618</f>
        <v/>
      </c>
      <c r="M618" s="32">
        <f>D618*4%</f>
        <v/>
      </c>
      <c r="N618" s="49">
        <f>M618+L618+K618+H618+G618+F618+E618+D618</f>
        <v/>
      </c>
      <c r="O618" s="32">
        <f>D618*1%</f>
        <v/>
      </c>
      <c r="P618" s="7">
        <f>N618*8%</f>
        <v/>
      </c>
      <c r="Q618" s="7">
        <f>N618*10%</f>
        <v/>
      </c>
      <c r="R618" s="7">
        <f>N618*5%</f>
        <v/>
      </c>
      <c r="S618" s="7">
        <f>N618*2%</f>
        <v/>
      </c>
      <c r="T618" s="7">
        <f>AE618*0.5%</f>
        <v/>
      </c>
      <c r="U618" s="7">
        <f>N618*1%</f>
        <v/>
      </c>
      <c r="V618" s="31">
        <f>U618+S618+R618+Q618+P618+O618</f>
        <v/>
      </c>
      <c r="W618" s="32">
        <f>AE618*1%</f>
        <v/>
      </c>
      <c r="X618" s="32">
        <f>AE618*10%</f>
        <v/>
      </c>
      <c r="Y618" s="32">
        <f>AE618*1%</f>
        <v/>
      </c>
      <c r="Z618" s="32">
        <f>AE618*8%</f>
        <v/>
      </c>
      <c r="AA618" s="32">
        <f>W618+X618+Y618+Z618</f>
        <v/>
      </c>
      <c r="AB618" s="31">
        <f>AA618+V618+N618</f>
        <v/>
      </c>
      <c r="AC618" s="6">
        <f>AB618*20%</f>
        <v/>
      </c>
      <c r="AD618" s="7">
        <f>AB618+AC618</f>
        <v/>
      </c>
      <c r="AE618" s="32">
        <f>D618*2.1</f>
        <v/>
      </c>
      <c r="AF618" s="7">
        <f>AD618-AE618</f>
        <v/>
      </c>
      <c r="AG618" s="7">
        <f>AF618/AD618*100</f>
        <v/>
      </c>
      <c r="AH618" s="0" t="n">
        <v>245</v>
      </c>
      <c r="AI618" s="33" t="n">
        <v>200</v>
      </c>
      <c r="AJ618" s="34">
        <f>AD618</f>
        <v/>
      </c>
      <c r="AK618" s="34">
        <f>AJ618-(AJ618*7%)</f>
        <v/>
      </c>
      <c r="AL618" s="35">
        <f>AJ618/94</f>
        <v/>
      </c>
      <c r="AM618" s="35">
        <f>AK618/94</f>
        <v/>
      </c>
      <c r="AN618" s="36">
        <f>AJ618/24</f>
        <v/>
      </c>
      <c r="AO618" s="36">
        <f>AK618/24</f>
        <v/>
      </c>
      <c r="AP618" s="37">
        <f>AJ618/125</f>
        <v/>
      </c>
      <c r="AQ618" s="37">
        <f>AK618/125</f>
        <v/>
      </c>
    </row>
    <row r="619" ht="15.75" customHeight="1" s="50">
      <c r="A619" s="32" t="n"/>
      <c r="B619" s="32" t="inlineStr">
        <is>
          <t>Navy Blue / 12 cms</t>
        </is>
      </c>
      <c r="C619" s="32" t="inlineStr">
        <is>
          <t>MI-SB-C-NB-12</t>
        </is>
      </c>
      <c r="D619" s="32" t="n">
        <v>45</v>
      </c>
      <c r="E619" s="32" t="n">
        <v>0</v>
      </c>
      <c r="F619" s="32" t="n">
        <v>0</v>
      </c>
      <c r="G619" s="32" t="n">
        <v>0</v>
      </c>
      <c r="H619" s="32" t="n">
        <v>10</v>
      </c>
      <c r="I619" s="41" t="n">
        <v>940490099</v>
      </c>
      <c r="J619" s="30" t="n">
        <v>0.05</v>
      </c>
      <c r="K619" s="32">
        <f>D619*J619</f>
        <v/>
      </c>
      <c r="M619" s="32">
        <f>D619*4%</f>
        <v/>
      </c>
      <c r="N619" s="49">
        <f>M619+L619+K619+H619+G619+F619+E619+D619</f>
        <v/>
      </c>
      <c r="O619" s="32">
        <f>D619*1%</f>
        <v/>
      </c>
      <c r="P619" s="7">
        <f>N619*8%</f>
        <v/>
      </c>
      <c r="Q619" s="7">
        <f>N619*10%</f>
        <v/>
      </c>
      <c r="R619" s="7">
        <f>N619*5%</f>
        <v/>
      </c>
      <c r="S619" s="7">
        <f>N619*2%</f>
        <v/>
      </c>
      <c r="T619" s="7">
        <f>AE619*0.5%</f>
        <v/>
      </c>
      <c r="U619" s="7">
        <f>N619*1%</f>
        <v/>
      </c>
      <c r="V619" s="31">
        <f>U619+S619+R619+Q619+P619+O619</f>
        <v/>
      </c>
      <c r="W619" s="32">
        <f>AE619*1%</f>
        <v/>
      </c>
      <c r="X619" s="32">
        <f>AE619*10%</f>
        <v/>
      </c>
      <c r="Y619" s="32">
        <f>AE619*1%</f>
        <v/>
      </c>
      <c r="Z619" s="32">
        <f>AE619*8%</f>
        <v/>
      </c>
      <c r="AA619" s="32">
        <f>W619+X619+Y619+Z619</f>
        <v/>
      </c>
      <c r="AB619" s="31">
        <f>AA619+V619+N619</f>
        <v/>
      </c>
      <c r="AC619" s="6">
        <f>AB619*20%</f>
        <v/>
      </c>
      <c r="AD619" s="7">
        <f>AB619+AC619</f>
        <v/>
      </c>
      <c r="AE619" s="32">
        <f>D619*2.1</f>
        <v/>
      </c>
      <c r="AF619" s="7">
        <f>AD619-AE619</f>
        <v/>
      </c>
      <c r="AG619" s="7">
        <f>AF619/AD619*100</f>
        <v/>
      </c>
      <c r="AH619" s="0" t="n">
        <v>275</v>
      </c>
      <c r="AI619" s="33" t="n">
        <v>230</v>
      </c>
      <c r="AJ619" s="34">
        <f>AD619</f>
        <v/>
      </c>
      <c r="AK619" s="34">
        <f>AJ619-(AJ619*7%)</f>
        <v/>
      </c>
      <c r="AL619" s="35">
        <f>AJ619/94</f>
        <v/>
      </c>
      <c r="AM619" s="35">
        <f>AK619/94</f>
        <v/>
      </c>
      <c r="AN619" s="36">
        <f>AJ619/24</f>
        <v/>
      </c>
      <c r="AO619" s="36">
        <f>AK619/24</f>
        <v/>
      </c>
      <c r="AP619" s="37">
        <f>AJ619/125</f>
        <v/>
      </c>
      <c r="AQ619" s="37">
        <f>AK619/125</f>
        <v/>
      </c>
    </row>
    <row r="620" ht="15.75" customHeight="1" s="50">
      <c r="A620" s="32" t="n"/>
      <c r="B620" s="32" t="inlineStr">
        <is>
          <t>Navy Blue / 14 cms</t>
        </is>
      </c>
      <c r="C620" s="32" t="inlineStr">
        <is>
          <t>MI-SB-C-NB-14</t>
        </is>
      </c>
      <c r="D620" s="32" t="n">
        <v>45</v>
      </c>
      <c r="E620" s="32" t="n">
        <v>0</v>
      </c>
      <c r="F620" s="32" t="n">
        <v>0</v>
      </c>
      <c r="G620" s="32" t="n">
        <v>0</v>
      </c>
      <c r="H620" s="32" t="n">
        <v>10</v>
      </c>
      <c r="I620" s="41" t="n">
        <v>940490099</v>
      </c>
      <c r="J620" s="30" t="n">
        <v>0.05</v>
      </c>
      <c r="K620" s="32">
        <f>D620*J620</f>
        <v/>
      </c>
      <c r="M620" s="32">
        <f>D620*4%</f>
        <v/>
      </c>
      <c r="N620" s="49">
        <f>M620+L620+K620+H620+G620+F620+E620+D620</f>
        <v/>
      </c>
      <c r="O620" s="32">
        <f>D620*1%</f>
        <v/>
      </c>
      <c r="P620" s="7">
        <f>N620*8%</f>
        <v/>
      </c>
      <c r="Q620" s="7">
        <f>N620*10%</f>
        <v/>
      </c>
      <c r="R620" s="7">
        <f>N620*5%</f>
        <v/>
      </c>
      <c r="S620" s="7">
        <f>N620*2%</f>
        <v/>
      </c>
      <c r="T620" s="7">
        <f>AE620*0.5%</f>
        <v/>
      </c>
      <c r="U620" s="7">
        <f>N620*1%</f>
        <v/>
      </c>
      <c r="V620" s="31">
        <f>U620+S620+R620+Q620+P620+O620</f>
        <v/>
      </c>
      <c r="W620" s="32">
        <f>AE620*1%</f>
        <v/>
      </c>
      <c r="X620" s="32">
        <f>AE620*10%</f>
        <v/>
      </c>
      <c r="Y620" s="32">
        <f>AE620*1%</f>
        <v/>
      </c>
      <c r="Z620" s="32">
        <f>AE620*8%</f>
        <v/>
      </c>
      <c r="AA620" s="32">
        <f>W620+X620+Y620+Z620</f>
        <v/>
      </c>
      <c r="AB620" s="31">
        <f>AA620+V620+N620</f>
        <v/>
      </c>
      <c r="AC620" s="6">
        <f>AB620*20%</f>
        <v/>
      </c>
      <c r="AD620" s="7">
        <f>AB620+AC620</f>
        <v/>
      </c>
      <c r="AE620" s="32">
        <f>D620*2.1</f>
        <v/>
      </c>
      <c r="AF620" s="7">
        <f>AD620-AE620</f>
        <v/>
      </c>
      <c r="AG620" s="7">
        <f>AF620/AD620*100</f>
        <v/>
      </c>
      <c r="AH620" s="0" t="n">
        <v>295</v>
      </c>
      <c r="AI620" s="33" t="n">
        <v>250</v>
      </c>
      <c r="AJ620" s="34">
        <f>AD620</f>
        <v/>
      </c>
      <c r="AK620" s="34">
        <f>AJ620-(AJ620*7%)</f>
        <v/>
      </c>
      <c r="AL620" s="35">
        <f>AJ620/94</f>
        <v/>
      </c>
      <c r="AM620" s="35">
        <f>AK620/94</f>
        <v/>
      </c>
      <c r="AN620" s="36">
        <f>AJ620/24</f>
        <v/>
      </c>
      <c r="AO620" s="36">
        <f>AK620/24</f>
        <v/>
      </c>
      <c r="AP620" s="37">
        <f>AJ620/125</f>
        <v/>
      </c>
      <c r="AQ620" s="37">
        <f>AK620/125</f>
        <v/>
      </c>
    </row>
    <row r="621" ht="15.75" customHeight="1" s="50">
      <c r="A621" s="32" t="n"/>
      <c r="B621" s="32" t="inlineStr">
        <is>
          <t>16 cms / Navy Blue</t>
        </is>
      </c>
      <c r="C621" s="32" t="inlineStr">
        <is>
          <t>MI-SB-C-NB-16</t>
        </is>
      </c>
      <c r="D621" s="32" t="n">
        <v>55</v>
      </c>
      <c r="E621" s="32" t="n">
        <v>0</v>
      </c>
      <c r="F621" s="32" t="n">
        <v>0</v>
      </c>
      <c r="G621" s="32" t="n">
        <v>0</v>
      </c>
      <c r="H621" s="32" t="n">
        <v>10</v>
      </c>
      <c r="I621" s="41" t="n">
        <v>940490099</v>
      </c>
      <c r="J621" s="30" t="n">
        <v>0.05</v>
      </c>
      <c r="K621" s="32">
        <f>D621*J621</f>
        <v/>
      </c>
      <c r="M621" s="32">
        <f>D621*4%</f>
        <v/>
      </c>
      <c r="N621" s="49">
        <f>M621+L621+K621+H621+G621+F621+E621+D621</f>
        <v/>
      </c>
      <c r="O621" s="32">
        <f>D621*1%</f>
        <v/>
      </c>
      <c r="P621" s="7">
        <f>N621*8%</f>
        <v/>
      </c>
      <c r="Q621" s="7">
        <f>N621*10%</f>
        <v/>
      </c>
      <c r="R621" s="7">
        <f>N621*5%</f>
        <v/>
      </c>
      <c r="S621" s="7">
        <f>N621*2%</f>
        <v/>
      </c>
      <c r="T621" s="7">
        <f>AE621*0.5%</f>
        <v/>
      </c>
      <c r="U621" s="7">
        <f>N621*1%</f>
        <v/>
      </c>
      <c r="V621" s="31">
        <f>U621+S621+R621+Q621+P621+O621</f>
        <v/>
      </c>
      <c r="W621" s="32">
        <f>AE621*1%</f>
        <v/>
      </c>
      <c r="X621" s="32">
        <f>AE621*10%</f>
        <v/>
      </c>
      <c r="Y621" s="32">
        <f>AE621*1%</f>
        <v/>
      </c>
      <c r="Z621" s="32">
        <f>AE621*8%</f>
        <v/>
      </c>
      <c r="AA621" s="32">
        <f>W621+X621+Y621+Z621</f>
        <v/>
      </c>
      <c r="AB621" s="31">
        <f>AA621+V621+N621</f>
        <v/>
      </c>
      <c r="AC621" s="6">
        <f>AB621*20%</f>
        <v/>
      </c>
      <c r="AD621" s="7">
        <f>AB621+AC621</f>
        <v/>
      </c>
      <c r="AE621" s="32">
        <f>D621*2.1</f>
        <v/>
      </c>
      <c r="AF621" s="7">
        <f>AD621-AE621</f>
        <v/>
      </c>
      <c r="AG621" s="7">
        <f>AF621/AD621*100</f>
        <v/>
      </c>
      <c r="AH621" s="0" t="n">
        <v>325</v>
      </c>
      <c r="AI621" s="33" t="n">
        <v>270</v>
      </c>
      <c r="AJ621" s="34">
        <f>AD621</f>
        <v/>
      </c>
      <c r="AK621" s="34">
        <f>AJ621-(AJ621*7%)</f>
        <v/>
      </c>
      <c r="AL621" s="35">
        <f>AJ621/94</f>
        <v/>
      </c>
      <c r="AM621" s="35">
        <f>AK621/94</f>
        <v/>
      </c>
      <c r="AN621" s="36">
        <f>AJ621/24</f>
        <v/>
      </c>
      <c r="AO621" s="36">
        <f>AK621/24</f>
        <v/>
      </c>
      <c r="AP621" s="37">
        <f>AJ621/125</f>
        <v/>
      </c>
      <c r="AQ621" s="37">
        <f>AK621/125</f>
        <v/>
      </c>
    </row>
    <row r="622" ht="15.75" customHeight="1" s="50">
      <c r="A622" s="32" t="n"/>
      <c r="B622" s="32" t="inlineStr">
        <is>
          <t>18 cms / Navy Blue</t>
        </is>
      </c>
      <c r="C622" s="32" t="inlineStr">
        <is>
          <t>MI-SB-C-NB-18</t>
        </is>
      </c>
      <c r="D622" s="32" t="n">
        <v>65</v>
      </c>
      <c r="E622" s="32" t="n">
        <v>0</v>
      </c>
      <c r="F622" s="32" t="n">
        <v>0</v>
      </c>
      <c r="G622" s="32" t="n">
        <v>0</v>
      </c>
      <c r="H622" s="32" t="n">
        <v>10</v>
      </c>
      <c r="I622" s="41" t="n">
        <v>940490099</v>
      </c>
      <c r="J622" s="30" t="n">
        <v>0.05</v>
      </c>
      <c r="K622" s="32">
        <f>D622*J622</f>
        <v/>
      </c>
      <c r="M622" s="32">
        <f>D622*4%</f>
        <v/>
      </c>
      <c r="N622" s="49">
        <f>M622+L622+K622+H622+G622+F622+E622+D622</f>
        <v/>
      </c>
      <c r="O622" s="32">
        <f>D622*1%</f>
        <v/>
      </c>
      <c r="P622" s="7">
        <f>N622*8%</f>
        <v/>
      </c>
      <c r="Q622" s="7">
        <f>N622*10%</f>
        <v/>
      </c>
      <c r="R622" s="7">
        <f>N622*5%</f>
        <v/>
      </c>
      <c r="S622" s="7">
        <f>N622*2%</f>
        <v/>
      </c>
      <c r="T622" s="7">
        <f>AE622*0.5%</f>
        <v/>
      </c>
      <c r="U622" s="7">
        <f>N622*1%</f>
        <v/>
      </c>
      <c r="V622" s="31">
        <f>U622+S622+R622+Q622+P622+O622</f>
        <v/>
      </c>
      <c r="W622" s="32">
        <f>AE622*1%</f>
        <v/>
      </c>
      <c r="X622" s="32">
        <f>AE622*10%</f>
        <v/>
      </c>
      <c r="Y622" s="32">
        <f>AE622*1%</f>
        <v/>
      </c>
      <c r="Z622" s="32">
        <f>AE622*8%</f>
        <v/>
      </c>
      <c r="AA622" s="32">
        <f>W622+X622+Y622+Z622</f>
        <v/>
      </c>
      <c r="AB622" s="31">
        <f>AA622+V622+N622</f>
        <v/>
      </c>
      <c r="AC622" s="6">
        <f>AB622*20%</f>
        <v/>
      </c>
      <c r="AD622" s="7">
        <f>AB622+AC622</f>
        <v/>
      </c>
      <c r="AE622" s="32">
        <f>D622*2.1</f>
        <v/>
      </c>
      <c r="AF622" s="7">
        <f>AD622-AE622</f>
        <v/>
      </c>
      <c r="AG622" s="7">
        <f>AF622/AD622*100</f>
        <v/>
      </c>
      <c r="AH622" s="0" t="n">
        <v>345</v>
      </c>
      <c r="AI622" s="33" t="n">
        <v>280</v>
      </c>
      <c r="AJ622" s="34">
        <f>AD622</f>
        <v/>
      </c>
      <c r="AK622" s="34">
        <f>AJ622-(AJ622*7%)</f>
        <v/>
      </c>
      <c r="AL622" s="35">
        <f>AJ622/94</f>
        <v/>
      </c>
      <c r="AM622" s="35">
        <f>AK622/94</f>
        <v/>
      </c>
      <c r="AN622" s="36">
        <f>AJ622/24</f>
        <v/>
      </c>
      <c r="AO622" s="36">
        <f>AK622/24</f>
        <v/>
      </c>
      <c r="AP622" s="37">
        <f>AJ622/125</f>
        <v/>
      </c>
      <c r="AQ622" s="37">
        <f>AK622/125</f>
        <v/>
      </c>
    </row>
    <row r="623" ht="15.75" customHeight="1" s="50">
      <c r="A623" s="32" t="n"/>
      <c r="B623" s="32" t="inlineStr">
        <is>
          <t>20 cms / Navy Blue</t>
        </is>
      </c>
      <c r="C623" s="32" t="inlineStr">
        <is>
          <t>MI-SB-C-NB-20</t>
        </is>
      </c>
      <c r="D623" s="32" t="n">
        <v>80</v>
      </c>
      <c r="E623" s="32" t="n">
        <v>0</v>
      </c>
      <c r="F623" s="32" t="n">
        <v>0</v>
      </c>
      <c r="G623" s="32" t="n">
        <v>0</v>
      </c>
      <c r="H623" s="32" t="n">
        <v>10</v>
      </c>
      <c r="I623" s="41" t="n">
        <v>940490099</v>
      </c>
      <c r="J623" s="30" t="n">
        <v>0.05</v>
      </c>
      <c r="K623" s="32">
        <f>D623*J623</f>
        <v/>
      </c>
      <c r="M623" s="32">
        <f>D623*4%</f>
        <v/>
      </c>
      <c r="N623" s="49">
        <f>M623+L623+K623+H623+G623+F623+E623+D623</f>
        <v/>
      </c>
      <c r="O623" s="32">
        <f>D623*1%</f>
        <v/>
      </c>
      <c r="P623" s="7">
        <f>N623*8%</f>
        <v/>
      </c>
      <c r="Q623" s="7">
        <f>N623*10%</f>
        <v/>
      </c>
      <c r="R623" s="7">
        <f>N623*5%</f>
        <v/>
      </c>
      <c r="S623" s="7">
        <f>N623*2%</f>
        <v/>
      </c>
      <c r="T623" s="7">
        <f>AE623*0.5%</f>
        <v/>
      </c>
      <c r="U623" s="7">
        <f>N623*1%</f>
        <v/>
      </c>
      <c r="V623" s="31">
        <f>U623+S623+R623+Q623+P623+O623</f>
        <v/>
      </c>
      <c r="W623" s="32">
        <f>AE623*1%</f>
        <v/>
      </c>
      <c r="X623" s="32">
        <f>AE623*10%</f>
        <v/>
      </c>
      <c r="Y623" s="32">
        <f>AE623*1%</f>
        <v/>
      </c>
      <c r="Z623" s="32">
        <f>AE623*8%</f>
        <v/>
      </c>
      <c r="AA623" s="32">
        <f>W623+X623+Y623+Z623</f>
        <v/>
      </c>
      <c r="AB623" s="31">
        <f>AA623+V623+N623</f>
        <v/>
      </c>
      <c r="AC623" s="6">
        <f>AB623*20%</f>
        <v/>
      </c>
      <c r="AD623" s="7">
        <f>AB623+AC623</f>
        <v/>
      </c>
      <c r="AE623" s="32">
        <f>D623*2.1</f>
        <v/>
      </c>
      <c r="AF623" s="7">
        <f>AD623-AE623</f>
        <v/>
      </c>
      <c r="AG623" s="7">
        <f>AF623/AD623*100</f>
        <v/>
      </c>
      <c r="AH623" s="0" t="n">
        <v>495</v>
      </c>
      <c r="AI623" s="33" t="n">
        <v>415</v>
      </c>
      <c r="AJ623" s="34">
        <f>AD623</f>
        <v/>
      </c>
      <c r="AK623" s="34">
        <f>AJ623-(AJ623*7%)</f>
        <v/>
      </c>
      <c r="AL623" s="35">
        <f>AJ623/94</f>
        <v/>
      </c>
      <c r="AM623" s="35">
        <f>AK623/94</f>
        <v/>
      </c>
      <c r="AN623" s="36">
        <f>AJ623/24</f>
        <v/>
      </c>
      <c r="AO623" s="36">
        <f>AK623/24</f>
        <v/>
      </c>
      <c r="AP623" s="37">
        <f>AJ623/125</f>
        <v/>
      </c>
      <c r="AQ623" s="37">
        <f>AK623/125</f>
        <v/>
      </c>
    </row>
    <row r="624" ht="15.75" customHeight="1" s="50">
      <c r="A624" s="32" t="n"/>
      <c r="B624" s="32" t="inlineStr">
        <is>
          <t>22 cms / Navy Blue</t>
        </is>
      </c>
      <c r="C624" s="32" t="inlineStr">
        <is>
          <t>MI-SB-C-NB-22</t>
        </is>
      </c>
      <c r="D624" s="32" t="n">
        <v>90</v>
      </c>
      <c r="E624" s="32" t="n">
        <v>0</v>
      </c>
      <c r="F624" s="32" t="n">
        <v>0</v>
      </c>
      <c r="G624" s="32" t="n">
        <v>0</v>
      </c>
      <c r="H624" s="32" t="n">
        <v>10</v>
      </c>
      <c r="I624" s="41" t="n">
        <v>940490099</v>
      </c>
      <c r="J624" s="30" t="n">
        <v>0.05</v>
      </c>
      <c r="K624" s="32">
        <f>D624*J624</f>
        <v/>
      </c>
      <c r="M624" s="32">
        <f>D624*4%</f>
        <v/>
      </c>
      <c r="N624" s="49">
        <f>M624+L624+K624+H624+G624+F624+E624+D624</f>
        <v/>
      </c>
      <c r="O624" s="32">
        <f>D624*1%</f>
        <v/>
      </c>
      <c r="P624" s="7">
        <f>N624*8%</f>
        <v/>
      </c>
      <c r="Q624" s="7">
        <f>N624*10%</f>
        <v/>
      </c>
      <c r="R624" s="7">
        <f>N624*5%</f>
        <v/>
      </c>
      <c r="S624" s="7">
        <f>N624*2%</f>
        <v/>
      </c>
      <c r="T624" s="7">
        <f>AE624*0.5%</f>
        <v/>
      </c>
      <c r="U624" s="7">
        <f>N624*1%</f>
        <v/>
      </c>
      <c r="V624" s="31">
        <f>U624+S624+R624+Q624+P624+O624</f>
        <v/>
      </c>
      <c r="W624" s="32">
        <f>AE624*1%</f>
        <v/>
      </c>
      <c r="X624" s="32">
        <f>AE624*10%</f>
        <v/>
      </c>
      <c r="Y624" s="32">
        <f>AE624*1%</f>
        <v/>
      </c>
      <c r="Z624" s="32">
        <f>AE624*8%</f>
        <v/>
      </c>
      <c r="AA624" s="32">
        <f>W624+X624+Y624+Z624</f>
        <v/>
      </c>
      <c r="AB624" s="31">
        <f>AA624+V624+N624</f>
        <v/>
      </c>
      <c r="AC624" s="6">
        <f>AB624*20%</f>
        <v/>
      </c>
      <c r="AD624" s="7">
        <f>AB624+AC624</f>
        <v/>
      </c>
      <c r="AE624" s="32">
        <f>D624*2.1</f>
        <v/>
      </c>
      <c r="AF624" s="7">
        <f>AD624-AE624</f>
        <v/>
      </c>
      <c r="AG624" s="7">
        <f>AF624/AD624*100</f>
        <v/>
      </c>
      <c r="AH624" s="0" t="n">
        <v>595</v>
      </c>
      <c r="AI624" s="33" t="n">
        <v>505</v>
      </c>
      <c r="AJ624" s="34">
        <f>AD624</f>
        <v/>
      </c>
      <c r="AK624" s="34">
        <f>AJ624-(AJ624*7%)</f>
        <v/>
      </c>
      <c r="AL624" s="35">
        <f>AJ624/94</f>
        <v/>
      </c>
      <c r="AM624" s="35">
        <f>AK624/94</f>
        <v/>
      </c>
      <c r="AN624" s="36">
        <f>AJ624/24</f>
        <v/>
      </c>
      <c r="AO624" s="36">
        <f>AK624/24</f>
        <v/>
      </c>
      <c r="AP624" s="37">
        <f>AJ624/125</f>
        <v/>
      </c>
      <c r="AQ624" s="37">
        <f>AK624/125</f>
        <v/>
      </c>
    </row>
    <row r="625" ht="15.75" customHeight="1" s="50">
      <c r="A625" s="32" t="n"/>
      <c r="B625" s="32" t="inlineStr">
        <is>
          <t>10 cms / Orange</t>
        </is>
      </c>
      <c r="C625" s="32" t="inlineStr">
        <is>
          <t>MI-SB-C-O-10</t>
        </is>
      </c>
      <c r="D625" s="32" t="n">
        <v>45</v>
      </c>
      <c r="E625" s="32" t="n">
        <v>0</v>
      </c>
      <c r="F625" s="32" t="n">
        <v>0</v>
      </c>
      <c r="G625" s="32" t="n">
        <v>0</v>
      </c>
      <c r="H625" s="32" t="n">
        <v>10</v>
      </c>
      <c r="I625" s="41" t="n">
        <v>940490099</v>
      </c>
      <c r="J625" s="30" t="n">
        <v>0.05</v>
      </c>
      <c r="K625" s="32">
        <f>D625*J625</f>
        <v/>
      </c>
      <c r="M625" s="32">
        <f>D625*4%</f>
        <v/>
      </c>
      <c r="N625" s="49">
        <f>M625+L625+K625+H625+G625+F625+E625+D625</f>
        <v/>
      </c>
      <c r="O625" s="32">
        <f>D625*1%</f>
        <v/>
      </c>
      <c r="P625" s="7">
        <f>N625*8%</f>
        <v/>
      </c>
      <c r="Q625" s="7">
        <f>N625*10%</f>
        <v/>
      </c>
      <c r="R625" s="7">
        <f>N625*5%</f>
        <v/>
      </c>
      <c r="S625" s="7">
        <f>N625*2%</f>
        <v/>
      </c>
      <c r="T625" s="7">
        <f>AE625*0.5%</f>
        <v/>
      </c>
      <c r="U625" s="7">
        <f>N625*1%</f>
        <v/>
      </c>
      <c r="V625" s="31">
        <f>U625+S625+R625+Q625+P625+O625</f>
        <v/>
      </c>
      <c r="W625" s="32">
        <f>AE625*1%</f>
        <v/>
      </c>
      <c r="X625" s="32">
        <f>AE625*10%</f>
        <v/>
      </c>
      <c r="Y625" s="32">
        <f>AE625*1%</f>
        <v/>
      </c>
      <c r="Z625" s="32">
        <f>AE625*8%</f>
        <v/>
      </c>
      <c r="AA625" s="32">
        <f>W625+X625+Y625+Z625</f>
        <v/>
      </c>
      <c r="AB625" s="31">
        <f>AA625+V625+N625</f>
        <v/>
      </c>
      <c r="AC625" s="6">
        <f>AB625*20%</f>
        <v/>
      </c>
      <c r="AD625" s="7">
        <f>AB625+AC625</f>
        <v/>
      </c>
      <c r="AE625" s="32">
        <f>D625*2.1</f>
        <v/>
      </c>
      <c r="AF625" s="7">
        <f>AD625-AE625</f>
        <v/>
      </c>
      <c r="AG625" s="7">
        <f>AF625/AD625*100</f>
        <v/>
      </c>
      <c r="AH625" s="0" t="n">
        <v>245</v>
      </c>
      <c r="AI625" s="33" t="n">
        <v>200</v>
      </c>
      <c r="AJ625" s="34">
        <f>AD625</f>
        <v/>
      </c>
      <c r="AK625" s="34">
        <f>AJ625-(AJ625*7%)</f>
        <v/>
      </c>
      <c r="AL625" s="35">
        <f>AJ625/94</f>
        <v/>
      </c>
      <c r="AM625" s="35">
        <f>AK625/94</f>
        <v/>
      </c>
      <c r="AN625" s="36">
        <f>AJ625/24</f>
        <v/>
      </c>
      <c r="AO625" s="36">
        <f>AK625/24</f>
        <v/>
      </c>
      <c r="AP625" s="37">
        <f>AJ625/125</f>
        <v/>
      </c>
      <c r="AQ625" s="37">
        <f>AK625/125</f>
        <v/>
      </c>
    </row>
    <row r="626" ht="15.75" customHeight="1" s="50">
      <c r="A626" s="32" t="n"/>
      <c r="B626" s="32" t="inlineStr">
        <is>
          <t>Orange / 12 cms</t>
        </is>
      </c>
      <c r="C626" s="32" t="inlineStr">
        <is>
          <t>MI-SB-C-O-12</t>
        </is>
      </c>
      <c r="D626" s="32" t="n">
        <v>45</v>
      </c>
      <c r="E626" s="32" t="n">
        <v>0</v>
      </c>
      <c r="F626" s="32" t="n">
        <v>0</v>
      </c>
      <c r="G626" s="32" t="n">
        <v>0</v>
      </c>
      <c r="H626" s="32" t="n">
        <v>10</v>
      </c>
      <c r="I626" s="41" t="n">
        <v>940490099</v>
      </c>
      <c r="J626" s="30" t="n">
        <v>0.05</v>
      </c>
      <c r="K626" s="32">
        <f>D626*J626</f>
        <v/>
      </c>
      <c r="M626" s="32">
        <f>D626*4%</f>
        <v/>
      </c>
      <c r="N626" s="49">
        <f>M626+L626+K626+H626+G626+F626+E626+D626</f>
        <v/>
      </c>
      <c r="O626" s="32">
        <f>D626*1%</f>
        <v/>
      </c>
      <c r="P626" s="7">
        <f>N626*8%</f>
        <v/>
      </c>
      <c r="Q626" s="7">
        <f>N626*10%</f>
        <v/>
      </c>
      <c r="R626" s="7">
        <f>N626*5%</f>
        <v/>
      </c>
      <c r="S626" s="7">
        <f>N626*2%</f>
        <v/>
      </c>
      <c r="T626" s="7">
        <f>AE626*0.5%</f>
        <v/>
      </c>
      <c r="U626" s="7">
        <f>N626*1%</f>
        <v/>
      </c>
      <c r="V626" s="31">
        <f>U626+S626+R626+Q626+P626+O626</f>
        <v/>
      </c>
      <c r="W626" s="32">
        <f>AE626*1%</f>
        <v/>
      </c>
      <c r="X626" s="32">
        <f>AE626*10%</f>
        <v/>
      </c>
      <c r="Y626" s="32">
        <f>AE626*1%</f>
        <v/>
      </c>
      <c r="Z626" s="32">
        <f>AE626*8%</f>
        <v/>
      </c>
      <c r="AA626" s="32">
        <f>W626+X626+Y626+Z626</f>
        <v/>
      </c>
      <c r="AB626" s="31">
        <f>AA626+V626+N626</f>
        <v/>
      </c>
      <c r="AC626" s="6">
        <f>AB626*20%</f>
        <v/>
      </c>
      <c r="AD626" s="7">
        <f>AB626+AC626</f>
        <v/>
      </c>
      <c r="AE626" s="32">
        <f>D626*2.1</f>
        <v/>
      </c>
      <c r="AF626" s="7">
        <f>AD626-AE626</f>
        <v/>
      </c>
      <c r="AG626" s="7">
        <f>AF626/AD626*100</f>
        <v/>
      </c>
      <c r="AH626" s="0" t="n">
        <v>275</v>
      </c>
      <c r="AI626" s="33" t="n">
        <v>230</v>
      </c>
      <c r="AJ626" s="34">
        <f>AD626</f>
        <v/>
      </c>
      <c r="AK626" s="34">
        <f>AJ626-(AJ626*7%)</f>
        <v/>
      </c>
      <c r="AL626" s="35">
        <f>AJ626/94</f>
        <v/>
      </c>
      <c r="AM626" s="35">
        <f>AK626/94</f>
        <v/>
      </c>
      <c r="AN626" s="36">
        <f>AJ626/24</f>
        <v/>
      </c>
      <c r="AO626" s="36">
        <f>AK626/24</f>
        <v/>
      </c>
      <c r="AP626" s="37">
        <f>AJ626/125</f>
        <v/>
      </c>
      <c r="AQ626" s="37">
        <f>AK626/125</f>
        <v/>
      </c>
    </row>
    <row r="627" ht="15.75" customHeight="1" s="50">
      <c r="A627" s="32" t="n"/>
      <c r="B627" s="32" t="inlineStr">
        <is>
          <t>Orange / 14 cms</t>
        </is>
      </c>
      <c r="C627" s="32" t="inlineStr">
        <is>
          <t>MI-SB-C-O-14</t>
        </is>
      </c>
      <c r="D627" s="32" t="n">
        <v>45</v>
      </c>
      <c r="E627" s="32" t="n">
        <v>0</v>
      </c>
      <c r="F627" s="32" t="n">
        <v>0</v>
      </c>
      <c r="G627" s="32" t="n">
        <v>0</v>
      </c>
      <c r="H627" s="32" t="n">
        <v>10</v>
      </c>
      <c r="I627" s="41" t="n">
        <v>940490099</v>
      </c>
      <c r="J627" s="30" t="n">
        <v>0.05</v>
      </c>
      <c r="K627" s="32">
        <f>D627*J627</f>
        <v/>
      </c>
      <c r="M627" s="32">
        <f>D627*4%</f>
        <v/>
      </c>
      <c r="N627" s="49">
        <f>M627+L627+K627+H627+G627+F627+E627+D627</f>
        <v/>
      </c>
      <c r="O627" s="32">
        <f>D627*1%</f>
        <v/>
      </c>
      <c r="P627" s="7">
        <f>N627*8%</f>
        <v/>
      </c>
      <c r="Q627" s="7">
        <f>N627*10%</f>
        <v/>
      </c>
      <c r="R627" s="7">
        <f>N627*5%</f>
        <v/>
      </c>
      <c r="S627" s="7">
        <f>N627*2%</f>
        <v/>
      </c>
      <c r="T627" s="7">
        <f>AE627*0.5%</f>
        <v/>
      </c>
      <c r="U627" s="7">
        <f>N627*1%</f>
        <v/>
      </c>
      <c r="V627" s="31">
        <f>U627+S627+R627+Q627+P627+O627</f>
        <v/>
      </c>
      <c r="W627" s="32">
        <f>AE627*1%</f>
        <v/>
      </c>
      <c r="X627" s="32">
        <f>AE627*10%</f>
        <v/>
      </c>
      <c r="Y627" s="32">
        <f>AE627*1%</f>
        <v/>
      </c>
      <c r="Z627" s="32">
        <f>AE627*8%</f>
        <v/>
      </c>
      <c r="AA627" s="32">
        <f>W627+X627+Y627+Z627</f>
        <v/>
      </c>
      <c r="AB627" s="31">
        <f>AA627+V627+N627</f>
        <v/>
      </c>
      <c r="AC627" s="6">
        <f>AB627*20%</f>
        <v/>
      </c>
      <c r="AD627" s="7">
        <f>AB627+AC627</f>
        <v/>
      </c>
      <c r="AE627" s="32">
        <f>D627*2.1</f>
        <v/>
      </c>
      <c r="AF627" s="7">
        <f>AD627-AE627</f>
        <v/>
      </c>
      <c r="AG627" s="7">
        <f>AF627/AD627*100</f>
        <v/>
      </c>
      <c r="AH627" s="0" t="n">
        <v>295</v>
      </c>
      <c r="AI627" s="33" t="n">
        <v>250</v>
      </c>
      <c r="AJ627" s="34">
        <f>AD627</f>
        <v/>
      </c>
      <c r="AK627" s="34">
        <f>AJ627-(AJ627*7%)</f>
        <v/>
      </c>
      <c r="AL627" s="35">
        <f>AJ627/94</f>
        <v/>
      </c>
      <c r="AM627" s="35">
        <f>AK627/94</f>
        <v/>
      </c>
      <c r="AN627" s="36">
        <f>AJ627/24</f>
        <v/>
      </c>
      <c r="AO627" s="36">
        <f>AK627/24</f>
        <v/>
      </c>
      <c r="AP627" s="37">
        <f>AJ627/125</f>
        <v/>
      </c>
      <c r="AQ627" s="37">
        <f>AK627/125</f>
        <v/>
      </c>
    </row>
    <row r="628" ht="15.75" customHeight="1" s="50">
      <c r="A628" s="32" t="n"/>
      <c r="B628" s="32" t="inlineStr">
        <is>
          <t>Orange / 16 cms</t>
        </is>
      </c>
      <c r="C628" s="32" t="inlineStr">
        <is>
          <t>MI-SB-C-O-16</t>
        </is>
      </c>
      <c r="D628" s="32" t="n">
        <v>55</v>
      </c>
      <c r="E628" s="32" t="n">
        <v>0</v>
      </c>
      <c r="F628" s="32" t="n">
        <v>0</v>
      </c>
      <c r="G628" s="32" t="n">
        <v>0</v>
      </c>
      <c r="H628" s="32" t="n">
        <v>10</v>
      </c>
      <c r="I628" s="41" t="n">
        <v>940490099</v>
      </c>
      <c r="J628" s="30" t="n">
        <v>0.05</v>
      </c>
      <c r="K628" s="32">
        <f>D628*J628</f>
        <v/>
      </c>
      <c r="M628" s="32">
        <f>D628*4%</f>
        <v/>
      </c>
      <c r="N628" s="49">
        <f>M628+L628+K628+H628+G628+F628+E628+D628</f>
        <v/>
      </c>
      <c r="O628" s="32">
        <f>D628*1%</f>
        <v/>
      </c>
      <c r="P628" s="7">
        <f>N628*8%</f>
        <v/>
      </c>
      <c r="Q628" s="7">
        <f>N628*10%</f>
        <v/>
      </c>
      <c r="R628" s="7">
        <f>N628*5%</f>
        <v/>
      </c>
      <c r="S628" s="7">
        <f>N628*2%</f>
        <v/>
      </c>
      <c r="T628" s="7">
        <f>AE628*0.5%</f>
        <v/>
      </c>
      <c r="U628" s="7">
        <f>N628*1%</f>
        <v/>
      </c>
      <c r="V628" s="31">
        <f>U628+S628+R628+Q628+P628+O628</f>
        <v/>
      </c>
      <c r="W628" s="32">
        <f>AE628*1%</f>
        <v/>
      </c>
      <c r="X628" s="32">
        <f>AE628*10%</f>
        <v/>
      </c>
      <c r="Y628" s="32">
        <f>AE628*1%</f>
        <v/>
      </c>
      <c r="Z628" s="32">
        <f>AE628*8%</f>
        <v/>
      </c>
      <c r="AA628" s="32">
        <f>W628+X628+Y628+Z628</f>
        <v/>
      </c>
      <c r="AB628" s="31">
        <f>AA628+V628+N628</f>
        <v/>
      </c>
      <c r="AC628" s="6">
        <f>AB628*20%</f>
        <v/>
      </c>
      <c r="AD628" s="7">
        <f>AB628+AC628</f>
        <v/>
      </c>
      <c r="AE628" s="32">
        <f>D628*2.1</f>
        <v/>
      </c>
      <c r="AF628" s="7">
        <f>AD628-AE628</f>
        <v/>
      </c>
      <c r="AG628" s="7">
        <f>AF628/AD628*100</f>
        <v/>
      </c>
      <c r="AH628" s="0" t="n">
        <v>325</v>
      </c>
      <c r="AI628" s="33" t="n">
        <v>270</v>
      </c>
      <c r="AJ628" s="34">
        <f>AD628</f>
        <v/>
      </c>
      <c r="AK628" s="34">
        <f>AJ628-(AJ628*7%)</f>
        <v/>
      </c>
      <c r="AL628" s="35">
        <f>AJ628/94</f>
        <v/>
      </c>
      <c r="AM628" s="35">
        <f>AK628/94</f>
        <v/>
      </c>
      <c r="AN628" s="36">
        <f>AJ628/24</f>
        <v/>
      </c>
      <c r="AO628" s="36">
        <f>AK628/24</f>
        <v/>
      </c>
      <c r="AP628" s="37">
        <f>AJ628/125</f>
        <v/>
      </c>
      <c r="AQ628" s="37">
        <f>AK628/125</f>
        <v/>
      </c>
    </row>
    <row r="629" ht="15.75" customHeight="1" s="50">
      <c r="A629" s="32" t="n"/>
      <c r="B629" s="32" t="inlineStr">
        <is>
          <t>Orange / 18 cms</t>
        </is>
      </c>
      <c r="C629" s="32" t="inlineStr">
        <is>
          <t>MI-SB-C-O-18</t>
        </is>
      </c>
      <c r="D629" s="32" t="n">
        <v>65</v>
      </c>
      <c r="E629" s="32" t="n">
        <v>0</v>
      </c>
      <c r="F629" s="32" t="n">
        <v>0</v>
      </c>
      <c r="G629" s="32" t="n">
        <v>0</v>
      </c>
      <c r="H629" s="32" t="n">
        <v>10</v>
      </c>
      <c r="I629" s="41" t="n">
        <v>940490099</v>
      </c>
      <c r="J629" s="30" t="n">
        <v>0.05</v>
      </c>
      <c r="K629" s="32">
        <f>D629*J629</f>
        <v/>
      </c>
      <c r="M629" s="32">
        <f>D629*4%</f>
        <v/>
      </c>
      <c r="N629" s="49">
        <f>M629+L629+K629+H629+G629+F629+E629+D629</f>
        <v/>
      </c>
      <c r="O629" s="32">
        <f>D629*1%</f>
        <v/>
      </c>
      <c r="P629" s="7">
        <f>N629*8%</f>
        <v/>
      </c>
      <c r="Q629" s="7">
        <f>N629*10%</f>
        <v/>
      </c>
      <c r="R629" s="7">
        <f>N629*5%</f>
        <v/>
      </c>
      <c r="S629" s="7">
        <f>N629*2%</f>
        <v/>
      </c>
      <c r="T629" s="7">
        <f>AE629*0.5%</f>
        <v/>
      </c>
      <c r="U629" s="7">
        <f>N629*1%</f>
        <v/>
      </c>
      <c r="V629" s="31">
        <f>U629+S629+R629+Q629+P629+O629</f>
        <v/>
      </c>
      <c r="W629" s="32">
        <f>AE629*1%</f>
        <v/>
      </c>
      <c r="X629" s="32">
        <f>AE629*10%</f>
        <v/>
      </c>
      <c r="Y629" s="32">
        <f>AE629*1%</f>
        <v/>
      </c>
      <c r="Z629" s="32">
        <f>AE629*8%</f>
        <v/>
      </c>
      <c r="AA629" s="32">
        <f>W629+X629+Y629+Z629</f>
        <v/>
      </c>
      <c r="AB629" s="31">
        <f>AA629+V629+N629</f>
        <v/>
      </c>
      <c r="AC629" s="6">
        <f>AB629*20%</f>
        <v/>
      </c>
      <c r="AD629" s="7">
        <f>AB629+AC629</f>
        <v/>
      </c>
      <c r="AE629" s="32">
        <f>D629*2.1</f>
        <v/>
      </c>
      <c r="AF629" s="7">
        <f>AD629-AE629</f>
        <v/>
      </c>
      <c r="AG629" s="7">
        <f>AF629/AD629*100</f>
        <v/>
      </c>
      <c r="AH629" s="0" t="n">
        <v>345</v>
      </c>
      <c r="AI629" s="33" t="n">
        <v>280</v>
      </c>
      <c r="AJ629" s="34">
        <f>AD629</f>
        <v/>
      </c>
      <c r="AK629" s="34">
        <f>AJ629-(AJ629*7%)</f>
        <v/>
      </c>
      <c r="AL629" s="35">
        <f>AJ629/94</f>
        <v/>
      </c>
      <c r="AM629" s="35">
        <f>AK629/94</f>
        <v/>
      </c>
      <c r="AN629" s="36">
        <f>AJ629/24</f>
        <v/>
      </c>
      <c r="AO629" s="36">
        <f>AK629/24</f>
        <v/>
      </c>
      <c r="AP629" s="37">
        <f>AJ629/125</f>
        <v/>
      </c>
      <c r="AQ629" s="37">
        <f>AK629/125</f>
        <v/>
      </c>
    </row>
    <row r="630" ht="15.75" customHeight="1" s="50">
      <c r="A630" s="32" t="n"/>
      <c r="B630" s="32" t="inlineStr">
        <is>
          <t>Orange / 20 cms</t>
        </is>
      </c>
      <c r="C630" s="32" t="inlineStr">
        <is>
          <t>MI-SB-C-O-20</t>
        </is>
      </c>
      <c r="D630" s="32" t="n">
        <v>80</v>
      </c>
      <c r="E630" s="32" t="n">
        <v>0</v>
      </c>
      <c r="F630" s="32" t="n">
        <v>0</v>
      </c>
      <c r="G630" s="32" t="n">
        <v>0</v>
      </c>
      <c r="H630" s="32" t="n">
        <v>10</v>
      </c>
      <c r="I630" s="41" t="n">
        <v>940490099</v>
      </c>
      <c r="J630" s="30" t="n">
        <v>0.05</v>
      </c>
      <c r="K630" s="32">
        <f>D630*J630</f>
        <v/>
      </c>
      <c r="M630" s="32">
        <f>D630*4%</f>
        <v/>
      </c>
      <c r="N630" s="49">
        <f>M630+L630+K630+H630+G630+F630+E630+D630</f>
        <v/>
      </c>
      <c r="O630" s="32">
        <f>D630*1%</f>
        <v/>
      </c>
      <c r="P630" s="7">
        <f>N630*8%</f>
        <v/>
      </c>
      <c r="Q630" s="7">
        <f>N630*10%</f>
        <v/>
      </c>
      <c r="R630" s="7">
        <f>N630*5%</f>
        <v/>
      </c>
      <c r="S630" s="7">
        <f>N630*2%</f>
        <v/>
      </c>
      <c r="T630" s="7">
        <f>AE630*0.5%</f>
        <v/>
      </c>
      <c r="U630" s="7">
        <f>N630*1%</f>
        <v/>
      </c>
      <c r="V630" s="31">
        <f>U630+S630+R630+Q630+P630+O630</f>
        <v/>
      </c>
      <c r="W630" s="32">
        <f>AE630*1%</f>
        <v/>
      </c>
      <c r="X630" s="32">
        <f>AE630*10%</f>
        <v/>
      </c>
      <c r="Y630" s="32">
        <f>AE630*1%</f>
        <v/>
      </c>
      <c r="Z630" s="32">
        <f>AE630*8%</f>
        <v/>
      </c>
      <c r="AA630" s="32">
        <f>W630+X630+Y630+Z630</f>
        <v/>
      </c>
      <c r="AB630" s="31">
        <f>AA630+V630+N630</f>
        <v/>
      </c>
      <c r="AC630" s="6">
        <f>AB630*20%</f>
        <v/>
      </c>
      <c r="AD630" s="7">
        <f>AB630+AC630</f>
        <v/>
      </c>
      <c r="AE630" s="32">
        <f>D630*2.1</f>
        <v/>
      </c>
      <c r="AF630" s="7">
        <f>AD630-AE630</f>
        <v/>
      </c>
      <c r="AG630" s="7">
        <f>AF630/AD630*100</f>
        <v/>
      </c>
      <c r="AH630" s="0" t="n">
        <v>495</v>
      </c>
      <c r="AI630" s="33" t="n">
        <v>415</v>
      </c>
      <c r="AJ630" s="34">
        <f>AD630</f>
        <v/>
      </c>
      <c r="AK630" s="34">
        <f>AJ630-(AJ630*7%)</f>
        <v/>
      </c>
      <c r="AL630" s="35">
        <f>AJ630/94</f>
        <v/>
      </c>
      <c r="AM630" s="35">
        <f>AK630/94</f>
        <v/>
      </c>
      <c r="AN630" s="36">
        <f>AJ630/24</f>
        <v/>
      </c>
      <c r="AO630" s="36">
        <f>AK630/24</f>
        <v/>
      </c>
      <c r="AP630" s="37">
        <f>AJ630/125</f>
        <v/>
      </c>
      <c r="AQ630" s="37">
        <f>AK630/125</f>
        <v/>
      </c>
    </row>
    <row r="631" ht="15.75" customHeight="1" s="50">
      <c r="A631" s="32" t="n"/>
      <c r="B631" s="32" t="inlineStr">
        <is>
          <t>Orange / 22 cms</t>
        </is>
      </c>
      <c r="C631" s="32" t="inlineStr">
        <is>
          <t>MI-SB-C-O-22</t>
        </is>
      </c>
      <c r="D631" s="32" t="n">
        <v>90</v>
      </c>
      <c r="E631" s="32" t="n">
        <v>0</v>
      </c>
      <c r="F631" s="32" t="n">
        <v>0</v>
      </c>
      <c r="G631" s="32" t="n">
        <v>0</v>
      </c>
      <c r="H631" s="32" t="n">
        <v>10</v>
      </c>
      <c r="I631" s="41" t="n">
        <v>940490099</v>
      </c>
      <c r="J631" s="30" t="n">
        <v>0.05</v>
      </c>
      <c r="K631" s="32">
        <f>D631*J631</f>
        <v/>
      </c>
      <c r="M631" s="32">
        <f>D631*4%</f>
        <v/>
      </c>
      <c r="N631" s="49">
        <f>M631+L631+K631+H631+G631+F631+E631+D631</f>
        <v/>
      </c>
      <c r="O631" s="32">
        <f>D631*1%</f>
        <v/>
      </c>
      <c r="P631" s="7">
        <f>N631*8%</f>
        <v/>
      </c>
      <c r="Q631" s="7">
        <f>N631*10%</f>
        <v/>
      </c>
      <c r="R631" s="7">
        <f>N631*5%</f>
        <v/>
      </c>
      <c r="S631" s="7">
        <f>N631*2%</f>
        <v/>
      </c>
      <c r="T631" s="7">
        <f>AE631*0.5%</f>
        <v/>
      </c>
      <c r="U631" s="7">
        <f>N631*1%</f>
        <v/>
      </c>
      <c r="V631" s="31">
        <f>U631+S631+R631+Q631+P631+O631</f>
        <v/>
      </c>
      <c r="W631" s="32">
        <f>AE631*1%</f>
        <v/>
      </c>
      <c r="X631" s="32">
        <f>AE631*10%</f>
        <v/>
      </c>
      <c r="Y631" s="32">
        <f>AE631*1%</f>
        <v/>
      </c>
      <c r="Z631" s="32">
        <f>AE631*8%</f>
        <v/>
      </c>
      <c r="AA631" s="32">
        <f>W631+X631+Y631+Z631</f>
        <v/>
      </c>
      <c r="AB631" s="31">
        <f>AA631+V631+N631</f>
        <v/>
      </c>
      <c r="AC631" s="6">
        <f>AB631*20%</f>
        <v/>
      </c>
      <c r="AD631" s="7">
        <f>AB631+AC631</f>
        <v/>
      </c>
      <c r="AE631" s="32">
        <f>D631*2.1</f>
        <v/>
      </c>
      <c r="AF631" s="7">
        <f>AD631-AE631</f>
        <v/>
      </c>
      <c r="AG631" s="7">
        <f>AF631/AD631*100</f>
        <v/>
      </c>
      <c r="AH631" s="0" t="n">
        <v>595</v>
      </c>
      <c r="AI631" s="33" t="n">
        <v>505</v>
      </c>
      <c r="AJ631" s="34">
        <f>AD631</f>
        <v/>
      </c>
      <c r="AK631" s="34">
        <f>AJ631-(AJ631*7%)</f>
        <v/>
      </c>
      <c r="AL631" s="35">
        <f>AJ631/94</f>
        <v/>
      </c>
      <c r="AM631" s="35">
        <f>AK631/94</f>
        <v/>
      </c>
      <c r="AN631" s="36">
        <f>AJ631/24</f>
        <v/>
      </c>
      <c r="AO631" s="36">
        <f>AK631/24</f>
        <v/>
      </c>
      <c r="AP631" s="37">
        <f>AJ631/125</f>
        <v/>
      </c>
      <c r="AQ631" s="37">
        <f>AK631/125</f>
        <v/>
      </c>
    </row>
    <row r="632" ht="15.75" customHeight="1" s="50">
      <c r="A632" s="32" t="n"/>
      <c r="B632" s="32" t="inlineStr">
        <is>
          <t>10 cms / Pink</t>
        </is>
      </c>
      <c r="C632" s="32" t="inlineStr">
        <is>
          <t>MI-SB-C-PK-10</t>
        </is>
      </c>
      <c r="D632" s="32" t="n">
        <v>45</v>
      </c>
      <c r="E632" s="32" t="n">
        <v>0</v>
      </c>
      <c r="F632" s="32" t="n">
        <v>0</v>
      </c>
      <c r="G632" s="32" t="n">
        <v>0</v>
      </c>
      <c r="H632" s="32" t="n">
        <v>10</v>
      </c>
      <c r="I632" s="41" t="n">
        <v>940490099</v>
      </c>
      <c r="J632" s="30" t="n">
        <v>0.05</v>
      </c>
      <c r="K632" s="32">
        <f>D632*J632</f>
        <v/>
      </c>
      <c r="M632" s="32">
        <f>D632*4%</f>
        <v/>
      </c>
      <c r="N632" s="49">
        <f>M632+L632+K632+H632+G632+F632+E632+D632</f>
        <v/>
      </c>
      <c r="O632" s="32">
        <f>D632*1%</f>
        <v/>
      </c>
      <c r="P632" s="7">
        <f>N632*8%</f>
        <v/>
      </c>
      <c r="Q632" s="7">
        <f>N632*10%</f>
        <v/>
      </c>
      <c r="R632" s="7">
        <f>N632*5%</f>
        <v/>
      </c>
      <c r="S632" s="7">
        <f>N632*2%</f>
        <v/>
      </c>
      <c r="T632" s="7">
        <f>AE632*0.5%</f>
        <v/>
      </c>
      <c r="U632" s="7">
        <f>N632*1%</f>
        <v/>
      </c>
      <c r="V632" s="31">
        <f>U632+S632+R632+Q632+P632+O632</f>
        <v/>
      </c>
      <c r="W632" s="32">
        <f>AE632*1%</f>
        <v/>
      </c>
      <c r="X632" s="32">
        <f>AE632*10%</f>
        <v/>
      </c>
      <c r="Y632" s="32">
        <f>AE632*1%</f>
        <v/>
      </c>
      <c r="Z632" s="32">
        <f>AE632*8%</f>
        <v/>
      </c>
      <c r="AA632" s="32">
        <f>W632+X632+Y632+Z632</f>
        <v/>
      </c>
      <c r="AB632" s="31">
        <f>AA632+V632+N632</f>
        <v/>
      </c>
      <c r="AC632" s="6">
        <f>AB632*20%</f>
        <v/>
      </c>
      <c r="AD632" s="7">
        <f>AB632+AC632</f>
        <v/>
      </c>
      <c r="AE632" s="32">
        <f>D632*2.1</f>
        <v/>
      </c>
      <c r="AF632" s="7">
        <f>AD632-AE632</f>
        <v/>
      </c>
      <c r="AG632" s="7">
        <f>AF632/AD632*100</f>
        <v/>
      </c>
      <c r="AH632" s="0" t="n">
        <v>245</v>
      </c>
      <c r="AI632" s="33" t="n">
        <v>200</v>
      </c>
      <c r="AJ632" s="34">
        <f>AD632</f>
        <v/>
      </c>
      <c r="AK632" s="34">
        <f>AJ632-(AJ632*7%)</f>
        <v/>
      </c>
      <c r="AL632" s="35">
        <f>AJ632/94</f>
        <v/>
      </c>
      <c r="AM632" s="35">
        <f>AK632/94</f>
        <v/>
      </c>
      <c r="AN632" s="36">
        <f>AJ632/24</f>
        <v/>
      </c>
      <c r="AO632" s="36">
        <f>AK632/24</f>
        <v/>
      </c>
      <c r="AP632" s="37">
        <f>AJ632/125</f>
        <v/>
      </c>
      <c r="AQ632" s="37">
        <f>AK632/125</f>
        <v/>
      </c>
    </row>
    <row r="633" ht="15.75" customHeight="1" s="50">
      <c r="A633" s="32" t="n"/>
      <c r="B633" s="32" t="inlineStr">
        <is>
          <t>Pink / 12 cms</t>
        </is>
      </c>
      <c r="C633" s="32" t="inlineStr">
        <is>
          <t>MI-SB-C-PK-12</t>
        </is>
      </c>
      <c r="D633" s="32" t="n">
        <v>45</v>
      </c>
      <c r="E633" s="32" t="n">
        <v>0</v>
      </c>
      <c r="F633" s="32" t="n">
        <v>0</v>
      </c>
      <c r="G633" s="32" t="n">
        <v>0</v>
      </c>
      <c r="H633" s="32" t="n">
        <v>10</v>
      </c>
      <c r="I633" s="41" t="n">
        <v>940490099</v>
      </c>
      <c r="J633" s="30" t="n">
        <v>0.05</v>
      </c>
      <c r="K633" s="32">
        <f>D633*J633</f>
        <v/>
      </c>
      <c r="M633" s="32">
        <f>D633*4%</f>
        <v/>
      </c>
      <c r="N633" s="49">
        <f>M633+L633+K633+H633+G633+F633+E633+D633</f>
        <v/>
      </c>
      <c r="O633" s="32">
        <f>D633*1%</f>
        <v/>
      </c>
      <c r="P633" s="7">
        <f>N633*8%</f>
        <v/>
      </c>
      <c r="Q633" s="7">
        <f>N633*10%</f>
        <v/>
      </c>
      <c r="R633" s="7">
        <f>N633*5%</f>
        <v/>
      </c>
      <c r="S633" s="7">
        <f>N633*2%</f>
        <v/>
      </c>
      <c r="T633" s="7">
        <f>AE633*0.5%</f>
        <v/>
      </c>
      <c r="U633" s="7">
        <f>N633*1%</f>
        <v/>
      </c>
      <c r="V633" s="31">
        <f>U633+S633+R633+Q633+P633+O633</f>
        <v/>
      </c>
      <c r="W633" s="32">
        <f>AE633*1%</f>
        <v/>
      </c>
      <c r="X633" s="32">
        <f>AE633*10%</f>
        <v/>
      </c>
      <c r="Y633" s="32">
        <f>AE633*1%</f>
        <v/>
      </c>
      <c r="Z633" s="32">
        <f>AE633*8%</f>
        <v/>
      </c>
      <c r="AA633" s="32">
        <f>W633+X633+Y633+Z633</f>
        <v/>
      </c>
      <c r="AB633" s="31">
        <f>AA633+V633+N633</f>
        <v/>
      </c>
      <c r="AC633" s="6">
        <f>AB633*20%</f>
        <v/>
      </c>
      <c r="AD633" s="7">
        <f>AB633+AC633</f>
        <v/>
      </c>
      <c r="AE633" s="32">
        <f>D633*2.1</f>
        <v/>
      </c>
      <c r="AF633" s="7">
        <f>AD633-AE633</f>
        <v/>
      </c>
      <c r="AG633" s="7">
        <f>AF633/AD633*100</f>
        <v/>
      </c>
      <c r="AH633" s="0" t="n">
        <v>275</v>
      </c>
      <c r="AI633" s="33" t="n">
        <v>230</v>
      </c>
      <c r="AJ633" s="34">
        <f>AD633</f>
        <v/>
      </c>
      <c r="AK633" s="34">
        <f>AJ633-(AJ633*7%)</f>
        <v/>
      </c>
      <c r="AL633" s="35">
        <f>AJ633/94</f>
        <v/>
      </c>
      <c r="AM633" s="35">
        <f>AK633/94</f>
        <v/>
      </c>
      <c r="AN633" s="36">
        <f>AJ633/24</f>
        <v/>
      </c>
      <c r="AO633" s="36">
        <f>AK633/24</f>
        <v/>
      </c>
      <c r="AP633" s="37">
        <f>AJ633/125</f>
        <v/>
      </c>
      <c r="AQ633" s="37">
        <f>AK633/125</f>
        <v/>
      </c>
    </row>
    <row r="634" ht="15.75" customHeight="1" s="50">
      <c r="A634" s="32" t="n"/>
      <c r="B634" s="32" t="inlineStr">
        <is>
          <t>Pink / 14 cms</t>
        </is>
      </c>
      <c r="C634" s="32" t="inlineStr">
        <is>
          <t>MI-SB-C-PK-14</t>
        </is>
      </c>
      <c r="D634" s="32" t="n">
        <v>45</v>
      </c>
      <c r="E634" s="32" t="n">
        <v>0</v>
      </c>
      <c r="F634" s="32" t="n">
        <v>0</v>
      </c>
      <c r="G634" s="32" t="n">
        <v>0</v>
      </c>
      <c r="H634" s="32" t="n">
        <v>10</v>
      </c>
      <c r="I634" s="41" t="n">
        <v>940490099</v>
      </c>
      <c r="J634" s="30" t="n">
        <v>0.05</v>
      </c>
      <c r="K634" s="32">
        <f>D634*J634</f>
        <v/>
      </c>
      <c r="M634" s="32">
        <f>D634*4%</f>
        <v/>
      </c>
      <c r="N634" s="49">
        <f>M634+L634+K634+H634+G634+F634+E634+D634</f>
        <v/>
      </c>
      <c r="O634" s="32">
        <f>D634*1%</f>
        <v/>
      </c>
      <c r="P634" s="7">
        <f>N634*8%</f>
        <v/>
      </c>
      <c r="Q634" s="7">
        <f>N634*10%</f>
        <v/>
      </c>
      <c r="R634" s="7">
        <f>N634*5%</f>
        <v/>
      </c>
      <c r="S634" s="7">
        <f>N634*2%</f>
        <v/>
      </c>
      <c r="T634" s="7">
        <f>AE634*0.5%</f>
        <v/>
      </c>
      <c r="U634" s="7">
        <f>N634*1%</f>
        <v/>
      </c>
      <c r="V634" s="31">
        <f>U634+S634+R634+Q634+P634+O634</f>
        <v/>
      </c>
      <c r="W634" s="32">
        <f>AE634*1%</f>
        <v/>
      </c>
      <c r="X634" s="32">
        <f>AE634*10%</f>
        <v/>
      </c>
      <c r="Y634" s="32">
        <f>AE634*1%</f>
        <v/>
      </c>
      <c r="Z634" s="32">
        <f>AE634*8%</f>
        <v/>
      </c>
      <c r="AA634" s="32">
        <f>W634+X634+Y634+Z634</f>
        <v/>
      </c>
      <c r="AB634" s="31">
        <f>AA634+V634+N634</f>
        <v/>
      </c>
      <c r="AC634" s="6">
        <f>AB634*20%</f>
        <v/>
      </c>
      <c r="AD634" s="7">
        <f>AB634+AC634</f>
        <v/>
      </c>
      <c r="AE634" s="32">
        <f>D634*2.1</f>
        <v/>
      </c>
      <c r="AF634" s="7">
        <f>AD634-AE634</f>
        <v/>
      </c>
      <c r="AG634" s="7">
        <f>AF634/AD634*100</f>
        <v/>
      </c>
      <c r="AH634" s="0" t="n">
        <v>295</v>
      </c>
      <c r="AI634" s="33" t="n">
        <v>250</v>
      </c>
      <c r="AJ634" s="34">
        <f>AD634</f>
        <v/>
      </c>
      <c r="AK634" s="34">
        <f>AJ634-(AJ634*7%)</f>
        <v/>
      </c>
      <c r="AL634" s="35">
        <f>AJ634/94</f>
        <v/>
      </c>
      <c r="AM634" s="35">
        <f>AK634/94</f>
        <v/>
      </c>
      <c r="AN634" s="36">
        <f>AJ634/24</f>
        <v/>
      </c>
      <c r="AO634" s="36">
        <f>AK634/24</f>
        <v/>
      </c>
      <c r="AP634" s="37">
        <f>AJ634/125</f>
        <v/>
      </c>
      <c r="AQ634" s="37">
        <f>AK634/125</f>
        <v/>
      </c>
    </row>
    <row r="635" ht="15.75" customHeight="1" s="50">
      <c r="A635" s="32" t="n"/>
      <c r="B635" s="32" t="inlineStr">
        <is>
          <t>16 cms / Pink</t>
        </is>
      </c>
      <c r="C635" s="32" t="inlineStr">
        <is>
          <t>MI-SB-C-PK-16</t>
        </is>
      </c>
      <c r="D635" s="32" t="n">
        <v>55</v>
      </c>
      <c r="E635" s="32" t="n">
        <v>0</v>
      </c>
      <c r="F635" s="32" t="n">
        <v>0</v>
      </c>
      <c r="G635" s="32" t="n">
        <v>0</v>
      </c>
      <c r="H635" s="32" t="n">
        <v>10</v>
      </c>
      <c r="I635" s="41" t="n">
        <v>940490099</v>
      </c>
      <c r="J635" s="30" t="n">
        <v>0.05</v>
      </c>
      <c r="K635" s="32">
        <f>D635*J635</f>
        <v/>
      </c>
      <c r="M635" s="32">
        <f>D635*4%</f>
        <v/>
      </c>
      <c r="N635" s="49">
        <f>M635+L635+K635+H635+G635+F635+E635+D635</f>
        <v/>
      </c>
      <c r="O635" s="32">
        <f>D635*1%</f>
        <v/>
      </c>
      <c r="P635" s="7">
        <f>N635*8%</f>
        <v/>
      </c>
      <c r="Q635" s="7">
        <f>N635*10%</f>
        <v/>
      </c>
      <c r="R635" s="7">
        <f>N635*5%</f>
        <v/>
      </c>
      <c r="S635" s="7">
        <f>N635*2%</f>
        <v/>
      </c>
      <c r="T635" s="7">
        <f>AE635*0.5%</f>
        <v/>
      </c>
      <c r="U635" s="7">
        <f>N635*1%</f>
        <v/>
      </c>
      <c r="V635" s="31">
        <f>U635+S635+R635+Q635+P635+O635</f>
        <v/>
      </c>
      <c r="W635" s="32">
        <f>AE635*1%</f>
        <v/>
      </c>
      <c r="X635" s="32">
        <f>AE635*10%</f>
        <v/>
      </c>
      <c r="Y635" s="32">
        <f>AE635*1%</f>
        <v/>
      </c>
      <c r="Z635" s="32">
        <f>AE635*8%</f>
        <v/>
      </c>
      <c r="AA635" s="32">
        <f>W635+X635+Y635+Z635</f>
        <v/>
      </c>
      <c r="AB635" s="31">
        <f>AA635+V635+N635</f>
        <v/>
      </c>
      <c r="AC635" s="6">
        <f>AB635*20%</f>
        <v/>
      </c>
      <c r="AD635" s="7">
        <f>AB635+AC635</f>
        <v/>
      </c>
      <c r="AE635" s="32">
        <f>D635*2.1</f>
        <v/>
      </c>
      <c r="AF635" s="7">
        <f>AD635-AE635</f>
        <v/>
      </c>
      <c r="AG635" s="7">
        <f>AF635/AD635*100</f>
        <v/>
      </c>
      <c r="AH635" s="0" t="n">
        <v>325</v>
      </c>
      <c r="AI635" s="33" t="n">
        <v>270</v>
      </c>
      <c r="AJ635" s="34">
        <f>AD635</f>
        <v/>
      </c>
      <c r="AK635" s="34">
        <f>AJ635-(AJ635*7%)</f>
        <v/>
      </c>
      <c r="AL635" s="35">
        <f>AJ635/94</f>
        <v/>
      </c>
      <c r="AM635" s="35">
        <f>AK635/94</f>
        <v/>
      </c>
      <c r="AN635" s="36">
        <f>AJ635/24</f>
        <v/>
      </c>
      <c r="AO635" s="36">
        <f>AK635/24</f>
        <v/>
      </c>
      <c r="AP635" s="37">
        <f>AJ635/125</f>
        <v/>
      </c>
      <c r="AQ635" s="37">
        <f>AK635/125</f>
        <v/>
      </c>
    </row>
    <row r="636" ht="15.75" customHeight="1" s="50">
      <c r="A636" s="32" t="n"/>
      <c r="B636" s="32" t="inlineStr">
        <is>
          <t>18 cms / Pink</t>
        </is>
      </c>
      <c r="C636" s="32" t="inlineStr">
        <is>
          <t>MI-SB-C-PK-18</t>
        </is>
      </c>
      <c r="D636" s="32" t="n">
        <v>65</v>
      </c>
      <c r="E636" s="32" t="n">
        <v>0</v>
      </c>
      <c r="F636" s="32" t="n">
        <v>0</v>
      </c>
      <c r="G636" s="32" t="n">
        <v>0</v>
      </c>
      <c r="H636" s="32" t="n">
        <v>10</v>
      </c>
      <c r="I636" s="41" t="n">
        <v>940490099</v>
      </c>
      <c r="J636" s="30" t="n">
        <v>0.05</v>
      </c>
      <c r="K636" s="32">
        <f>D636*J636</f>
        <v/>
      </c>
      <c r="M636" s="32">
        <f>D636*4%</f>
        <v/>
      </c>
      <c r="N636" s="49">
        <f>M636+L636+K636+H636+G636+F636+E636+D636</f>
        <v/>
      </c>
      <c r="O636" s="32">
        <f>D636*1%</f>
        <v/>
      </c>
      <c r="P636" s="7">
        <f>N636*8%</f>
        <v/>
      </c>
      <c r="Q636" s="7">
        <f>N636*10%</f>
        <v/>
      </c>
      <c r="R636" s="7">
        <f>N636*5%</f>
        <v/>
      </c>
      <c r="S636" s="7">
        <f>N636*2%</f>
        <v/>
      </c>
      <c r="T636" s="7">
        <f>AE636*0.5%</f>
        <v/>
      </c>
      <c r="U636" s="7">
        <f>N636*1%</f>
        <v/>
      </c>
      <c r="V636" s="31">
        <f>U636+S636+R636+Q636+P636+O636</f>
        <v/>
      </c>
      <c r="W636" s="32">
        <f>AE636*1%</f>
        <v/>
      </c>
      <c r="X636" s="32">
        <f>AE636*10%</f>
        <v/>
      </c>
      <c r="Y636" s="32">
        <f>AE636*1%</f>
        <v/>
      </c>
      <c r="Z636" s="32">
        <f>AE636*8%</f>
        <v/>
      </c>
      <c r="AA636" s="32">
        <f>W636+X636+Y636+Z636</f>
        <v/>
      </c>
      <c r="AB636" s="31">
        <f>AA636+V636+N636</f>
        <v/>
      </c>
      <c r="AC636" s="6">
        <f>AB636*20%</f>
        <v/>
      </c>
      <c r="AD636" s="7">
        <f>AB636+AC636</f>
        <v/>
      </c>
      <c r="AE636" s="32">
        <f>D636*2.1</f>
        <v/>
      </c>
      <c r="AF636" s="7">
        <f>AD636-AE636</f>
        <v/>
      </c>
      <c r="AG636" s="7">
        <f>AF636/AD636*100</f>
        <v/>
      </c>
      <c r="AH636" s="0" t="n">
        <v>345</v>
      </c>
      <c r="AI636" s="33" t="n">
        <v>280</v>
      </c>
      <c r="AJ636" s="34">
        <f>AD636</f>
        <v/>
      </c>
      <c r="AK636" s="34">
        <f>AJ636-(AJ636*7%)</f>
        <v/>
      </c>
      <c r="AL636" s="35">
        <f>AJ636/94</f>
        <v/>
      </c>
      <c r="AM636" s="35">
        <f>AK636/94</f>
        <v/>
      </c>
      <c r="AN636" s="36">
        <f>AJ636/24</f>
        <v/>
      </c>
      <c r="AO636" s="36">
        <f>AK636/24</f>
        <v/>
      </c>
      <c r="AP636" s="37">
        <f>AJ636/125</f>
        <v/>
      </c>
      <c r="AQ636" s="37">
        <f>AK636/125</f>
        <v/>
      </c>
    </row>
    <row r="637" ht="15.75" customHeight="1" s="50">
      <c r="A637" s="32" t="n"/>
      <c r="B637" s="32" t="inlineStr">
        <is>
          <t>20 cms / Pink</t>
        </is>
      </c>
      <c r="C637" s="32" t="inlineStr">
        <is>
          <t>MI-SB-C-PK-20</t>
        </is>
      </c>
      <c r="D637" s="32" t="n">
        <v>80</v>
      </c>
      <c r="E637" s="32" t="n">
        <v>0</v>
      </c>
      <c r="F637" s="32" t="n">
        <v>0</v>
      </c>
      <c r="G637" s="32" t="n">
        <v>0</v>
      </c>
      <c r="H637" s="32" t="n">
        <v>10</v>
      </c>
      <c r="I637" s="41" t="n">
        <v>940490099</v>
      </c>
      <c r="J637" s="30" t="n">
        <v>0.05</v>
      </c>
      <c r="K637" s="32">
        <f>D637*J637</f>
        <v/>
      </c>
      <c r="M637" s="32">
        <f>D637*4%</f>
        <v/>
      </c>
      <c r="N637" s="49">
        <f>M637+L637+K637+H637+G637+F637+E637+D637</f>
        <v/>
      </c>
      <c r="O637" s="32">
        <f>D637*1%</f>
        <v/>
      </c>
      <c r="P637" s="7">
        <f>N637*8%</f>
        <v/>
      </c>
      <c r="Q637" s="7">
        <f>N637*10%</f>
        <v/>
      </c>
      <c r="R637" s="7">
        <f>N637*5%</f>
        <v/>
      </c>
      <c r="S637" s="7">
        <f>N637*2%</f>
        <v/>
      </c>
      <c r="T637" s="7">
        <f>AE637*0.5%</f>
        <v/>
      </c>
      <c r="U637" s="7">
        <f>N637*1%</f>
        <v/>
      </c>
      <c r="V637" s="31">
        <f>U637+S637+R637+Q637+P637+O637</f>
        <v/>
      </c>
      <c r="W637" s="32">
        <f>AE637*1%</f>
        <v/>
      </c>
      <c r="X637" s="32">
        <f>AE637*10%</f>
        <v/>
      </c>
      <c r="Y637" s="32">
        <f>AE637*1%</f>
        <v/>
      </c>
      <c r="Z637" s="32">
        <f>AE637*8%</f>
        <v/>
      </c>
      <c r="AA637" s="32">
        <f>W637+X637+Y637+Z637</f>
        <v/>
      </c>
      <c r="AB637" s="31">
        <f>AA637+V637+N637</f>
        <v/>
      </c>
      <c r="AC637" s="6">
        <f>AB637*20%</f>
        <v/>
      </c>
      <c r="AD637" s="7">
        <f>AB637+AC637</f>
        <v/>
      </c>
      <c r="AE637" s="32">
        <f>D637*2.1</f>
        <v/>
      </c>
      <c r="AF637" s="7">
        <f>AD637-AE637</f>
        <v/>
      </c>
      <c r="AG637" s="7">
        <f>AF637/AD637*100</f>
        <v/>
      </c>
      <c r="AH637" s="0" t="n">
        <v>495</v>
      </c>
      <c r="AI637" s="33" t="n">
        <v>415</v>
      </c>
      <c r="AJ637" s="34">
        <f>AD637</f>
        <v/>
      </c>
      <c r="AK637" s="34">
        <f>AJ637-(AJ637*7%)</f>
        <v/>
      </c>
      <c r="AL637" s="35">
        <f>AJ637/94</f>
        <v/>
      </c>
      <c r="AM637" s="35">
        <f>AK637/94</f>
        <v/>
      </c>
      <c r="AN637" s="36">
        <f>AJ637/24</f>
        <v/>
      </c>
      <c r="AO637" s="36">
        <f>AK637/24</f>
        <v/>
      </c>
      <c r="AP637" s="37">
        <f>AJ637/125</f>
        <v/>
      </c>
      <c r="AQ637" s="37">
        <f>AK637/125</f>
        <v/>
      </c>
    </row>
    <row r="638" ht="15.75" customHeight="1" s="50">
      <c r="A638" s="32" t="n"/>
      <c r="B638" s="32" t="inlineStr">
        <is>
          <t>22 cms / Pink</t>
        </is>
      </c>
      <c r="C638" s="32" t="inlineStr">
        <is>
          <t>MI-SB-C-PK-22</t>
        </is>
      </c>
      <c r="D638" s="32" t="n">
        <v>90</v>
      </c>
      <c r="E638" s="32" t="n">
        <v>0</v>
      </c>
      <c r="F638" s="32" t="n">
        <v>0</v>
      </c>
      <c r="G638" s="32" t="n">
        <v>0</v>
      </c>
      <c r="H638" s="32" t="n">
        <v>10</v>
      </c>
      <c r="I638" s="41" t="n">
        <v>940490099</v>
      </c>
      <c r="J638" s="30" t="n">
        <v>0.05</v>
      </c>
      <c r="K638" s="32">
        <f>D638*J638</f>
        <v/>
      </c>
      <c r="M638" s="32">
        <f>D638*4%</f>
        <v/>
      </c>
      <c r="N638" s="49">
        <f>M638+L638+K638+H638+G638+F638+E638+D638</f>
        <v/>
      </c>
      <c r="O638" s="32">
        <f>D638*1%</f>
        <v/>
      </c>
      <c r="P638" s="7">
        <f>N638*8%</f>
        <v/>
      </c>
      <c r="Q638" s="7">
        <f>N638*10%</f>
        <v/>
      </c>
      <c r="R638" s="7">
        <f>N638*5%</f>
        <v/>
      </c>
      <c r="S638" s="7">
        <f>N638*2%</f>
        <v/>
      </c>
      <c r="T638" s="7">
        <f>AE638*0.5%</f>
        <v/>
      </c>
      <c r="U638" s="7">
        <f>N638*1%</f>
        <v/>
      </c>
      <c r="V638" s="31">
        <f>U638+S638+R638+Q638+P638+O638</f>
        <v/>
      </c>
      <c r="W638" s="32">
        <f>AE638*1%</f>
        <v/>
      </c>
      <c r="X638" s="32">
        <f>AE638*10%</f>
        <v/>
      </c>
      <c r="Y638" s="32">
        <f>AE638*1%</f>
        <v/>
      </c>
      <c r="Z638" s="32">
        <f>AE638*8%</f>
        <v/>
      </c>
      <c r="AA638" s="32">
        <f>W638+X638+Y638+Z638</f>
        <v/>
      </c>
      <c r="AB638" s="31">
        <f>AA638+V638+N638</f>
        <v/>
      </c>
      <c r="AC638" s="6">
        <f>AB638*20%</f>
        <v/>
      </c>
      <c r="AD638" s="7">
        <f>AB638+AC638</f>
        <v/>
      </c>
      <c r="AE638" s="32">
        <f>D638*2.1</f>
        <v/>
      </c>
      <c r="AF638" s="7">
        <f>AD638-AE638</f>
        <v/>
      </c>
      <c r="AG638" s="7">
        <f>AF638/AD638*100</f>
        <v/>
      </c>
      <c r="AH638" s="0" t="n">
        <v>595</v>
      </c>
      <c r="AI638" s="33" t="n">
        <v>505</v>
      </c>
      <c r="AJ638" s="34">
        <f>AD638</f>
        <v/>
      </c>
      <c r="AK638" s="34">
        <f>AJ638-(AJ638*7%)</f>
        <v/>
      </c>
      <c r="AL638" s="35">
        <f>AJ638/94</f>
        <v/>
      </c>
      <c r="AM638" s="35">
        <f>AK638/94</f>
        <v/>
      </c>
      <c r="AN638" s="36">
        <f>AJ638/24</f>
        <v/>
      </c>
      <c r="AO638" s="36">
        <f>AK638/24</f>
        <v/>
      </c>
      <c r="AP638" s="37">
        <f>AJ638/125</f>
        <v/>
      </c>
      <c r="AQ638" s="37">
        <f>AK638/125</f>
        <v/>
      </c>
    </row>
    <row r="639" ht="15.75" customHeight="1" s="50">
      <c r="A639" s="32" t="n"/>
      <c r="B639" s="32" t="inlineStr">
        <is>
          <t>10 cms / Red</t>
        </is>
      </c>
      <c r="C639" s="32" t="inlineStr">
        <is>
          <t>MI-SB-C-R-10</t>
        </is>
      </c>
      <c r="D639" s="32" t="n">
        <v>45</v>
      </c>
      <c r="E639" s="32" t="n">
        <v>0</v>
      </c>
      <c r="F639" s="32" t="n">
        <v>0</v>
      </c>
      <c r="G639" s="32" t="n">
        <v>0</v>
      </c>
      <c r="H639" s="32" t="n">
        <v>10</v>
      </c>
      <c r="I639" s="41" t="n">
        <v>940490099</v>
      </c>
      <c r="J639" s="30" t="n">
        <v>0.05</v>
      </c>
      <c r="K639" s="32">
        <f>D639*J639</f>
        <v/>
      </c>
      <c r="M639" s="32">
        <f>D639*4%</f>
        <v/>
      </c>
      <c r="N639" s="49">
        <f>M639+L639+K639+H639+G639+F639+E639+D639</f>
        <v/>
      </c>
      <c r="O639" s="32">
        <f>D639*1%</f>
        <v/>
      </c>
      <c r="P639" s="7">
        <f>N639*8%</f>
        <v/>
      </c>
      <c r="Q639" s="7">
        <f>N639*10%</f>
        <v/>
      </c>
      <c r="R639" s="7">
        <f>N639*5%</f>
        <v/>
      </c>
      <c r="S639" s="7">
        <f>N639*2%</f>
        <v/>
      </c>
      <c r="T639" s="7">
        <f>AE639*0.5%</f>
        <v/>
      </c>
      <c r="U639" s="7">
        <f>N639*1%</f>
        <v/>
      </c>
      <c r="V639" s="31">
        <f>U639+S639+R639+Q639+P639+O639</f>
        <v/>
      </c>
      <c r="W639" s="32">
        <f>AE639*1%</f>
        <v/>
      </c>
      <c r="X639" s="32">
        <f>AE639*10%</f>
        <v/>
      </c>
      <c r="Y639" s="32">
        <f>AE639*1%</f>
        <v/>
      </c>
      <c r="Z639" s="32">
        <f>AE639*8%</f>
        <v/>
      </c>
      <c r="AA639" s="32">
        <f>W639+X639+Y639+Z639</f>
        <v/>
      </c>
      <c r="AB639" s="31">
        <f>AA639+V639+N639</f>
        <v/>
      </c>
      <c r="AC639" s="6">
        <f>AB639*20%</f>
        <v/>
      </c>
      <c r="AD639" s="7">
        <f>AB639+AC639</f>
        <v/>
      </c>
      <c r="AE639" s="32">
        <f>D639*2.1</f>
        <v/>
      </c>
      <c r="AF639" s="7">
        <f>AD639-AE639</f>
        <v/>
      </c>
      <c r="AG639" s="7">
        <f>AF639/AD639*100</f>
        <v/>
      </c>
      <c r="AH639" s="0" t="n">
        <v>245</v>
      </c>
      <c r="AI639" s="33" t="n">
        <v>200</v>
      </c>
      <c r="AJ639" s="34">
        <f>AD639</f>
        <v/>
      </c>
      <c r="AK639" s="34">
        <f>AJ639-(AJ639*7%)</f>
        <v/>
      </c>
      <c r="AL639" s="35">
        <f>AJ639/94</f>
        <v/>
      </c>
      <c r="AM639" s="35">
        <f>AK639/94</f>
        <v/>
      </c>
      <c r="AN639" s="36">
        <f>AJ639/24</f>
        <v/>
      </c>
      <c r="AO639" s="36">
        <f>AK639/24</f>
        <v/>
      </c>
      <c r="AP639" s="37">
        <f>AJ639/125</f>
        <v/>
      </c>
      <c r="AQ639" s="37">
        <f>AK639/125</f>
        <v/>
      </c>
    </row>
    <row r="640" ht="15.75" customHeight="1" s="50">
      <c r="A640" s="32" t="n"/>
      <c r="B640" s="32" t="inlineStr">
        <is>
          <t>Red / 12 cms</t>
        </is>
      </c>
      <c r="C640" s="32" t="inlineStr">
        <is>
          <t>MI-SB-C-R-12</t>
        </is>
      </c>
      <c r="D640" s="32" t="n">
        <v>45</v>
      </c>
      <c r="E640" s="32" t="n">
        <v>0</v>
      </c>
      <c r="F640" s="32" t="n">
        <v>0</v>
      </c>
      <c r="G640" s="32" t="n">
        <v>0</v>
      </c>
      <c r="H640" s="32" t="n">
        <v>10</v>
      </c>
      <c r="I640" s="41" t="n">
        <v>940490099</v>
      </c>
      <c r="J640" s="30" t="n">
        <v>0.05</v>
      </c>
      <c r="K640" s="32">
        <f>D640*J640</f>
        <v/>
      </c>
      <c r="M640" s="32">
        <f>D640*4%</f>
        <v/>
      </c>
      <c r="N640" s="49">
        <f>M640+L640+K640+H640+G640+F640+E640+D640</f>
        <v/>
      </c>
      <c r="O640" s="32">
        <f>D640*1%</f>
        <v/>
      </c>
      <c r="P640" s="7">
        <f>N640*8%</f>
        <v/>
      </c>
      <c r="Q640" s="7">
        <f>N640*10%</f>
        <v/>
      </c>
      <c r="R640" s="7">
        <f>N640*5%</f>
        <v/>
      </c>
      <c r="S640" s="7">
        <f>N640*2%</f>
        <v/>
      </c>
      <c r="T640" s="7">
        <f>AE640*0.5%</f>
        <v/>
      </c>
      <c r="U640" s="7">
        <f>N640*1%</f>
        <v/>
      </c>
      <c r="V640" s="31">
        <f>U640+S640+R640+Q640+P640+O640</f>
        <v/>
      </c>
      <c r="W640" s="32">
        <f>AE640*1%</f>
        <v/>
      </c>
      <c r="X640" s="32">
        <f>AE640*10%</f>
        <v/>
      </c>
      <c r="Y640" s="32">
        <f>AE640*1%</f>
        <v/>
      </c>
      <c r="Z640" s="32">
        <f>AE640*8%</f>
        <v/>
      </c>
      <c r="AA640" s="32">
        <f>W640+X640+Y640+Z640</f>
        <v/>
      </c>
      <c r="AB640" s="31">
        <f>AA640+V640+N640</f>
        <v/>
      </c>
      <c r="AC640" s="6">
        <f>AB640*20%</f>
        <v/>
      </c>
      <c r="AD640" s="7">
        <f>AB640+AC640</f>
        <v/>
      </c>
      <c r="AE640" s="32">
        <f>D640*2.1</f>
        <v/>
      </c>
      <c r="AF640" s="7">
        <f>AD640-AE640</f>
        <v/>
      </c>
      <c r="AG640" s="7">
        <f>AF640/AD640*100</f>
        <v/>
      </c>
      <c r="AH640" s="0" t="n">
        <v>275</v>
      </c>
      <c r="AI640" s="33" t="n">
        <v>230</v>
      </c>
      <c r="AJ640" s="34">
        <f>AD640</f>
        <v/>
      </c>
      <c r="AK640" s="34">
        <f>AJ640-(AJ640*7%)</f>
        <v/>
      </c>
      <c r="AL640" s="35">
        <f>AJ640/94</f>
        <v/>
      </c>
      <c r="AM640" s="35">
        <f>AK640/94</f>
        <v/>
      </c>
      <c r="AN640" s="36">
        <f>AJ640/24</f>
        <v/>
      </c>
      <c r="AO640" s="36">
        <f>AK640/24</f>
        <v/>
      </c>
      <c r="AP640" s="37">
        <f>AJ640/125</f>
        <v/>
      </c>
      <c r="AQ640" s="37">
        <f>AK640/125</f>
        <v/>
      </c>
    </row>
    <row r="641" ht="15.75" customHeight="1" s="50">
      <c r="A641" s="32" t="n"/>
      <c r="B641" s="32" t="inlineStr">
        <is>
          <t>Red / 14 cms</t>
        </is>
      </c>
      <c r="C641" s="32" t="inlineStr">
        <is>
          <t>MI-SB-C-R-14</t>
        </is>
      </c>
      <c r="D641" s="32" t="n">
        <v>45</v>
      </c>
      <c r="E641" s="32" t="n">
        <v>0</v>
      </c>
      <c r="F641" s="32" t="n">
        <v>0</v>
      </c>
      <c r="G641" s="32" t="n">
        <v>0</v>
      </c>
      <c r="H641" s="32" t="n">
        <v>10</v>
      </c>
      <c r="I641" s="41" t="n">
        <v>940490099</v>
      </c>
      <c r="J641" s="30" t="n">
        <v>0.05</v>
      </c>
      <c r="K641" s="32">
        <f>D641*J641</f>
        <v/>
      </c>
      <c r="M641" s="32">
        <f>D641*4%</f>
        <v/>
      </c>
      <c r="N641" s="49">
        <f>M641+L641+K641+H641+G641+F641+E641+D641</f>
        <v/>
      </c>
      <c r="O641" s="32">
        <f>D641*1%</f>
        <v/>
      </c>
      <c r="P641" s="7">
        <f>N641*8%</f>
        <v/>
      </c>
      <c r="Q641" s="7">
        <f>N641*10%</f>
        <v/>
      </c>
      <c r="R641" s="7">
        <f>N641*5%</f>
        <v/>
      </c>
      <c r="S641" s="7">
        <f>N641*2%</f>
        <v/>
      </c>
      <c r="T641" s="7">
        <f>AE641*0.5%</f>
        <v/>
      </c>
      <c r="U641" s="7">
        <f>N641*1%</f>
        <v/>
      </c>
      <c r="V641" s="31">
        <f>U641+S641+R641+Q641+P641+O641</f>
        <v/>
      </c>
      <c r="W641" s="32">
        <f>AE641*1%</f>
        <v/>
      </c>
      <c r="X641" s="32">
        <f>AE641*10%</f>
        <v/>
      </c>
      <c r="Y641" s="32">
        <f>AE641*1%</f>
        <v/>
      </c>
      <c r="Z641" s="32">
        <f>AE641*8%</f>
        <v/>
      </c>
      <c r="AA641" s="32">
        <f>W641+X641+Y641+Z641</f>
        <v/>
      </c>
      <c r="AB641" s="31">
        <f>AA641+V641+N641</f>
        <v/>
      </c>
      <c r="AC641" s="6">
        <f>AB641*20%</f>
        <v/>
      </c>
      <c r="AD641" s="7">
        <f>AB641+AC641</f>
        <v/>
      </c>
      <c r="AE641" s="32">
        <f>D641*2.1</f>
        <v/>
      </c>
      <c r="AF641" s="7">
        <f>AD641-AE641</f>
        <v/>
      </c>
      <c r="AG641" s="7">
        <f>AF641/AD641*100</f>
        <v/>
      </c>
      <c r="AH641" s="0" t="n">
        <v>295</v>
      </c>
      <c r="AI641" s="33" t="n">
        <v>250</v>
      </c>
      <c r="AJ641" s="34">
        <f>AD641</f>
        <v/>
      </c>
      <c r="AK641" s="34">
        <f>AJ641-(AJ641*7%)</f>
        <v/>
      </c>
      <c r="AL641" s="35">
        <f>AJ641/94</f>
        <v/>
      </c>
      <c r="AM641" s="35">
        <f>AK641/94</f>
        <v/>
      </c>
      <c r="AN641" s="36">
        <f>AJ641/24</f>
        <v/>
      </c>
      <c r="AO641" s="36">
        <f>AK641/24</f>
        <v/>
      </c>
      <c r="AP641" s="37">
        <f>AJ641/125</f>
        <v/>
      </c>
      <c r="AQ641" s="37">
        <f>AK641/125</f>
        <v/>
      </c>
    </row>
    <row r="642" ht="15.75" customHeight="1" s="50">
      <c r="A642" s="32" t="n"/>
      <c r="B642" s="32" t="inlineStr">
        <is>
          <t>Red / 16 cms</t>
        </is>
      </c>
      <c r="C642" s="32" t="inlineStr">
        <is>
          <t>MI-SB-C-R-16</t>
        </is>
      </c>
      <c r="D642" s="32" t="n">
        <v>55</v>
      </c>
      <c r="E642" s="32" t="n">
        <v>0</v>
      </c>
      <c r="F642" s="32" t="n">
        <v>0</v>
      </c>
      <c r="G642" s="32" t="n">
        <v>0</v>
      </c>
      <c r="H642" s="32" t="n">
        <v>10</v>
      </c>
      <c r="I642" s="41" t="n">
        <v>940490099</v>
      </c>
      <c r="J642" s="30" t="n">
        <v>0.05</v>
      </c>
      <c r="K642" s="32">
        <f>D642*J642</f>
        <v/>
      </c>
      <c r="M642" s="32">
        <f>D642*4%</f>
        <v/>
      </c>
      <c r="N642" s="49">
        <f>M642+L642+K642+H642+G642+F642+E642+D642</f>
        <v/>
      </c>
      <c r="O642" s="32">
        <f>D642*1%</f>
        <v/>
      </c>
      <c r="P642" s="7">
        <f>N642*8%</f>
        <v/>
      </c>
      <c r="Q642" s="7">
        <f>N642*10%</f>
        <v/>
      </c>
      <c r="R642" s="7">
        <f>N642*5%</f>
        <v/>
      </c>
      <c r="S642" s="7">
        <f>N642*2%</f>
        <v/>
      </c>
      <c r="T642" s="7">
        <f>AE642*0.5%</f>
        <v/>
      </c>
      <c r="U642" s="7">
        <f>N642*1%</f>
        <v/>
      </c>
      <c r="V642" s="31">
        <f>U642+S642+R642+Q642+P642+O642</f>
        <v/>
      </c>
      <c r="W642" s="32">
        <f>AE642*1%</f>
        <v/>
      </c>
      <c r="X642" s="32">
        <f>AE642*10%</f>
        <v/>
      </c>
      <c r="Y642" s="32">
        <f>AE642*1%</f>
        <v/>
      </c>
      <c r="Z642" s="32">
        <f>AE642*8%</f>
        <v/>
      </c>
      <c r="AA642" s="32">
        <f>W642+X642+Y642+Z642</f>
        <v/>
      </c>
      <c r="AB642" s="31">
        <f>AA642+V642+N642</f>
        <v/>
      </c>
      <c r="AC642" s="6">
        <f>AB642*20%</f>
        <v/>
      </c>
      <c r="AD642" s="7">
        <f>AB642+AC642</f>
        <v/>
      </c>
      <c r="AE642" s="32">
        <f>D642*2.1</f>
        <v/>
      </c>
      <c r="AF642" s="7">
        <f>AD642-AE642</f>
        <v/>
      </c>
      <c r="AG642" s="7">
        <f>AF642/AD642*100</f>
        <v/>
      </c>
      <c r="AH642" s="0" t="n">
        <v>325</v>
      </c>
      <c r="AI642" s="33" t="n">
        <v>270</v>
      </c>
      <c r="AJ642" s="34">
        <f>AD642</f>
        <v/>
      </c>
      <c r="AK642" s="34">
        <f>AJ642-(AJ642*7%)</f>
        <v/>
      </c>
      <c r="AL642" s="35">
        <f>AJ642/94</f>
        <v/>
      </c>
      <c r="AM642" s="35">
        <f>AK642/94</f>
        <v/>
      </c>
      <c r="AN642" s="36">
        <f>AJ642/24</f>
        <v/>
      </c>
      <c r="AO642" s="36">
        <f>AK642/24</f>
        <v/>
      </c>
      <c r="AP642" s="37">
        <f>AJ642/125</f>
        <v/>
      </c>
      <c r="AQ642" s="37">
        <f>AK642/125</f>
        <v/>
      </c>
    </row>
    <row r="643" ht="15.75" customHeight="1" s="50">
      <c r="A643" s="32" t="n"/>
      <c r="B643" s="32" t="inlineStr">
        <is>
          <t>Red / 18 cms</t>
        </is>
      </c>
      <c r="C643" s="32" t="inlineStr">
        <is>
          <t>MI-SB-C-R-18</t>
        </is>
      </c>
      <c r="D643" s="32" t="n">
        <v>65</v>
      </c>
      <c r="E643" s="32" t="n">
        <v>0</v>
      </c>
      <c r="F643" s="32" t="n">
        <v>0</v>
      </c>
      <c r="G643" s="32" t="n">
        <v>0</v>
      </c>
      <c r="H643" s="32" t="n">
        <v>10</v>
      </c>
      <c r="I643" s="41" t="n">
        <v>940490099</v>
      </c>
      <c r="J643" s="30" t="n">
        <v>0.05</v>
      </c>
      <c r="K643" s="32">
        <f>D643*J643</f>
        <v/>
      </c>
      <c r="M643" s="32">
        <f>D643*4%</f>
        <v/>
      </c>
      <c r="N643" s="49">
        <f>M643+L643+K643+H643+G643+F643+E643+D643</f>
        <v/>
      </c>
      <c r="O643" s="32">
        <f>D643*1%</f>
        <v/>
      </c>
      <c r="P643" s="7">
        <f>N643*8%</f>
        <v/>
      </c>
      <c r="Q643" s="7">
        <f>N643*10%</f>
        <v/>
      </c>
      <c r="R643" s="7">
        <f>N643*5%</f>
        <v/>
      </c>
      <c r="S643" s="7">
        <f>N643*2%</f>
        <v/>
      </c>
      <c r="T643" s="7">
        <f>AE643*0.5%</f>
        <v/>
      </c>
      <c r="U643" s="7">
        <f>N643*1%</f>
        <v/>
      </c>
      <c r="V643" s="31">
        <f>U643+S643+R643+Q643+P643+O643</f>
        <v/>
      </c>
      <c r="W643" s="32">
        <f>AE643*1%</f>
        <v/>
      </c>
      <c r="X643" s="32">
        <f>AE643*10%</f>
        <v/>
      </c>
      <c r="Y643" s="32">
        <f>AE643*1%</f>
        <v/>
      </c>
      <c r="Z643" s="32">
        <f>AE643*8%</f>
        <v/>
      </c>
      <c r="AA643" s="32">
        <f>W643+X643+Y643+Z643</f>
        <v/>
      </c>
      <c r="AB643" s="31">
        <f>AA643+V643+N643</f>
        <v/>
      </c>
      <c r="AC643" s="6">
        <f>AB643*20%</f>
        <v/>
      </c>
      <c r="AD643" s="7">
        <f>AB643+AC643</f>
        <v/>
      </c>
      <c r="AE643" s="32">
        <f>D643*2.1</f>
        <v/>
      </c>
      <c r="AF643" s="7">
        <f>AD643-AE643</f>
        <v/>
      </c>
      <c r="AG643" s="7">
        <f>AF643/AD643*100</f>
        <v/>
      </c>
      <c r="AH643" s="0" t="n">
        <v>345</v>
      </c>
      <c r="AI643" s="33" t="n">
        <v>280</v>
      </c>
      <c r="AJ643" s="34">
        <f>AD643</f>
        <v/>
      </c>
      <c r="AK643" s="34">
        <f>AJ643-(AJ643*7%)</f>
        <v/>
      </c>
      <c r="AL643" s="35">
        <f>AJ643/94</f>
        <v/>
      </c>
      <c r="AM643" s="35">
        <f>AK643/94</f>
        <v/>
      </c>
      <c r="AN643" s="36">
        <f>AJ643/24</f>
        <v/>
      </c>
      <c r="AO643" s="36">
        <f>AK643/24</f>
        <v/>
      </c>
      <c r="AP643" s="37">
        <f>AJ643/125</f>
        <v/>
      </c>
      <c r="AQ643" s="37">
        <f>AK643/125</f>
        <v/>
      </c>
    </row>
    <row r="644" ht="15.75" customHeight="1" s="50">
      <c r="A644" s="32" t="n"/>
      <c r="B644" s="32" t="inlineStr">
        <is>
          <t>Red / 20 cms</t>
        </is>
      </c>
      <c r="C644" s="32" t="inlineStr">
        <is>
          <t>MI-SB-C-R-20</t>
        </is>
      </c>
      <c r="D644" s="32" t="n">
        <v>80</v>
      </c>
      <c r="E644" s="32" t="n">
        <v>0</v>
      </c>
      <c r="F644" s="32" t="n">
        <v>0</v>
      </c>
      <c r="G644" s="32" t="n">
        <v>0</v>
      </c>
      <c r="H644" s="32" t="n">
        <v>10</v>
      </c>
      <c r="I644" s="41" t="n">
        <v>940490099</v>
      </c>
      <c r="J644" s="30" t="n">
        <v>0.05</v>
      </c>
      <c r="K644" s="32">
        <f>D644*J644</f>
        <v/>
      </c>
      <c r="M644" s="32">
        <f>D644*4%</f>
        <v/>
      </c>
      <c r="N644" s="49">
        <f>M644+L644+K644+H644+G644+F644+E644+D644</f>
        <v/>
      </c>
      <c r="O644" s="32">
        <f>D644*1%</f>
        <v/>
      </c>
      <c r="P644" s="7">
        <f>N644*8%</f>
        <v/>
      </c>
      <c r="Q644" s="7">
        <f>N644*10%</f>
        <v/>
      </c>
      <c r="R644" s="7">
        <f>N644*5%</f>
        <v/>
      </c>
      <c r="S644" s="7">
        <f>N644*2%</f>
        <v/>
      </c>
      <c r="T644" s="7">
        <f>AE644*0.5%</f>
        <v/>
      </c>
      <c r="U644" s="7">
        <f>N644*1%</f>
        <v/>
      </c>
      <c r="V644" s="31">
        <f>U644+S644+R644+Q644+P644+O644</f>
        <v/>
      </c>
      <c r="W644" s="32">
        <f>AE644*1%</f>
        <v/>
      </c>
      <c r="X644" s="32">
        <f>AE644*10%</f>
        <v/>
      </c>
      <c r="Y644" s="32">
        <f>AE644*1%</f>
        <v/>
      </c>
      <c r="Z644" s="32">
        <f>AE644*8%</f>
        <v/>
      </c>
      <c r="AA644" s="32">
        <f>W644+X644+Y644+Z644</f>
        <v/>
      </c>
      <c r="AB644" s="31">
        <f>AA644+V644+N644</f>
        <v/>
      </c>
      <c r="AC644" s="6">
        <f>AB644*20%</f>
        <v/>
      </c>
      <c r="AD644" s="7">
        <f>AB644+AC644</f>
        <v/>
      </c>
      <c r="AE644" s="32">
        <f>D644*2.1</f>
        <v/>
      </c>
      <c r="AF644" s="7">
        <f>AD644-AE644</f>
        <v/>
      </c>
      <c r="AG644" s="7">
        <f>AF644/AD644*100</f>
        <v/>
      </c>
      <c r="AH644" s="0" t="n">
        <v>495</v>
      </c>
      <c r="AI644" s="33" t="n">
        <v>415</v>
      </c>
      <c r="AJ644" s="34">
        <f>AD644</f>
        <v/>
      </c>
      <c r="AK644" s="34">
        <f>AJ644-(AJ644*7%)</f>
        <v/>
      </c>
      <c r="AL644" s="35">
        <f>AJ644/94</f>
        <v/>
      </c>
      <c r="AM644" s="35">
        <f>AK644/94</f>
        <v/>
      </c>
      <c r="AN644" s="36">
        <f>AJ644/24</f>
        <v/>
      </c>
      <c r="AO644" s="36">
        <f>AK644/24</f>
        <v/>
      </c>
      <c r="AP644" s="37">
        <f>AJ644/125</f>
        <v/>
      </c>
      <c r="AQ644" s="37">
        <f>AK644/125</f>
        <v/>
      </c>
    </row>
    <row r="645" ht="15.75" customHeight="1" s="50">
      <c r="A645" s="32" t="n"/>
      <c r="B645" s="32" t="inlineStr">
        <is>
          <t>Red / 22 cms</t>
        </is>
      </c>
      <c r="C645" s="32" t="inlineStr">
        <is>
          <t>MI-SB-C-R-22</t>
        </is>
      </c>
      <c r="D645" s="32" t="n">
        <v>90</v>
      </c>
      <c r="E645" s="32" t="n">
        <v>0</v>
      </c>
      <c r="F645" s="32" t="n">
        <v>0</v>
      </c>
      <c r="G645" s="32" t="n">
        <v>0</v>
      </c>
      <c r="H645" s="32" t="n">
        <v>10</v>
      </c>
      <c r="I645" s="41" t="n">
        <v>940490099</v>
      </c>
      <c r="J645" s="30" t="n">
        <v>0.05</v>
      </c>
      <c r="K645" s="32">
        <f>D645*J645</f>
        <v/>
      </c>
      <c r="M645" s="32">
        <f>D645*4%</f>
        <v/>
      </c>
      <c r="N645" s="49">
        <f>M645+L645+K645+H645+G645+F645+E645+D645</f>
        <v/>
      </c>
      <c r="O645" s="32">
        <f>D645*1%</f>
        <v/>
      </c>
      <c r="P645" s="7">
        <f>N645*8%</f>
        <v/>
      </c>
      <c r="Q645" s="7">
        <f>N645*10%</f>
        <v/>
      </c>
      <c r="R645" s="7">
        <f>N645*5%</f>
        <v/>
      </c>
      <c r="S645" s="7">
        <f>N645*2%</f>
        <v/>
      </c>
      <c r="T645" s="7">
        <f>AE645*0.5%</f>
        <v/>
      </c>
      <c r="U645" s="7">
        <f>N645*1%</f>
        <v/>
      </c>
      <c r="V645" s="31">
        <f>U645+S645+R645+Q645+P645+O645</f>
        <v/>
      </c>
      <c r="W645" s="32">
        <f>AE645*1%</f>
        <v/>
      </c>
      <c r="X645" s="32">
        <f>AE645*10%</f>
        <v/>
      </c>
      <c r="Y645" s="32">
        <f>AE645*1%</f>
        <v/>
      </c>
      <c r="Z645" s="32">
        <f>AE645*8%</f>
        <v/>
      </c>
      <c r="AA645" s="32">
        <f>W645+X645+Y645+Z645</f>
        <v/>
      </c>
      <c r="AB645" s="31">
        <f>AA645+V645+N645</f>
        <v/>
      </c>
      <c r="AC645" s="6">
        <f>AB645*20%</f>
        <v/>
      </c>
      <c r="AD645" s="7">
        <f>AB645+AC645</f>
        <v/>
      </c>
      <c r="AE645" s="32">
        <f>D645*2.1</f>
        <v/>
      </c>
      <c r="AF645" s="7">
        <f>AD645-AE645</f>
        <v/>
      </c>
      <c r="AG645" s="7">
        <f>AF645/AD645*100</f>
        <v/>
      </c>
      <c r="AH645" s="0" t="n">
        <v>595</v>
      </c>
      <c r="AI645" s="33" t="n">
        <v>505</v>
      </c>
      <c r="AJ645" s="34">
        <f>AD645</f>
        <v/>
      </c>
      <c r="AK645" s="34">
        <f>AJ645-(AJ645*7%)</f>
        <v/>
      </c>
      <c r="AL645" s="35">
        <f>AJ645/94</f>
        <v/>
      </c>
      <c r="AM645" s="35">
        <f>AK645/94</f>
        <v/>
      </c>
      <c r="AN645" s="36">
        <f>AJ645/24</f>
        <v/>
      </c>
      <c r="AO645" s="36">
        <f>AK645/24</f>
        <v/>
      </c>
      <c r="AP645" s="37">
        <f>AJ645/125</f>
        <v/>
      </c>
      <c r="AQ645" s="37">
        <f>AK645/125</f>
        <v/>
      </c>
    </row>
    <row r="646" ht="15.75" customHeight="1" s="50">
      <c r="A646" s="32" t="n"/>
      <c r="B646" s="32" t="inlineStr">
        <is>
          <t>10 cms / Yellow</t>
        </is>
      </c>
      <c r="C646" s="32" t="inlineStr">
        <is>
          <t>MI-SB-C-Y-10</t>
        </is>
      </c>
      <c r="D646" s="32" t="n">
        <v>45</v>
      </c>
      <c r="E646" s="32" t="n">
        <v>0</v>
      </c>
      <c r="F646" s="32" t="n">
        <v>0</v>
      </c>
      <c r="G646" s="32" t="n">
        <v>0</v>
      </c>
      <c r="H646" s="32" t="n">
        <v>10</v>
      </c>
      <c r="I646" s="41" t="n">
        <v>940490099</v>
      </c>
      <c r="J646" s="30" t="n">
        <v>0.05</v>
      </c>
      <c r="K646" s="32">
        <f>D646*J646</f>
        <v/>
      </c>
      <c r="M646" s="32">
        <f>D646*4%</f>
        <v/>
      </c>
      <c r="N646" s="49">
        <f>M646+L646+K646+H646+G646+F646+E646+D646</f>
        <v/>
      </c>
      <c r="O646" s="32">
        <f>D646*1%</f>
        <v/>
      </c>
      <c r="P646" s="7">
        <f>N646*8%</f>
        <v/>
      </c>
      <c r="Q646" s="7">
        <f>N646*10%</f>
        <v/>
      </c>
      <c r="R646" s="7">
        <f>N646*5%</f>
        <v/>
      </c>
      <c r="S646" s="7">
        <f>N646*2%</f>
        <v/>
      </c>
      <c r="T646" s="7">
        <f>AE646*0.5%</f>
        <v/>
      </c>
      <c r="U646" s="7">
        <f>N646*1%</f>
        <v/>
      </c>
      <c r="V646" s="31">
        <f>U646+S646+R646+Q646+P646+O646</f>
        <v/>
      </c>
      <c r="W646" s="32">
        <f>AE646*1%</f>
        <v/>
      </c>
      <c r="X646" s="32">
        <f>AE646*10%</f>
        <v/>
      </c>
      <c r="Y646" s="32">
        <f>AE646*1%</f>
        <v/>
      </c>
      <c r="Z646" s="32">
        <f>AE646*8%</f>
        <v/>
      </c>
      <c r="AA646" s="32">
        <f>W646+X646+Y646+Z646</f>
        <v/>
      </c>
      <c r="AB646" s="31">
        <f>AA646+V646+N646</f>
        <v/>
      </c>
      <c r="AC646" s="6">
        <f>AB646*20%</f>
        <v/>
      </c>
      <c r="AD646" s="7">
        <f>AB646+AC646</f>
        <v/>
      </c>
      <c r="AE646" s="32">
        <f>D646*2.1</f>
        <v/>
      </c>
      <c r="AF646" s="7">
        <f>AD646-AE646</f>
        <v/>
      </c>
      <c r="AG646" s="7">
        <f>AF646/AD646*100</f>
        <v/>
      </c>
      <c r="AH646" s="0" t="n">
        <v>190</v>
      </c>
      <c r="AI646" s="33" t="n">
        <v>145</v>
      </c>
      <c r="AJ646" s="34">
        <f>AD646</f>
        <v/>
      </c>
      <c r="AK646" s="34">
        <f>AJ646-(AJ646*7%)</f>
        <v/>
      </c>
      <c r="AL646" s="35">
        <f>AJ646/94</f>
        <v/>
      </c>
      <c r="AM646" s="35">
        <f>AK646/94</f>
        <v/>
      </c>
      <c r="AN646" s="36">
        <f>AJ646/24</f>
        <v/>
      </c>
      <c r="AO646" s="36">
        <f>AK646/24</f>
        <v/>
      </c>
      <c r="AP646" s="37">
        <f>AJ646/125</f>
        <v/>
      </c>
      <c r="AQ646" s="37">
        <f>AK646/125</f>
        <v/>
      </c>
    </row>
    <row r="647" ht="15.75" customHeight="1" s="50">
      <c r="A647" s="32" t="n"/>
      <c r="B647" s="32" t="inlineStr">
        <is>
          <t>Yellow / 12 cms</t>
        </is>
      </c>
      <c r="C647" s="32" t="inlineStr">
        <is>
          <t>MI-SB-C-Y-12</t>
        </is>
      </c>
      <c r="D647" s="32" t="n">
        <v>45</v>
      </c>
      <c r="E647" s="32" t="n">
        <v>0</v>
      </c>
      <c r="F647" s="32" t="n">
        <v>0</v>
      </c>
      <c r="G647" s="32" t="n">
        <v>0</v>
      </c>
      <c r="H647" s="32" t="n">
        <v>10</v>
      </c>
      <c r="I647" s="41" t="n">
        <v>940490099</v>
      </c>
      <c r="J647" s="30" t="n">
        <v>0.05</v>
      </c>
      <c r="K647" s="32">
        <f>D647*J647</f>
        <v/>
      </c>
      <c r="M647" s="32">
        <f>D647*4%</f>
        <v/>
      </c>
      <c r="N647" s="49">
        <f>M647+L647+K647+H647+G647+F647+E647+D647</f>
        <v/>
      </c>
      <c r="O647" s="32">
        <f>D647*1%</f>
        <v/>
      </c>
      <c r="P647" s="7">
        <f>N647*8%</f>
        <v/>
      </c>
      <c r="Q647" s="7">
        <f>N647*10%</f>
        <v/>
      </c>
      <c r="R647" s="7">
        <f>N647*5%</f>
        <v/>
      </c>
      <c r="S647" s="7">
        <f>N647*2%</f>
        <v/>
      </c>
      <c r="T647" s="7">
        <f>AE647*0.5%</f>
        <v/>
      </c>
      <c r="U647" s="7">
        <f>N647*1%</f>
        <v/>
      </c>
      <c r="V647" s="31">
        <f>U647+S647+R647+Q647+P647+O647</f>
        <v/>
      </c>
      <c r="W647" s="32">
        <f>AE647*1%</f>
        <v/>
      </c>
      <c r="X647" s="32">
        <f>AE647*10%</f>
        <v/>
      </c>
      <c r="Y647" s="32">
        <f>AE647*1%</f>
        <v/>
      </c>
      <c r="Z647" s="32">
        <f>AE647*8%</f>
        <v/>
      </c>
      <c r="AA647" s="32">
        <f>W647+X647+Y647+Z647</f>
        <v/>
      </c>
      <c r="AB647" s="31">
        <f>AA647+V647+N647</f>
        <v/>
      </c>
      <c r="AC647" s="6">
        <f>AB647*20%</f>
        <v/>
      </c>
      <c r="AD647" s="7">
        <f>AB647+AC647</f>
        <v/>
      </c>
      <c r="AE647" s="32">
        <f>D647*2.1</f>
        <v/>
      </c>
      <c r="AF647" s="7">
        <f>AD647-AE647</f>
        <v/>
      </c>
      <c r="AG647" s="7">
        <f>AF647/AD647*100</f>
        <v/>
      </c>
      <c r="AH647" s="0" t="n">
        <v>220</v>
      </c>
      <c r="AI647" s="33" t="n">
        <v>175</v>
      </c>
      <c r="AJ647" s="34">
        <f>AD647</f>
        <v/>
      </c>
      <c r="AK647" s="34">
        <f>AJ647-(AJ647*7%)</f>
        <v/>
      </c>
      <c r="AL647" s="35">
        <f>AJ647/94</f>
        <v/>
      </c>
      <c r="AM647" s="35">
        <f>AK647/94</f>
        <v/>
      </c>
      <c r="AN647" s="36">
        <f>AJ647/24</f>
        <v/>
      </c>
      <c r="AO647" s="36">
        <f>AK647/24</f>
        <v/>
      </c>
      <c r="AP647" s="37">
        <f>AJ647/125</f>
        <v/>
      </c>
      <c r="AQ647" s="37">
        <f>AK647/125</f>
        <v/>
      </c>
    </row>
    <row r="648" ht="15.75" customHeight="1" s="50">
      <c r="A648" s="32" t="n"/>
      <c r="B648" s="32" t="inlineStr">
        <is>
          <t>Yellow / 14 cms</t>
        </is>
      </c>
      <c r="C648" s="32" t="inlineStr">
        <is>
          <t>MI-SB-C-Y-14</t>
        </is>
      </c>
      <c r="D648" s="32" t="n">
        <v>45</v>
      </c>
      <c r="E648" s="32" t="n">
        <v>0</v>
      </c>
      <c r="F648" s="32" t="n">
        <v>0</v>
      </c>
      <c r="G648" s="32" t="n">
        <v>0</v>
      </c>
      <c r="H648" s="32" t="n">
        <v>10</v>
      </c>
      <c r="I648" s="41" t="n">
        <v>940490099</v>
      </c>
      <c r="J648" s="30" t="n">
        <v>0.05</v>
      </c>
      <c r="K648" s="32">
        <f>D648*J648</f>
        <v/>
      </c>
      <c r="M648" s="32">
        <f>D648*4%</f>
        <v/>
      </c>
      <c r="N648" s="49">
        <f>M648+L648+K648+H648+G648+F648+E648+D648</f>
        <v/>
      </c>
      <c r="O648" s="32">
        <f>D648*1%</f>
        <v/>
      </c>
      <c r="P648" s="7">
        <f>N648*8%</f>
        <v/>
      </c>
      <c r="Q648" s="7">
        <f>N648*10%</f>
        <v/>
      </c>
      <c r="R648" s="7">
        <f>N648*5%</f>
        <v/>
      </c>
      <c r="S648" s="7">
        <f>N648*2%</f>
        <v/>
      </c>
      <c r="T648" s="7">
        <f>AE648*0.5%</f>
        <v/>
      </c>
      <c r="U648" s="7">
        <f>N648*1%</f>
        <v/>
      </c>
      <c r="V648" s="31">
        <f>U648+S648+R648+Q648+P648+O648</f>
        <v/>
      </c>
      <c r="W648" s="32">
        <f>AE648*1%</f>
        <v/>
      </c>
      <c r="X648" s="32">
        <f>AE648*10%</f>
        <v/>
      </c>
      <c r="Y648" s="32">
        <f>AE648*1%</f>
        <v/>
      </c>
      <c r="Z648" s="32">
        <f>AE648*8%</f>
        <v/>
      </c>
      <c r="AA648" s="32">
        <f>W648+X648+Y648+Z648</f>
        <v/>
      </c>
      <c r="AB648" s="31">
        <f>AA648+V648+N648</f>
        <v/>
      </c>
      <c r="AC648" s="6">
        <f>AB648*20%</f>
        <v/>
      </c>
      <c r="AD648" s="7">
        <f>AB648+AC648</f>
        <v/>
      </c>
      <c r="AE648" s="32">
        <f>D648*2.1</f>
        <v/>
      </c>
      <c r="AF648" s="7">
        <f>AD648-AE648</f>
        <v/>
      </c>
      <c r="AG648" s="7">
        <f>AF648/AD648*100</f>
        <v/>
      </c>
      <c r="AH648" s="0" t="n">
        <v>295</v>
      </c>
      <c r="AI648" s="33" t="n">
        <v>250</v>
      </c>
      <c r="AJ648" s="34">
        <f>AD648</f>
        <v/>
      </c>
      <c r="AK648" s="34">
        <f>AJ648-(AJ648*7%)</f>
        <v/>
      </c>
      <c r="AL648" s="35">
        <f>AJ648/94</f>
        <v/>
      </c>
      <c r="AM648" s="35">
        <f>AK648/94</f>
        <v/>
      </c>
      <c r="AN648" s="36">
        <f>AJ648/24</f>
        <v/>
      </c>
      <c r="AO648" s="36">
        <f>AK648/24</f>
        <v/>
      </c>
      <c r="AP648" s="37">
        <f>AJ648/125</f>
        <v/>
      </c>
      <c r="AQ648" s="37">
        <f>AK648/125</f>
        <v/>
      </c>
    </row>
    <row r="649" ht="15.75" customHeight="1" s="50">
      <c r="A649" s="32" t="n"/>
      <c r="B649" s="32" t="inlineStr">
        <is>
          <t>Yellow / 16 cms</t>
        </is>
      </c>
      <c r="C649" s="32" t="inlineStr">
        <is>
          <t>MI-SB-C-Y-16</t>
        </is>
      </c>
      <c r="D649" s="32" t="n">
        <v>55</v>
      </c>
      <c r="E649" s="32" t="n">
        <v>0</v>
      </c>
      <c r="F649" s="32" t="n">
        <v>0</v>
      </c>
      <c r="G649" s="32" t="n">
        <v>0</v>
      </c>
      <c r="H649" s="32" t="n">
        <v>10</v>
      </c>
      <c r="I649" s="41" t="n">
        <v>940490099</v>
      </c>
      <c r="J649" s="30" t="n">
        <v>0.05</v>
      </c>
      <c r="K649" s="32">
        <f>D649*J649</f>
        <v/>
      </c>
      <c r="M649" s="32">
        <f>D649*4%</f>
        <v/>
      </c>
      <c r="N649" s="49">
        <f>M649+L649+K649+H649+G649+F649+E649+D649</f>
        <v/>
      </c>
      <c r="O649" s="32">
        <f>D649*1%</f>
        <v/>
      </c>
      <c r="P649" s="7">
        <f>N649*8%</f>
        <v/>
      </c>
      <c r="Q649" s="7">
        <f>N649*10%</f>
        <v/>
      </c>
      <c r="R649" s="7">
        <f>N649*5%</f>
        <v/>
      </c>
      <c r="S649" s="7">
        <f>N649*2%</f>
        <v/>
      </c>
      <c r="T649" s="7">
        <f>AE649*0.5%</f>
        <v/>
      </c>
      <c r="U649" s="7">
        <f>N649*1%</f>
        <v/>
      </c>
      <c r="V649" s="31">
        <f>U649+S649+R649+Q649+P649+O649</f>
        <v/>
      </c>
      <c r="W649" s="32">
        <f>AE649*1%</f>
        <v/>
      </c>
      <c r="X649" s="32">
        <f>AE649*10%</f>
        <v/>
      </c>
      <c r="Y649" s="32">
        <f>AE649*1%</f>
        <v/>
      </c>
      <c r="Z649" s="32">
        <f>AE649*8%</f>
        <v/>
      </c>
      <c r="AA649" s="32">
        <f>W649+X649+Y649+Z649</f>
        <v/>
      </c>
      <c r="AB649" s="31">
        <f>AA649+V649+N649</f>
        <v/>
      </c>
      <c r="AC649" s="6">
        <f>AB649*20%</f>
        <v/>
      </c>
      <c r="AD649" s="7">
        <f>AB649+AC649</f>
        <v/>
      </c>
      <c r="AE649" s="32">
        <f>D649*2.1</f>
        <v/>
      </c>
      <c r="AF649" s="7">
        <f>AD649-AE649</f>
        <v/>
      </c>
      <c r="AG649" s="7">
        <f>AF649/AD649*100</f>
        <v/>
      </c>
      <c r="AH649" s="0" t="n">
        <v>325</v>
      </c>
      <c r="AI649" s="33" t="n">
        <v>270</v>
      </c>
      <c r="AJ649" s="34">
        <f>AD649</f>
        <v/>
      </c>
      <c r="AK649" s="34">
        <f>AJ649-(AJ649*7%)</f>
        <v/>
      </c>
      <c r="AL649" s="35">
        <f>AJ649/94</f>
        <v/>
      </c>
      <c r="AM649" s="35">
        <f>AK649/94</f>
        <v/>
      </c>
      <c r="AN649" s="36">
        <f>AJ649/24</f>
        <v/>
      </c>
      <c r="AO649" s="36">
        <f>AK649/24</f>
        <v/>
      </c>
      <c r="AP649" s="37">
        <f>AJ649/125</f>
        <v/>
      </c>
      <c r="AQ649" s="37">
        <f>AK649/125</f>
        <v/>
      </c>
    </row>
    <row r="650" ht="15.75" customHeight="1" s="50">
      <c r="A650" s="32" t="n"/>
      <c r="B650" s="32" t="inlineStr">
        <is>
          <t>Yellow / 18 cms</t>
        </is>
      </c>
      <c r="C650" s="32" t="inlineStr">
        <is>
          <t>MI-SB-C-Y-18</t>
        </is>
      </c>
      <c r="D650" s="32" t="n">
        <v>65</v>
      </c>
      <c r="E650" s="32" t="n">
        <v>0</v>
      </c>
      <c r="F650" s="32" t="n">
        <v>0</v>
      </c>
      <c r="G650" s="32" t="n">
        <v>0</v>
      </c>
      <c r="H650" s="32" t="n">
        <v>10</v>
      </c>
      <c r="I650" s="41" t="n">
        <v>940490099</v>
      </c>
      <c r="J650" s="30" t="n">
        <v>0.05</v>
      </c>
      <c r="K650" s="32">
        <f>D650*J650</f>
        <v/>
      </c>
      <c r="M650" s="32">
        <f>D650*4%</f>
        <v/>
      </c>
      <c r="N650" s="49">
        <f>M650+L650+K650+H650+G650+F650+E650+D650</f>
        <v/>
      </c>
      <c r="O650" s="32">
        <f>D650*1%</f>
        <v/>
      </c>
      <c r="P650" s="7">
        <f>N650*8%</f>
        <v/>
      </c>
      <c r="Q650" s="7">
        <f>N650*10%</f>
        <v/>
      </c>
      <c r="R650" s="7">
        <f>N650*5%</f>
        <v/>
      </c>
      <c r="S650" s="7">
        <f>N650*2%</f>
        <v/>
      </c>
      <c r="T650" s="7">
        <f>AE650*0.5%</f>
        <v/>
      </c>
      <c r="U650" s="7">
        <f>N650*1%</f>
        <v/>
      </c>
      <c r="V650" s="31">
        <f>U650+S650+R650+Q650+P650+O650</f>
        <v/>
      </c>
      <c r="W650" s="32">
        <f>AE650*1%</f>
        <v/>
      </c>
      <c r="X650" s="32">
        <f>AE650*10%</f>
        <v/>
      </c>
      <c r="Y650" s="32">
        <f>AE650*1%</f>
        <v/>
      </c>
      <c r="Z650" s="32">
        <f>AE650*8%</f>
        <v/>
      </c>
      <c r="AA650" s="32">
        <f>W650+X650+Y650+Z650</f>
        <v/>
      </c>
      <c r="AB650" s="31">
        <f>AA650+V650+N650</f>
        <v/>
      </c>
      <c r="AC650" s="6">
        <f>AB650*20%</f>
        <v/>
      </c>
      <c r="AD650" s="7">
        <f>AB650+AC650</f>
        <v/>
      </c>
      <c r="AE650" s="32">
        <f>D650*2.1</f>
        <v/>
      </c>
      <c r="AF650" s="7">
        <f>AD650-AE650</f>
        <v/>
      </c>
      <c r="AG650" s="7">
        <f>AF650/AD650*100</f>
        <v/>
      </c>
      <c r="AH650" s="0" t="n">
        <v>385</v>
      </c>
      <c r="AI650" s="33" t="n">
        <v>320</v>
      </c>
      <c r="AJ650" s="34">
        <f>AD650</f>
        <v/>
      </c>
      <c r="AK650" s="34">
        <f>AJ650-(AJ650*7%)</f>
        <v/>
      </c>
      <c r="AL650" s="35">
        <f>AJ650/94</f>
        <v/>
      </c>
      <c r="AM650" s="35">
        <f>AK650/94</f>
        <v/>
      </c>
      <c r="AN650" s="36">
        <f>AJ650/24</f>
        <v/>
      </c>
      <c r="AO650" s="36">
        <f>AK650/24</f>
        <v/>
      </c>
      <c r="AP650" s="37">
        <f>AJ650/125</f>
        <v/>
      </c>
      <c r="AQ650" s="37">
        <f>AK650/125</f>
        <v/>
      </c>
    </row>
    <row r="651" ht="15.75" customHeight="1" s="50">
      <c r="A651" s="32" t="n"/>
      <c r="B651" s="32" t="inlineStr">
        <is>
          <t>Yellow / 20 cms</t>
        </is>
      </c>
      <c r="C651" s="32" t="inlineStr">
        <is>
          <t>MI-SB-C-Y-20</t>
        </is>
      </c>
      <c r="D651" s="32" t="n">
        <v>80</v>
      </c>
      <c r="E651" s="32" t="n">
        <v>0</v>
      </c>
      <c r="F651" s="32" t="n">
        <v>0</v>
      </c>
      <c r="G651" s="32" t="n">
        <v>0</v>
      </c>
      <c r="H651" s="32" t="n">
        <v>10</v>
      </c>
      <c r="I651" s="41" t="n">
        <v>940490099</v>
      </c>
      <c r="J651" s="30" t="n">
        <v>0.05</v>
      </c>
      <c r="K651" s="32">
        <f>D651*J651</f>
        <v/>
      </c>
      <c r="M651" s="32">
        <f>D651*4%</f>
        <v/>
      </c>
      <c r="N651" s="49">
        <f>M651+L651+K651+H651+G651+F651+E651+D651</f>
        <v/>
      </c>
      <c r="O651" s="32">
        <f>D651*1%</f>
        <v/>
      </c>
      <c r="P651" s="7">
        <f>N651*8%</f>
        <v/>
      </c>
      <c r="Q651" s="7">
        <f>N651*10%</f>
        <v/>
      </c>
      <c r="R651" s="7">
        <f>N651*5%</f>
        <v/>
      </c>
      <c r="S651" s="7">
        <f>N651*2%</f>
        <v/>
      </c>
      <c r="T651" s="7">
        <f>AE651*0.5%</f>
        <v/>
      </c>
      <c r="U651" s="7">
        <f>N651*1%</f>
        <v/>
      </c>
      <c r="V651" s="31">
        <f>U651+S651+R651+Q651+P651+O651</f>
        <v/>
      </c>
      <c r="W651" s="32">
        <f>AE651*1%</f>
        <v/>
      </c>
      <c r="X651" s="32">
        <f>AE651*10%</f>
        <v/>
      </c>
      <c r="Y651" s="32">
        <f>AE651*1%</f>
        <v/>
      </c>
      <c r="Z651" s="32">
        <f>AE651*8%</f>
        <v/>
      </c>
      <c r="AA651" s="32">
        <f>W651+X651+Y651+Z651</f>
        <v/>
      </c>
      <c r="AB651" s="31">
        <f>AA651+V651+N651</f>
        <v/>
      </c>
      <c r="AC651" s="6">
        <f>AB651*20%</f>
        <v/>
      </c>
      <c r="AD651" s="7">
        <f>AB651+AC651</f>
        <v/>
      </c>
      <c r="AE651" s="32">
        <f>D651*2.1</f>
        <v/>
      </c>
      <c r="AF651" s="7">
        <f>AD651-AE651</f>
        <v/>
      </c>
      <c r="AG651" s="7">
        <f>AF651/AD651*100</f>
        <v/>
      </c>
      <c r="AH651" s="0" t="n">
        <v>495</v>
      </c>
      <c r="AI651" s="33" t="n">
        <v>415</v>
      </c>
      <c r="AJ651" s="34">
        <f>AD651</f>
        <v/>
      </c>
      <c r="AK651" s="34">
        <f>AJ651-(AJ651*7%)</f>
        <v/>
      </c>
      <c r="AL651" s="35">
        <f>AJ651/94</f>
        <v/>
      </c>
      <c r="AM651" s="35">
        <f>AK651/94</f>
        <v/>
      </c>
      <c r="AN651" s="36">
        <f>AJ651/24</f>
        <v/>
      </c>
      <c r="AO651" s="36">
        <f>AK651/24</f>
        <v/>
      </c>
      <c r="AP651" s="37">
        <f>AJ651/125</f>
        <v/>
      </c>
      <c r="AQ651" s="37">
        <f>AK651/125</f>
        <v/>
      </c>
    </row>
    <row r="652" ht="15.75" customHeight="1" s="50">
      <c r="A652" s="32" t="n"/>
      <c r="B652" s="32" t="inlineStr">
        <is>
          <t>Yellow / 22 cms</t>
        </is>
      </c>
      <c r="C652" s="32" t="inlineStr">
        <is>
          <t>MI-SB-C-Y-22</t>
        </is>
      </c>
      <c r="D652" s="32" t="n">
        <v>90</v>
      </c>
      <c r="E652" s="32" t="n">
        <v>0</v>
      </c>
      <c r="F652" s="32" t="n">
        <v>0</v>
      </c>
      <c r="G652" s="32" t="n">
        <v>0</v>
      </c>
      <c r="H652" s="32" t="n">
        <v>10</v>
      </c>
      <c r="I652" s="41" t="n">
        <v>940490099</v>
      </c>
      <c r="J652" s="30" t="n">
        <v>0.05</v>
      </c>
      <c r="K652" s="32">
        <f>D652*J652</f>
        <v/>
      </c>
      <c r="M652" s="32">
        <f>D652*4%</f>
        <v/>
      </c>
      <c r="N652" s="49">
        <f>M652+L652+K652+H652+G652+F652+E652+D652</f>
        <v/>
      </c>
      <c r="O652" s="32">
        <f>D652*1%</f>
        <v/>
      </c>
      <c r="P652" s="7">
        <f>N652*8%</f>
        <v/>
      </c>
      <c r="Q652" s="7">
        <f>N652*10%</f>
        <v/>
      </c>
      <c r="R652" s="7">
        <f>N652*5%</f>
        <v/>
      </c>
      <c r="S652" s="7">
        <f>N652*2%</f>
        <v/>
      </c>
      <c r="T652" s="7">
        <f>AE652*0.5%</f>
        <v/>
      </c>
      <c r="U652" s="7">
        <f>N652*1%</f>
        <v/>
      </c>
      <c r="V652" s="31">
        <f>U652+S652+R652+Q652+P652+O652</f>
        <v/>
      </c>
      <c r="W652" s="32">
        <f>AE652*1%</f>
        <v/>
      </c>
      <c r="X652" s="32">
        <f>AE652*10%</f>
        <v/>
      </c>
      <c r="Y652" s="32">
        <f>AE652*1%</f>
        <v/>
      </c>
      <c r="Z652" s="32">
        <f>AE652*8%</f>
        <v/>
      </c>
      <c r="AA652" s="32">
        <f>W652+X652+Y652+Z652</f>
        <v/>
      </c>
      <c r="AB652" s="31">
        <f>AA652+V652+N652</f>
        <v/>
      </c>
      <c r="AC652" s="6">
        <f>AB652*20%</f>
        <v/>
      </c>
      <c r="AD652" s="7">
        <f>AB652+AC652</f>
        <v/>
      </c>
      <c r="AE652" s="32">
        <f>D652*2.1</f>
        <v/>
      </c>
      <c r="AF652" s="7">
        <f>AD652-AE652</f>
        <v/>
      </c>
      <c r="AG652" s="7">
        <f>AF652/AD652*100</f>
        <v/>
      </c>
      <c r="AH652" s="0" t="n">
        <v>595</v>
      </c>
      <c r="AI652" s="33" t="n">
        <v>505</v>
      </c>
      <c r="AJ652" s="34">
        <f>AD652</f>
        <v/>
      </c>
      <c r="AK652" s="34">
        <f>AJ652-(AJ652*7%)</f>
        <v/>
      </c>
      <c r="AL652" s="35">
        <f>AJ652/94</f>
        <v/>
      </c>
      <c r="AM652" s="35">
        <f>AK652/94</f>
        <v/>
      </c>
      <c r="AN652" s="36">
        <f>AJ652/24</f>
        <v/>
      </c>
      <c r="AO652" s="36">
        <f>AK652/24</f>
        <v/>
      </c>
      <c r="AP652" s="37">
        <f>AJ652/125</f>
        <v/>
      </c>
      <c r="AQ652" s="37">
        <f>AK652/125</f>
        <v/>
      </c>
    </row>
    <row r="653" ht="15.75" customHeight="1" s="50">
      <c r="A653" s="32" t="n"/>
      <c r="B653" s="32" t="inlineStr">
        <is>
          <t>Combo of 3</t>
        </is>
      </c>
      <c r="C653" s="32" t="inlineStr">
        <is>
          <t>MI-SB-C-CO-3</t>
        </is>
      </c>
      <c r="D653" s="32" t="n">
        <v>165</v>
      </c>
      <c r="E653" s="32" t="n">
        <v>0</v>
      </c>
      <c r="F653" s="32" t="n">
        <v>0</v>
      </c>
      <c r="G653" s="32" t="n">
        <v>0</v>
      </c>
      <c r="H653" s="32" t="n">
        <v>10</v>
      </c>
      <c r="I653" s="41" t="n">
        <v>940490099</v>
      </c>
      <c r="J653" s="30" t="n">
        <v>0.05</v>
      </c>
      <c r="K653" s="32">
        <f>D653*J653</f>
        <v/>
      </c>
      <c r="M653" s="32">
        <f>D653*4%</f>
        <v/>
      </c>
      <c r="N653" s="49">
        <f>M653+L653+K653+H653+G653+F653+E653+D653</f>
        <v/>
      </c>
      <c r="O653" s="32">
        <f>D653*1%</f>
        <v/>
      </c>
      <c r="P653" s="7">
        <f>N653*8%</f>
        <v/>
      </c>
      <c r="Q653" s="7">
        <f>N653*10%</f>
        <v/>
      </c>
      <c r="R653" s="7">
        <f>N653*5%</f>
        <v/>
      </c>
      <c r="S653" s="7">
        <f>N653*2%</f>
        <v/>
      </c>
      <c r="T653" s="7">
        <f>AE653*0.5%</f>
        <v/>
      </c>
      <c r="U653" s="7">
        <f>N653*1%</f>
        <v/>
      </c>
      <c r="V653" s="31">
        <f>U653+S653+R653+Q653+P653+O653</f>
        <v/>
      </c>
      <c r="W653" s="32">
        <f>AE653*1%</f>
        <v/>
      </c>
      <c r="X653" s="32">
        <f>AE653*10%</f>
        <v/>
      </c>
      <c r="Y653" s="32">
        <f>AE653*1%</f>
        <v/>
      </c>
      <c r="Z653" s="32">
        <f>AE653*8%</f>
        <v/>
      </c>
      <c r="AA653" s="32">
        <f>W653+X653+Y653+Z653</f>
        <v/>
      </c>
      <c r="AB653" s="31">
        <f>AA653+V653+N653</f>
        <v/>
      </c>
      <c r="AC653" s="6">
        <f>AB653*20%</f>
        <v/>
      </c>
      <c r="AD653" s="7">
        <f>AB653+AC653</f>
        <v/>
      </c>
      <c r="AE653" s="32">
        <f>D653*2.1</f>
        <v/>
      </c>
      <c r="AF653" s="7">
        <f>AD653-AE653</f>
        <v/>
      </c>
      <c r="AG653" s="7">
        <f>AF653/AD653*100</f>
        <v/>
      </c>
      <c r="AH653" s="0" t="n">
        <v>795</v>
      </c>
      <c r="AI653" s="33" t="n">
        <v>630</v>
      </c>
      <c r="AJ653" s="34">
        <f>AD653</f>
        <v/>
      </c>
      <c r="AK653" s="34">
        <f>AJ653-(AJ653*7%)</f>
        <v/>
      </c>
      <c r="AL653" s="35">
        <f>AJ653/94</f>
        <v/>
      </c>
      <c r="AM653" s="35">
        <f>AK653/94</f>
        <v/>
      </c>
      <c r="AN653" s="36">
        <f>AJ653/24</f>
        <v/>
      </c>
      <c r="AO653" s="36">
        <f>AK653/24</f>
        <v/>
      </c>
      <c r="AP653" s="37">
        <f>AJ653/125</f>
        <v/>
      </c>
      <c r="AQ653" s="37">
        <f>AK653/125</f>
        <v/>
      </c>
    </row>
    <row r="654" ht="15.75" customHeight="1" s="50">
      <c r="A654" s="32" t="n"/>
      <c r="B654" s="32" t="inlineStr">
        <is>
          <t>Combo of 5</t>
        </is>
      </c>
      <c r="C654" s="32" t="inlineStr">
        <is>
          <t>MI-SB-C-CO-5</t>
        </is>
      </c>
      <c r="D654" s="32" t="n">
        <v>335</v>
      </c>
      <c r="E654" s="32" t="n">
        <v>0</v>
      </c>
      <c r="F654" s="32" t="n">
        <v>0</v>
      </c>
      <c r="G654" s="32" t="n">
        <v>0</v>
      </c>
      <c r="H654" s="32" t="n">
        <v>10</v>
      </c>
      <c r="I654" s="41" t="n">
        <v>940490099</v>
      </c>
      <c r="J654" s="30" t="n">
        <v>0.05</v>
      </c>
      <c r="K654" s="32">
        <f>D654*J654</f>
        <v/>
      </c>
      <c r="M654" s="32">
        <f>D654*4%</f>
        <v/>
      </c>
      <c r="N654" s="49">
        <f>M654+L654+K654+H654+G654+F654+E654+D654</f>
        <v/>
      </c>
      <c r="O654" s="32">
        <f>D654*1%</f>
        <v/>
      </c>
      <c r="P654" s="7">
        <f>N654*8%</f>
        <v/>
      </c>
      <c r="Q654" s="7">
        <f>N654*10%</f>
        <v/>
      </c>
      <c r="R654" s="7">
        <f>N654*5%</f>
        <v/>
      </c>
      <c r="S654" s="7">
        <f>N654*2%</f>
        <v/>
      </c>
      <c r="T654" s="7">
        <f>AE654*0.5%</f>
        <v/>
      </c>
      <c r="U654" s="7">
        <f>N654*1%</f>
        <v/>
      </c>
      <c r="V654" s="31">
        <f>U654+S654+R654+Q654+P654+O654</f>
        <v/>
      </c>
      <c r="W654" s="32">
        <f>AE654*1%</f>
        <v/>
      </c>
      <c r="X654" s="32">
        <f>AE654*10%</f>
        <v/>
      </c>
      <c r="Y654" s="32">
        <f>AE654*1%</f>
        <v/>
      </c>
      <c r="Z654" s="32">
        <f>AE654*8%</f>
        <v/>
      </c>
      <c r="AA654" s="32">
        <f>W654+X654+Y654+Z654</f>
        <v/>
      </c>
      <c r="AB654" s="31">
        <f>AA654+V654+N654</f>
        <v/>
      </c>
      <c r="AC654" s="6">
        <f>AB654*20%</f>
        <v/>
      </c>
      <c r="AD654" s="7">
        <f>AB654+AC654</f>
        <v/>
      </c>
      <c r="AE654" s="32">
        <f>D654*2.1</f>
        <v/>
      </c>
      <c r="AF654" s="7">
        <f>AD654-AE654</f>
        <v/>
      </c>
      <c r="AG654" s="7">
        <f>AF654/AD654*100</f>
        <v/>
      </c>
      <c r="AH654" s="0" t="n">
        <v>1645</v>
      </c>
      <c r="AI654" s="33" t="n">
        <v>1310</v>
      </c>
      <c r="AJ654" s="34">
        <f>AD654</f>
        <v/>
      </c>
      <c r="AK654" s="34">
        <f>AJ654-(AJ654*7%)</f>
        <v/>
      </c>
      <c r="AL654" s="35">
        <f>AJ654/94</f>
        <v/>
      </c>
      <c r="AM654" s="35">
        <f>AK654/94</f>
        <v/>
      </c>
      <c r="AN654" s="36">
        <f>AJ654/24</f>
        <v/>
      </c>
      <c r="AO654" s="36">
        <f>AK654/24</f>
        <v/>
      </c>
      <c r="AP654" s="37">
        <f>AJ654/125</f>
        <v/>
      </c>
      <c r="AQ654" s="37">
        <f>AK654/125</f>
        <v/>
      </c>
    </row>
    <row r="655" ht="15.75" customHeight="1" s="50">
      <c r="A655" s="32" t="n"/>
      <c r="B655" s="32" t="inlineStr">
        <is>
          <t>Combo of 7</t>
        </is>
      </c>
      <c r="C655" s="32" t="inlineStr">
        <is>
          <t>MI-SB-C-CO-7</t>
        </is>
      </c>
      <c r="D655" s="32" t="n">
        <v>480</v>
      </c>
      <c r="E655" s="32" t="n">
        <v>0</v>
      </c>
      <c r="F655" s="32" t="n">
        <v>0</v>
      </c>
      <c r="G655" s="32" t="n">
        <v>0</v>
      </c>
      <c r="H655" s="32" t="n">
        <v>10</v>
      </c>
      <c r="I655" s="41" t="n">
        <v>940490099</v>
      </c>
      <c r="J655" s="30" t="n">
        <v>0.05</v>
      </c>
      <c r="K655" s="32">
        <f>D655*J655</f>
        <v/>
      </c>
      <c r="M655" s="32">
        <f>D655*4%</f>
        <v/>
      </c>
      <c r="N655" s="49">
        <f>M655+L655+K655+H655+G655+F655+E655+D655</f>
        <v/>
      </c>
      <c r="O655" s="32">
        <f>D655*1%</f>
        <v/>
      </c>
      <c r="P655" s="7">
        <f>N655*8%</f>
        <v/>
      </c>
      <c r="Q655" s="7">
        <f>N655*10%</f>
        <v/>
      </c>
      <c r="R655" s="7">
        <f>N655*5%</f>
        <v/>
      </c>
      <c r="S655" s="7">
        <f>N655*2%</f>
        <v/>
      </c>
      <c r="T655" s="7">
        <f>AE655*0.5%</f>
        <v/>
      </c>
      <c r="U655" s="7">
        <f>N655*1%</f>
        <v/>
      </c>
      <c r="V655" s="31">
        <f>U655+S655+R655+Q655+P655+O655</f>
        <v/>
      </c>
      <c r="W655" s="32">
        <f>AE655*1%</f>
        <v/>
      </c>
      <c r="X655" s="32">
        <f>AE655*10%</f>
        <v/>
      </c>
      <c r="Y655" s="32">
        <f>AE655*1%</f>
        <v/>
      </c>
      <c r="Z655" s="32">
        <f>AE655*8%</f>
        <v/>
      </c>
      <c r="AA655" s="32">
        <f>W655+X655+Y655+Z655</f>
        <v/>
      </c>
      <c r="AB655" s="31">
        <f>AA655+V655+N655</f>
        <v/>
      </c>
      <c r="AC655" s="6">
        <f>AB655*20%</f>
        <v/>
      </c>
      <c r="AD655" s="7">
        <f>AB655+AC655</f>
        <v/>
      </c>
      <c r="AE655" s="32">
        <f>D655*2.1</f>
        <v/>
      </c>
      <c r="AF655" s="7">
        <f>AD655-AE655</f>
        <v/>
      </c>
      <c r="AG655" s="7">
        <f>AF655/AD655*100</f>
        <v/>
      </c>
      <c r="AH655" s="0" t="n">
        <v>2245</v>
      </c>
      <c r="AI655" s="33" t="n">
        <v>1765</v>
      </c>
      <c r="AJ655" s="34">
        <f>AD655</f>
        <v/>
      </c>
      <c r="AK655" s="34">
        <f>AJ655-(AJ655*7%)</f>
        <v/>
      </c>
      <c r="AL655" s="35">
        <f>AJ655/94</f>
        <v/>
      </c>
      <c r="AM655" s="35">
        <f>AK655/94</f>
        <v/>
      </c>
      <c r="AN655" s="36">
        <f>AJ655/24</f>
        <v/>
      </c>
      <c r="AO655" s="36">
        <f>AK655/24</f>
        <v/>
      </c>
      <c r="AP655" s="37">
        <f>AJ655/125</f>
        <v/>
      </c>
      <c r="AQ655" s="37">
        <f>AK655/125</f>
        <v/>
      </c>
    </row>
    <row r="656" ht="15" customHeight="1" s="50">
      <c r="A656" s="32" t="inlineStr">
        <is>
          <t>Singing Bowls with Sacred Mantra Printed</t>
        </is>
      </c>
      <c r="B656" s="32" t="inlineStr">
        <is>
          <t>Blue / 5.5 Inches</t>
        </is>
      </c>
      <c r="C656" s="32" t="inlineStr">
        <is>
          <t>MI-SB-P-B-5.5</t>
        </is>
      </c>
      <c r="D656" s="32" t="n">
        <v>1150</v>
      </c>
      <c r="E656" s="32" t="n">
        <v>55</v>
      </c>
      <c r="F656" s="32" t="n">
        <v>45</v>
      </c>
      <c r="G656" s="32" t="n">
        <v>0</v>
      </c>
      <c r="H656" s="32" t="n">
        <v>10</v>
      </c>
      <c r="I656" s="41" t="n">
        <v>83061000</v>
      </c>
      <c r="J656" s="30" t="n">
        <v>0.05</v>
      </c>
      <c r="K656" s="32">
        <f>D656*J656</f>
        <v/>
      </c>
      <c r="M656" s="32">
        <f>D656*4%</f>
        <v/>
      </c>
      <c r="N656" s="49">
        <f>M656+L656+K656+H656+G656+F656+E656+D656</f>
        <v/>
      </c>
      <c r="O656" s="32">
        <f>D656*1%</f>
        <v/>
      </c>
      <c r="P656" s="7">
        <f>N656*8%</f>
        <v/>
      </c>
      <c r="Q656" s="7">
        <f>N656*10%</f>
        <v/>
      </c>
      <c r="R656" s="7">
        <f>N656*5%</f>
        <v/>
      </c>
      <c r="S656" s="7">
        <f>N656*2%</f>
        <v/>
      </c>
      <c r="T656" s="7">
        <f>AE656*0.5%</f>
        <v/>
      </c>
      <c r="U656" s="7">
        <f>N656*1%</f>
        <v/>
      </c>
      <c r="V656" s="31">
        <f>U656+S656+R656+Q656+P656+O656</f>
        <v/>
      </c>
      <c r="W656" s="32">
        <f>AE656*1%</f>
        <v/>
      </c>
      <c r="X656" s="32">
        <f>AE656*10%</f>
        <v/>
      </c>
      <c r="Y656" s="32">
        <f>AE656*1%</f>
        <v/>
      </c>
      <c r="Z656" s="32">
        <f>AE656*8%</f>
        <v/>
      </c>
      <c r="AA656" s="32">
        <f>W656+X656+Y656+Z656</f>
        <v/>
      </c>
      <c r="AB656" s="31">
        <f>AA656+V656+N656</f>
        <v/>
      </c>
      <c r="AC656" s="6">
        <f>AB656*20%</f>
        <v/>
      </c>
      <c r="AD656" s="7">
        <f>AB656+AC656</f>
        <v/>
      </c>
      <c r="AE656" s="32">
        <f>D656*2.1</f>
        <v/>
      </c>
      <c r="AF656" s="7">
        <f>AD656-AE656</f>
        <v/>
      </c>
      <c r="AG656" s="7">
        <f>AF656/AD656*100</f>
        <v/>
      </c>
      <c r="AH656" s="0" t="n">
        <v>1995</v>
      </c>
      <c r="AI656" s="33" t="n">
        <v>845</v>
      </c>
      <c r="AJ656" s="34">
        <f>AD656</f>
        <v/>
      </c>
      <c r="AK656" s="34">
        <f>AJ656-(AJ656*7%)</f>
        <v/>
      </c>
      <c r="AL656" s="35">
        <f>AJ656/94</f>
        <v/>
      </c>
      <c r="AM656" s="35">
        <f>AK656/94</f>
        <v/>
      </c>
      <c r="AN656" s="36">
        <f>AJ656/24</f>
        <v/>
      </c>
      <c r="AO656" s="36">
        <f>AK656/24</f>
        <v/>
      </c>
      <c r="AP656" s="37">
        <f>AJ656/125</f>
        <v/>
      </c>
      <c r="AQ656" s="37">
        <f>AK656/125</f>
        <v/>
      </c>
    </row>
    <row r="657" ht="15.75" customHeight="1" s="50">
      <c r="A657" s="32" t="n"/>
      <c r="B657" s="32" t="inlineStr">
        <is>
          <t>3.5 Inches / Blue</t>
        </is>
      </c>
      <c r="C657" s="32" t="inlineStr">
        <is>
          <t>MI-SB-P-B-3.5</t>
        </is>
      </c>
      <c r="D657" s="32" t="n">
        <v>350</v>
      </c>
      <c r="E657" s="32" t="n">
        <v>55</v>
      </c>
      <c r="F657" s="32" t="n">
        <v>45</v>
      </c>
      <c r="G657" s="32" t="n">
        <v>0</v>
      </c>
      <c r="H657" s="32" t="n">
        <v>10</v>
      </c>
      <c r="I657" s="41" t="n">
        <v>83061000</v>
      </c>
      <c r="J657" s="30" t="n">
        <v>0.05</v>
      </c>
      <c r="K657" s="32">
        <f>D657*J657</f>
        <v/>
      </c>
      <c r="M657" s="32">
        <f>D657*4%</f>
        <v/>
      </c>
      <c r="N657" s="49">
        <f>M657+L657+K657+H657+G657+F657+E657+D657</f>
        <v/>
      </c>
      <c r="O657" s="32">
        <f>D657*1%</f>
        <v/>
      </c>
      <c r="P657" s="7">
        <f>N657*8%</f>
        <v/>
      </c>
      <c r="Q657" s="7">
        <f>N657*10%</f>
        <v/>
      </c>
      <c r="R657" s="7">
        <f>N657*5%</f>
        <v/>
      </c>
      <c r="S657" s="7">
        <f>N657*2%</f>
        <v/>
      </c>
      <c r="T657" s="7">
        <f>AE657*0.5%</f>
        <v/>
      </c>
      <c r="U657" s="7">
        <f>N657*1%</f>
        <v/>
      </c>
      <c r="V657" s="31">
        <f>U657+S657+R657+Q657+P657+O657</f>
        <v/>
      </c>
      <c r="W657" s="32">
        <f>AE657*1%</f>
        <v/>
      </c>
      <c r="X657" s="32">
        <f>AE657*10%</f>
        <v/>
      </c>
      <c r="Y657" s="32">
        <f>AE657*1%</f>
        <v/>
      </c>
      <c r="Z657" s="32">
        <f>AE657*8%</f>
        <v/>
      </c>
      <c r="AA657" s="32">
        <f>W657+X657+Y657+Z657</f>
        <v/>
      </c>
      <c r="AB657" s="31">
        <f>AA657+V657+N657</f>
        <v/>
      </c>
      <c r="AC657" s="6">
        <f>AB657*20%</f>
        <v/>
      </c>
      <c r="AD657" s="7">
        <f>AB657+AC657</f>
        <v/>
      </c>
      <c r="AE657" s="32">
        <f>D657*2.1</f>
        <v/>
      </c>
      <c r="AF657" s="7">
        <f>AD657-AE657</f>
        <v/>
      </c>
      <c r="AG657" s="7">
        <f>AF657/AD657*100</f>
        <v/>
      </c>
      <c r="AH657" s="0" t="n">
        <v>1295</v>
      </c>
      <c r="AI657" s="33" t="n">
        <v>945</v>
      </c>
      <c r="AJ657" s="34">
        <f>AD657</f>
        <v/>
      </c>
      <c r="AK657" s="34">
        <f>AJ657-(AJ657*7%)</f>
        <v/>
      </c>
      <c r="AL657" s="35">
        <f>AJ657/94</f>
        <v/>
      </c>
      <c r="AM657" s="35">
        <f>AK657/94</f>
        <v/>
      </c>
      <c r="AN657" s="36">
        <f>AJ657/24</f>
        <v/>
      </c>
      <c r="AO657" s="36">
        <f>AK657/24</f>
        <v/>
      </c>
      <c r="AP657" s="37">
        <f>AJ657/125</f>
        <v/>
      </c>
      <c r="AQ657" s="37">
        <f>AK657/125</f>
        <v/>
      </c>
    </row>
    <row r="658" ht="15.75" customHeight="1" s="50">
      <c r="A658" s="32" t="n"/>
      <c r="B658" s="32" t="inlineStr">
        <is>
          <t>4 Inches / Blue</t>
        </is>
      </c>
      <c r="C658" s="32" t="inlineStr">
        <is>
          <t>MI-SB-P-B-4</t>
        </is>
      </c>
      <c r="D658" s="32" t="n">
        <v>575</v>
      </c>
      <c r="E658" s="32" t="n">
        <v>55</v>
      </c>
      <c r="F658" s="32" t="n">
        <v>45</v>
      </c>
      <c r="G658" s="32" t="n">
        <v>0</v>
      </c>
      <c r="H658" s="32" t="n">
        <v>10</v>
      </c>
      <c r="I658" s="41" t="n">
        <v>83061000</v>
      </c>
      <c r="J658" s="30" t="n">
        <v>0.05</v>
      </c>
      <c r="K658" s="32">
        <f>D658*J658</f>
        <v/>
      </c>
      <c r="M658" s="32">
        <f>D658*4%</f>
        <v/>
      </c>
      <c r="N658" s="49">
        <f>M658+L658+K658+H658+G658+F658+E658+D658</f>
        <v/>
      </c>
      <c r="O658" s="32">
        <f>D658*1%</f>
        <v/>
      </c>
      <c r="P658" s="7">
        <f>N658*8%</f>
        <v/>
      </c>
      <c r="Q658" s="7">
        <f>N658*10%</f>
        <v/>
      </c>
      <c r="R658" s="7">
        <f>N658*5%</f>
        <v/>
      </c>
      <c r="S658" s="7">
        <f>N658*2%</f>
        <v/>
      </c>
      <c r="T658" s="7">
        <f>AE658*0.5%</f>
        <v/>
      </c>
      <c r="U658" s="7">
        <f>N658*1%</f>
        <v/>
      </c>
      <c r="V658" s="31">
        <f>U658+S658+R658+Q658+P658+O658</f>
        <v/>
      </c>
      <c r="W658" s="32">
        <f>AE658*1%</f>
        <v/>
      </c>
      <c r="X658" s="32">
        <f>AE658*10%</f>
        <v/>
      </c>
      <c r="Y658" s="32">
        <f>AE658*1%</f>
        <v/>
      </c>
      <c r="Z658" s="32">
        <f>AE658*8%</f>
        <v/>
      </c>
      <c r="AA658" s="32">
        <f>W658+X658+Y658+Z658</f>
        <v/>
      </c>
      <c r="AB658" s="31">
        <f>AA658+V658+N658</f>
        <v/>
      </c>
      <c r="AC658" s="6">
        <f>AB658*20%</f>
        <v/>
      </c>
      <c r="AD658" s="7">
        <f>AB658+AC658</f>
        <v/>
      </c>
      <c r="AE658" s="32">
        <f>D658*2.1</f>
        <v/>
      </c>
      <c r="AF658" s="7">
        <f>AD658-AE658</f>
        <v/>
      </c>
      <c r="AG658" s="7">
        <f>AF658/AD658*100</f>
        <v/>
      </c>
      <c r="AH658" s="0" t="n">
        <v>1545</v>
      </c>
      <c r="AI658" s="33" t="n">
        <v>970</v>
      </c>
      <c r="AJ658" s="34">
        <f>AD658</f>
        <v/>
      </c>
      <c r="AK658" s="34">
        <f>AJ658-(AJ658*7%)</f>
        <v/>
      </c>
      <c r="AL658" s="35">
        <f>AJ658/94</f>
        <v/>
      </c>
      <c r="AM658" s="35">
        <f>AK658/94</f>
        <v/>
      </c>
      <c r="AN658" s="36">
        <f>AJ658/24</f>
        <v/>
      </c>
      <c r="AO658" s="36">
        <f>AK658/24</f>
        <v/>
      </c>
      <c r="AP658" s="37">
        <f>AJ658/125</f>
        <v/>
      </c>
      <c r="AQ658" s="37">
        <f>AK658/125</f>
        <v/>
      </c>
    </row>
    <row r="659" ht="15.75" customHeight="1" s="50">
      <c r="A659" s="32" t="n"/>
      <c r="B659" s="32" t="inlineStr">
        <is>
          <t>Black / 3.5 Inches</t>
        </is>
      </c>
      <c r="C659" s="32" t="inlineStr">
        <is>
          <t>MI-SB-P-BK-3.5</t>
        </is>
      </c>
      <c r="D659" s="32" t="n">
        <v>350</v>
      </c>
      <c r="E659" s="32" t="n">
        <v>55</v>
      </c>
      <c r="F659" s="32" t="n">
        <v>45</v>
      </c>
      <c r="G659" s="32" t="n">
        <v>0</v>
      </c>
      <c r="H659" s="32" t="n">
        <v>10</v>
      </c>
      <c r="I659" s="41" t="n">
        <v>83061000</v>
      </c>
      <c r="J659" s="30" t="n">
        <v>0.05</v>
      </c>
      <c r="K659" s="32">
        <f>D659*J659</f>
        <v/>
      </c>
      <c r="M659" s="32">
        <f>D659*4%</f>
        <v/>
      </c>
      <c r="N659" s="49">
        <f>M659+L659+K659+H659+G659+F659+E659+D659</f>
        <v/>
      </c>
      <c r="O659" s="32">
        <f>D659*1%</f>
        <v/>
      </c>
      <c r="P659" s="7">
        <f>N659*8%</f>
        <v/>
      </c>
      <c r="Q659" s="7">
        <f>N659*10%</f>
        <v/>
      </c>
      <c r="R659" s="7">
        <f>N659*5%</f>
        <v/>
      </c>
      <c r="S659" s="7">
        <f>N659*2%</f>
        <v/>
      </c>
      <c r="T659" s="7">
        <f>AE659*0.5%</f>
        <v/>
      </c>
      <c r="U659" s="7">
        <f>N659*1%</f>
        <v/>
      </c>
      <c r="V659" s="31">
        <f>U659+S659+R659+Q659+P659+O659</f>
        <v/>
      </c>
      <c r="W659" s="32">
        <f>AE659*1%</f>
        <v/>
      </c>
      <c r="X659" s="32">
        <f>AE659*10%</f>
        <v/>
      </c>
      <c r="Y659" s="32">
        <f>AE659*1%</f>
        <v/>
      </c>
      <c r="Z659" s="32">
        <f>AE659*8%</f>
        <v/>
      </c>
      <c r="AA659" s="32">
        <f>W659+X659+Y659+Z659</f>
        <v/>
      </c>
      <c r="AB659" s="31">
        <f>AA659+V659+N659</f>
        <v/>
      </c>
      <c r="AC659" s="6">
        <f>AB659*20%</f>
        <v/>
      </c>
      <c r="AD659" s="7">
        <f>AB659+AC659</f>
        <v/>
      </c>
      <c r="AE659" s="32">
        <f>D659*2.1</f>
        <v/>
      </c>
      <c r="AF659" s="7">
        <f>AD659-AE659</f>
        <v/>
      </c>
      <c r="AG659" s="7">
        <f>AF659/AD659*100</f>
        <v/>
      </c>
      <c r="AH659" s="0" t="n">
        <v>1295</v>
      </c>
      <c r="AI659" s="33" t="n">
        <v>945</v>
      </c>
      <c r="AJ659" s="34">
        <f>AD659</f>
        <v/>
      </c>
      <c r="AK659" s="34">
        <f>AJ659-(AJ659*7%)</f>
        <v/>
      </c>
      <c r="AL659" s="35">
        <f>AJ659/94</f>
        <v/>
      </c>
      <c r="AM659" s="35">
        <f>AK659/94</f>
        <v/>
      </c>
      <c r="AN659" s="36">
        <f>AJ659/24</f>
        <v/>
      </c>
      <c r="AO659" s="36">
        <f>AK659/24</f>
        <v/>
      </c>
      <c r="AP659" s="37">
        <f>AJ659/125</f>
        <v/>
      </c>
      <c r="AQ659" s="37">
        <f>AK659/125</f>
        <v/>
      </c>
    </row>
    <row r="660" ht="15.75" customHeight="1" s="50">
      <c r="A660" s="32" t="n"/>
      <c r="B660" s="32" t="inlineStr">
        <is>
          <t>Black / 4 Inches</t>
        </is>
      </c>
      <c r="C660" s="32" t="inlineStr">
        <is>
          <t>MI-SB-P-BK-4</t>
        </is>
      </c>
      <c r="D660" s="32" t="n">
        <v>575</v>
      </c>
      <c r="E660" s="32" t="n">
        <v>55</v>
      </c>
      <c r="F660" s="32" t="n">
        <v>45</v>
      </c>
      <c r="G660" s="32" t="n">
        <v>0</v>
      </c>
      <c r="H660" s="32" t="n">
        <v>10</v>
      </c>
      <c r="I660" s="41" t="n">
        <v>83061000</v>
      </c>
      <c r="J660" s="30" t="n">
        <v>0.05</v>
      </c>
      <c r="K660" s="32">
        <f>D660*J660</f>
        <v/>
      </c>
      <c r="M660" s="32">
        <f>D660*4%</f>
        <v/>
      </c>
      <c r="N660" s="49">
        <f>M660+L660+K660+H660+G660+F660+E660+D660</f>
        <v/>
      </c>
      <c r="O660" s="32">
        <f>D660*1%</f>
        <v/>
      </c>
      <c r="P660" s="7">
        <f>N660*8%</f>
        <v/>
      </c>
      <c r="Q660" s="7">
        <f>N660*10%</f>
        <v/>
      </c>
      <c r="R660" s="7">
        <f>N660*5%</f>
        <v/>
      </c>
      <c r="S660" s="7">
        <f>N660*2%</f>
        <v/>
      </c>
      <c r="T660" s="7">
        <f>AE660*0.5%</f>
        <v/>
      </c>
      <c r="U660" s="7">
        <f>N660*1%</f>
        <v/>
      </c>
      <c r="V660" s="31">
        <f>U660+S660+R660+Q660+P660+O660</f>
        <v/>
      </c>
      <c r="W660" s="32">
        <f>AE660*1%</f>
        <v/>
      </c>
      <c r="X660" s="32">
        <f>AE660*10%</f>
        <v/>
      </c>
      <c r="Y660" s="32">
        <f>AE660*1%</f>
        <v/>
      </c>
      <c r="Z660" s="32">
        <f>AE660*8%</f>
        <v/>
      </c>
      <c r="AA660" s="32">
        <f>W660+X660+Y660+Z660</f>
        <v/>
      </c>
      <c r="AB660" s="31">
        <f>AA660+V660+N660</f>
        <v/>
      </c>
      <c r="AC660" s="6">
        <f>AB660*20%</f>
        <v/>
      </c>
      <c r="AD660" s="7">
        <f>AB660+AC660</f>
        <v/>
      </c>
      <c r="AE660" s="32">
        <f>D660*2.1</f>
        <v/>
      </c>
      <c r="AF660" s="7">
        <f>AD660-AE660</f>
        <v/>
      </c>
      <c r="AG660" s="7">
        <f>AF660/AD660*100</f>
        <v/>
      </c>
      <c r="AH660" s="0" t="n">
        <v>1545</v>
      </c>
      <c r="AI660" s="33" t="n">
        <v>970</v>
      </c>
      <c r="AJ660" s="34">
        <f>AD660</f>
        <v/>
      </c>
      <c r="AK660" s="34">
        <f>AJ660-(AJ660*7%)</f>
        <v/>
      </c>
      <c r="AL660" s="35">
        <f>AJ660/94</f>
        <v/>
      </c>
      <c r="AM660" s="35">
        <f>AK660/94</f>
        <v/>
      </c>
      <c r="AN660" s="36">
        <f>AJ660/24</f>
        <v/>
      </c>
      <c r="AO660" s="36">
        <f>AK660/24</f>
        <v/>
      </c>
      <c r="AP660" s="37">
        <f>AJ660/125</f>
        <v/>
      </c>
      <c r="AQ660" s="37">
        <f>AK660/125</f>
        <v/>
      </c>
    </row>
    <row r="661" ht="15.75" customHeight="1" s="50">
      <c r="A661" s="32" t="n"/>
      <c r="B661" s="32" t="inlineStr">
        <is>
          <t>Black / 5.5 Inches</t>
        </is>
      </c>
      <c r="C661" s="32" t="inlineStr">
        <is>
          <t>MI-SB-P-BK-5.5</t>
        </is>
      </c>
      <c r="D661" s="32" t="n">
        <v>1150</v>
      </c>
      <c r="E661" s="32" t="n">
        <v>55</v>
      </c>
      <c r="F661" s="32" t="n">
        <v>45</v>
      </c>
      <c r="G661" s="32" t="n">
        <v>0</v>
      </c>
      <c r="H661" s="32" t="n">
        <v>10</v>
      </c>
      <c r="I661" s="41" t="n">
        <v>83061000</v>
      </c>
      <c r="J661" s="30" t="n">
        <v>0.05</v>
      </c>
      <c r="K661" s="32">
        <f>D661*J661</f>
        <v/>
      </c>
      <c r="M661" s="32">
        <f>D661*4%</f>
        <v/>
      </c>
      <c r="N661" s="49">
        <f>M661+L661+K661+H661+G661+F661+E661+D661</f>
        <v/>
      </c>
      <c r="O661" s="32">
        <f>D661*1%</f>
        <v/>
      </c>
      <c r="P661" s="7">
        <f>N661*8%</f>
        <v/>
      </c>
      <c r="Q661" s="7">
        <f>N661*10%</f>
        <v/>
      </c>
      <c r="R661" s="7">
        <f>N661*5%</f>
        <v/>
      </c>
      <c r="S661" s="7">
        <f>N661*2%</f>
        <v/>
      </c>
      <c r="T661" s="7">
        <f>AE661*0.5%</f>
        <v/>
      </c>
      <c r="U661" s="7">
        <f>N661*1%</f>
        <v/>
      </c>
      <c r="V661" s="31">
        <f>U661+S661+R661+Q661+P661+O661</f>
        <v/>
      </c>
      <c r="W661" s="32">
        <f>AE661*1%</f>
        <v/>
      </c>
      <c r="X661" s="32">
        <f>AE661*10%</f>
        <v/>
      </c>
      <c r="Y661" s="32">
        <f>AE661*1%</f>
        <v/>
      </c>
      <c r="Z661" s="32">
        <f>AE661*8%</f>
        <v/>
      </c>
      <c r="AA661" s="32">
        <f>W661+X661+Y661+Z661</f>
        <v/>
      </c>
      <c r="AB661" s="31">
        <f>AA661+V661+N661</f>
        <v/>
      </c>
      <c r="AC661" s="6">
        <f>AB661*20%</f>
        <v/>
      </c>
      <c r="AD661" s="7">
        <f>AB661+AC661</f>
        <v/>
      </c>
      <c r="AE661" s="32">
        <f>D661*2.1</f>
        <v/>
      </c>
      <c r="AF661" s="7">
        <f>AD661-AE661</f>
        <v/>
      </c>
      <c r="AG661" s="7">
        <f>AF661/AD661*100</f>
        <v/>
      </c>
      <c r="AH661" s="0" t="n">
        <v>1995</v>
      </c>
      <c r="AI661" s="33" t="n">
        <v>845</v>
      </c>
      <c r="AJ661" s="34">
        <f>AD661</f>
        <v/>
      </c>
      <c r="AK661" s="34">
        <f>AJ661-(AJ661*7%)</f>
        <v/>
      </c>
      <c r="AL661" s="35">
        <f>AJ661/94</f>
        <v/>
      </c>
      <c r="AM661" s="35">
        <f>AK661/94</f>
        <v/>
      </c>
      <c r="AN661" s="36">
        <f>AJ661/24</f>
        <v/>
      </c>
      <c r="AO661" s="36">
        <f>AK661/24</f>
        <v/>
      </c>
      <c r="AP661" s="37">
        <f>AJ661/125</f>
        <v/>
      </c>
      <c r="AQ661" s="37">
        <f>AK661/125</f>
        <v/>
      </c>
    </row>
    <row r="662" ht="15.75" customHeight="1" s="50">
      <c r="A662" s="32" t="n"/>
      <c r="B662" s="32" t="inlineStr">
        <is>
          <t>3.5 Inches / Green</t>
        </is>
      </c>
      <c r="C662" s="32" t="inlineStr">
        <is>
          <t>MI-SB-P-G-3.5</t>
        </is>
      </c>
      <c r="D662" s="32" t="n">
        <v>350</v>
      </c>
      <c r="E662" s="32" t="n">
        <v>55</v>
      </c>
      <c r="F662" s="32" t="n">
        <v>45</v>
      </c>
      <c r="G662" s="32" t="n">
        <v>0</v>
      </c>
      <c r="H662" s="32" t="n">
        <v>10</v>
      </c>
      <c r="I662" s="41" t="n">
        <v>83061000</v>
      </c>
      <c r="J662" s="30" t="n">
        <v>0.05</v>
      </c>
      <c r="K662" s="32">
        <f>D662*J662</f>
        <v/>
      </c>
      <c r="M662" s="32">
        <f>D662*4%</f>
        <v/>
      </c>
      <c r="N662" s="49">
        <f>M662+L662+K662+H662+G662+F662+E662+D662</f>
        <v/>
      </c>
      <c r="O662" s="32">
        <f>D662*1%</f>
        <v/>
      </c>
      <c r="P662" s="7">
        <f>N662*8%</f>
        <v/>
      </c>
      <c r="Q662" s="7">
        <f>N662*10%</f>
        <v/>
      </c>
      <c r="R662" s="7">
        <f>N662*5%</f>
        <v/>
      </c>
      <c r="S662" s="7">
        <f>N662*2%</f>
        <v/>
      </c>
      <c r="T662" s="7">
        <f>AE662*0.5%</f>
        <v/>
      </c>
      <c r="U662" s="7">
        <f>N662*1%</f>
        <v/>
      </c>
      <c r="V662" s="31">
        <f>U662+S662+R662+Q662+P662+O662</f>
        <v/>
      </c>
      <c r="W662" s="32">
        <f>AE662*1%</f>
        <v/>
      </c>
      <c r="X662" s="32">
        <f>AE662*10%</f>
        <v/>
      </c>
      <c r="Y662" s="32">
        <f>AE662*1%</f>
        <v/>
      </c>
      <c r="Z662" s="32">
        <f>AE662*8%</f>
        <v/>
      </c>
      <c r="AA662" s="32">
        <f>W662+X662+Y662+Z662</f>
        <v/>
      </c>
      <c r="AB662" s="31">
        <f>AA662+V662+N662</f>
        <v/>
      </c>
      <c r="AC662" s="6">
        <f>AB662*20%</f>
        <v/>
      </c>
      <c r="AD662" s="7">
        <f>AB662+AC662</f>
        <v/>
      </c>
      <c r="AE662" s="32">
        <f>D662*2.1</f>
        <v/>
      </c>
      <c r="AF662" s="7">
        <f>AD662-AE662</f>
        <v/>
      </c>
      <c r="AG662" s="7">
        <f>AF662/AD662*100</f>
        <v/>
      </c>
      <c r="AH662" s="0" t="n">
        <v>1295</v>
      </c>
      <c r="AI662" s="33" t="n">
        <v>945</v>
      </c>
      <c r="AJ662" s="34">
        <f>AD662</f>
        <v/>
      </c>
      <c r="AK662" s="34">
        <f>AJ662-(AJ662*7%)</f>
        <v/>
      </c>
      <c r="AL662" s="35">
        <f>AJ662/94</f>
        <v/>
      </c>
      <c r="AM662" s="35">
        <f>AK662/94</f>
        <v/>
      </c>
      <c r="AN662" s="36">
        <f>AJ662/24</f>
        <v/>
      </c>
      <c r="AO662" s="36">
        <f>AK662/24</f>
        <v/>
      </c>
      <c r="AP662" s="37">
        <f>AJ662/125</f>
        <v/>
      </c>
      <c r="AQ662" s="37">
        <f>AK662/125</f>
        <v/>
      </c>
    </row>
    <row r="663" ht="15.75" customHeight="1" s="50">
      <c r="A663" s="32" t="n"/>
      <c r="B663" s="32" t="inlineStr">
        <is>
          <t>4 Inches / Green</t>
        </is>
      </c>
      <c r="C663" s="32" t="inlineStr">
        <is>
          <t>MI-SB-P-G-4</t>
        </is>
      </c>
      <c r="D663" s="32" t="n">
        <v>575</v>
      </c>
      <c r="E663" s="32" t="n">
        <v>55</v>
      </c>
      <c r="F663" s="32" t="n">
        <v>45</v>
      </c>
      <c r="G663" s="32" t="n">
        <v>0</v>
      </c>
      <c r="H663" s="32" t="n">
        <v>10</v>
      </c>
      <c r="I663" s="41" t="n">
        <v>83061000</v>
      </c>
      <c r="J663" s="30" t="n">
        <v>0.05</v>
      </c>
      <c r="K663" s="32">
        <f>D663*J663</f>
        <v/>
      </c>
      <c r="M663" s="32">
        <f>D663*4%</f>
        <v/>
      </c>
      <c r="N663" s="49">
        <f>M663+L663+K663+H663+G663+F663+E663+D663</f>
        <v/>
      </c>
      <c r="O663" s="32">
        <f>D663*1%</f>
        <v/>
      </c>
      <c r="P663" s="7">
        <f>N663*8%</f>
        <v/>
      </c>
      <c r="Q663" s="7">
        <f>N663*10%</f>
        <v/>
      </c>
      <c r="R663" s="7">
        <f>N663*5%</f>
        <v/>
      </c>
      <c r="S663" s="7">
        <f>N663*2%</f>
        <v/>
      </c>
      <c r="T663" s="7">
        <f>AE663*0.5%</f>
        <v/>
      </c>
      <c r="U663" s="7">
        <f>N663*1%</f>
        <v/>
      </c>
      <c r="V663" s="31">
        <f>U663+S663+R663+Q663+P663+O663</f>
        <v/>
      </c>
      <c r="W663" s="32">
        <f>AE663*1%</f>
        <v/>
      </c>
      <c r="X663" s="32">
        <f>AE663*10%</f>
        <v/>
      </c>
      <c r="Y663" s="32">
        <f>AE663*1%</f>
        <v/>
      </c>
      <c r="Z663" s="32">
        <f>AE663*8%</f>
        <v/>
      </c>
      <c r="AA663" s="32">
        <f>W663+X663+Y663+Z663</f>
        <v/>
      </c>
      <c r="AB663" s="31">
        <f>AA663+V663+N663</f>
        <v/>
      </c>
      <c r="AC663" s="6">
        <f>AB663*20%</f>
        <v/>
      </c>
      <c r="AD663" s="7">
        <f>AB663+AC663</f>
        <v/>
      </c>
      <c r="AE663" s="32">
        <f>D663*2.1</f>
        <v/>
      </c>
      <c r="AF663" s="7">
        <f>AD663-AE663</f>
        <v/>
      </c>
      <c r="AG663" s="7">
        <f>AF663/AD663*100</f>
        <v/>
      </c>
      <c r="AH663" s="0" t="n">
        <v>1545</v>
      </c>
      <c r="AI663" s="33" t="n">
        <v>970</v>
      </c>
      <c r="AJ663" s="34">
        <f>AD663</f>
        <v/>
      </c>
      <c r="AK663" s="34">
        <f>AJ663-(AJ663*7%)</f>
        <v/>
      </c>
      <c r="AL663" s="35">
        <f>AJ663/94</f>
        <v/>
      </c>
      <c r="AM663" s="35">
        <f>AK663/94</f>
        <v/>
      </c>
      <c r="AN663" s="36">
        <f>AJ663/24</f>
        <v/>
      </c>
      <c r="AO663" s="36">
        <f>AK663/24</f>
        <v/>
      </c>
      <c r="AP663" s="37">
        <f>AJ663/125</f>
        <v/>
      </c>
      <c r="AQ663" s="37">
        <f>AK663/125</f>
        <v/>
      </c>
    </row>
    <row r="664" ht="15.75" customHeight="1" s="50">
      <c r="A664" s="32" t="n"/>
      <c r="B664" s="32" t="inlineStr">
        <is>
          <t>5.5 Inches / Green</t>
        </is>
      </c>
      <c r="C664" s="32" t="inlineStr">
        <is>
          <t>MI-SB-P-G-5.5</t>
        </is>
      </c>
      <c r="D664" s="32" t="n">
        <v>1150</v>
      </c>
      <c r="E664" s="32" t="n">
        <v>55</v>
      </c>
      <c r="F664" s="32" t="n">
        <v>45</v>
      </c>
      <c r="G664" s="32" t="n">
        <v>0</v>
      </c>
      <c r="H664" s="32" t="n">
        <v>10</v>
      </c>
      <c r="I664" s="41" t="n">
        <v>83061000</v>
      </c>
      <c r="J664" s="30" t="n">
        <v>0.05</v>
      </c>
      <c r="K664" s="32">
        <f>D664*J664</f>
        <v/>
      </c>
      <c r="M664" s="32">
        <f>D664*4%</f>
        <v/>
      </c>
      <c r="N664" s="49">
        <f>M664+L664+K664+H664+G664+F664+E664+D664</f>
        <v/>
      </c>
      <c r="O664" s="32">
        <f>D664*1%</f>
        <v/>
      </c>
      <c r="P664" s="7">
        <f>N664*8%</f>
        <v/>
      </c>
      <c r="Q664" s="7">
        <f>N664*10%</f>
        <v/>
      </c>
      <c r="R664" s="7">
        <f>N664*5%</f>
        <v/>
      </c>
      <c r="S664" s="7">
        <f>N664*2%</f>
        <v/>
      </c>
      <c r="T664" s="7">
        <f>AE664*0.5%</f>
        <v/>
      </c>
      <c r="U664" s="7">
        <f>N664*1%</f>
        <v/>
      </c>
      <c r="V664" s="31">
        <f>U664+S664+R664+Q664+P664+O664</f>
        <v/>
      </c>
      <c r="W664" s="32">
        <f>AE664*1%</f>
        <v/>
      </c>
      <c r="X664" s="32">
        <f>AE664*10%</f>
        <v/>
      </c>
      <c r="Y664" s="32">
        <f>AE664*1%</f>
        <v/>
      </c>
      <c r="Z664" s="32">
        <f>AE664*8%</f>
        <v/>
      </c>
      <c r="AA664" s="32">
        <f>W664+X664+Y664+Z664</f>
        <v/>
      </c>
      <c r="AB664" s="31">
        <f>AA664+V664+N664</f>
        <v/>
      </c>
      <c r="AC664" s="6">
        <f>AB664*20%</f>
        <v/>
      </c>
      <c r="AD664" s="7">
        <f>AB664+AC664</f>
        <v/>
      </c>
      <c r="AE664" s="32">
        <f>D664*2.1</f>
        <v/>
      </c>
      <c r="AF664" s="7">
        <f>AD664-AE664</f>
        <v/>
      </c>
      <c r="AG664" s="7">
        <f>AF664/AD664*100</f>
        <v/>
      </c>
      <c r="AH664" s="0" t="n">
        <v>1995</v>
      </c>
      <c r="AI664" s="33" t="n">
        <v>845</v>
      </c>
      <c r="AJ664" s="34">
        <f>AD664</f>
        <v/>
      </c>
      <c r="AK664" s="34">
        <f>AJ664-(AJ664*7%)</f>
        <v/>
      </c>
      <c r="AL664" s="35">
        <f>AJ664/94</f>
        <v/>
      </c>
      <c r="AM664" s="35">
        <f>AK664/94</f>
        <v/>
      </c>
      <c r="AN664" s="36">
        <f>AJ664/24</f>
        <v/>
      </c>
      <c r="AO664" s="36">
        <f>AK664/24</f>
        <v/>
      </c>
      <c r="AP664" s="37">
        <f>AJ664/125</f>
        <v/>
      </c>
      <c r="AQ664" s="37">
        <f>AK664/125</f>
        <v/>
      </c>
    </row>
    <row r="665" ht="15.75" customHeight="1" s="50">
      <c r="A665" s="32" t="n"/>
      <c r="B665" s="32" t="inlineStr">
        <is>
          <t>3.5 Inches / Red</t>
        </is>
      </c>
      <c r="C665" s="32" t="inlineStr">
        <is>
          <t>MI-SB-P-R-3.5</t>
        </is>
      </c>
      <c r="D665" s="32" t="n">
        <v>350</v>
      </c>
      <c r="E665" s="32" t="n">
        <v>55</v>
      </c>
      <c r="F665" s="32" t="n">
        <v>45</v>
      </c>
      <c r="G665" s="32" t="n">
        <v>0</v>
      </c>
      <c r="H665" s="32" t="n">
        <v>10</v>
      </c>
      <c r="I665" s="41" t="n">
        <v>83061000</v>
      </c>
      <c r="J665" s="30" t="n">
        <v>0.05</v>
      </c>
      <c r="K665" s="32">
        <f>D665*J665</f>
        <v/>
      </c>
      <c r="M665" s="32">
        <f>D665*4%</f>
        <v/>
      </c>
      <c r="N665" s="49">
        <f>M665+L665+K665+H665+G665+F665+E665+D665</f>
        <v/>
      </c>
      <c r="O665" s="32">
        <f>D665*1%</f>
        <v/>
      </c>
      <c r="P665" s="7">
        <f>N665*8%</f>
        <v/>
      </c>
      <c r="Q665" s="7">
        <f>N665*10%</f>
        <v/>
      </c>
      <c r="R665" s="7">
        <f>N665*5%</f>
        <v/>
      </c>
      <c r="S665" s="7">
        <f>N665*2%</f>
        <v/>
      </c>
      <c r="T665" s="7">
        <f>AE665*0.5%</f>
        <v/>
      </c>
      <c r="U665" s="7">
        <f>N665*1%</f>
        <v/>
      </c>
      <c r="V665" s="31">
        <f>U665+S665+R665+Q665+P665+O665</f>
        <v/>
      </c>
      <c r="W665" s="32">
        <f>AE665*1%</f>
        <v/>
      </c>
      <c r="X665" s="32">
        <f>AE665*10%</f>
        <v/>
      </c>
      <c r="Y665" s="32">
        <f>AE665*1%</f>
        <v/>
      </c>
      <c r="Z665" s="32">
        <f>AE665*8%</f>
        <v/>
      </c>
      <c r="AA665" s="32">
        <f>W665+X665+Y665+Z665</f>
        <v/>
      </c>
      <c r="AB665" s="31">
        <f>AA665+V665+N665</f>
        <v/>
      </c>
      <c r="AC665" s="6">
        <f>AB665*20%</f>
        <v/>
      </c>
      <c r="AD665" s="7">
        <f>AB665+AC665</f>
        <v/>
      </c>
      <c r="AE665" s="32">
        <f>D665*2.1</f>
        <v/>
      </c>
      <c r="AF665" s="7">
        <f>AD665-AE665</f>
        <v/>
      </c>
      <c r="AG665" s="7">
        <f>AF665/AD665*100</f>
        <v/>
      </c>
      <c r="AH665" s="0" t="n">
        <v>1295</v>
      </c>
      <c r="AI665" s="33" t="n">
        <v>945</v>
      </c>
      <c r="AJ665" s="34">
        <f>AD665</f>
        <v/>
      </c>
      <c r="AK665" s="34">
        <f>AJ665-(AJ665*7%)</f>
        <v/>
      </c>
      <c r="AL665" s="35">
        <f>AJ665/94</f>
        <v/>
      </c>
      <c r="AM665" s="35">
        <f>AK665/94</f>
        <v/>
      </c>
      <c r="AN665" s="36">
        <f>AJ665/24</f>
        <v/>
      </c>
      <c r="AO665" s="36">
        <f>AK665/24</f>
        <v/>
      </c>
      <c r="AP665" s="37">
        <f>AJ665/125</f>
        <v/>
      </c>
      <c r="AQ665" s="37">
        <f>AK665/125</f>
        <v/>
      </c>
    </row>
    <row r="666" ht="15.75" customHeight="1" s="50">
      <c r="A666" s="32" t="n"/>
      <c r="B666" s="32" t="inlineStr">
        <is>
          <t>Red / 4 Inches</t>
        </is>
      </c>
      <c r="C666" s="32" t="inlineStr">
        <is>
          <t>MI-SB-P-R-4</t>
        </is>
      </c>
      <c r="D666" s="32" t="n">
        <v>575</v>
      </c>
      <c r="E666" s="32" t="n">
        <v>55</v>
      </c>
      <c r="F666" s="32" t="n">
        <v>45</v>
      </c>
      <c r="G666" s="32" t="n">
        <v>0</v>
      </c>
      <c r="H666" s="32" t="n">
        <v>10</v>
      </c>
      <c r="I666" s="41" t="n">
        <v>83061000</v>
      </c>
      <c r="J666" s="30" t="n">
        <v>0.05</v>
      </c>
      <c r="K666" s="32">
        <f>D666*J666</f>
        <v/>
      </c>
      <c r="M666" s="32">
        <f>D666*4%</f>
        <v/>
      </c>
      <c r="N666" s="49">
        <f>M666+L666+K666+H666+G666+F666+E666+D666</f>
        <v/>
      </c>
      <c r="O666" s="32">
        <f>D666*1%</f>
        <v/>
      </c>
      <c r="P666" s="7">
        <f>N666*8%</f>
        <v/>
      </c>
      <c r="Q666" s="7">
        <f>N666*10%</f>
        <v/>
      </c>
      <c r="R666" s="7">
        <f>N666*5%</f>
        <v/>
      </c>
      <c r="S666" s="7">
        <f>N666*2%</f>
        <v/>
      </c>
      <c r="T666" s="7">
        <f>AE666*0.5%</f>
        <v/>
      </c>
      <c r="U666" s="7">
        <f>N666*1%</f>
        <v/>
      </c>
      <c r="V666" s="31">
        <f>U666+S666+R666+Q666+P666+O666</f>
        <v/>
      </c>
      <c r="W666" s="32">
        <f>AE666*1%</f>
        <v/>
      </c>
      <c r="X666" s="32">
        <f>AE666*10%</f>
        <v/>
      </c>
      <c r="Y666" s="32">
        <f>AE666*1%</f>
        <v/>
      </c>
      <c r="Z666" s="32">
        <f>AE666*8%</f>
        <v/>
      </c>
      <c r="AA666" s="32">
        <f>W666+X666+Y666+Z666</f>
        <v/>
      </c>
      <c r="AB666" s="31">
        <f>AA666+V666+N666</f>
        <v/>
      </c>
      <c r="AC666" s="6">
        <f>AB666*20%</f>
        <v/>
      </c>
      <c r="AD666" s="7">
        <f>AB666+AC666</f>
        <v/>
      </c>
      <c r="AE666" s="32">
        <f>D666*2.1</f>
        <v/>
      </c>
      <c r="AF666" s="7">
        <f>AD666-AE666</f>
        <v/>
      </c>
      <c r="AG666" s="7">
        <f>AF666/AD666*100</f>
        <v/>
      </c>
      <c r="AH666" s="0" t="n">
        <v>1545</v>
      </c>
      <c r="AI666" s="33" t="n">
        <v>970</v>
      </c>
      <c r="AJ666" s="34">
        <f>AD666</f>
        <v/>
      </c>
      <c r="AK666" s="34">
        <f>AJ666-(AJ666*7%)</f>
        <v/>
      </c>
      <c r="AL666" s="35">
        <f>AJ666/94</f>
        <v/>
      </c>
      <c r="AM666" s="35">
        <f>AK666/94</f>
        <v/>
      </c>
      <c r="AN666" s="36">
        <f>AJ666/24</f>
        <v/>
      </c>
      <c r="AO666" s="36">
        <f>AK666/24</f>
        <v/>
      </c>
      <c r="AP666" s="37">
        <f>AJ666/125</f>
        <v/>
      </c>
      <c r="AQ666" s="37">
        <f>AK666/125</f>
        <v/>
      </c>
    </row>
    <row r="667" ht="15.75" customHeight="1" s="50">
      <c r="A667" s="32" t="n"/>
      <c r="B667" s="32" t="inlineStr">
        <is>
          <t>Red / 5.5 Inches</t>
        </is>
      </c>
      <c r="C667" s="32" t="inlineStr">
        <is>
          <t>MI-SB-P-R-5.5</t>
        </is>
      </c>
      <c r="D667" s="32" t="n">
        <v>1150</v>
      </c>
      <c r="E667" s="32" t="n">
        <v>55</v>
      </c>
      <c r="F667" s="32" t="n">
        <v>45</v>
      </c>
      <c r="G667" s="32" t="n">
        <v>0</v>
      </c>
      <c r="H667" s="32" t="n">
        <v>10</v>
      </c>
      <c r="I667" s="41" t="n">
        <v>83061000</v>
      </c>
      <c r="J667" s="30" t="n">
        <v>0.05</v>
      </c>
      <c r="K667" s="32">
        <f>D667*J667</f>
        <v/>
      </c>
      <c r="M667" s="32">
        <f>D667*4%</f>
        <v/>
      </c>
      <c r="N667" s="49">
        <f>M667+L667+K667+H667+G667+F667+E667+D667</f>
        <v/>
      </c>
      <c r="O667" s="32">
        <f>D667*1%</f>
        <v/>
      </c>
      <c r="P667" s="7">
        <f>N667*8%</f>
        <v/>
      </c>
      <c r="Q667" s="7">
        <f>N667*10%</f>
        <v/>
      </c>
      <c r="R667" s="7">
        <f>N667*5%</f>
        <v/>
      </c>
      <c r="S667" s="7">
        <f>N667*2%</f>
        <v/>
      </c>
      <c r="T667" s="7">
        <f>AE667*0.5%</f>
        <v/>
      </c>
      <c r="U667" s="7">
        <f>N667*1%</f>
        <v/>
      </c>
      <c r="V667" s="31">
        <f>U667+S667+R667+Q667+P667+O667</f>
        <v/>
      </c>
      <c r="W667" s="32">
        <f>AE667*1%</f>
        <v/>
      </c>
      <c r="X667" s="32">
        <f>AE667*10%</f>
        <v/>
      </c>
      <c r="Y667" s="32">
        <f>AE667*1%</f>
        <v/>
      </c>
      <c r="Z667" s="32">
        <f>AE667*8%</f>
        <v/>
      </c>
      <c r="AA667" s="32">
        <f>W667+X667+Y667+Z667</f>
        <v/>
      </c>
      <c r="AB667" s="31">
        <f>AA667+V667+N667</f>
        <v/>
      </c>
      <c r="AC667" s="6">
        <f>AB667*20%</f>
        <v/>
      </c>
      <c r="AD667" s="7">
        <f>AB667+AC667</f>
        <v/>
      </c>
      <c r="AE667" s="32">
        <f>D667*2.1</f>
        <v/>
      </c>
      <c r="AF667" s="7">
        <f>AD667-AE667</f>
        <v/>
      </c>
      <c r="AG667" s="7">
        <f>AF667/AD667*100</f>
        <v/>
      </c>
      <c r="AH667" s="0" t="n">
        <v>1995</v>
      </c>
      <c r="AI667" s="33" t="n">
        <v>845</v>
      </c>
      <c r="AJ667" s="34">
        <f>AD667</f>
        <v/>
      </c>
      <c r="AK667" s="34">
        <f>AJ667-(AJ667*7%)</f>
        <v/>
      </c>
      <c r="AL667" s="35">
        <f>AJ667/94</f>
        <v/>
      </c>
      <c r="AM667" s="35">
        <f>AK667/94</f>
        <v/>
      </c>
      <c r="AN667" s="36">
        <f>AJ667/24</f>
        <v/>
      </c>
      <c r="AO667" s="36">
        <f>AK667/24</f>
        <v/>
      </c>
      <c r="AP667" s="37">
        <f>AJ667/125</f>
        <v/>
      </c>
      <c r="AQ667" s="37">
        <f>AK667/125</f>
        <v/>
      </c>
    </row>
    <row r="668" ht="15.75" customHeight="1" s="50">
      <c r="A668" s="32" t="n"/>
      <c r="B668" s="32" t="inlineStr">
        <is>
          <t>3.5 Inches / Gold</t>
        </is>
      </c>
      <c r="C668" s="32" t="inlineStr">
        <is>
          <t>MI-SB-P-W-3.5</t>
        </is>
      </c>
      <c r="D668" s="32" t="n">
        <v>350</v>
      </c>
      <c r="E668" s="32" t="n">
        <v>55</v>
      </c>
      <c r="F668" s="32" t="n">
        <v>45</v>
      </c>
      <c r="G668" s="32" t="n">
        <v>0</v>
      </c>
      <c r="H668" s="32" t="n">
        <v>10</v>
      </c>
      <c r="I668" s="41" t="n">
        <v>83061000</v>
      </c>
      <c r="J668" s="30" t="n">
        <v>0.05</v>
      </c>
      <c r="K668" s="32">
        <f>D668*J668</f>
        <v/>
      </c>
      <c r="M668" s="32">
        <f>D668*4%</f>
        <v/>
      </c>
      <c r="N668" s="49">
        <f>M668+L668+K668+H668+G668+F668+E668+D668</f>
        <v/>
      </c>
      <c r="O668" s="32">
        <f>D668*1%</f>
        <v/>
      </c>
      <c r="P668" s="7">
        <f>N668*8%</f>
        <v/>
      </c>
      <c r="Q668" s="7">
        <f>N668*10%</f>
        <v/>
      </c>
      <c r="R668" s="7">
        <f>N668*5%</f>
        <v/>
      </c>
      <c r="S668" s="7">
        <f>N668*2%</f>
        <v/>
      </c>
      <c r="T668" s="7">
        <f>AE668*0.5%</f>
        <v/>
      </c>
      <c r="U668" s="7">
        <f>N668*1%</f>
        <v/>
      </c>
      <c r="V668" s="31">
        <f>U668+S668+R668+Q668+P668+O668</f>
        <v/>
      </c>
      <c r="W668" s="32">
        <f>AE668*1%</f>
        <v/>
      </c>
      <c r="X668" s="32">
        <f>AE668*10%</f>
        <v/>
      </c>
      <c r="Y668" s="32">
        <f>AE668*1%</f>
        <v/>
      </c>
      <c r="Z668" s="32">
        <f>AE668*8%</f>
        <v/>
      </c>
      <c r="AA668" s="32">
        <f>W668+X668+Y668+Z668</f>
        <v/>
      </c>
      <c r="AB668" s="31">
        <f>AA668+V668+N668</f>
        <v/>
      </c>
      <c r="AC668" s="6">
        <f>AB668*20%</f>
        <v/>
      </c>
      <c r="AD668" s="7">
        <f>AB668+AC668</f>
        <v/>
      </c>
      <c r="AE668" s="32">
        <f>D668*2.1</f>
        <v/>
      </c>
      <c r="AF668" s="7">
        <f>AD668-AE668</f>
        <v/>
      </c>
      <c r="AG668" s="7">
        <f>AF668/AD668*100</f>
        <v/>
      </c>
      <c r="AH668" s="0" t="n">
        <v>1295</v>
      </c>
      <c r="AI668" s="33" t="n">
        <v>945</v>
      </c>
      <c r="AJ668" s="34">
        <f>AD668</f>
        <v/>
      </c>
      <c r="AK668" s="34">
        <f>AJ668-(AJ668*7%)</f>
        <v/>
      </c>
      <c r="AL668" s="35">
        <f>AJ668/94</f>
        <v/>
      </c>
      <c r="AM668" s="35">
        <f>AK668/94</f>
        <v/>
      </c>
      <c r="AN668" s="36">
        <f>AJ668/24</f>
        <v/>
      </c>
      <c r="AO668" s="36">
        <f>AK668/24</f>
        <v/>
      </c>
      <c r="AP668" s="37">
        <f>AJ668/125</f>
        <v/>
      </c>
      <c r="AQ668" s="37">
        <f>AK668/125</f>
        <v/>
      </c>
    </row>
    <row r="669" ht="15.75" customHeight="1" s="50">
      <c r="A669" s="32" t="n"/>
      <c r="B669" s="32" t="inlineStr">
        <is>
          <t>4 Inches / Gold</t>
        </is>
      </c>
      <c r="C669" s="32" t="inlineStr">
        <is>
          <t>MI-SB-P-W-4</t>
        </is>
      </c>
      <c r="D669" s="32" t="n">
        <v>575</v>
      </c>
      <c r="E669" s="32" t="n">
        <v>55</v>
      </c>
      <c r="F669" s="32" t="n">
        <v>45</v>
      </c>
      <c r="G669" s="32" t="n">
        <v>0</v>
      </c>
      <c r="H669" s="32" t="n">
        <v>10</v>
      </c>
      <c r="I669" s="41" t="n">
        <v>83061000</v>
      </c>
      <c r="J669" s="30" t="n">
        <v>0.05</v>
      </c>
      <c r="K669" s="32">
        <f>D669*J669</f>
        <v/>
      </c>
      <c r="M669" s="32">
        <f>D669*4%</f>
        <v/>
      </c>
      <c r="N669" s="49">
        <f>M669+L669+K669+H669+G669+F669+E669+D669</f>
        <v/>
      </c>
      <c r="O669" s="32">
        <f>D669*1%</f>
        <v/>
      </c>
      <c r="P669" s="7">
        <f>N669*8%</f>
        <v/>
      </c>
      <c r="Q669" s="7">
        <f>N669*10%</f>
        <v/>
      </c>
      <c r="R669" s="7">
        <f>N669*5%</f>
        <v/>
      </c>
      <c r="S669" s="7">
        <f>N669*2%</f>
        <v/>
      </c>
      <c r="T669" s="7">
        <f>AE669*0.5%</f>
        <v/>
      </c>
      <c r="U669" s="7">
        <f>N669*1%</f>
        <v/>
      </c>
      <c r="V669" s="31">
        <f>U669+S669+R669+Q669+P669+O669</f>
        <v/>
      </c>
      <c r="W669" s="32">
        <f>AE669*1%</f>
        <v/>
      </c>
      <c r="X669" s="32">
        <f>AE669*10%</f>
        <v/>
      </c>
      <c r="Y669" s="32">
        <f>AE669*1%</f>
        <v/>
      </c>
      <c r="Z669" s="32">
        <f>AE669*8%</f>
        <v/>
      </c>
      <c r="AA669" s="32">
        <f>W669+X669+Y669+Z669</f>
        <v/>
      </c>
      <c r="AB669" s="31">
        <f>AA669+V669+N669</f>
        <v/>
      </c>
      <c r="AC669" s="6">
        <f>AB669*20%</f>
        <v/>
      </c>
      <c r="AD669" s="7">
        <f>AB669+AC669</f>
        <v/>
      </c>
      <c r="AE669" s="32">
        <f>D669*2.1</f>
        <v/>
      </c>
      <c r="AF669" s="7">
        <f>AD669-AE669</f>
        <v/>
      </c>
      <c r="AG669" s="7">
        <f>AF669/AD669*100</f>
        <v/>
      </c>
      <c r="AH669" s="0" t="n">
        <v>1545</v>
      </c>
      <c r="AI669" s="33" t="n">
        <v>970</v>
      </c>
      <c r="AJ669" s="34">
        <f>AD669</f>
        <v/>
      </c>
      <c r="AK669" s="34">
        <f>AJ669-(AJ669*7%)</f>
        <v/>
      </c>
      <c r="AL669" s="35">
        <f>AJ669/94</f>
        <v/>
      </c>
      <c r="AM669" s="35">
        <f>AK669/94</f>
        <v/>
      </c>
      <c r="AN669" s="36">
        <f>AJ669/24</f>
        <v/>
      </c>
      <c r="AO669" s="36">
        <f>AK669/24</f>
        <v/>
      </c>
      <c r="AP669" s="37">
        <f>AJ669/125</f>
        <v/>
      </c>
      <c r="AQ669" s="37">
        <f>AK669/125</f>
        <v/>
      </c>
    </row>
    <row r="670" ht="15.75" customHeight="1" s="50">
      <c r="A670" s="32" t="n"/>
      <c r="B670" s="32" t="inlineStr">
        <is>
          <t>Gold / 5.5 Inches</t>
        </is>
      </c>
      <c r="C670" s="32" t="inlineStr">
        <is>
          <t>MI-SB-P-W-5.5</t>
        </is>
      </c>
      <c r="D670" s="32" t="n">
        <v>1150</v>
      </c>
      <c r="E670" s="32" t="n">
        <v>55</v>
      </c>
      <c r="F670" s="32" t="n">
        <v>45</v>
      </c>
      <c r="G670" s="32" t="n">
        <v>0</v>
      </c>
      <c r="H670" s="32" t="n">
        <v>10</v>
      </c>
      <c r="I670" s="41" t="n">
        <v>83061000</v>
      </c>
      <c r="J670" s="30" t="n">
        <v>0.05</v>
      </c>
      <c r="K670" s="32">
        <f>D670*J670</f>
        <v/>
      </c>
      <c r="M670" s="32">
        <f>D670*4%</f>
        <v/>
      </c>
      <c r="N670" s="49">
        <f>M670+L670+K670+H670+G670+F670+E670+D670</f>
        <v/>
      </c>
      <c r="O670" s="32">
        <f>D670*1%</f>
        <v/>
      </c>
      <c r="P670" s="7">
        <f>N670*8%</f>
        <v/>
      </c>
      <c r="Q670" s="7">
        <f>N670*10%</f>
        <v/>
      </c>
      <c r="R670" s="7">
        <f>N670*5%</f>
        <v/>
      </c>
      <c r="S670" s="7">
        <f>N670*2%</f>
        <v/>
      </c>
      <c r="T670" s="7">
        <f>AE670*0.5%</f>
        <v/>
      </c>
      <c r="U670" s="7">
        <f>N670*1%</f>
        <v/>
      </c>
      <c r="V670" s="31">
        <f>U670+S670+R670+Q670+P670+O670</f>
        <v/>
      </c>
      <c r="W670" s="32">
        <f>AE670*1%</f>
        <v/>
      </c>
      <c r="X670" s="32">
        <f>AE670*10%</f>
        <v/>
      </c>
      <c r="Y670" s="32">
        <f>AE670*1%</f>
        <v/>
      </c>
      <c r="Z670" s="32">
        <f>AE670*8%</f>
        <v/>
      </c>
      <c r="AA670" s="32">
        <f>W670+X670+Y670+Z670</f>
        <v/>
      </c>
      <c r="AB670" s="31">
        <f>AA670+V670+N670</f>
        <v/>
      </c>
      <c r="AC670" s="6">
        <f>AB670*20%</f>
        <v/>
      </c>
      <c r="AD670" s="7">
        <f>AB670+AC670</f>
        <v/>
      </c>
      <c r="AE670" s="32">
        <f>D670*2.1</f>
        <v/>
      </c>
      <c r="AF670" s="7">
        <f>AD670-AE670</f>
        <v/>
      </c>
      <c r="AG670" s="7">
        <f>AF670/AD670*100</f>
        <v/>
      </c>
      <c r="AH670" s="0" t="n">
        <v>1995</v>
      </c>
      <c r="AI670" s="33" t="n">
        <v>845</v>
      </c>
      <c r="AJ670" s="34">
        <f>AD670</f>
        <v/>
      </c>
      <c r="AK670" s="34">
        <f>AJ670-(AJ670*7%)</f>
        <v/>
      </c>
      <c r="AL670" s="35">
        <f>AJ670/94</f>
        <v/>
      </c>
      <c r="AM670" s="35">
        <f>AK670/94</f>
        <v/>
      </c>
      <c r="AN670" s="36">
        <f>AJ670/24</f>
        <v/>
      </c>
      <c r="AO670" s="36">
        <f>AK670/24</f>
        <v/>
      </c>
      <c r="AP670" s="37">
        <f>AJ670/125</f>
        <v/>
      </c>
      <c r="AQ670" s="37">
        <f>AK670/125</f>
        <v/>
      </c>
    </row>
    <row r="671" ht="15" customHeight="1" s="50">
      <c r="A671" s="32" t="inlineStr">
        <is>
          <t>Spin/Twist Drum or Den Den Daiko</t>
        </is>
      </c>
      <c r="B671" s="32" t="inlineStr">
        <is>
          <t>Large 3.5 in</t>
        </is>
      </c>
      <c r="C671" s="32" t="inlineStr">
        <is>
          <t>MI-TD-YY</t>
        </is>
      </c>
      <c r="D671" s="32" t="n">
        <v>80</v>
      </c>
      <c r="G671" s="32" t="n">
        <v>0</v>
      </c>
      <c r="H671" s="32" t="n">
        <v>10</v>
      </c>
      <c r="I671" s="41" t="n">
        <v>940490099</v>
      </c>
      <c r="J671" s="30" t="n">
        <v>0.05</v>
      </c>
      <c r="K671" s="32">
        <f>D671*J671</f>
        <v/>
      </c>
      <c r="L671" s="32">
        <f>D671*5%</f>
        <v/>
      </c>
      <c r="M671" s="32">
        <f>D671*4%</f>
        <v/>
      </c>
      <c r="N671" s="49">
        <f>M671+L671+K671+H671+G671+F671+E671+D671</f>
        <v/>
      </c>
      <c r="O671" s="32">
        <f>D671*1%</f>
        <v/>
      </c>
      <c r="P671" s="7">
        <f>N671*8%</f>
        <v/>
      </c>
      <c r="Q671" s="7">
        <f>N671*10%</f>
        <v/>
      </c>
      <c r="R671" s="7">
        <f>N671*5%</f>
        <v/>
      </c>
      <c r="S671" s="7">
        <f>N671*2%</f>
        <v/>
      </c>
      <c r="T671" s="7">
        <f>AE671*0.5%</f>
        <v/>
      </c>
      <c r="U671" s="7">
        <f>N671*1%</f>
        <v/>
      </c>
      <c r="V671" s="31">
        <f>U671+S671+R671+Q671+P671+O671</f>
        <v/>
      </c>
      <c r="W671" s="32">
        <f>AE671*1%</f>
        <v/>
      </c>
      <c r="X671" s="32">
        <f>AE671*10%</f>
        <v/>
      </c>
      <c r="Y671" s="32">
        <f>AE671*1%</f>
        <v/>
      </c>
      <c r="Z671" s="32">
        <f>AE671*8%</f>
        <v/>
      </c>
      <c r="AA671" s="32">
        <f>W671+X671+Y671+Z671</f>
        <v/>
      </c>
      <c r="AB671" s="31">
        <f>AA671+V671+N671</f>
        <v/>
      </c>
      <c r="AC671" s="6">
        <f>AB671*20%</f>
        <v/>
      </c>
      <c r="AD671" s="7">
        <f>AB671+AC671</f>
        <v/>
      </c>
      <c r="AE671" s="32">
        <f>D671*2.1</f>
        <v/>
      </c>
      <c r="AF671" s="7">
        <f>AD671-AE671</f>
        <v/>
      </c>
      <c r="AG671" s="7">
        <f>AF671/AD671*100</f>
        <v/>
      </c>
      <c r="AH671" s="0" t="n">
        <v>895</v>
      </c>
      <c r="AI671" s="33" t="n">
        <v>815</v>
      </c>
      <c r="AJ671" s="34">
        <f>AD671</f>
        <v/>
      </c>
      <c r="AK671" s="34">
        <f>AJ671-(AJ671*7%)</f>
        <v/>
      </c>
      <c r="AL671" s="35">
        <f>AJ671/94</f>
        <v/>
      </c>
      <c r="AM671" s="35">
        <f>AK671/94</f>
        <v/>
      </c>
      <c r="AN671" s="36">
        <f>AJ671/24</f>
        <v/>
      </c>
      <c r="AO671" s="36">
        <f>AK671/24</f>
        <v/>
      </c>
      <c r="AP671" s="37">
        <f>AJ671/125</f>
        <v/>
      </c>
      <c r="AQ671" s="37">
        <f>AK671/125</f>
        <v/>
      </c>
    </row>
    <row r="672" ht="15.75" customHeight="1" s="50">
      <c r="A672" s="32" t="n"/>
      <c r="B672" s="32" t="inlineStr">
        <is>
          <t>Small 3 in</t>
        </is>
      </c>
      <c r="C672" s="32" t="inlineStr">
        <is>
          <t>MI-TD-RB</t>
        </is>
      </c>
      <c r="D672" s="32" t="n">
        <v>80</v>
      </c>
      <c r="G672" s="32" t="n">
        <v>0</v>
      </c>
      <c r="H672" s="32" t="n">
        <v>10</v>
      </c>
      <c r="I672" s="41" t="n">
        <v>4202</v>
      </c>
      <c r="J672" s="30" t="n">
        <v>0.18</v>
      </c>
      <c r="K672" s="32">
        <f>D672*J672</f>
        <v/>
      </c>
      <c r="L672" s="32">
        <f>D672*5%</f>
        <v/>
      </c>
      <c r="M672" s="32">
        <f>D672*4%</f>
        <v/>
      </c>
      <c r="N672" s="49">
        <f>M672+L672+K672+H672+G672+F672+E672+D672</f>
        <v/>
      </c>
      <c r="O672" s="32">
        <f>D672*1%</f>
        <v/>
      </c>
      <c r="P672" s="7">
        <f>N672*8%</f>
        <v/>
      </c>
      <c r="Q672" s="7">
        <f>N672*10%</f>
        <v/>
      </c>
      <c r="R672" s="7">
        <f>N672*5%</f>
        <v/>
      </c>
      <c r="S672" s="7">
        <f>N672*2%</f>
        <v/>
      </c>
      <c r="T672" s="7">
        <f>AE672*0.5%</f>
        <v/>
      </c>
      <c r="U672" s="7">
        <f>N672*1%</f>
        <v/>
      </c>
      <c r="V672" s="31">
        <f>U672+S672+R672+Q672+P672+O672</f>
        <v/>
      </c>
      <c r="W672" s="32">
        <f>AE672*1%</f>
        <v/>
      </c>
      <c r="X672" s="32">
        <f>AE672*10%</f>
        <v/>
      </c>
      <c r="Y672" s="32">
        <f>AE672*1%</f>
        <v/>
      </c>
      <c r="Z672" s="32">
        <f>AE672*8%</f>
        <v/>
      </c>
      <c r="AA672" s="32">
        <f>W672+X672+Y672+Z672</f>
        <v/>
      </c>
      <c r="AB672" s="31">
        <f>AA672+V672+N672</f>
        <v/>
      </c>
      <c r="AC672" s="6">
        <f>AB672*20%</f>
        <v/>
      </c>
      <c r="AD672" s="7">
        <f>AB672+AC672</f>
        <v/>
      </c>
      <c r="AE672" s="32">
        <f>D672*2.1</f>
        <v/>
      </c>
      <c r="AF672" s="7">
        <f>AD672-AE672</f>
        <v/>
      </c>
      <c r="AG672" s="7">
        <f>AF672/AD672*100</f>
        <v/>
      </c>
      <c r="AH672" s="0" t="n">
        <v>795</v>
      </c>
      <c r="AI672" s="33" t="n">
        <v>715</v>
      </c>
      <c r="AJ672" s="34">
        <f>AD672</f>
        <v/>
      </c>
      <c r="AK672" s="34">
        <f>AJ672-(AJ672*7%)</f>
        <v/>
      </c>
      <c r="AL672" s="35">
        <f>AJ672/94</f>
        <v/>
      </c>
      <c r="AM672" s="35">
        <f>AK672/94</f>
        <v/>
      </c>
      <c r="AN672" s="36">
        <f>AJ672/24</f>
        <v/>
      </c>
      <c r="AO672" s="36">
        <f>AK672/24</f>
        <v/>
      </c>
      <c r="AP672" s="37">
        <f>AJ672/125</f>
        <v/>
      </c>
      <c r="AQ672" s="37">
        <f>AK672/125</f>
        <v/>
      </c>
    </row>
    <row r="673" ht="15" customHeight="1" s="50">
      <c r="A673" s="32" t="inlineStr">
        <is>
          <t>Spiral/Snake Didgeridoo</t>
        </is>
      </c>
      <c r="B673" s="32" t="inlineStr">
        <is>
          <t>Green</t>
        </is>
      </c>
      <c r="C673" s="32" t="inlineStr">
        <is>
          <t>MI-DG-SP-G</t>
        </is>
      </c>
      <c r="D673" s="32" t="n">
        <v>1400</v>
      </c>
      <c r="E673" s="32" t="n">
        <v>150</v>
      </c>
      <c r="G673" s="32" t="n">
        <v>0</v>
      </c>
      <c r="H673" s="32" t="n">
        <v>10</v>
      </c>
      <c r="I673" s="41" t="n">
        <v>44201900</v>
      </c>
      <c r="J673" s="30" t="n">
        <v>0.05</v>
      </c>
      <c r="K673" s="32">
        <f>D673*J673</f>
        <v/>
      </c>
      <c r="M673" s="32">
        <f>D673*4%</f>
        <v/>
      </c>
      <c r="N673" s="49">
        <f>M673+L673+K673+H673+G673+F673+E673+D673</f>
        <v/>
      </c>
      <c r="O673" s="32">
        <f>D673*1%</f>
        <v/>
      </c>
      <c r="P673" s="7">
        <f>N673*8%</f>
        <v/>
      </c>
      <c r="Q673" s="7">
        <f>N673*10%</f>
        <v/>
      </c>
      <c r="R673" s="7">
        <f>N673*5%</f>
        <v/>
      </c>
      <c r="S673" s="7">
        <f>N673*2%</f>
        <v/>
      </c>
      <c r="T673" s="7">
        <f>AE673*0.5%</f>
        <v/>
      </c>
      <c r="U673" s="7">
        <f>N673*1%</f>
        <v/>
      </c>
      <c r="V673" s="31">
        <f>U673+S673+R673+Q673+P673+O673</f>
        <v/>
      </c>
      <c r="W673" s="32">
        <f>AE673*1%</f>
        <v/>
      </c>
      <c r="X673" s="32">
        <f>AE673*10%</f>
        <v/>
      </c>
      <c r="Y673" s="32">
        <f>AE673*1%</f>
        <v/>
      </c>
      <c r="Z673" s="32">
        <f>AE673*8%</f>
        <v/>
      </c>
      <c r="AA673" s="32">
        <f>W673+X673+Y673+Z673</f>
        <v/>
      </c>
      <c r="AB673" s="31">
        <f>AA673+V673+N673</f>
        <v/>
      </c>
      <c r="AC673" s="6">
        <f>AB673*20%</f>
        <v/>
      </c>
      <c r="AD673" s="7">
        <f>AB673+AC673</f>
        <v/>
      </c>
      <c r="AE673" s="32">
        <f>D673*2.1</f>
        <v/>
      </c>
      <c r="AF673" s="7">
        <f>AD673-AE673</f>
        <v/>
      </c>
      <c r="AG673" s="7">
        <f>AF673/AD673*100</f>
        <v/>
      </c>
      <c r="AH673" s="0" t="n">
        <v>6650</v>
      </c>
      <c r="AI673" s="33" t="n">
        <v>5250</v>
      </c>
      <c r="AJ673" s="34">
        <f>AD673</f>
        <v/>
      </c>
      <c r="AK673" s="34">
        <f>AJ673-(AJ673*7%)</f>
        <v/>
      </c>
      <c r="AL673" s="35">
        <f>AJ673/94</f>
        <v/>
      </c>
      <c r="AM673" s="35">
        <f>AK673/94</f>
        <v/>
      </c>
      <c r="AN673" s="36">
        <f>AJ673/24</f>
        <v/>
      </c>
      <c r="AO673" s="36">
        <f>AK673/24</f>
        <v/>
      </c>
      <c r="AP673" s="37">
        <f>AJ673/125</f>
        <v/>
      </c>
      <c r="AQ673" s="37">
        <f>AK673/125</f>
        <v/>
      </c>
    </row>
    <row r="674" ht="15.75" customHeight="1" s="50">
      <c r="A674" s="32" t="n"/>
      <c r="B674" s="32" t="inlineStr">
        <is>
          <t>Red</t>
        </is>
      </c>
      <c r="C674" s="32" t="inlineStr">
        <is>
          <t>MI-DG-SP-R</t>
        </is>
      </c>
      <c r="D674" s="32" t="n">
        <v>1400</v>
      </c>
      <c r="E674" s="32" t="n">
        <v>150</v>
      </c>
      <c r="G674" s="32" t="n">
        <v>0</v>
      </c>
      <c r="H674" s="32" t="n">
        <v>10</v>
      </c>
      <c r="I674" s="41" t="n">
        <v>44201900</v>
      </c>
      <c r="J674" s="30" t="n">
        <v>0.05</v>
      </c>
      <c r="K674" s="32">
        <f>D674*J674</f>
        <v/>
      </c>
      <c r="M674" s="32">
        <f>D674*4%</f>
        <v/>
      </c>
      <c r="N674" s="49">
        <f>M674+L674+K674+H674+G674+F674+E674+D674</f>
        <v/>
      </c>
      <c r="O674" s="32">
        <f>D674*1%</f>
        <v/>
      </c>
      <c r="P674" s="7">
        <f>N674*8%</f>
        <v/>
      </c>
      <c r="Q674" s="7">
        <f>N674*10%</f>
        <v/>
      </c>
      <c r="R674" s="7">
        <f>N674*5%</f>
        <v/>
      </c>
      <c r="S674" s="7">
        <f>N674*2%</f>
        <v/>
      </c>
      <c r="T674" s="7">
        <f>AE674*0.5%</f>
        <v/>
      </c>
      <c r="U674" s="7">
        <f>N674*1%</f>
        <v/>
      </c>
      <c r="V674" s="31">
        <f>U674+S674+R674+Q674+P674+O674</f>
        <v/>
      </c>
      <c r="W674" s="32">
        <f>AE674*1%</f>
        <v/>
      </c>
      <c r="X674" s="32">
        <f>AE674*10%</f>
        <v/>
      </c>
      <c r="Y674" s="32">
        <f>AE674*1%</f>
        <v/>
      </c>
      <c r="Z674" s="32">
        <f>AE674*8%</f>
        <v/>
      </c>
      <c r="AA674" s="32">
        <f>W674+X674+Y674+Z674</f>
        <v/>
      </c>
      <c r="AB674" s="31">
        <f>AA674+V674+N674</f>
        <v/>
      </c>
      <c r="AC674" s="6">
        <f>AB674*20%</f>
        <v/>
      </c>
      <c r="AD674" s="7">
        <f>AB674+AC674</f>
        <v/>
      </c>
      <c r="AE674" s="32">
        <f>D674*2.1</f>
        <v/>
      </c>
      <c r="AF674" s="7">
        <f>AD674-AE674</f>
        <v/>
      </c>
      <c r="AG674" s="7">
        <f>AF674/AD674*100</f>
        <v/>
      </c>
      <c r="AH674" s="0" t="n">
        <v>6650</v>
      </c>
      <c r="AI674" s="33" t="n">
        <v>5250</v>
      </c>
      <c r="AJ674" s="34">
        <f>AD674</f>
        <v/>
      </c>
      <c r="AK674" s="34">
        <f>AJ674-(AJ674*7%)</f>
        <v/>
      </c>
      <c r="AL674" s="35">
        <f>AJ674/94</f>
        <v/>
      </c>
      <c r="AM674" s="35">
        <f>AK674/94</f>
        <v/>
      </c>
      <c r="AN674" s="36">
        <f>AJ674/24</f>
        <v/>
      </c>
      <c r="AO674" s="36">
        <f>AK674/24</f>
        <v/>
      </c>
      <c r="AP674" s="37">
        <f>AJ674/125</f>
        <v/>
      </c>
      <c r="AQ674" s="37">
        <f>AK674/125</f>
        <v/>
      </c>
    </row>
    <row r="675" ht="15" customHeight="1" s="50">
      <c r="A675" s="32" t="inlineStr">
        <is>
          <t>Stainless Steel Straws</t>
        </is>
      </c>
      <c r="B675" s="32" t="inlineStr">
        <is>
          <t>pack-of-2</t>
        </is>
      </c>
      <c r="C675" s="32" t="inlineStr">
        <is>
          <t>SSS-2</t>
        </is>
      </c>
      <c r="D675" s="32" t="n">
        <v>60</v>
      </c>
      <c r="E675" s="32" t="n">
        <v>40</v>
      </c>
      <c r="G675" s="32" t="n">
        <v>0</v>
      </c>
      <c r="H675" s="32" t="n">
        <v>10</v>
      </c>
      <c r="I675" s="41" t="n">
        <v>73269099</v>
      </c>
      <c r="J675" s="30" t="n">
        <v>0.18</v>
      </c>
      <c r="K675" s="32">
        <f>D675*J675</f>
        <v/>
      </c>
      <c r="M675" s="32">
        <f>D675*4%</f>
        <v/>
      </c>
      <c r="N675" s="49">
        <f>M675+L675+K675+H675+G675+F675+E675+D675</f>
        <v/>
      </c>
      <c r="O675" s="32">
        <f>D675*1%</f>
        <v/>
      </c>
      <c r="P675" s="7">
        <f>N675*8%</f>
        <v/>
      </c>
      <c r="Q675" s="7">
        <f>N675*10%</f>
        <v/>
      </c>
      <c r="R675" s="7">
        <f>N675*5%</f>
        <v/>
      </c>
      <c r="S675" s="7">
        <f>N675*2%</f>
        <v/>
      </c>
      <c r="T675" s="7">
        <f>AE675*0.5%</f>
        <v/>
      </c>
      <c r="U675" s="7">
        <f>N675*1%</f>
        <v/>
      </c>
      <c r="V675" s="31">
        <f>U675+S675+R675+Q675+P675+O675</f>
        <v/>
      </c>
      <c r="W675" s="32">
        <f>AE675*1%</f>
        <v/>
      </c>
      <c r="X675" s="32">
        <f>AE675*10%</f>
        <v/>
      </c>
      <c r="Y675" s="32">
        <f>AE675*1%</f>
        <v/>
      </c>
      <c r="Z675" s="32">
        <f>AE675*8%</f>
        <v/>
      </c>
      <c r="AA675" s="32">
        <f>W675+X675+Y675+Z675</f>
        <v/>
      </c>
      <c r="AB675" s="31">
        <f>AA675+V675+N675</f>
        <v/>
      </c>
      <c r="AC675" s="6">
        <f>AB675*20%</f>
        <v/>
      </c>
      <c r="AD675" s="7">
        <f>AB675+AC675</f>
        <v/>
      </c>
      <c r="AE675" s="32">
        <f>D675*2.1</f>
        <v/>
      </c>
      <c r="AF675" s="7">
        <f>AD675-AE675</f>
        <v/>
      </c>
      <c r="AG675" s="7">
        <f>AF675/AD675*100</f>
        <v/>
      </c>
      <c r="AH675" s="0" t="n">
        <v>175</v>
      </c>
      <c r="AI675" s="33" t="n">
        <v>115</v>
      </c>
      <c r="AJ675" s="34">
        <f>AD675</f>
        <v/>
      </c>
      <c r="AK675" s="34">
        <f>AJ675-(AJ675*7%)</f>
        <v/>
      </c>
      <c r="AL675" s="35">
        <f>AJ675/94</f>
        <v/>
      </c>
      <c r="AM675" s="35">
        <f>AK675/94</f>
        <v/>
      </c>
      <c r="AN675" s="36">
        <f>AJ675/24</f>
        <v/>
      </c>
      <c r="AO675" s="36">
        <f>AK675/24</f>
        <v/>
      </c>
      <c r="AP675" s="37">
        <f>AJ675/125</f>
        <v/>
      </c>
      <c r="AQ675" s="37">
        <f>AK675/125</f>
        <v/>
      </c>
    </row>
    <row r="676" ht="15.75" customHeight="1" s="50">
      <c r="A676" s="32" t="n"/>
      <c r="B676" s="32" t="inlineStr">
        <is>
          <t>pack-of-4</t>
        </is>
      </c>
      <c r="C676" s="32" t="inlineStr">
        <is>
          <t>SSS-4</t>
        </is>
      </c>
      <c r="D676" s="32" t="n">
        <v>120</v>
      </c>
      <c r="E676" s="32" t="n">
        <v>40</v>
      </c>
      <c r="G676" s="32" t="n">
        <v>0</v>
      </c>
      <c r="H676" s="32" t="n">
        <v>10</v>
      </c>
      <c r="I676" s="41" t="n">
        <v>73269099</v>
      </c>
      <c r="J676" s="30" t="n">
        <v>0.18</v>
      </c>
      <c r="K676" s="32">
        <f>D676*J676</f>
        <v/>
      </c>
      <c r="M676" s="32">
        <f>D676*4%</f>
        <v/>
      </c>
      <c r="N676" s="49">
        <f>M676+L676+K676+H676+G676+F676+E676+D676</f>
        <v/>
      </c>
      <c r="O676" s="32">
        <f>D676*1%</f>
        <v/>
      </c>
      <c r="P676" s="7">
        <f>N676*8%</f>
        <v/>
      </c>
      <c r="Q676" s="7">
        <f>N676*10%</f>
        <v/>
      </c>
      <c r="R676" s="7">
        <f>N676*5%</f>
        <v/>
      </c>
      <c r="S676" s="7">
        <f>N676*2%</f>
        <v/>
      </c>
      <c r="T676" s="7">
        <f>AE676*0.5%</f>
        <v/>
      </c>
      <c r="U676" s="7">
        <f>N676*1%</f>
        <v/>
      </c>
      <c r="V676" s="31">
        <f>U676+S676+R676+Q676+P676+O676</f>
        <v/>
      </c>
      <c r="W676" s="32">
        <f>AE676*1%</f>
        <v/>
      </c>
      <c r="X676" s="32">
        <f>AE676*10%</f>
        <v/>
      </c>
      <c r="Y676" s="32">
        <f>AE676*1%</f>
        <v/>
      </c>
      <c r="Z676" s="32">
        <f>AE676*8%</f>
        <v/>
      </c>
      <c r="AA676" s="32">
        <f>W676+X676+Y676+Z676</f>
        <v/>
      </c>
      <c r="AB676" s="31">
        <f>AA676+V676+N676</f>
        <v/>
      </c>
      <c r="AC676" s="6">
        <f>AB676*20%</f>
        <v/>
      </c>
      <c r="AD676" s="7">
        <f>AB676+AC676</f>
        <v/>
      </c>
      <c r="AE676" s="32">
        <f>D676*2.1</f>
        <v/>
      </c>
      <c r="AF676" s="7">
        <f>AD676-AE676</f>
        <v/>
      </c>
      <c r="AG676" s="7">
        <f>AF676/AD676*100</f>
        <v/>
      </c>
      <c r="AH676" s="0" t="n">
        <v>245</v>
      </c>
      <c r="AI676" s="33" t="n">
        <v>125</v>
      </c>
      <c r="AJ676" s="34">
        <f>AD676</f>
        <v/>
      </c>
      <c r="AK676" s="34">
        <f>AJ676-(AJ676*7%)</f>
        <v/>
      </c>
      <c r="AL676" s="35">
        <f>AJ676/94</f>
        <v/>
      </c>
      <c r="AM676" s="35">
        <f>AK676/94</f>
        <v/>
      </c>
      <c r="AN676" s="36">
        <f>AJ676/24</f>
        <v/>
      </c>
      <c r="AO676" s="36">
        <f>AK676/24</f>
        <v/>
      </c>
      <c r="AP676" s="37">
        <f>AJ676/125</f>
        <v/>
      </c>
      <c r="AQ676" s="37">
        <f>AK676/125</f>
        <v/>
      </c>
    </row>
    <row r="677" ht="15" customHeight="1" s="50">
      <c r="A677" s="32" t="inlineStr">
        <is>
          <t>Sunshine within Me</t>
        </is>
      </c>
      <c r="B677" s="32" t="inlineStr">
        <is>
          <t>with-brush / 1L</t>
        </is>
      </c>
      <c r="D677" s="32" t="n">
        <v>510</v>
      </c>
      <c r="E677" s="32" t="n">
        <v>50</v>
      </c>
      <c r="G677" s="32" t="n">
        <v>0</v>
      </c>
      <c r="H677" s="32" t="n">
        <v>10</v>
      </c>
      <c r="I677" s="41" t="n">
        <v>741810</v>
      </c>
      <c r="J677" s="30" t="n">
        <v>0.05</v>
      </c>
      <c r="K677" s="32">
        <f>D677*J677</f>
        <v/>
      </c>
      <c r="M677" s="32">
        <f>D677*4%</f>
        <v/>
      </c>
      <c r="N677" s="49">
        <f>M677+L677+K677+H677+G677+F677+E677+D677</f>
        <v/>
      </c>
      <c r="O677" s="32">
        <f>D677*1%</f>
        <v/>
      </c>
      <c r="P677" s="7">
        <f>N677*8%</f>
        <v/>
      </c>
      <c r="Q677" s="7">
        <f>N677*10%</f>
        <v/>
      </c>
      <c r="R677" s="7">
        <f>N677*5%</f>
        <v/>
      </c>
      <c r="S677" s="7">
        <f>N677*2%</f>
        <v/>
      </c>
      <c r="T677" s="7">
        <f>AE677*0.5%</f>
        <v/>
      </c>
      <c r="U677" s="7">
        <f>N677*1%</f>
        <v/>
      </c>
      <c r="V677" s="31">
        <f>U677+S677+R677+Q677+P677+O677</f>
        <v/>
      </c>
      <c r="W677" s="32">
        <f>AE677*1%</f>
        <v/>
      </c>
      <c r="X677" s="32">
        <f>AE677*10%</f>
        <v/>
      </c>
      <c r="Y677" s="32">
        <f>AE677*1%</f>
        <v/>
      </c>
      <c r="Z677" s="32">
        <f>AE677*8%</f>
        <v/>
      </c>
      <c r="AA677" s="32">
        <f>W677+X677+Y677+Z677</f>
        <v/>
      </c>
      <c r="AB677" s="31">
        <f>AA677+V677+N677</f>
        <v/>
      </c>
      <c r="AC677" s="6">
        <f>AB677*20%</f>
        <v/>
      </c>
      <c r="AD677" s="7">
        <f>AB677+AC677</f>
        <v/>
      </c>
      <c r="AE677" s="32">
        <f>D677*2.1</f>
        <v/>
      </c>
      <c r="AF677" s="7">
        <f>AD677-AE677</f>
        <v/>
      </c>
      <c r="AG677" s="7">
        <f>AF677/AD677*100</f>
        <v/>
      </c>
      <c r="AI677" s="33" t="n"/>
      <c r="AJ677" s="34">
        <f>AD677</f>
        <v/>
      </c>
      <c r="AK677" s="34">
        <f>AJ677-(AJ677*7%)</f>
        <v/>
      </c>
      <c r="AL677" s="35">
        <f>AJ677/94</f>
        <v/>
      </c>
      <c r="AM677" s="35">
        <f>AK677/94</f>
        <v/>
      </c>
      <c r="AN677" s="36">
        <f>AJ677/24</f>
        <v/>
      </c>
      <c r="AO677" s="36">
        <f>AK677/24</f>
        <v/>
      </c>
      <c r="AP677" s="37">
        <f>AJ677/125</f>
        <v/>
      </c>
      <c r="AQ677" s="37">
        <f>AK677/125</f>
        <v/>
      </c>
    </row>
    <row r="678" ht="15.75" customHeight="1" s="50">
      <c r="A678" s="32" t="n"/>
      <c r="B678" s="32" t="inlineStr">
        <is>
          <t>without-brush / 500ml</t>
        </is>
      </c>
      <c r="D678" s="32" t="n">
        <v>410</v>
      </c>
      <c r="G678" s="32" t="n">
        <v>0</v>
      </c>
      <c r="H678" s="32" t="n">
        <v>10</v>
      </c>
      <c r="I678" s="41" t="n">
        <v>741810</v>
      </c>
      <c r="J678" s="30" t="n">
        <v>0.05</v>
      </c>
      <c r="K678" s="32">
        <f>D678*J678</f>
        <v/>
      </c>
      <c r="M678" s="32">
        <f>D678*4%</f>
        <v/>
      </c>
      <c r="N678" s="49">
        <f>M678+L678+K678+H678+G678+F678+E678+D678</f>
        <v/>
      </c>
      <c r="O678" s="32">
        <f>D678*1%</f>
        <v/>
      </c>
      <c r="P678" s="7">
        <f>N678*8%</f>
        <v/>
      </c>
      <c r="Q678" s="7">
        <f>N678*10%</f>
        <v/>
      </c>
      <c r="R678" s="7">
        <f>N678*5%</f>
        <v/>
      </c>
      <c r="S678" s="7">
        <f>N678*2%</f>
        <v/>
      </c>
      <c r="T678" s="7">
        <f>AE678*0.5%</f>
        <v/>
      </c>
      <c r="U678" s="7">
        <f>N678*1%</f>
        <v/>
      </c>
      <c r="V678" s="31">
        <f>U678+S678+R678+Q678+P678+O678</f>
        <v/>
      </c>
      <c r="W678" s="32">
        <f>AE678*1%</f>
        <v/>
      </c>
      <c r="X678" s="32">
        <f>AE678*10%</f>
        <v/>
      </c>
      <c r="Y678" s="32">
        <f>AE678*1%</f>
        <v/>
      </c>
      <c r="Z678" s="32">
        <f>AE678*8%</f>
        <v/>
      </c>
      <c r="AA678" s="32">
        <f>W678+X678+Y678+Z678</f>
        <v/>
      </c>
      <c r="AB678" s="31">
        <f>AA678+V678+N678</f>
        <v/>
      </c>
      <c r="AC678" s="6">
        <f>AB678*20%</f>
        <v/>
      </c>
      <c r="AD678" s="7">
        <f>AB678+AC678</f>
        <v/>
      </c>
      <c r="AE678" s="32">
        <f>D678*2.1</f>
        <v/>
      </c>
      <c r="AF678" s="7">
        <f>AD678-AE678</f>
        <v/>
      </c>
      <c r="AG678" s="7">
        <f>AF678/AD678*100</f>
        <v/>
      </c>
      <c r="AI678" s="33" t="n"/>
      <c r="AJ678" s="34">
        <f>AD678</f>
        <v/>
      </c>
      <c r="AK678" s="34">
        <f>AJ678-(AJ678*7%)</f>
        <v/>
      </c>
      <c r="AL678" s="35">
        <f>AJ678/94</f>
        <v/>
      </c>
      <c r="AM678" s="35">
        <f>AK678/94</f>
        <v/>
      </c>
      <c r="AN678" s="36">
        <f>AJ678/24</f>
        <v/>
      </c>
      <c r="AO678" s="36">
        <f>AK678/24</f>
        <v/>
      </c>
      <c r="AP678" s="37">
        <f>AJ678/125</f>
        <v/>
      </c>
      <c r="AQ678" s="37">
        <f>AK678/125</f>
        <v/>
      </c>
    </row>
    <row r="679" ht="15.75" customHeight="1" s="50">
      <c r="A679" s="32" t="n"/>
      <c r="B679" s="32" t="inlineStr">
        <is>
          <t>with-brush / 500ml</t>
        </is>
      </c>
      <c r="D679" s="32" t="n">
        <v>410</v>
      </c>
      <c r="E679" s="32" t="n">
        <v>50</v>
      </c>
      <c r="G679" s="32" t="n">
        <v>0</v>
      </c>
      <c r="H679" s="32" t="n">
        <v>10</v>
      </c>
      <c r="I679" s="41" t="n">
        <v>741810</v>
      </c>
      <c r="J679" s="30" t="n">
        <v>0.05</v>
      </c>
      <c r="K679" s="32">
        <f>D679*J679</f>
        <v/>
      </c>
      <c r="M679" s="32">
        <f>D679*4%</f>
        <v/>
      </c>
      <c r="N679" s="49">
        <f>M679+L679+K679+H679+G679+F679+E679+D679</f>
        <v/>
      </c>
      <c r="O679" s="32">
        <f>D679*1%</f>
        <v/>
      </c>
      <c r="P679" s="7">
        <f>N679*8%</f>
        <v/>
      </c>
      <c r="Q679" s="7">
        <f>N679*10%</f>
        <v/>
      </c>
      <c r="R679" s="7">
        <f>N679*5%</f>
        <v/>
      </c>
      <c r="S679" s="7">
        <f>N679*2%</f>
        <v/>
      </c>
      <c r="T679" s="7">
        <f>AE679*0.5%</f>
        <v/>
      </c>
      <c r="U679" s="7">
        <f>N679*1%</f>
        <v/>
      </c>
      <c r="V679" s="31">
        <f>U679+S679+R679+Q679+P679+O679</f>
        <v/>
      </c>
      <c r="W679" s="32">
        <f>AE679*1%</f>
        <v/>
      </c>
      <c r="X679" s="32">
        <f>AE679*10%</f>
        <v/>
      </c>
      <c r="Y679" s="32">
        <f>AE679*1%</f>
        <v/>
      </c>
      <c r="Z679" s="32">
        <f>AE679*8%</f>
        <v/>
      </c>
      <c r="AA679" s="32">
        <f>W679+X679+Y679+Z679</f>
        <v/>
      </c>
      <c r="AB679" s="31">
        <f>AA679+V679+N679</f>
        <v/>
      </c>
      <c r="AC679" s="6">
        <f>AB679*20%</f>
        <v/>
      </c>
      <c r="AD679" s="7">
        <f>AB679+AC679</f>
        <v/>
      </c>
      <c r="AE679" s="32">
        <f>D679*2.1</f>
        <v/>
      </c>
      <c r="AF679" s="7">
        <f>AD679-AE679</f>
        <v/>
      </c>
      <c r="AG679" s="7">
        <f>AF679/AD679*100</f>
        <v/>
      </c>
      <c r="AI679" s="33" t="n"/>
      <c r="AJ679" s="34">
        <f>AD679</f>
        <v/>
      </c>
      <c r="AK679" s="34">
        <f>AJ679-(AJ679*7%)</f>
        <v/>
      </c>
      <c r="AL679" s="35">
        <f>AJ679/94</f>
        <v/>
      </c>
      <c r="AM679" s="35">
        <f>AK679/94</f>
        <v/>
      </c>
      <c r="AN679" s="36">
        <f>AJ679/24</f>
        <v/>
      </c>
      <c r="AO679" s="36">
        <f>AK679/24</f>
        <v/>
      </c>
      <c r="AP679" s="37">
        <f>AJ679/125</f>
        <v/>
      </c>
      <c r="AQ679" s="37">
        <f>AK679/125</f>
        <v/>
      </c>
    </row>
    <row r="680" ht="15.75" customHeight="1" s="50">
      <c r="A680" s="32" t="n"/>
      <c r="B680" s="32" t="inlineStr">
        <is>
          <t>without-brush / 1L</t>
        </is>
      </c>
      <c r="D680" s="32" t="n">
        <v>510</v>
      </c>
      <c r="G680" s="32" t="n">
        <v>0</v>
      </c>
      <c r="H680" s="32" t="n">
        <v>10</v>
      </c>
      <c r="I680" s="41" t="n">
        <v>741810</v>
      </c>
      <c r="J680" s="30" t="n">
        <v>0.05</v>
      </c>
      <c r="K680" s="32">
        <f>D680*J680</f>
        <v/>
      </c>
      <c r="M680" s="32">
        <f>D680*4%</f>
        <v/>
      </c>
      <c r="N680" s="49">
        <f>M680+L680+K680+H680+G680+F680+E680+D680</f>
        <v/>
      </c>
      <c r="O680" s="32">
        <f>D680*1%</f>
        <v/>
      </c>
      <c r="P680" s="7">
        <f>N680*8%</f>
        <v/>
      </c>
      <c r="Q680" s="7">
        <f>N680*10%</f>
        <v/>
      </c>
      <c r="R680" s="7">
        <f>N680*5%</f>
        <v/>
      </c>
      <c r="S680" s="7">
        <f>N680*2%</f>
        <v/>
      </c>
      <c r="T680" s="7">
        <f>AE680*0.5%</f>
        <v/>
      </c>
      <c r="U680" s="7">
        <f>N680*1%</f>
        <v/>
      </c>
      <c r="V680" s="31">
        <f>U680+S680+R680+Q680+P680+O680</f>
        <v/>
      </c>
      <c r="W680" s="32">
        <f>AE680*1%</f>
        <v/>
      </c>
      <c r="X680" s="32">
        <f>AE680*10%</f>
        <v/>
      </c>
      <c r="Y680" s="32">
        <f>AE680*1%</f>
        <v/>
      </c>
      <c r="Z680" s="32">
        <f>AE680*8%</f>
        <v/>
      </c>
      <c r="AA680" s="32">
        <f>W680+X680+Y680+Z680</f>
        <v/>
      </c>
      <c r="AB680" s="31">
        <f>AA680+V680+N680</f>
        <v/>
      </c>
      <c r="AC680" s="6">
        <f>AB680*20%</f>
        <v/>
      </c>
      <c r="AD680" s="7">
        <f>AB680+AC680</f>
        <v/>
      </c>
      <c r="AE680" s="32">
        <f>D680*2.1</f>
        <v/>
      </c>
      <c r="AF680" s="7">
        <f>AD680-AE680</f>
        <v/>
      </c>
      <c r="AG680" s="7">
        <f>AF680/AD680*100</f>
        <v/>
      </c>
      <c r="AI680" s="33" t="n"/>
      <c r="AJ680" s="34">
        <f>AD680</f>
        <v/>
      </c>
      <c r="AK680" s="34">
        <f>AJ680-(AJ680*7%)</f>
        <v/>
      </c>
      <c r="AL680" s="35">
        <f>AJ680/94</f>
        <v/>
      </c>
      <c r="AM680" s="35">
        <f>AK680/94</f>
        <v/>
      </c>
      <c r="AN680" s="36">
        <f>AJ680/24</f>
        <v/>
      </c>
      <c r="AO680" s="36">
        <f>AK680/24</f>
        <v/>
      </c>
      <c r="AP680" s="37">
        <f>AJ680/125</f>
        <v/>
      </c>
      <c r="AQ680" s="37">
        <f>AK680/125</f>
        <v/>
      </c>
    </row>
    <row r="681" ht="15" customHeight="1" s="50">
      <c r="A681" s="32" t="inlineStr">
        <is>
          <t>Swinging Chimes</t>
        </is>
      </c>
      <c r="B681" s="32" t="inlineStr">
        <is>
          <t>6 Bars</t>
        </is>
      </c>
      <c r="C681" s="32" t="inlineStr">
        <is>
          <t>MI-SC-6</t>
        </is>
      </c>
      <c r="D681" s="32" t="n">
        <v>1700</v>
      </c>
      <c r="E681" s="32" t="n">
        <v>150</v>
      </c>
      <c r="G681" s="32" t="n">
        <v>0</v>
      </c>
      <c r="H681" s="32" t="n">
        <v>10</v>
      </c>
      <c r="I681" s="41" t="n">
        <v>83061000</v>
      </c>
      <c r="J681" s="30" t="n">
        <v>0.05</v>
      </c>
      <c r="K681" s="32">
        <f>D681*J681</f>
        <v/>
      </c>
      <c r="M681" s="32">
        <f>D681*4%</f>
        <v/>
      </c>
      <c r="N681" s="49">
        <f>M681+L681+K681+H681+G681+F681+E681+D681</f>
        <v/>
      </c>
      <c r="O681" s="32">
        <f>D681*1%</f>
        <v/>
      </c>
      <c r="P681" s="7">
        <f>N681*8%</f>
        <v/>
      </c>
      <c r="Q681" s="7">
        <f>N681*10%</f>
        <v/>
      </c>
      <c r="R681" s="7">
        <f>N681*5%</f>
        <v/>
      </c>
      <c r="S681" s="7">
        <f>N681*2%</f>
        <v/>
      </c>
      <c r="T681" s="7">
        <f>AE681*0.5%</f>
        <v/>
      </c>
      <c r="U681" s="7">
        <f>N681*1%</f>
        <v/>
      </c>
      <c r="V681" s="31">
        <f>U681+S681+R681+Q681+P681+O681</f>
        <v/>
      </c>
      <c r="W681" s="32">
        <f>AE681*1%</f>
        <v/>
      </c>
      <c r="X681" s="32">
        <f>AE681*10%</f>
        <v/>
      </c>
      <c r="Y681" s="32">
        <f>AE681*1%</f>
        <v/>
      </c>
      <c r="Z681" s="32">
        <f>AE681*8%</f>
        <v/>
      </c>
      <c r="AA681" s="32">
        <f>W681+X681+Y681+Z681</f>
        <v/>
      </c>
      <c r="AB681" s="31">
        <f>AA681+V681+N681</f>
        <v/>
      </c>
      <c r="AC681" s="6">
        <f>AB681*20%</f>
        <v/>
      </c>
      <c r="AD681" s="7">
        <f>AB681+AC681</f>
        <v/>
      </c>
      <c r="AE681" s="32">
        <f>D681*2.1</f>
        <v/>
      </c>
      <c r="AF681" s="7">
        <f>AD681-AE681</f>
        <v/>
      </c>
      <c r="AG681" s="7">
        <f>AF681/AD681*100</f>
        <v/>
      </c>
      <c r="AH681" s="0" t="n">
        <v>6895</v>
      </c>
      <c r="AI681" s="33" t="n">
        <v>5195</v>
      </c>
      <c r="AJ681" s="34">
        <f>AD681</f>
        <v/>
      </c>
      <c r="AK681" s="34">
        <f>AJ681-(AJ681*7%)</f>
        <v/>
      </c>
      <c r="AL681" s="35">
        <f>AJ681/94</f>
        <v/>
      </c>
      <c r="AM681" s="35">
        <f>AK681/94</f>
        <v/>
      </c>
      <c r="AN681" s="36">
        <f>AJ681/24</f>
        <v/>
      </c>
      <c r="AO681" s="36">
        <f>AK681/24</f>
        <v/>
      </c>
      <c r="AP681" s="37">
        <f>AJ681/125</f>
        <v/>
      </c>
      <c r="AQ681" s="37">
        <f>AK681/125</f>
        <v/>
      </c>
    </row>
    <row r="682" ht="15.75" customHeight="1" s="50">
      <c r="A682" s="32" t="n"/>
      <c r="B682" s="32" t="inlineStr">
        <is>
          <t>9 Bars</t>
        </is>
      </c>
      <c r="C682" s="32" t="inlineStr">
        <is>
          <t>MI-SC-9</t>
        </is>
      </c>
      <c r="D682" s="32" t="n">
        <v>1950</v>
      </c>
      <c r="E682" s="32" t="n">
        <v>150</v>
      </c>
      <c r="G682" s="32" t="n">
        <v>0</v>
      </c>
      <c r="H682" s="32" t="n">
        <v>10</v>
      </c>
      <c r="I682" s="41" t="n">
        <v>83061000</v>
      </c>
      <c r="J682" s="30" t="n">
        <v>0.05</v>
      </c>
      <c r="K682" s="32">
        <f>D682*J682</f>
        <v/>
      </c>
      <c r="M682" s="32">
        <f>D682*4%</f>
        <v/>
      </c>
      <c r="N682" s="49">
        <f>M682+L682+K682+H682+G682+F682+E682+D682</f>
        <v/>
      </c>
      <c r="O682" s="32">
        <f>D682*1%</f>
        <v/>
      </c>
      <c r="P682" s="7">
        <f>N682*8%</f>
        <v/>
      </c>
      <c r="Q682" s="7">
        <f>N682*10%</f>
        <v/>
      </c>
      <c r="R682" s="7">
        <f>N682*5%</f>
        <v/>
      </c>
      <c r="S682" s="7">
        <f>N682*2%</f>
        <v/>
      </c>
      <c r="T682" s="7">
        <f>AE682*0.5%</f>
        <v/>
      </c>
      <c r="U682" s="7">
        <f>N682*1%</f>
        <v/>
      </c>
      <c r="V682" s="31">
        <f>U682+S682+R682+Q682+P682+O682</f>
        <v/>
      </c>
      <c r="W682" s="32">
        <f>AE682*1%</f>
        <v/>
      </c>
      <c r="X682" s="32">
        <f>AE682*10%</f>
        <v/>
      </c>
      <c r="Y682" s="32">
        <f>AE682*1%</f>
        <v/>
      </c>
      <c r="Z682" s="32">
        <f>AE682*8%</f>
        <v/>
      </c>
      <c r="AA682" s="32">
        <f>W682+X682+Y682+Z682</f>
        <v/>
      </c>
      <c r="AB682" s="31">
        <f>AA682+V682+N682</f>
        <v/>
      </c>
      <c r="AC682" s="6">
        <f>AB682*20%</f>
        <v/>
      </c>
      <c r="AD682" s="7">
        <f>AB682+AC682</f>
        <v/>
      </c>
      <c r="AE682" s="32">
        <f>D682*2.1</f>
        <v/>
      </c>
      <c r="AF682" s="7">
        <f>AD682-AE682</f>
        <v/>
      </c>
      <c r="AG682" s="7">
        <f>AF682/AD682*100</f>
        <v/>
      </c>
      <c r="AH682" s="0" t="n">
        <v>8250</v>
      </c>
      <c r="AI682" s="33" t="n">
        <v>6300</v>
      </c>
      <c r="AJ682" s="34">
        <f>AD682</f>
        <v/>
      </c>
      <c r="AK682" s="34">
        <f>AJ682-(AJ682*7%)</f>
        <v/>
      </c>
      <c r="AL682" s="35">
        <f>AJ682/94</f>
        <v/>
      </c>
      <c r="AM682" s="35">
        <f>AK682/94</f>
        <v/>
      </c>
      <c r="AN682" s="36">
        <f>AJ682/24</f>
        <v/>
      </c>
      <c r="AO682" s="36">
        <f>AK682/24</f>
        <v/>
      </c>
      <c r="AP682" s="37">
        <f>AJ682/125</f>
        <v/>
      </c>
      <c r="AQ682" s="37">
        <f>AK682/125</f>
        <v/>
      </c>
    </row>
    <row r="683" ht="15" customHeight="1" s="50">
      <c r="A683" s="32" t="inlineStr">
        <is>
          <t>Tam-Tam/Chau Gong</t>
        </is>
      </c>
      <c r="B683" s="32" t="inlineStr">
        <is>
          <t>16 in</t>
        </is>
      </c>
      <c r="D683" s="32" t="inlineStr">
        <is>
          <t>Prasonjit</t>
        </is>
      </c>
      <c r="E683" s="32" t="n">
        <v>190</v>
      </c>
      <c r="G683" s="32" t="n">
        <v>0</v>
      </c>
      <c r="H683" s="32" t="n">
        <v>10</v>
      </c>
      <c r="I683" s="41" t="n">
        <v>83061000</v>
      </c>
      <c r="J683" s="30" t="n">
        <v>0.05</v>
      </c>
      <c r="K683" s="32">
        <f>D683*J683</f>
        <v/>
      </c>
      <c r="M683" s="32">
        <f>D683*4%</f>
        <v/>
      </c>
      <c r="N683" s="49">
        <f>M683+L683+K683+H683+G683+F683+E683+D683</f>
        <v/>
      </c>
      <c r="O683" s="32">
        <f>D683*1%</f>
        <v/>
      </c>
      <c r="P683" s="7">
        <f>N683*8%</f>
        <v/>
      </c>
      <c r="Q683" s="7">
        <f>N683*10%</f>
        <v/>
      </c>
      <c r="R683" s="7">
        <f>N683*5%</f>
        <v/>
      </c>
      <c r="S683" s="7">
        <f>N683*2%</f>
        <v/>
      </c>
      <c r="T683" s="7">
        <f>AE683*0.5%</f>
        <v/>
      </c>
      <c r="U683" s="7">
        <f>N683*1%</f>
        <v/>
      </c>
      <c r="V683" s="49">
        <f>U683+S683+R683+Q683+P683+O683</f>
        <v/>
      </c>
      <c r="W683" s="32">
        <f>AE683*1%</f>
        <v/>
      </c>
      <c r="X683" s="32">
        <f>AE683*10%</f>
        <v/>
      </c>
      <c r="Y683" s="32">
        <f>AE683*1%</f>
        <v/>
      </c>
      <c r="Z683" s="32">
        <f>AE683*8%</f>
        <v/>
      </c>
      <c r="AA683" s="32">
        <f>W683+X683+Y683+Z683</f>
        <v/>
      </c>
      <c r="AB683" s="31">
        <f>AA683+V683+N683</f>
        <v/>
      </c>
      <c r="AC683" s="6">
        <f>AB683*20%</f>
        <v/>
      </c>
      <c r="AD683" s="32">
        <f>AB683+AC683</f>
        <v/>
      </c>
      <c r="AE683" s="32">
        <f>D683*2.1</f>
        <v/>
      </c>
      <c r="AF683" s="7">
        <f>AD683-AE683</f>
        <v/>
      </c>
      <c r="AG683" s="7">
        <f>AF683/AD683*100</f>
        <v/>
      </c>
      <c r="AI683" s="33" t="n"/>
      <c r="AJ683" s="34">
        <f>AD683</f>
        <v/>
      </c>
      <c r="AK683" s="34">
        <f>AJ683-(AJ683*7%)</f>
        <v/>
      </c>
      <c r="AL683" s="35">
        <f>AJ683/94</f>
        <v/>
      </c>
      <c r="AM683" s="35">
        <f>AK683/94</f>
        <v/>
      </c>
      <c r="AN683" s="36">
        <f>AJ683/24</f>
        <v/>
      </c>
      <c r="AO683" s="36">
        <f>AK683/24</f>
        <v/>
      </c>
      <c r="AP683" s="37">
        <f>AJ683/125</f>
        <v/>
      </c>
      <c r="AQ683" s="37">
        <f>AK683/125</f>
        <v/>
      </c>
    </row>
    <row r="684" ht="15.75" customHeight="1" s="50">
      <c r="A684" s="32" t="n"/>
      <c r="B684" s="32" t="inlineStr">
        <is>
          <t>18 in</t>
        </is>
      </c>
      <c r="D684" s="32" t="inlineStr">
        <is>
          <t>Prasonjit</t>
        </is>
      </c>
      <c r="E684" s="32" t="n">
        <v>190</v>
      </c>
      <c r="G684" s="32" t="n">
        <v>0</v>
      </c>
      <c r="H684" s="32" t="n">
        <v>10</v>
      </c>
      <c r="I684" s="41" t="n">
        <v>83061000</v>
      </c>
      <c r="J684" s="30" t="n">
        <v>0.05</v>
      </c>
      <c r="K684" s="32">
        <f>D684*J684</f>
        <v/>
      </c>
      <c r="M684" s="32">
        <f>D684*4%</f>
        <v/>
      </c>
      <c r="N684" s="49">
        <f>M684+L684+K684+H684+G684+F684+E684+D684</f>
        <v/>
      </c>
      <c r="O684" s="32">
        <f>D684*1%</f>
        <v/>
      </c>
      <c r="P684" s="7">
        <f>N684*8%</f>
        <v/>
      </c>
      <c r="Q684" s="7">
        <f>N684*10%</f>
        <v/>
      </c>
      <c r="R684" s="7">
        <f>N684*5%</f>
        <v/>
      </c>
      <c r="S684" s="7">
        <f>N684*2%</f>
        <v/>
      </c>
      <c r="T684" s="7">
        <f>AE684*0.5%</f>
        <v/>
      </c>
      <c r="U684" s="7">
        <f>N684*1%</f>
        <v/>
      </c>
      <c r="V684" s="49">
        <f>U684+S684+R684+Q684+P684+O684</f>
        <v/>
      </c>
      <c r="W684" s="32">
        <f>AE684*1%</f>
        <v/>
      </c>
      <c r="X684" s="32">
        <f>AE684*10%</f>
        <v/>
      </c>
      <c r="Y684" s="32">
        <f>AE684*1%</f>
        <v/>
      </c>
      <c r="Z684" s="32">
        <f>AE684*8%</f>
        <v/>
      </c>
      <c r="AA684" s="32">
        <f>W684+X684+Y684+Z684</f>
        <v/>
      </c>
      <c r="AB684" s="31">
        <f>AA684+V684+N684</f>
        <v/>
      </c>
      <c r="AC684" s="6">
        <f>AB684*20%</f>
        <v/>
      </c>
      <c r="AD684" s="32">
        <f>AB684+AC684</f>
        <v/>
      </c>
      <c r="AE684" s="32">
        <f>D684*2.1</f>
        <v/>
      </c>
      <c r="AF684" s="7">
        <f>AD684-AE684</f>
        <v/>
      </c>
      <c r="AG684" s="7">
        <f>AF684/AD684*100</f>
        <v/>
      </c>
      <c r="AI684" s="33" t="n"/>
      <c r="AJ684" s="34">
        <f>AD684</f>
        <v/>
      </c>
      <c r="AK684" s="34">
        <f>AJ684-(AJ684*7%)</f>
        <v/>
      </c>
      <c r="AL684" s="35">
        <f>AJ684/94</f>
        <v/>
      </c>
      <c r="AM684" s="35">
        <f>AK684/94</f>
        <v/>
      </c>
      <c r="AN684" s="36">
        <f>AJ684/24</f>
        <v/>
      </c>
      <c r="AO684" s="36">
        <f>AK684/24</f>
        <v/>
      </c>
      <c r="AP684" s="37">
        <f>AJ684/125</f>
        <v/>
      </c>
      <c r="AQ684" s="37">
        <f>AK684/125</f>
        <v/>
      </c>
    </row>
    <row r="685" ht="15.75" customHeight="1" s="50">
      <c r="A685" s="32" t="n"/>
      <c r="B685" s="32" t="inlineStr">
        <is>
          <t>20 in</t>
        </is>
      </c>
      <c r="D685" s="32" t="inlineStr">
        <is>
          <t>Prasonjit</t>
        </is>
      </c>
      <c r="E685" s="32" t="n">
        <v>190</v>
      </c>
      <c r="G685" s="32" t="n">
        <v>0</v>
      </c>
      <c r="H685" s="32" t="n">
        <v>10</v>
      </c>
      <c r="I685" s="41" t="n">
        <v>83061000</v>
      </c>
      <c r="J685" s="30" t="n">
        <v>0.05</v>
      </c>
      <c r="K685" s="32">
        <f>D685*J685</f>
        <v/>
      </c>
      <c r="M685" s="32">
        <f>D685*4%</f>
        <v/>
      </c>
      <c r="N685" s="49">
        <f>M685+L685+K685+H685+G685+F685+E685+D685</f>
        <v/>
      </c>
      <c r="O685" s="32">
        <f>D685*1%</f>
        <v/>
      </c>
      <c r="P685" s="7">
        <f>N685*8%</f>
        <v/>
      </c>
      <c r="Q685" s="7">
        <f>N685*10%</f>
        <v/>
      </c>
      <c r="R685" s="7">
        <f>N685*5%</f>
        <v/>
      </c>
      <c r="S685" s="7">
        <f>N685*2%</f>
        <v/>
      </c>
      <c r="T685" s="7">
        <f>AE685*0.5%</f>
        <v/>
      </c>
      <c r="U685" s="7">
        <f>N685*1%</f>
        <v/>
      </c>
      <c r="V685" s="49">
        <f>U685+S685+R685+Q685+P685+O685</f>
        <v/>
      </c>
      <c r="W685" s="32">
        <f>AE685*1%</f>
        <v/>
      </c>
      <c r="X685" s="32">
        <f>AE685*10%</f>
        <v/>
      </c>
      <c r="Y685" s="32">
        <f>AE685*1%</f>
        <v/>
      </c>
      <c r="Z685" s="32">
        <f>AE685*8%</f>
        <v/>
      </c>
      <c r="AA685" s="32">
        <f>W685+X685+Y685+Z685</f>
        <v/>
      </c>
      <c r="AB685" s="31">
        <f>AA685+V685+N685</f>
        <v/>
      </c>
      <c r="AC685" s="6">
        <f>AB685*20%</f>
        <v/>
      </c>
      <c r="AD685" s="32">
        <f>AB685+AC685</f>
        <v/>
      </c>
      <c r="AE685" s="32">
        <f>D685*2.1</f>
        <v/>
      </c>
      <c r="AF685" s="7">
        <f>AD685-AE685</f>
        <v/>
      </c>
      <c r="AG685" s="7">
        <f>AF685/AD685*100</f>
        <v/>
      </c>
      <c r="AI685" s="33" t="n"/>
      <c r="AJ685" s="34">
        <f>AD685</f>
        <v/>
      </c>
      <c r="AK685" s="34">
        <f>AJ685-(AJ685*7%)</f>
        <v/>
      </c>
      <c r="AL685" s="35">
        <f>AJ685/94</f>
        <v/>
      </c>
      <c r="AM685" s="35">
        <f>AK685/94</f>
        <v/>
      </c>
      <c r="AN685" s="36">
        <f>AJ685/24</f>
        <v/>
      </c>
      <c r="AO685" s="36">
        <f>AK685/24</f>
        <v/>
      </c>
      <c r="AP685" s="37">
        <f>AJ685/125</f>
        <v/>
      </c>
      <c r="AQ685" s="37">
        <f>AK685/125</f>
        <v/>
      </c>
    </row>
    <row r="686" ht="15.75" customHeight="1" s="50">
      <c r="A686" s="32" t="n"/>
      <c r="B686" s="32" t="inlineStr">
        <is>
          <t>22 in</t>
        </is>
      </c>
      <c r="D686" s="32" t="inlineStr">
        <is>
          <t>Prasonjit</t>
        </is>
      </c>
      <c r="E686" s="32" t="n">
        <v>190</v>
      </c>
      <c r="G686" s="32" t="n">
        <v>0</v>
      </c>
      <c r="H686" s="32" t="n">
        <v>10</v>
      </c>
      <c r="I686" s="41" t="n">
        <v>83061000</v>
      </c>
      <c r="J686" s="30" t="n">
        <v>0.05</v>
      </c>
      <c r="K686" s="32">
        <f>D686*J686</f>
        <v/>
      </c>
      <c r="M686" s="32">
        <f>D686*4%</f>
        <v/>
      </c>
      <c r="N686" s="49">
        <f>M686+L686+K686+H686+G686+F686+E686+D686</f>
        <v/>
      </c>
      <c r="O686" s="32">
        <f>D686*1%</f>
        <v/>
      </c>
      <c r="P686" s="7">
        <f>N686*8%</f>
        <v/>
      </c>
      <c r="Q686" s="7">
        <f>N686*10%</f>
        <v/>
      </c>
      <c r="R686" s="7">
        <f>N686*5%</f>
        <v/>
      </c>
      <c r="S686" s="7">
        <f>N686*2%</f>
        <v/>
      </c>
      <c r="T686" s="7">
        <f>AE686*0.5%</f>
        <v/>
      </c>
      <c r="U686" s="7">
        <f>N686*1%</f>
        <v/>
      </c>
      <c r="V686" s="49">
        <f>U686+S686+R686+Q686+P686+O686</f>
        <v/>
      </c>
      <c r="W686" s="32">
        <f>AE686*1%</f>
        <v/>
      </c>
      <c r="X686" s="32">
        <f>AE686*10%</f>
        <v/>
      </c>
      <c r="Y686" s="32">
        <f>AE686*1%</f>
        <v/>
      </c>
      <c r="Z686" s="32">
        <f>AE686*8%</f>
        <v/>
      </c>
      <c r="AA686" s="32">
        <f>W686+X686+Y686+Z686</f>
        <v/>
      </c>
      <c r="AB686" s="31">
        <f>AA686+V686+N686</f>
        <v/>
      </c>
      <c r="AC686" s="6">
        <f>AB686*20%</f>
        <v/>
      </c>
      <c r="AD686" s="32">
        <f>AB686+AC686</f>
        <v/>
      </c>
      <c r="AE686" s="32">
        <f>D686*2.1</f>
        <v/>
      </c>
      <c r="AF686" s="7">
        <f>AD686-AE686</f>
        <v/>
      </c>
      <c r="AG686" s="7">
        <f>AF686/AD686*100</f>
        <v/>
      </c>
      <c r="AI686" s="33" t="n"/>
      <c r="AJ686" s="34">
        <f>AD686</f>
        <v/>
      </c>
      <c r="AK686" s="34">
        <f>AJ686-(AJ686*7%)</f>
        <v/>
      </c>
      <c r="AL686" s="35">
        <f>AJ686/94</f>
        <v/>
      </c>
      <c r="AM686" s="35">
        <f>AK686/94</f>
        <v/>
      </c>
      <c r="AN686" s="36">
        <f>AJ686/24</f>
        <v/>
      </c>
      <c r="AO686" s="36">
        <f>AK686/24</f>
        <v/>
      </c>
      <c r="AP686" s="37">
        <f>AJ686/125</f>
        <v/>
      </c>
      <c r="AQ686" s="37">
        <f>AK686/125</f>
        <v/>
      </c>
    </row>
    <row r="687" ht="15.75" customHeight="1" s="50">
      <c r="A687" s="32" t="n"/>
      <c r="B687" s="32" t="inlineStr">
        <is>
          <t>24 in</t>
        </is>
      </c>
      <c r="D687" s="32" t="inlineStr">
        <is>
          <t>Prasonjit</t>
        </is>
      </c>
      <c r="E687" s="32" t="n">
        <v>190</v>
      </c>
      <c r="G687" s="32" t="n">
        <v>0</v>
      </c>
      <c r="H687" s="32" t="n">
        <v>10</v>
      </c>
      <c r="I687" s="41" t="n">
        <v>83061000</v>
      </c>
      <c r="J687" s="30" t="n">
        <v>0.05</v>
      </c>
      <c r="K687" s="32">
        <f>D687*J687</f>
        <v/>
      </c>
      <c r="M687" s="32">
        <f>D687*4%</f>
        <v/>
      </c>
      <c r="N687" s="49">
        <f>M687+L687+K687+H687+G687+F687+E687+D687</f>
        <v/>
      </c>
      <c r="O687" s="32">
        <f>D687*1%</f>
        <v/>
      </c>
      <c r="P687" s="7">
        <f>N687*8%</f>
        <v/>
      </c>
      <c r="Q687" s="7">
        <f>N687*10%</f>
        <v/>
      </c>
      <c r="R687" s="7">
        <f>N687*5%</f>
        <v/>
      </c>
      <c r="S687" s="7">
        <f>N687*2%</f>
        <v/>
      </c>
      <c r="T687" s="7">
        <f>AE687*0.5%</f>
        <v/>
      </c>
      <c r="U687" s="7">
        <f>N687*1%</f>
        <v/>
      </c>
      <c r="V687" s="49">
        <f>U687+S687+R687+Q687+P687+O687</f>
        <v/>
      </c>
      <c r="W687" s="32">
        <f>AE687*1%</f>
        <v/>
      </c>
      <c r="X687" s="32">
        <f>AE687*10%</f>
        <v/>
      </c>
      <c r="Y687" s="32">
        <f>AE687*1%</f>
        <v/>
      </c>
      <c r="Z687" s="32">
        <f>AE687*8%</f>
        <v/>
      </c>
      <c r="AA687" s="32">
        <f>W687+X687+Y687+Z687</f>
        <v/>
      </c>
      <c r="AB687" s="31">
        <f>AA687+V687+N687</f>
        <v/>
      </c>
      <c r="AC687" s="6">
        <f>AB687*20%</f>
        <v/>
      </c>
      <c r="AD687" s="32">
        <f>AB687+AC687</f>
        <v/>
      </c>
      <c r="AE687" s="32">
        <f>D687*2.1</f>
        <v/>
      </c>
      <c r="AF687" s="7">
        <f>AD687-AE687</f>
        <v/>
      </c>
      <c r="AG687" s="7">
        <f>AF687/AD687*100</f>
        <v/>
      </c>
      <c r="AI687" s="33" t="n"/>
      <c r="AJ687" s="34">
        <f>AD687</f>
        <v/>
      </c>
      <c r="AK687" s="34">
        <f>AJ687-(AJ687*7%)</f>
        <v/>
      </c>
      <c r="AL687" s="35">
        <f>AJ687/94</f>
        <v/>
      </c>
      <c r="AM687" s="35">
        <f>AK687/94</f>
        <v/>
      </c>
      <c r="AN687" s="36">
        <f>AJ687/24</f>
        <v/>
      </c>
      <c r="AO687" s="36">
        <f>AK687/24</f>
        <v/>
      </c>
      <c r="AP687" s="37">
        <f>AJ687/125</f>
        <v/>
      </c>
      <c r="AQ687" s="37">
        <f>AK687/125</f>
        <v/>
      </c>
    </row>
    <row r="688" ht="15.75" customHeight="1" s="50">
      <c r="A688" s="32" t="n"/>
      <c r="B688" s="32" t="inlineStr">
        <is>
          <t>26 in</t>
        </is>
      </c>
      <c r="D688" s="32" t="inlineStr">
        <is>
          <t>Prasonjit</t>
        </is>
      </c>
      <c r="E688" s="32" t="n">
        <v>350</v>
      </c>
      <c r="G688" s="32" t="n">
        <v>0</v>
      </c>
      <c r="H688" s="32" t="n">
        <v>10</v>
      </c>
      <c r="I688" s="41" t="n">
        <v>83061000</v>
      </c>
      <c r="J688" s="30" t="n">
        <v>0.05</v>
      </c>
      <c r="K688" s="32">
        <f>D688*J688</f>
        <v/>
      </c>
      <c r="M688" s="32">
        <f>D688*4%</f>
        <v/>
      </c>
      <c r="N688" s="49">
        <f>M688+L688+K688+H688+G688+F688+E688+D688</f>
        <v/>
      </c>
      <c r="O688" s="32">
        <f>D688*1%</f>
        <v/>
      </c>
      <c r="P688" s="7">
        <f>N688*8%</f>
        <v/>
      </c>
      <c r="Q688" s="7">
        <f>N688*10%</f>
        <v/>
      </c>
      <c r="R688" s="7">
        <f>N688*5%</f>
        <v/>
      </c>
      <c r="S688" s="7">
        <f>N688*2%</f>
        <v/>
      </c>
      <c r="T688" s="7">
        <f>AE688*0.5%</f>
        <v/>
      </c>
      <c r="U688" s="7">
        <f>N688*1%</f>
        <v/>
      </c>
      <c r="V688" s="49">
        <f>U688+S688+R688+Q688+P688+O688</f>
        <v/>
      </c>
      <c r="W688" s="32">
        <f>AE688*1%</f>
        <v/>
      </c>
      <c r="X688" s="32">
        <f>AE688*10%</f>
        <v/>
      </c>
      <c r="Y688" s="32">
        <f>AE688*1%</f>
        <v/>
      </c>
      <c r="Z688" s="32">
        <f>AE688*8%</f>
        <v/>
      </c>
      <c r="AA688" s="32">
        <f>W688+X688+Y688+Z688</f>
        <v/>
      </c>
      <c r="AB688" s="31">
        <f>AA688+V688+N688</f>
        <v/>
      </c>
      <c r="AC688" s="6">
        <f>AB688*20%</f>
        <v/>
      </c>
      <c r="AD688" s="32">
        <f>AB688+AC688</f>
        <v/>
      </c>
      <c r="AE688" s="32">
        <f>D688*2.1</f>
        <v/>
      </c>
      <c r="AF688" s="7">
        <f>AD688-AE688</f>
        <v/>
      </c>
      <c r="AG688" s="7">
        <f>AF688/AD688*100</f>
        <v/>
      </c>
      <c r="AI688" s="33" t="n"/>
      <c r="AJ688" s="34">
        <f>AD688</f>
        <v/>
      </c>
      <c r="AK688" s="34">
        <f>AJ688-(AJ688*7%)</f>
        <v/>
      </c>
      <c r="AL688" s="35">
        <f>AJ688/94</f>
        <v/>
      </c>
      <c r="AM688" s="35">
        <f>AK688/94</f>
        <v/>
      </c>
      <c r="AN688" s="36">
        <f>AJ688/24</f>
        <v/>
      </c>
      <c r="AO688" s="36">
        <f>AK688/24</f>
        <v/>
      </c>
      <c r="AP688" s="37">
        <f>AJ688/125</f>
        <v/>
      </c>
      <c r="AQ688" s="37">
        <f>AK688/125</f>
        <v/>
      </c>
    </row>
    <row r="689" ht="15.75" customHeight="1" s="50">
      <c r="A689" s="32" t="n"/>
      <c r="B689" s="32" t="inlineStr">
        <is>
          <t>28 in</t>
        </is>
      </c>
      <c r="D689" s="32" t="inlineStr">
        <is>
          <t>Prasonjit</t>
        </is>
      </c>
      <c r="E689" s="32" t="n">
        <v>350</v>
      </c>
      <c r="G689" s="32" t="n">
        <v>0</v>
      </c>
      <c r="H689" s="32" t="n">
        <v>10</v>
      </c>
      <c r="I689" s="41" t="n">
        <v>83061000</v>
      </c>
      <c r="J689" s="30" t="n">
        <v>0.05</v>
      </c>
      <c r="K689" s="32">
        <f>D689*J689</f>
        <v/>
      </c>
      <c r="M689" s="32">
        <f>D689*4%</f>
        <v/>
      </c>
      <c r="N689" s="49">
        <f>M689+L689+K689+H689+G689+F689+E689+D689</f>
        <v/>
      </c>
      <c r="O689" s="32">
        <f>D689*1%</f>
        <v/>
      </c>
      <c r="P689" s="7">
        <f>N689*8%</f>
        <v/>
      </c>
      <c r="Q689" s="7">
        <f>N689*10%</f>
        <v/>
      </c>
      <c r="R689" s="7">
        <f>N689*5%</f>
        <v/>
      </c>
      <c r="S689" s="7">
        <f>N689*2%</f>
        <v/>
      </c>
      <c r="T689" s="7">
        <f>AE689*0.5%</f>
        <v/>
      </c>
      <c r="U689" s="7">
        <f>N689*1%</f>
        <v/>
      </c>
      <c r="V689" s="49">
        <f>U689+S689+R689+Q689+P689+O689</f>
        <v/>
      </c>
      <c r="W689" s="32">
        <f>AE689*1%</f>
        <v/>
      </c>
      <c r="X689" s="32">
        <f>AE689*10%</f>
        <v/>
      </c>
      <c r="Y689" s="32">
        <f>AE689*1%</f>
        <v/>
      </c>
      <c r="Z689" s="32">
        <f>AE689*8%</f>
        <v/>
      </c>
      <c r="AA689" s="32">
        <f>W689+X689+Y689+Z689</f>
        <v/>
      </c>
      <c r="AB689" s="31">
        <f>AA689+V689+N689</f>
        <v/>
      </c>
      <c r="AC689" s="6">
        <f>AB689*20%</f>
        <v/>
      </c>
      <c r="AD689" s="32">
        <f>AB689+AC689</f>
        <v/>
      </c>
      <c r="AE689" s="32">
        <f>D689*2.1</f>
        <v/>
      </c>
      <c r="AF689" s="7">
        <f>AD689-AE689</f>
        <v/>
      </c>
      <c r="AG689" s="7">
        <f>AF689/AD689*100</f>
        <v/>
      </c>
      <c r="AI689" s="33" t="n"/>
      <c r="AJ689" s="34">
        <f>AD689</f>
        <v/>
      </c>
      <c r="AK689" s="34">
        <f>AJ689-(AJ689*7%)</f>
        <v/>
      </c>
      <c r="AL689" s="35">
        <f>AJ689/94</f>
        <v/>
      </c>
      <c r="AM689" s="35">
        <f>AK689/94</f>
        <v/>
      </c>
      <c r="AN689" s="36">
        <f>AJ689/24</f>
        <v/>
      </c>
      <c r="AO689" s="36">
        <f>AK689/24</f>
        <v/>
      </c>
      <c r="AP689" s="37">
        <f>AJ689/125</f>
        <v/>
      </c>
      <c r="AQ689" s="37">
        <f>AK689/125</f>
        <v/>
      </c>
    </row>
    <row r="690" ht="15.75" customHeight="1" s="50">
      <c r="A690" s="32" t="n"/>
      <c r="B690" s="32" t="inlineStr">
        <is>
          <t>30 in</t>
        </is>
      </c>
      <c r="D690" s="32" t="inlineStr">
        <is>
          <t>Prasonjit</t>
        </is>
      </c>
      <c r="E690" s="32" t="n">
        <v>350</v>
      </c>
      <c r="G690" s="32" t="n">
        <v>0</v>
      </c>
      <c r="H690" s="32" t="n">
        <v>10</v>
      </c>
      <c r="I690" s="41" t="n">
        <v>83061000</v>
      </c>
      <c r="J690" s="30" t="n">
        <v>0.05</v>
      </c>
      <c r="K690" s="32">
        <f>D690*J690</f>
        <v/>
      </c>
      <c r="M690" s="32">
        <f>D690*4%</f>
        <v/>
      </c>
      <c r="N690" s="49">
        <f>M690+L690+K690+H690+G690+F690+E690+D690</f>
        <v/>
      </c>
      <c r="O690" s="32">
        <f>D690*1%</f>
        <v/>
      </c>
      <c r="P690" s="7">
        <f>N690*8%</f>
        <v/>
      </c>
      <c r="Q690" s="7">
        <f>N690*10%</f>
        <v/>
      </c>
      <c r="R690" s="7">
        <f>N690*5%</f>
        <v/>
      </c>
      <c r="S690" s="7">
        <f>N690*2%</f>
        <v/>
      </c>
      <c r="T690" s="7">
        <f>AE690*0.5%</f>
        <v/>
      </c>
      <c r="U690" s="7">
        <f>N690*1%</f>
        <v/>
      </c>
      <c r="V690" s="49">
        <f>U690+S690+R690+Q690+P690+O690</f>
        <v/>
      </c>
      <c r="W690" s="32">
        <f>AE690*1%</f>
        <v/>
      </c>
      <c r="X690" s="32">
        <f>AE690*10%</f>
        <v/>
      </c>
      <c r="Y690" s="32">
        <f>AE690*1%</f>
        <v/>
      </c>
      <c r="Z690" s="32">
        <f>AE690*8%</f>
        <v/>
      </c>
      <c r="AA690" s="32">
        <f>W690+X690+Y690+Z690</f>
        <v/>
      </c>
      <c r="AB690" s="31">
        <f>AA690+V690+N690</f>
        <v/>
      </c>
      <c r="AC690" s="6">
        <f>AB690*20%</f>
        <v/>
      </c>
      <c r="AD690" s="32">
        <f>AB690+AC690</f>
        <v/>
      </c>
      <c r="AE690" s="32">
        <f>D690*2.1</f>
        <v/>
      </c>
      <c r="AF690" s="7">
        <f>AD690-AE690</f>
        <v/>
      </c>
      <c r="AG690" s="7">
        <f>AF690/AD690*100</f>
        <v/>
      </c>
      <c r="AI690" s="33" t="n"/>
      <c r="AJ690" s="34">
        <f>AD690</f>
        <v/>
      </c>
      <c r="AK690" s="34">
        <f>AJ690-(AJ690*7%)</f>
        <v/>
      </c>
      <c r="AL690" s="35">
        <f>AJ690/94</f>
        <v/>
      </c>
      <c r="AM690" s="35">
        <f>AK690/94</f>
        <v/>
      </c>
      <c r="AN690" s="36">
        <f>AJ690/24</f>
        <v/>
      </c>
      <c r="AO690" s="36">
        <f>AK690/24</f>
        <v/>
      </c>
      <c r="AP690" s="37">
        <f>AJ690/125</f>
        <v/>
      </c>
      <c r="AQ690" s="37">
        <f>AK690/125</f>
        <v/>
      </c>
    </row>
    <row r="691" ht="15.75" customHeight="1" s="50">
      <c r="A691" s="32" t="n"/>
      <c r="B691" s="32" t="inlineStr">
        <is>
          <t>32 in</t>
        </is>
      </c>
      <c r="D691" s="32" t="inlineStr">
        <is>
          <t>Prasonjit</t>
        </is>
      </c>
      <c r="E691" s="32" t="n">
        <v>350</v>
      </c>
      <c r="G691" s="32" t="n">
        <v>0</v>
      </c>
      <c r="H691" s="32" t="n">
        <v>10</v>
      </c>
      <c r="I691" s="41" t="n">
        <v>83061000</v>
      </c>
      <c r="J691" s="30" t="n">
        <v>0.05</v>
      </c>
      <c r="K691" s="32">
        <f>D691*J691</f>
        <v/>
      </c>
      <c r="M691" s="32">
        <f>D691*4%</f>
        <v/>
      </c>
      <c r="N691" s="49">
        <f>M691+L691+K691+H691+G691+F691+E691+D691</f>
        <v/>
      </c>
      <c r="O691" s="32">
        <f>D691*1%</f>
        <v/>
      </c>
      <c r="P691" s="7">
        <f>N691*8%</f>
        <v/>
      </c>
      <c r="Q691" s="7">
        <f>N691*10%</f>
        <v/>
      </c>
      <c r="R691" s="7">
        <f>N691*5%</f>
        <v/>
      </c>
      <c r="S691" s="7">
        <f>N691*2%</f>
        <v/>
      </c>
      <c r="T691" s="7">
        <f>AE691*0.5%</f>
        <v/>
      </c>
      <c r="U691" s="7">
        <f>N691*1%</f>
        <v/>
      </c>
      <c r="V691" s="49">
        <f>U691+S691+R691+Q691+P691+O691</f>
        <v/>
      </c>
      <c r="W691" s="32">
        <f>AE691*1%</f>
        <v/>
      </c>
      <c r="X691" s="32">
        <f>AE691*10%</f>
        <v/>
      </c>
      <c r="Y691" s="32">
        <f>AE691*1%</f>
        <v/>
      </c>
      <c r="Z691" s="32">
        <f>AE691*8%</f>
        <v/>
      </c>
      <c r="AA691" s="32">
        <f>W691+X691+Y691+Z691</f>
        <v/>
      </c>
      <c r="AB691" s="31">
        <f>AA691+V691+N691</f>
        <v/>
      </c>
      <c r="AC691" s="6">
        <f>AB691*20%</f>
        <v/>
      </c>
      <c r="AD691" s="32">
        <f>AB691+AC691</f>
        <v/>
      </c>
      <c r="AE691" s="32">
        <f>D691*2.1</f>
        <v/>
      </c>
      <c r="AF691" s="7">
        <f>AD691-AE691</f>
        <v/>
      </c>
      <c r="AG691" s="7">
        <f>AF691/AD691*100</f>
        <v/>
      </c>
      <c r="AI691" s="33" t="n"/>
      <c r="AJ691" s="34">
        <f>AD691</f>
        <v/>
      </c>
      <c r="AK691" s="34">
        <f>AJ691-(AJ691*7%)</f>
        <v/>
      </c>
      <c r="AL691" s="35">
        <f>AJ691/94</f>
        <v/>
      </c>
      <c r="AM691" s="35">
        <f>AK691/94</f>
        <v/>
      </c>
      <c r="AN691" s="36">
        <f>AJ691/24</f>
        <v/>
      </c>
      <c r="AO691" s="36">
        <f>AK691/24</f>
        <v/>
      </c>
      <c r="AP691" s="37">
        <f>AJ691/125</f>
        <v/>
      </c>
      <c r="AQ691" s="37">
        <f>AK691/125</f>
        <v/>
      </c>
    </row>
    <row r="692" ht="15" customHeight="1" s="50">
      <c r="A692" s="32" t="inlineStr">
        <is>
          <t>Tattvamasi-I am Infinite</t>
        </is>
      </c>
      <c r="B692" s="32" t="inlineStr">
        <is>
          <t>with-brush / 1L</t>
        </is>
      </c>
      <c r="D692" s="32" t="n">
        <v>520</v>
      </c>
      <c r="E692" s="32" t="n">
        <v>50</v>
      </c>
      <c r="G692" s="32" t="n">
        <v>0</v>
      </c>
      <c r="H692" s="32" t="n">
        <v>10</v>
      </c>
      <c r="I692" s="41" t="n">
        <v>741810</v>
      </c>
      <c r="J692" s="30" t="n">
        <v>0.05</v>
      </c>
      <c r="K692" s="32">
        <f>D692*J692</f>
        <v/>
      </c>
      <c r="M692" s="32">
        <f>D692*4%</f>
        <v/>
      </c>
      <c r="N692" s="49">
        <f>M692+L692+K692+H692+G692+F692+E692+D692</f>
        <v/>
      </c>
      <c r="O692" s="32">
        <f>D692*1%</f>
        <v/>
      </c>
      <c r="P692" s="7">
        <f>N692*8%</f>
        <v/>
      </c>
      <c r="Q692" s="7">
        <f>N692*10%</f>
        <v/>
      </c>
      <c r="R692" s="7">
        <f>N692*5%</f>
        <v/>
      </c>
      <c r="S692" s="7">
        <f>N692*2%</f>
        <v/>
      </c>
      <c r="T692" s="7">
        <f>AE692*0.5%</f>
        <v/>
      </c>
      <c r="U692" s="7">
        <f>N692*1%</f>
        <v/>
      </c>
      <c r="V692" s="31">
        <f>U692+S692+R692+Q692+P692+O692</f>
        <v/>
      </c>
      <c r="W692" s="32">
        <f>AE692*1%</f>
        <v/>
      </c>
      <c r="X692" s="32">
        <f>AE692*10%</f>
        <v/>
      </c>
      <c r="Y692" s="32">
        <f>AE692*1%</f>
        <v/>
      </c>
      <c r="Z692" s="32">
        <f>AE692*8%</f>
        <v/>
      </c>
      <c r="AA692" s="32">
        <f>W692+X692+Y692+Z692</f>
        <v/>
      </c>
      <c r="AB692" s="31">
        <f>AA692+V692+N692</f>
        <v/>
      </c>
      <c r="AC692" s="6">
        <f>AB692*20%</f>
        <v/>
      </c>
      <c r="AD692" s="7">
        <f>AB692+AC692</f>
        <v/>
      </c>
      <c r="AE692" s="32">
        <f>D692*2.1</f>
        <v/>
      </c>
      <c r="AF692" s="7">
        <f>AD692-AE692</f>
        <v/>
      </c>
      <c r="AG692" s="7">
        <f>AF692/AD692*100</f>
        <v/>
      </c>
      <c r="AI692" s="33" t="n"/>
      <c r="AJ692" s="34">
        <f>AD692</f>
        <v/>
      </c>
      <c r="AK692" s="34">
        <f>AJ692-(AJ692*7%)</f>
        <v/>
      </c>
      <c r="AL692" s="35">
        <f>AJ692/94</f>
        <v/>
      </c>
      <c r="AM692" s="35">
        <f>AK692/94</f>
        <v/>
      </c>
      <c r="AN692" s="36">
        <f>AJ692/24</f>
        <v/>
      </c>
      <c r="AO692" s="36">
        <f>AK692/24</f>
        <v/>
      </c>
      <c r="AP692" s="37">
        <f>AJ692/125</f>
        <v/>
      </c>
      <c r="AQ692" s="37">
        <f>AK692/125</f>
        <v/>
      </c>
    </row>
    <row r="693" ht="15.75" customHeight="1" s="50">
      <c r="A693" s="32" t="n"/>
      <c r="B693" s="32" t="inlineStr">
        <is>
          <t>without-brush / 500ml</t>
        </is>
      </c>
      <c r="D693" s="32" t="n">
        <v>410</v>
      </c>
      <c r="G693" s="32" t="n">
        <v>0</v>
      </c>
      <c r="H693" s="32" t="n">
        <v>10</v>
      </c>
      <c r="I693" s="41" t="n">
        <v>741810</v>
      </c>
      <c r="J693" s="30" t="n">
        <v>0.05</v>
      </c>
      <c r="K693" s="32">
        <f>D693*J693</f>
        <v/>
      </c>
      <c r="M693" s="32">
        <f>D693*4%</f>
        <v/>
      </c>
      <c r="N693" s="49">
        <f>M693+L693+K693+H693+G693+F693+E693+D693</f>
        <v/>
      </c>
      <c r="O693" s="32">
        <f>D693*1%</f>
        <v/>
      </c>
      <c r="P693" s="7">
        <f>N693*8%</f>
        <v/>
      </c>
      <c r="Q693" s="7">
        <f>N693*10%</f>
        <v/>
      </c>
      <c r="R693" s="7">
        <f>N693*5%</f>
        <v/>
      </c>
      <c r="S693" s="7">
        <f>N693*2%</f>
        <v/>
      </c>
      <c r="T693" s="7">
        <f>AE693*0.5%</f>
        <v/>
      </c>
      <c r="U693" s="7">
        <f>N693*1%</f>
        <v/>
      </c>
      <c r="V693" s="31">
        <f>U693+S693+R693+Q693+P693+O693</f>
        <v/>
      </c>
      <c r="W693" s="32">
        <f>AE693*1%</f>
        <v/>
      </c>
      <c r="X693" s="32">
        <f>AE693*10%</f>
        <v/>
      </c>
      <c r="Y693" s="32">
        <f>AE693*1%</f>
        <v/>
      </c>
      <c r="Z693" s="32">
        <f>AE693*8%</f>
        <v/>
      </c>
      <c r="AA693" s="32">
        <f>W693+X693+Y693+Z693</f>
        <v/>
      </c>
      <c r="AB693" s="31">
        <f>AA693+V693+N693</f>
        <v/>
      </c>
      <c r="AC693" s="6">
        <f>AB693*20%</f>
        <v/>
      </c>
      <c r="AD693" s="7">
        <f>AB693+AC693</f>
        <v/>
      </c>
      <c r="AE693" s="32">
        <f>D693*2.1</f>
        <v/>
      </c>
      <c r="AF693" s="7">
        <f>AD693-AE693</f>
        <v/>
      </c>
      <c r="AG693" s="7">
        <f>AF693/AD693*100</f>
        <v/>
      </c>
      <c r="AI693" s="33" t="n"/>
      <c r="AJ693" s="34">
        <f>AD693</f>
        <v/>
      </c>
      <c r="AK693" s="34">
        <f>AJ693-(AJ693*7%)</f>
        <v/>
      </c>
      <c r="AL693" s="35">
        <f>AJ693/94</f>
        <v/>
      </c>
      <c r="AM693" s="35">
        <f>AK693/94</f>
        <v/>
      </c>
      <c r="AN693" s="36">
        <f>AJ693/24</f>
        <v/>
      </c>
      <c r="AO693" s="36">
        <f>AK693/24</f>
        <v/>
      </c>
      <c r="AP693" s="37">
        <f>AJ693/125</f>
        <v/>
      </c>
      <c r="AQ693" s="37">
        <f>AK693/125</f>
        <v/>
      </c>
    </row>
    <row r="694" ht="15.75" customHeight="1" s="50">
      <c r="A694" s="32" t="n"/>
      <c r="B694" s="32" t="inlineStr">
        <is>
          <t>with-brush / 500ml</t>
        </is>
      </c>
      <c r="D694" s="32" t="n">
        <v>410</v>
      </c>
      <c r="E694" s="32" t="n">
        <v>50</v>
      </c>
      <c r="G694" s="32" t="n">
        <v>0</v>
      </c>
      <c r="H694" s="32" t="n">
        <v>10</v>
      </c>
      <c r="I694" s="41" t="n">
        <v>741810</v>
      </c>
      <c r="J694" s="30" t="n">
        <v>0.05</v>
      </c>
      <c r="K694" s="32">
        <f>D694*J694</f>
        <v/>
      </c>
      <c r="M694" s="32">
        <f>D694*4%</f>
        <v/>
      </c>
      <c r="N694" s="49">
        <f>M694+L694+K694+H694+G694+F694+E694+D694</f>
        <v/>
      </c>
      <c r="O694" s="32">
        <f>D694*1%</f>
        <v/>
      </c>
      <c r="P694" s="7">
        <f>N694*8%</f>
        <v/>
      </c>
      <c r="Q694" s="7">
        <f>N694*10%</f>
        <v/>
      </c>
      <c r="R694" s="7">
        <f>N694*5%</f>
        <v/>
      </c>
      <c r="S694" s="7">
        <f>N694*2%</f>
        <v/>
      </c>
      <c r="T694" s="7">
        <f>AE694*0.5%</f>
        <v/>
      </c>
      <c r="U694" s="7">
        <f>N694*1%</f>
        <v/>
      </c>
      <c r="V694" s="31">
        <f>U694+S694+R694+Q694+P694+O694</f>
        <v/>
      </c>
      <c r="W694" s="32">
        <f>AE694*1%</f>
        <v/>
      </c>
      <c r="X694" s="32">
        <f>AE694*10%</f>
        <v/>
      </c>
      <c r="Y694" s="32">
        <f>AE694*1%</f>
        <v/>
      </c>
      <c r="Z694" s="32">
        <f>AE694*8%</f>
        <v/>
      </c>
      <c r="AA694" s="32">
        <f>W694+X694+Y694+Z694</f>
        <v/>
      </c>
      <c r="AB694" s="31">
        <f>AA694+V694+N694</f>
        <v/>
      </c>
      <c r="AC694" s="6">
        <f>AB694*20%</f>
        <v/>
      </c>
      <c r="AD694" s="7">
        <f>AB694+AC694</f>
        <v/>
      </c>
      <c r="AE694" s="32">
        <f>D694*2.1</f>
        <v/>
      </c>
      <c r="AF694" s="7">
        <f>AD694-AE694</f>
        <v/>
      </c>
      <c r="AG694" s="7">
        <f>AF694/AD694*100</f>
        <v/>
      </c>
      <c r="AI694" s="33" t="n"/>
      <c r="AJ694" s="34">
        <f>AD694</f>
        <v/>
      </c>
      <c r="AK694" s="34">
        <f>AJ694-(AJ694*7%)</f>
        <v/>
      </c>
      <c r="AL694" s="35">
        <f>AJ694/94</f>
        <v/>
      </c>
      <c r="AM694" s="35">
        <f>AK694/94</f>
        <v/>
      </c>
      <c r="AN694" s="36">
        <f>AJ694/24</f>
        <v/>
      </c>
      <c r="AO694" s="36">
        <f>AK694/24</f>
        <v/>
      </c>
      <c r="AP694" s="37">
        <f>AJ694/125</f>
        <v/>
      </c>
      <c r="AQ694" s="37">
        <f>AK694/125</f>
        <v/>
      </c>
    </row>
    <row r="695" ht="15.75" customHeight="1" s="50">
      <c r="A695" s="32" t="n"/>
      <c r="B695" s="32" t="inlineStr">
        <is>
          <t>without-brush / 1L</t>
        </is>
      </c>
      <c r="D695" s="32" t="n">
        <v>520</v>
      </c>
      <c r="G695" s="32" t="n">
        <v>0</v>
      </c>
      <c r="H695" s="32" t="n">
        <v>10</v>
      </c>
      <c r="I695" s="41" t="n">
        <v>741810</v>
      </c>
      <c r="J695" s="30" t="n">
        <v>0.05</v>
      </c>
      <c r="K695" s="32">
        <f>D695*J695</f>
        <v/>
      </c>
      <c r="M695" s="32">
        <f>D695*4%</f>
        <v/>
      </c>
      <c r="N695" s="49">
        <f>M695+L695+K695+H695+G695+F695+E695+D695</f>
        <v/>
      </c>
      <c r="O695" s="32">
        <f>D695*1%</f>
        <v/>
      </c>
      <c r="P695" s="7">
        <f>N695*8%</f>
        <v/>
      </c>
      <c r="Q695" s="7">
        <f>N695*10%</f>
        <v/>
      </c>
      <c r="R695" s="7">
        <f>N695*5%</f>
        <v/>
      </c>
      <c r="S695" s="7">
        <f>N695*2%</f>
        <v/>
      </c>
      <c r="T695" s="7">
        <f>AE695*0.5%</f>
        <v/>
      </c>
      <c r="U695" s="7">
        <f>N695*1%</f>
        <v/>
      </c>
      <c r="V695" s="31">
        <f>U695+S695+R695+Q695+P695+O695</f>
        <v/>
      </c>
      <c r="W695" s="32">
        <f>AE695*1%</f>
        <v/>
      </c>
      <c r="X695" s="32">
        <f>AE695*10%</f>
        <v/>
      </c>
      <c r="Y695" s="32">
        <f>AE695*1%</f>
        <v/>
      </c>
      <c r="Z695" s="32">
        <f>AE695*8%</f>
        <v/>
      </c>
      <c r="AA695" s="32">
        <f>W695+X695+Y695+Z695</f>
        <v/>
      </c>
      <c r="AB695" s="31">
        <f>AA695+V695+N695</f>
        <v/>
      </c>
      <c r="AC695" s="6">
        <f>AB695*20%</f>
        <v/>
      </c>
      <c r="AD695" s="7">
        <f>AB695+AC695</f>
        <v/>
      </c>
      <c r="AE695" s="32">
        <f>D695*2.1</f>
        <v/>
      </c>
      <c r="AF695" s="7">
        <f>AD695-AE695</f>
        <v/>
      </c>
      <c r="AG695" s="7">
        <f>AF695/AD695*100</f>
        <v/>
      </c>
      <c r="AI695" s="33" t="n"/>
      <c r="AJ695" s="34">
        <f>AD695</f>
        <v/>
      </c>
      <c r="AK695" s="34">
        <f>AJ695-(AJ695*7%)</f>
        <v/>
      </c>
      <c r="AL695" s="35">
        <f>AJ695/94</f>
        <v/>
      </c>
      <c r="AM695" s="35">
        <f>AK695/94</f>
        <v/>
      </c>
      <c r="AN695" s="36">
        <f>AJ695/24</f>
        <v/>
      </c>
      <c r="AO695" s="36">
        <f>AK695/24</f>
        <v/>
      </c>
      <c r="AP695" s="37">
        <f>AJ695/125</f>
        <v/>
      </c>
      <c r="AQ695" s="37">
        <f>AK695/125</f>
        <v/>
      </c>
    </row>
    <row r="696" ht="15" customHeight="1" s="50">
      <c r="A696" s="32" t="inlineStr">
        <is>
          <t>Teak Wood - Stainless Steel Xylophone</t>
        </is>
      </c>
      <c r="B696" s="32" t="inlineStr">
        <is>
          <t>8 Keys</t>
        </is>
      </c>
      <c r="D696" s="32" t="n">
        <v>750</v>
      </c>
      <c r="G696" s="32" t="n">
        <v>0</v>
      </c>
      <c r="H696" s="32" t="n">
        <v>10</v>
      </c>
      <c r="I696" s="41" t="n">
        <v>94042990</v>
      </c>
      <c r="J696" s="30" t="n">
        <v>0.05</v>
      </c>
      <c r="K696" s="32">
        <f>D696*J696</f>
        <v/>
      </c>
      <c r="M696" s="32">
        <f>D696*4%</f>
        <v/>
      </c>
      <c r="N696" s="49">
        <f>M696+L696+K696+H696+G696+F696+E696+D696</f>
        <v/>
      </c>
      <c r="O696" s="32">
        <f>D696*1%</f>
        <v/>
      </c>
      <c r="P696" s="7">
        <f>N696*8%</f>
        <v/>
      </c>
      <c r="Q696" s="7">
        <f>N696*10%</f>
        <v/>
      </c>
      <c r="R696" s="7">
        <f>N696*5%</f>
        <v/>
      </c>
      <c r="S696" s="7">
        <f>N696*2%</f>
        <v/>
      </c>
      <c r="T696" s="7">
        <f>AE696*0.5%</f>
        <v/>
      </c>
      <c r="U696" s="7">
        <f>N696*1%</f>
        <v/>
      </c>
      <c r="V696" s="31">
        <f>U696+S696+R696+Q696+P696+O696</f>
        <v/>
      </c>
      <c r="W696" s="32">
        <f>AE696*1%</f>
        <v/>
      </c>
      <c r="X696" s="32">
        <f>AE696*10%</f>
        <v/>
      </c>
      <c r="Y696" s="32">
        <f>AE696*1%</f>
        <v/>
      </c>
      <c r="Z696" s="32">
        <f>AE696*8%</f>
        <v/>
      </c>
      <c r="AA696" s="32">
        <f>W696+X696+Y696+Z696</f>
        <v/>
      </c>
      <c r="AB696" s="31">
        <f>AA696+V696+N696</f>
        <v/>
      </c>
      <c r="AC696" s="6">
        <f>AB696*20%</f>
        <v/>
      </c>
      <c r="AD696" s="7">
        <f>AB696+AC696</f>
        <v/>
      </c>
      <c r="AE696" s="32">
        <f>D696*2.1</f>
        <v/>
      </c>
      <c r="AF696" s="7">
        <f>AD696-AE696</f>
        <v/>
      </c>
      <c r="AG696" s="7">
        <f>AF696/AD696*100</f>
        <v/>
      </c>
      <c r="AI696" s="33" t="n"/>
      <c r="AJ696" s="34">
        <f>AD696</f>
        <v/>
      </c>
      <c r="AK696" s="34">
        <f>AJ696-(AJ696*7%)</f>
        <v/>
      </c>
      <c r="AL696" s="35">
        <f>AJ696/94</f>
        <v/>
      </c>
      <c r="AM696" s="35">
        <f>AK696/94</f>
        <v/>
      </c>
      <c r="AN696" s="36">
        <f>AJ696/24</f>
        <v/>
      </c>
      <c r="AO696" s="36">
        <f>AK696/24</f>
        <v/>
      </c>
      <c r="AP696" s="37">
        <f>AJ696/125</f>
        <v/>
      </c>
      <c r="AQ696" s="37">
        <f>AK696/125</f>
        <v/>
      </c>
    </row>
    <row r="697" ht="15.75" customHeight="1" s="50">
      <c r="A697" s="32" t="n"/>
      <c r="B697" s="32" t="inlineStr">
        <is>
          <t>15 Keys</t>
        </is>
      </c>
      <c r="C697" s="32" t="inlineStr">
        <is>
          <t>MI-XP-W-15</t>
        </is>
      </c>
      <c r="D697" s="32" t="n">
        <v>1100</v>
      </c>
      <c r="G697" s="32" t="n">
        <v>0</v>
      </c>
      <c r="H697" s="32" t="n">
        <v>10</v>
      </c>
      <c r="I697" s="41" t="n">
        <v>94042990</v>
      </c>
      <c r="J697" s="30" t="n">
        <v>0.05</v>
      </c>
      <c r="K697" s="32">
        <f>D697*J697</f>
        <v/>
      </c>
      <c r="L697" s="32">
        <f>D697*5%</f>
        <v/>
      </c>
      <c r="M697" s="32">
        <f>D697*4%</f>
        <v/>
      </c>
      <c r="N697" s="49">
        <f>M697+L697+K697+H697+G697+F697+E697+D697</f>
        <v/>
      </c>
      <c r="O697" s="32">
        <f>D697*1%</f>
        <v/>
      </c>
      <c r="P697" s="7">
        <f>N697*8%</f>
        <v/>
      </c>
      <c r="Q697" s="7">
        <f>N697*10%</f>
        <v/>
      </c>
      <c r="R697" s="7">
        <f>N697*5%</f>
        <v/>
      </c>
      <c r="S697" s="7">
        <f>N697*2%</f>
        <v/>
      </c>
      <c r="T697" s="7">
        <f>AE697*0.5%</f>
        <v/>
      </c>
      <c r="U697" s="7">
        <f>N697*1%</f>
        <v/>
      </c>
      <c r="V697" s="31">
        <f>U697+S697+R697+Q697+P697+O697</f>
        <v/>
      </c>
      <c r="W697" s="32">
        <f>AE697*1%</f>
        <v/>
      </c>
      <c r="X697" s="32">
        <f>AE697*10%</f>
        <v/>
      </c>
      <c r="Y697" s="32">
        <f>AE697*1%</f>
        <v/>
      </c>
      <c r="Z697" s="32">
        <f>AE697*8%</f>
        <v/>
      </c>
      <c r="AA697" s="32">
        <f>W697+X697+Y697+Z697</f>
        <v/>
      </c>
      <c r="AB697" s="31">
        <f>AA697+V697+N697</f>
        <v/>
      </c>
      <c r="AC697" s="6">
        <f>AB697*20%</f>
        <v/>
      </c>
      <c r="AD697" s="7">
        <f>AB697+AC697</f>
        <v/>
      </c>
      <c r="AE697" s="32">
        <f>D697*2.1</f>
        <v/>
      </c>
      <c r="AF697" s="7">
        <f>AD697-AE697</f>
        <v/>
      </c>
      <c r="AG697" s="7">
        <f>AF697/AD697*100</f>
        <v/>
      </c>
      <c r="AI697" s="33" t="n"/>
      <c r="AJ697" s="34">
        <f>AD697</f>
        <v/>
      </c>
      <c r="AK697" s="34">
        <f>AJ697-(AJ697*7%)</f>
        <v/>
      </c>
      <c r="AL697" s="35">
        <f>AJ697/94</f>
        <v/>
      </c>
      <c r="AM697" s="35">
        <f>AK697/94</f>
        <v/>
      </c>
      <c r="AN697" s="36">
        <f>AJ697/24</f>
        <v/>
      </c>
      <c r="AO697" s="36">
        <f>AK697/24</f>
        <v/>
      </c>
      <c r="AP697" s="37">
        <f>AJ697/125</f>
        <v/>
      </c>
      <c r="AQ697" s="37">
        <f>AK697/125</f>
        <v/>
      </c>
    </row>
    <row r="698" ht="15.75" customHeight="1" s="50">
      <c r="A698" s="32" t="inlineStr">
        <is>
          <t>The Four Bowl Set - Root, Heart, Third Eye and Universal</t>
        </is>
      </c>
      <c r="B698" s="32" t="inlineStr">
        <is>
          <t>Standard</t>
        </is>
      </c>
      <c r="D698" s="32" t="inlineStr">
        <is>
          <t>Prasonjit</t>
        </is>
      </c>
      <c r="E698" s="32" t="n">
        <v>190</v>
      </c>
      <c r="F698" s="32" t="n">
        <v>260</v>
      </c>
      <c r="G698" s="32" t="n">
        <v>0</v>
      </c>
      <c r="H698" s="32" t="n">
        <v>10</v>
      </c>
      <c r="I698" s="41" t="n">
        <v>83061000</v>
      </c>
      <c r="J698" s="30" t="n">
        <v>0.05</v>
      </c>
      <c r="K698" s="32">
        <f>D698*J698</f>
        <v/>
      </c>
      <c r="M698" s="32">
        <f>D698*4%</f>
        <v/>
      </c>
      <c r="N698" s="49">
        <f>M698+L698+K698+H698+G698+F698+E698+D698</f>
        <v/>
      </c>
      <c r="O698" s="32">
        <f>D698*1%</f>
        <v/>
      </c>
      <c r="P698" s="7">
        <f>N698*8%</f>
        <v/>
      </c>
      <c r="Q698" s="7">
        <f>N698*10%</f>
        <v/>
      </c>
      <c r="R698" s="7">
        <f>N698*5%</f>
        <v/>
      </c>
      <c r="S698" s="7">
        <f>N698*2%</f>
        <v/>
      </c>
      <c r="T698" s="7">
        <f>AE698*0.5%</f>
        <v/>
      </c>
      <c r="U698" s="7">
        <f>N698*1%</f>
        <v/>
      </c>
      <c r="V698" s="49">
        <f>U698+S698+R698+Q698+P698+O698</f>
        <v/>
      </c>
      <c r="W698" s="32">
        <f>AE698*1%</f>
        <v/>
      </c>
      <c r="X698" s="32">
        <f>AE698*10%</f>
        <v/>
      </c>
      <c r="Y698" s="32">
        <f>AE698*1%</f>
        <v/>
      </c>
      <c r="Z698" s="32">
        <f>AE698*8%</f>
        <v/>
      </c>
      <c r="AA698" s="32">
        <f>W698+X698+Y698+Z698</f>
        <v/>
      </c>
      <c r="AB698" s="31">
        <f>AA698+V698+N698</f>
        <v/>
      </c>
      <c r="AC698" s="6">
        <f>AB698*20%</f>
        <v/>
      </c>
      <c r="AD698" s="32">
        <f>AB698+AC698</f>
        <v/>
      </c>
      <c r="AE698" s="32">
        <f>D698*2.1</f>
        <v/>
      </c>
      <c r="AF698" s="7">
        <f>AD698-AE698</f>
        <v/>
      </c>
      <c r="AG698" s="7">
        <f>AF698/AD698*100</f>
        <v/>
      </c>
      <c r="AI698" s="33" t="n"/>
      <c r="AJ698" s="34">
        <f>AD698</f>
        <v/>
      </c>
      <c r="AK698" s="34">
        <f>AJ698-(AJ698*7%)</f>
        <v/>
      </c>
      <c r="AL698" s="35">
        <f>AJ698/94</f>
        <v/>
      </c>
      <c r="AM698" s="35">
        <f>AK698/94</f>
        <v/>
      </c>
      <c r="AN698" s="36">
        <f>AJ698/24</f>
        <v/>
      </c>
      <c r="AO698" s="36">
        <f>AK698/24</f>
        <v/>
      </c>
      <c r="AP698" s="37">
        <f>AJ698/125</f>
        <v/>
      </c>
      <c r="AQ698" s="37">
        <f>AK698/125</f>
        <v/>
      </c>
    </row>
    <row r="699" ht="15.75" customHeight="1" s="50">
      <c r="A699" s="32" t="inlineStr">
        <is>
          <t>The Head Bowl</t>
        </is>
      </c>
      <c r="B699" s="32" t="inlineStr">
        <is>
          <t>Standard</t>
        </is>
      </c>
      <c r="D699" s="32" t="inlineStr">
        <is>
          <t>Prasonjit</t>
        </is>
      </c>
      <c r="E699" s="32" t="n">
        <v>125</v>
      </c>
      <c r="F699" s="32" t="n">
        <v>90</v>
      </c>
      <c r="G699" s="32" t="n">
        <v>0</v>
      </c>
      <c r="H699" s="32" t="n">
        <v>10</v>
      </c>
      <c r="I699" s="41" t="n">
        <v>83061000</v>
      </c>
      <c r="J699" s="30" t="n">
        <v>0.05</v>
      </c>
      <c r="K699" s="32">
        <f>D699*J699</f>
        <v/>
      </c>
      <c r="M699" s="32">
        <f>D699*4%</f>
        <v/>
      </c>
      <c r="N699" s="49">
        <f>M699+L699+K699+H699+G699+F699+E699+D699</f>
        <v/>
      </c>
      <c r="O699" s="32">
        <f>D699*1%</f>
        <v/>
      </c>
      <c r="P699" s="7">
        <f>N699*8%</f>
        <v/>
      </c>
      <c r="Q699" s="7">
        <f>N699*10%</f>
        <v/>
      </c>
      <c r="R699" s="7">
        <f>N699*5%</f>
        <v/>
      </c>
      <c r="S699" s="7">
        <f>N699*2%</f>
        <v/>
      </c>
      <c r="T699" s="7">
        <f>AE699*0.5%</f>
        <v/>
      </c>
      <c r="U699" s="7">
        <f>N699*1%</f>
        <v/>
      </c>
      <c r="V699" s="49">
        <f>U699+S699+R699+Q699+P699+O699</f>
        <v/>
      </c>
      <c r="W699" s="32">
        <f>AE699*1%</f>
        <v/>
      </c>
      <c r="X699" s="32">
        <f>AE699*10%</f>
        <v/>
      </c>
      <c r="Y699" s="32">
        <f>AE699*1%</f>
        <v/>
      </c>
      <c r="Z699" s="32">
        <f>AE699*8%</f>
        <v/>
      </c>
      <c r="AA699" s="32">
        <f>W699+X699+Y699+Z699</f>
        <v/>
      </c>
      <c r="AB699" s="31">
        <f>AA699+V699+N699</f>
        <v/>
      </c>
      <c r="AC699" s="6">
        <f>AB699*20%</f>
        <v/>
      </c>
      <c r="AD699" s="32">
        <f>AB699+AC699</f>
        <v/>
      </c>
      <c r="AE699" s="32">
        <f>D699*2.1</f>
        <v/>
      </c>
      <c r="AF699" s="7">
        <f>AD699-AE699</f>
        <v/>
      </c>
      <c r="AG699" s="7">
        <f>AF699/AD699*100</f>
        <v/>
      </c>
      <c r="AI699" s="33" t="n"/>
      <c r="AJ699" s="34">
        <f>AD699</f>
        <v/>
      </c>
      <c r="AK699" s="34">
        <f>AJ699-(AJ699*7%)</f>
        <v/>
      </c>
      <c r="AL699" s="35">
        <f>AJ699/94</f>
        <v/>
      </c>
      <c r="AM699" s="35">
        <f>AK699/94</f>
        <v/>
      </c>
      <c r="AN699" s="36">
        <f>AJ699/24</f>
        <v/>
      </c>
      <c r="AO699" s="36">
        <f>AK699/24</f>
        <v/>
      </c>
      <c r="AP699" s="37">
        <f>AJ699/125</f>
        <v/>
      </c>
      <c r="AQ699" s="37">
        <f>AK699/125</f>
        <v/>
      </c>
    </row>
    <row r="700" ht="15.75" customHeight="1" s="50">
      <c r="A700" s="32" t="inlineStr">
        <is>
          <t>The Three Bowl Set - Root, Heart and Third Eye</t>
        </is>
      </c>
      <c r="B700" s="32" t="inlineStr">
        <is>
          <t>Standard</t>
        </is>
      </c>
      <c r="D700" s="32" t="inlineStr">
        <is>
          <t>Prasonjit</t>
        </is>
      </c>
      <c r="E700" s="32" t="n">
        <v>190</v>
      </c>
      <c r="F700" s="32" t="n">
        <v>195</v>
      </c>
      <c r="G700" s="32" t="n">
        <v>0</v>
      </c>
      <c r="H700" s="32" t="n">
        <v>10</v>
      </c>
      <c r="I700" s="41" t="n">
        <v>83061000</v>
      </c>
      <c r="J700" s="30" t="n">
        <v>0.05</v>
      </c>
      <c r="K700" s="32">
        <f>D700*J700</f>
        <v/>
      </c>
      <c r="M700" s="32">
        <f>D700*4%</f>
        <v/>
      </c>
      <c r="N700" s="49">
        <f>M700+L700+K700+H700+G700+F700+E700+D700</f>
        <v/>
      </c>
      <c r="O700" s="32">
        <f>D700*1%</f>
        <v/>
      </c>
      <c r="P700" s="7">
        <f>N700*8%</f>
        <v/>
      </c>
      <c r="Q700" s="7">
        <f>N700*10%</f>
        <v/>
      </c>
      <c r="R700" s="7">
        <f>N700*5%</f>
        <v/>
      </c>
      <c r="S700" s="7">
        <f>N700*2%</f>
        <v/>
      </c>
      <c r="T700" s="7">
        <f>AE700*0.5%</f>
        <v/>
      </c>
      <c r="U700" s="7">
        <f>N700*1%</f>
        <v/>
      </c>
      <c r="V700" s="49">
        <f>U700+S700+R700+Q700+P700+O700</f>
        <v/>
      </c>
      <c r="W700" s="32">
        <f>AE700*1%</f>
        <v/>
      </c>
      <c r="X700" s="32">
        <f>AE700*10%</f>
        <v/>
      </c>
      <c r="Y700" s="32">
        <f>AE700*1%</f>
        <v/>
      </c>
      <c r="Z700" s="32">
        <f>AE700*8%</f>
        <v/>
      </c>
      <c r="AA700" s="32">
        <f>W700+X700+Y700+Z700</f>
        <v/>
      </c>
      <c r="AB700" s="31">
        <f>AA700+V700+N700</f>
        <v/>
      </c>
      <c r="AC700" s="6">
        <f>AB700*20%</f>
        <v/>
      </c>
      <c r="AD700" s="32">
        <f>AB700+AC700</f>
        <v/>
      </c>
      <c r="AE700" s="32">
        <f>D700*2.1</f>
        <v/>
      </c>
      <c r="AF700" s="7">
        <f>AD700-AE700</f>
        <v/>
      </c>
      <c r="AG700" s="7">
        <f>AF700/AD700*100</f>
        <v/>
      </c>
      <c r="AI700" s="33" t="n"/>
      <c r="AJ700" s="34">
        <f>AD700</f>
        <v/>
      </c>
      <c r="AK700" s="34">
        <f>AJ700-(AJ700*7%)</f>
        <v/>
      </c>
      <c r="AL700" s="35">
        <f>AJ700/94</f>
        <v/>
      </c>
      <c r="AM700" s="35">
        <f>AK700/94</f>
        <v/>
      </c>
      <c r="AN700" s="36">
        <f>AJ700/24</f>
        <v/>
      </c>
      <c r="AO700" s="36">
        <f>AK700/24</f>
        <v/>
      </c>
      <c r="AP700" s="37">
        <f>AJ700/125</f>
        <v/>
      </c>
      <c r="AQ700" s="37">
        <f>AK700/125</f>
        <v/>
      </c>
    </row>
    <row r="701" ht="15.75" customHeight="1" s="50">
      <c r="A701" s="32" t="inlineStr">
        <is>
          <t>Third Eye Chakra Singing Bowl</t>
        </is>
      </c>
      <c r="B701" s="32" t="inlineStr">
        <is>
          <t>Standard</t>
        </is>
      </c>
      <c r="D701" s="32" t="inlineStr">
        <is>
          <t>Prasonjit</t>
        </is>
      </c>
      <c r="E701" s="32" t="n">
        <v>125</v>
      </c>
      <c r="F701" s="32" t="n">
        <v>80</v>
      </c>
      <c r="G701" s="32" t="n">
        <v>0</v>
      </c>
      <c r="H701" s="32" t="n">
        <v>10</v>
      </c>
      <c r="I701" s="41" t="n">
        <v>83061000</v>
      </c>
      <c r="J701" s="30" t="n">
        <v>0.05</v>
      </c>
      <c r="K701" s="32">
        <f>D701*J701</f>
        <v/>
      </c>
      <c r="M701" s="32">
        <f>D701*4%</f>
        <v/>
      </c>
      <c r="N701" s="49">
        <f>M701+L701+K701+H701+G701+F701+E701+D701</f>
        <v/>
      </c>
      <c r="O701" s="32">
        <f>D701*1%</f>
        <v/>
      </c>
      <c r="P701" s="7">
        <f>N701*8%</f>
        <v/>
      </c>
      <c r="Q701" s="7">
        <f>N701*10%</f>
        <v/>
      </c>
      <c r="R701" s="7">
        <f>N701*5%</f>
        <v/>
      </c>
      <c r="S701" s="7">
        <f>N701*2%</f>
        <v/>
      </c>
      <c r="T701" s="7">
        <f>AE701*0.5%</f>
        <v/>
      </c>
      <c r="U701" s="7">
        <f>N701*1%</f>
        <v/>
      </c>
      <c r="V701" s="49">
        <f>U701+S701+R701+Q701+P701+O701</f>
        <v/>
      </c>
      <c r="W701" s="32">
        <f>AE701*1%</f>
        <v/>
      </c>
      <c r="X701" s="32">
        <f>AE701*10%</f>
        <v/>
      </c>
      <c r="Y701" s="32">
        <f>AE701*1%</f>
        <v/>
      </c>
      <c r="Z701" s="32">
        <f>AE701*8%</f>
        <v/>
      </c>
      <c r="AA701" s="32">
        <f>W701+X701+Y701+Z701</f>
        <v/>
      </c>
      <c r="AB701" s="31">
        <f>AA701+V701+N701</f>
        <v/>
      </c>
      <c r="AC701" s="6">
        <f>AB701*20%</f>
        <v/>
      </c>
      <c r="AD701" s="32">
        <f>AB701+AC701</f>
        <v/>
      </c>
      <c r="AE701" s="32">
        <f>D701*2.1</f>
        <v/>
      </c>
      <c r="AF701" s="7">
        <f>AD701-AE701</f>
        <v/>
      </c>
      <c r="AG701" s="7">
        <f>AF701/AD701*100</f>
        <v/>
      </c>
      <c r="AI701" s="33" t="n"/>
      <c r="AJ701" s="34">
        <f>AD701</f>
        <v/>
      </c>
      <c r="AK701" s="34">
        <f>AJ701-(AJ701*7%)</f>
        <v/>
      </c>
      <c r="AL701" s="35">
        <f>AJ701/94</f>
        <v/>
      </c>
      <c r="AM701" s="35">
        <f>AK701/94</f>
        <v/>
      </c>
      <c r="AN701" s="36">
        <f>AJ701/24</f>
        <v/>
      </c>
      <c r="AO701" s="36">
        <f>AK701/24</f>
        <v/>
      </c>
      <c r="AP701" s="37">
        <f>AJ701/125</f>
        <v/>
      </c>
      <c r="AQ701" s="37">
        <f>AK701/125</f>
        <v/>
      </c>
    </row>
    <row r="702" ht="15" customHeight="1" s="50">
      <c r="A702" s="32" t="inlineStr">
        <is>
          <t>Thunder Tube - Basic Edition</t>
        </is>
      </c>
      <c r="B702" s="32" t="inlineStr">
        <is>
          <t>20cms</t>
        </is>
      </c>
      <c r="D702" s="32" t="n">
        <v>125</v>
      </c>
      <c r="E702" s="32" t="n">
        <v>125</v>
      </c>
      <c r="F702" s="32" t="n">
        <v>80</v>
      </c>
      <c r="G702" s="32" t="n">
        <v>0</v>
      </c>
      <c r="H702" s="32" t="n">
        <v>10</v>
      </c>
      <c r="I702" s="41" t="n">
        <v>92060000</v>
      </c>
      <c r="J702" s="30" t="n">
        <v>0.05</v>
      </c>
      <c r="K702" s="32">
        <f>D702*J702</f>
        <v/>
      </c>
      <c r="M702" s="32" t="n">
        <v>125</v>
      </c>
      <c r="N702" s="49">
        <f>M702+L702+K702+H702+G702+F702+E702+D702</f>
        <v/>
      </c>
      <c r="O702" s="32">
        <f>D702*1%</f>
        <v/>
      </c>
      <c r="P702" s="7">
        <f>N702*8%</f>
        <v/>
      </c>
      <c r="Q702" s="7">
        <f>N702*10%</f>
        <v/>
      </c>
      <c r="R702" s="7">
        <f>N702*5%</f>
        <v/>
      </c>
      <c r="S702" s="7">
        <f>N702*2%</f>
        <v/>
      </c>
      <c r="T702" s="7">
        <f>AE702*0.5%</f>
        <v/>
      </c>
      <c r="U702" s="7">
        <f>N702*1%</f>
        <v/>
      </c>
      <c r="V702" s="31">
        <f>U702+S702+R702+Q702+P702+O702</f>
        <v/>
      </c>
      <c r="W702" s="32">
        <f>AE702*1%</f>
        <v/>
      </c>
      <c r="X702" s="32">
        <f>AE702*10%</f>
        <v/>
      </c>
      <c r="Y702" s="32">
        <f>AE702*1%</f>
        <v/>
      </c>
      <c r="Z702" s="32">
        <f>AE702*8%</f>
        <v/>
      </c>
      <c r="AA702" s="32">
        <f>W702+X702+Y702+Z702</f>
        <v/>
      </c>
      <c r="AB702" s="31">
        <f>AA702+V702+N702</f>
        <v/>
      </c>
      <c r="AC702" s="6">
        <f>AB702*20%</f>
        <v/>
      </c>
      <c r="AD702" s="7">
        <f>AB702+AC702</f>
        <v/>
      </c>
      <c r="AE702" s="32">
        <f>D702*2.1</f>
        <v/>
      </c>
      <c r="AF702" s="7">
        <f>AD702-AE702</f>
        <v/>
      </c>
      <c r="AG702" s="7">
        <f>AF702/AD702*100</f>
        <v/>
      </c>
      <c r="AI702" s="33" t="n"/>
      <c r="AJ702" s="34">
        <f>AD702</f>
        <v/>
      </c>
      <c r="AK702" s="34">
        <f>AJ702-(AJ702*7%)</f>
        <v/>
      </c>
      <c r="AL702" s="35">
        <f>AJ702/94</f>
        <v/>
      </c>
      <c r="AM702" s="35">
        <f>AK702/94</f>
        <v/>
      </c>
      <c r="AN702" s="36">
        <f>AJ702/24</f>
        <v/>
      </c>
      <c r="AO702" s="36">
        <f>AK702/24</f>
        <v/>
      </c>
      <c r="AP702" s="37">
        <f>AJ702/125</f>
        <v/>
      </c>
      <c r="AQ702" s="37">
        <f>AK702/125</f>
        <v/>
      </c>
    </row>
    <row r="703" ht="15.75" customHeight="1" s="50">
      <c r="A703" s="32" t="n"/>
      <c r="B703" s="32" t="inlineStr">
        <is>
          <t>25cms</t>
        </is>
      </c>
      <c r="D703" s="32" t="n">
        <v>135</v>
      </c>
      <c r="G703" s="32" t="n">
        <v>0</v>
      </c>
      <c r="H703" s="32" t="n">
        <v>10</v>
      </c>
      <c r="I703" s="41" t="n">
        <v>92060000</v>
      </c>
      <c r="J703" s="30" t="n">
        <v>0.05</v>
      </c>
      <c r="K703" s="32">
        <f>D703*J703</f>
        <v/>
      </c>
      <c r="M703" s="32" t="n">
        <v>135</v>
      </c>
      <c r="N703" s="49">
        <f>M703+L703+K703+H703+G703+F703+E703+D703</f>
        <v/>
      </c>
      <c r="O703" s="32">
        <f>D703*1%</f>
        <v/>
      </c>
      <c r="P703" s="7">
        <f>N703*8%</f>
        <v/>
      </c>
      <c r="Q703" s="7">
        <f>N703*10%</f>
        <v/>
      </c>
      <c r="R703" s="7">
        <f>N703*5%</f>
        <v/>
      </c>
      <c r="S703" s="7">
        <f>N703*2%</f>
        <v/>
      </c>
      <c r="T703" s="7">
        <f>AE703*0.5%</f>
        <v/>
      </c>
      <c r="U703" s="7">
        <f>N703*1%</f>
        <v/>
      </c>
      <c r="V703" s="31">
        <f>U703+S703+R703+Q703+P703+O703</f>
        <v/>
      </c>
      <c r="W703" s="32">
        <f>AE703*1%</f>
        <v/>
      </c>
      <c r="X703" s="32">
        <f>AE703*10%</f>
        <v/>
      </c>
      <c r="Y703" s="32">
        <f>AE703*1%</f>
        <v/>
      </c>
      <c r="Z703" s="32">
        <f>AE703*8%</f>
        <v/>
      </c>
      <c r="AA703" s="32">
        <f>W703+X703+Y703+Z703</f>
        <v/>
      </c>
      <c r="AB703" s="31">
        <f>AA703+V703+N703</f>
        <v/>
      </c>
      <c r="AC703" s="6">
        <f>AB703*20%</f>
        <v/>
      </c>
      <c r="AD703" s="7">
        <f>AB703+AC703</f>
        <v/>
      </c>
      <c r="AE703" s="32">
        <f>D703*2.1</f>
        <v/>
      </c>
      <c r="AF703" s="7">
        <f>AD703-AE703</f>
        <v/>
      </c>
      <c r="AG703" s="7">
        <f>AF703/AD703*100</f>
        <v/>
      </c>
      <c r="AI703" s="33" t="n"/>
      <c r="AJ703" s="34">
        <f>AD703</f>
        <v/>
      </c>
      <c r="AK703" s="34">
        <f>AJ703-(AJ703*7%)</f>
        <v/>
      </c>
      <c r="AL703" s="35">
        <f>AJ703/94</f>
        <v/>
      </c>
      <c r="AM703" s="35">
        <f>AK703/94</f>
        <v/>
      </c>
      <c r="AN703" s="36">
        <f>AJ703/24</f>
        <v/>
      </c>
      <c r="AO703" s="36">
        <f>AK703/24</f>
        <v/>
      </c>
      <c r="AP703" s="37">
        <f>AJ703/125</f>
        <v/>
      </c>
      <c r="AQ703" s="37">
        <f>AK703/125</f>
        <v/>
      </c>
    </row>
    <row r="704" ht="15.75" customHeight="1" s="50">
      <c r="A704" s="32" t="n"/>
      <c r="B704" s="32" t="inlineStr">
        <is>
          <t>30cms</t>
        </is>
      </c>
      <c r="D704" s="32" t="n">
        <v>140</v>
      </c>
      <c r="G704" s="32" t="n">
        <v>0</v>
      </c>
      <c r="H704" s="32" t="n">
        <v>10</v>
      </c>
      <c r="I704" s="41" t="n">
        <v>92060000</v>
      </c>
      <c r="J704" s="30" t="n">
        <v>0.05</v>
      </c>
      <c r="K704" s="32">
        <f>D704*J704</f>
        <v/>
      </c>
      <c r="M704" s="32" t="n">
        <v>140</v>
      </c>
      <c r="N704" s="49">
        <f>M704+L704+K704+H704+G704+F704+E704+D704</f>
        <v/>
      </c>
      <c r="O704" s="32">
        <f>D704*1%</f>
        <v/>
      </c>
      <c r="P704" s="7">
        <f>N704*8%</f>
        <v/>
      </c>
      <c r="Q704" s="7">
        <f>N704*10%</f>
        <v/>
      </c>
      <c r="R704" s="7">
        <f>N704*5%</f>
        <v/>
      </c>
      <c r="S704" s="7">
        <f>N704*2%</f>
        <v/>
      </c>
      <c r="T704" s="7">
        <f>AE704*0.5%</f>
        <v/>
      </c>
      <c r="U704" s="7">
        <f>N704*1%</f>
        <v/>
      </c>
      <c r="V704" s="31">
        <f>U704+S704+R704+Q704+P704+O704</f>
        <v/>
      </c>
      <c r="W704" s="32">
        <f>AE704*1%</f>
        <v/>
      </c>
      <c r="X704" s="32">
        <f>AE704*10%</f>
        <v/>
      </c>
      <c r="Y704" s="32">
        <f>AE704*1%</f>
        <v/>
      </c>
      <c r="Z704" s="32">
        <f>AE704*8%</f>
        <v/>
      </c>
      <c r="AA704" s="32">
        <f>W704+X704+Y704+Z704</f>
        <v/>
      </c>
      <c r="AB704" s="31">
        <f>AA704+V704+N704</f>
        <v/>
      </c>
      <c r="AC704" s="6">
        <f>AB704*20%</f>
        <v/>
      </c>
      <c r="AD704" s="7">
        <f>AB704+AC704</f>
        <v/>
      </c>
      <c r="AE704" s="32">
        <f>D704*2.1</f>
        <v/>
      </c>
      <c r="AF704" s="7">
        <f>AD704-AE704</f>
        <v/>
      </c>
      <c r="AG704" s="7">
        <f>AF704/AD704*100</f>
        <v/>
      </c>
      <c r="AI704" s="33" t="n"/>
      <c r="AJ704" s="34">
        <f>AD704</f>
        <v/>
      </c>
      <c r="AK704" s="34">
        <f>AJ704-(AJ704*7%)</f>
        <v/>
      </c>
      <c r="AL704" s="35">
        <f>AJ704/94</f>
        <v/>
      </c>
      <c r="AM704" s="35">
        <f>AK704/94</f>
        <v/>
      </c>
      <c r="AN704" s="36">
        <f>AJ704/24</f>
        <v/>
      </c>
      <c r="AO704" s="36">
        <f>AK704/24</f>
        <v/>
      </c>
      <c r="AP704" s="37">
        <f>AJ704/125</f>
        <v/>
      </c>
      <c r="AQ704" s="37">
        <f>AK704/125</f>
        <v/>
      </c>
    </row>
    <row r="705" ht="15" customHeight="1" s="50">
      <c r="A705" s="32" t="inlineStr">
        <is>
          <t>Tibetan Buddhist Bell</t>
        </is>
      </c>
      <c r="B705" s="32" t="inlineStr">
        <is>
          <t>Small</t>
        </is>
      </c>
      <c r="C705" s="32" t="inlineStr">
        <is>
          <t>MI-BB-2</t>
        </is>
      </c>
      <c r="D705" s="32" t="n">
        <v>80</v>
      </c>
      <c r="G705" s="32" t="n">
        <v>0</v>
      </c>
      <c r="H705" s="32" t="n">
        <v>10</v>
      </c>
      <c r="I705" s="41" t="n">
        <v>8306</v>
      </c>
      <c r="J705" s="30" t="n">
        <v>0.05</v>
      </c>
      <c r="K705" s="32">
        <f>D705*J705</f>
        <v/>
      </c>
      <c r="L705" s="32">
        <f>D705*5%</f>
        <v/>
      </c>
      <c r="M705" s="32">
        <f>D705*4%</f>
        <v/>
      </c>
      <c r="N705" s="49">
        <f>M705+L705+K705+H705+G705+F705+E705+D705</f>
        <v/>
      </c>
      <c r="O705" s="32">
        <f>D705*1%</f>
        <v/>
      </c>
      <c r="P705" s="7">
        <f>N705*8%</f>
        <v/>
      </c>
      <c r="Q705" s="7">
        <f>N705*10%</f>
        <v/>
      </c>
      <c r="R705" s="7">
        <f>N705*5%</f>
        <v/>
      </c>
      <c r="S705" s="7">
        <f>N705*2%</f>
        <v/>
      </c>
      <c r="T705" s="7">
        <f>AE705*0.5%</f>
        <v/>
      </c>
      <c r="U705" s="7">
        <f>N705*1%</f>
        <v/>
      </c>
      <c r="V705" s="31">
        <f>U705+S705+R705+Q705+P705+O705</f>
        <v/>
      </c>
      <c r="W705" s="32">
        <f>AE705*1%</f>
        <v/>
      </c>
      <c r="X705" s="32">
        <f>AE705*10%</f>
        <v/>
      </c>
      <c r="Y705" s="32">
        <f>AE705*1%</f>
        <v/>
      </c>
      <c r="Z705" s="32">
        <f>AE705*8%</f>
        <v/>
      </c>
      <c r="AA705" s="32">
        <f>W705+X705+Y705+Z705</f>
        <v/>
      </c>
      <c r="AB705" s="31">
        <f>AA705+V705+N705</f>
        <v/>
      </c>
      <c r="AC705" s="6">
        <f>AB705*20%</f>
        <v/>
      </c>
      <c r="AD705" s="7">
        <f>AB705+AC705</f>
        <v/>
      </c>
      <c r="AE705" s="32">
        <f>D705*2.1</f>
        <v/>
      </c>
      <c r="AF705" s="7">
        <f>AD705-AE705</f>
        <v/>
      </c>
      <c r="AG705" s="7">
        <f>AF705/AD705*100</f>
        <v/>
      </c>
      <c r="AH705" s="0" t="n">
        <v>1350</v>
      </c>
      <c r="AI705" s="33" t="n">
        <v>1270</v>
      </c>
      <c r="AJ705" s="34">
        <f>AD705</f>
        <v/>
      </c>
      <c r="AK705" s="34">
        <f>AJ705-(AJ705*7%)</f>
        <v/>
      </c>
      <c r="AL705" s="35">
        <f>AJ705/94</f>
        <v/>
      </c>
      <c r="AM705" s="35">
        <f>AK705/94</f>
        <v/>
      </c>
      <c r="AN705" s="36">
        <f>AJ705/24</f>
        <v/>
      </c>
      <c r="AO705" s="36">
        <f>AK705/24</f>
        <v/>
      </c>
      <c r="AP705" s="37">
        <f>AJ705/125</f>
        <v/>
      </c>
      <c r="AQ705" s="37">
        <f>AK705/125</f>
        <v/>
      </c>
    </row>
    <row r="706" ht="15.75" customHeight="1" s="50">
      <c r="A706" s="32" t="n"/>
      <c r="B706" s="32" t="inlineStr">
        <is>
          <t>Standard</t>
        </is>
      </c>
      <c r="C706" s="32" t="inlineStr">
        <is>
          <t>MI-BB-3</t>
        </is>
      </c>
      <c r="D706" s="32" t="n">
        <v>80</v>
      </c>
      <c r="G706" s="32" t="n">
        <v>0</v>
      </c>
      <c r="H706" s="32" t="n">
        <v>10</v>
      </c>
      <c r="I706" s="41" t="n">
        <v>8306</v>
      </c>
      <c r="J706" s="30" t="n">
        <v>0.05</v>
      </c>
      <c r="K706" s="32">
        <f>D706*J706</f>
        <v/>
      </c>
      <c r="L706" s="32">
        <f>D706*5%</f>
        <v/>
      </c>
      <c r="M706" s="32">
        <f>D706*4%</f>
        <v/>
      </c>
      <c r="N706" s="49">
        <f>M706+L706+K706+H706+G706+F706+E706+D706</f>
        <v/>
      </c>
      <c r="O706" s="32">
        <f>D706*1%</f>
        <v/>
      </c>
      <c r="P706" s="7">
        <f>N706*8%</f>
        <v/>
      </c>
      <c r="Q706" s="7">
        <f>N706*10%</f>
        <v/>
      </c>
      <c r="R706" s="7">
        <f>N706*5%</f>
        <v/>
      </c>
      <c r="S706" s="7">
        <f>N706*2%</f>
        <v/>
      </c>
      <c r="T706" s="7">
        <f>AE706*0.5%</f>
        <v/>
      </c>
      <c r="U706" s="7">
        <f>N706*1%</f>
        <v/>
      </c>
      <c r="V706" s="31">
        <f>U706+S706+R706+Q706+P706+O706</f>
        <v/>
      </c>
      <c r="W706" s="32">
        <f>AE706*1%</f>
        <v/>
      </c>
      <c r="X706" s="32">
        <f>AE706*10%</f>
        <v/>
      </c>
      <c r="Y706" s="32">
        <f>AE706*1%</f>
        <v/>
      </c>
      <c r="Z706" s="32">
        <f>AE706*8%</f>
        <v/>
      </c>
      <c r="AA706" s="32">
        <f>W706+X706+Y706+Z706</f>
        <v/>
      </c>
      <c r="AB706" s="31">
        <f>AA706+V706+N706</f>
        <v/>
      </c>
      <c r="AC706" s="6">
        <f>AB706*20%</f>
        <v/>
      </c>
      <c r="AD706" s="7">
        <f>AB706+AC706</f>
        <v/>
      </c>
      <c r="AE706" s="32">
        <f>D706*2.1</f>
        <v/>
      </c>
      <c r="AF706" s="7">
        <f>AD706-AE706</f>
        <v/>
      </c>
      <c r="AG706" s="7">
        <f>AF706/AD706*100</f>
        <v/>
      </c>
      <c r="AH706" s="0" t="n">
        <v>1650</v>
      </c>
      <c r="AI706" s="33" t="n">
        <v>1570</v>
      </c>
      <c r="AJ706" s="34">
        <f>AD706</f>
        <v/>
      </c>
      <c r="AK706" s="34">
        <f>AJ706-(AJ706*7%)</f>
        <v/>
      </c>
      <c r="AL706" s="35">
        <f>AJ706/94</f>
        <v/>
      </c>
      <c r="AM706" s="35">
        <f>AK706/94</f>
        <v/>
      </c>
      <c r="AN706" s="36">
        <f>AJ706/24</f>
        <v/>
      </c>
      <c r="AO706" s="36">
        <f>AK706/24</f>
        <v/>
      </c>
      <c r="AP706" s="37">
        <f>AJ706/125</f>
        <v/>
      </c>
      <c r="AQ706" s="37">
        <f>AK706/125</f>
        <v/>
      </c>
    </row>
    <row r="707" ht="15.75" customHeight="1" s="50">
      <c r="A707" s="32" t="n"/>
      <c r="B707" s="32" t="inlineStr">
        <is>
          <t>Large</t>
        </is>
      </c>
      <c r="C707" s="32" t="inlineStr">
        <is>
          <t>MI-BB-3.5</t>
        </is>
      </c>
      <c r="D707" s="32" t="n">
        <v>100</v>
      </c>
      <c r="G707" s="32" t="n">
        <v>0</v>
      </c>
      <c r="H707" s="32" t="n">
        <v>10</v>
      </c>
      <c r="I707" s="41" t="n">
        <v>8306</v>
      </c>
      <c r="J707" s="30" t="n">
        <v>0.05</v>
      </c>
      <c r="K707" s="32">
        <f>D707*J707</f>
        <v/>
      </c>
      <c r="L707" s="32">
        <f>D707*5%</f>
        <v/>
      </c>
      <c r="M707" s="32">
        <f>D707*4%</f>
        <v/>
      </c>
      <c r="N707" s="49">
        <f>M707+L707+K707+H707+G707+F707+E707+D707</f>
        <v/>
      </c>
      <c r="O707" s="32">
        <f>D707*1%</f>
        <v/>
      </c>
      <c r="P707" s="7">
        <f>N707*8%</f>
        <v/>
      </c>
      <c r="Q707" s="7">
        <f>N707*10%</f>
        <v/>
      </c>
      <c r="R707" s="7">
        <f>N707*5%</f>
        <v/>
      </c>
      <c r="S707" s="7">
        <f>N707*2%</f>
        <v/>
      </c>
      <c r="T707" s="7">
        <f>AE707*0.5%</f>
        <v/>
      </c>
      <c r="U707" s="7">
        <f>N707*1%</f>
        <v/>
      </c>
      <c r="V707" s="31">
        <f>U707+S707+R707+Q707+P707+O707</f>
        <v/>
      </c>
      <c r="W707" s="32">
        <f>AE707*1%</f>
        <v/>
      </c>
      <c r="X707" s="32">
        <f>AE707*10%</f>
        <v/>
      </c>
      <c r="Y707" s="32">
        <f>AE707*1%</f>
        <v/>
      </c>
      <c r="Z707" s="32">
        <f>AE707*8%</f>
        <v/>
      </c>
      <c r="AA707" s="32">
        <f>W707+X707+Y707+Z707</f>
        <v/>
      </c>
      <c r="AB707" s="31">
        <f>AA707+V707+N707</f>
        <v/>
      </c>
      <c r="AC707" s="6">
        <f>AB707*20%</f>
        <v/>
      </c>
      <c r="AD707" s="7">
        <f>AB707+AC707</f>
        <v/>
      </c>
      <c r="AE707" s="32">
        <f>D707*2.1</f>
        <v/>
      </c>
      <c r="AF707" s="7">
        <f>AD707-AE707</f>
        <v/>
      </c>
      <c r="AG707" s="7">
        <f>AF707/AD707*100</f>
        <v/>
      </c>
      <c r="AH707" s="0" t="n">
        <v>1850</v>
      </c>
      <c r="AI707" s="33" t="n">
        <v>1750</v>
      </c>
      <c r="AJ707" s="34">
        <f>AD707</f>
        <v/>
      </c>
      <c r="AK707" s="34">
        <f>AJ707-(AJ707*7%)</f>
        <v/>
      </c>
      <c r="AL707" s="35">
        <f>AJ707/94</f>
        <v/>
      </c>
      <c r="AM707" s="35">
        <f>AK707/94</f>
        <v/>
      </c>
      <c r="AN707" s="36">
        <f>AJ707/24</f>
        <v/>
      </c>
      <c r="AO707" s="36">
        <f>AK707/24</f>
        <v/>
      </c>
      <c r="AP707" s="37">
        <f>AJ707/125</f>
        <v/>
      </c>
      <c r="AQ707" s="37">
        <f>AK707/125</f>
        <v/>
      </c>
    </row>
    <row r="708" ht="15.75" customHeight="1" s="50">
      <c r="A708" s="32" t="n"/>
      <c r="B708" s="32" t="inlineStr">
        <is>
          <t>Extra Large</t>
        </is>
      </c>
      <c r="G708" s="32" t="n">
        <v>0</v>
      </c>
      <c r="H708" s="32" t="n">
        <v>10</v>
      </c>
      <c r="I708" s="41" t="n">
        <v>8306</v>
      </c>
      <c r="J708" s="30" t="n">
        <v>0.05</v>
      </c>
      <c r="K708" s="32">
        <f>D708*J708</f>
        <v/>
      </c>
      <c r="M708" s="32">
        <f>D708*4%</f>
        <v/>
      </c>
      <c r="N708" s="49">
        <f>M708+L708+K708+H708+G708+F708+E708+D708</f>
        <v/>
      </c>
      <c r="O708" s="32">
        <f>D708*1%</f>
        <v/>
      </c>
      <c r="P708" s="7">
        <f>N708*8%</f>
        <v/>
      </c>
      <c r="Q708" s="7">
        <f>N708*10%</f>
        <v/>
      </c>
      <c r="R708" s="7">
        <f>N708*5%</f>
        <v/>
      </c>
      <c r="S708" s="7">
        <f>N708*2%</f>
        <v/>
      </c>
      <c r="T708" s="7">
        <f>AE708*0.5%</f>
        <v/>
      </c>
      <c r="U708" s="7">
        <f>N708*1%</f>
        <v/>
      </c>
      <c r="V708" s="31">
        <f>U708+S708+R708+Q708+P708+O708</f>
        <v/>
      </c>
      <c r="W708" s="32">
        <f>AE708*1%</f>
        <v/>
      </c>
      <c r="X708" s="32">
        <f>AE708*10%</f>
        <v/>
      </c>
      <c r="Y708" s="32">
        <f>AE708*1%</f>
        <v/>
      </c>
      <c r="Z708" s="32">
        <f>AE708*8%</f>
        <v/>
      </c>
      <c r="AA708" s="32">
        <f>W708+X708+Y708+Z708</f>
        <v/>
      </c>
      <c r="AB708" s="31">
        <f>AA708+V708+N708</f>
        <v/>
      </c>
      <c r="AC708" s="6">
        <f>AB708*20%</f>
        <v/>
      </c>
      <c r="AD708" s="7">
        <f>AB708+AC708</f>
        <v/>
      </c>
      <c r="AE708" s="32">
        <f>D708*2.1</f>
        <v/>
      </c>
      <c r="AF708" s="7">
        <f>AD708-AE708</f>
        <v/>
      </c>
      <c r="AG708" s="7">
        <f>AF708/AD708*100</f>
        <v/>
      </c>
      <c r="AI708" s="33" t="n"/>
      <c r="AJ708" s="34">
        <f>AD708</f>
        <v/>
      </c>
      <c r="AK708" s="34">
        <f>AJ708-(AJ708*7%)</f>
        <v/>
      </c>
      <c r="AL708" s="35">
        <f>AJ708/94</f>
        <v/>
      </c>
      <c r="AM708" s="35">
        <f>AK708/94</f>
        <v/>
      </c>
      <c r="AN708" s="36">
        <f>AJ708/24</f>
        <v/>
      </c>
      <c r="AO708" s="36">
        <f>AK708/24</f>
        <v/>
      </c>
      <c r="AP708" s="37">
        <f>AJ708/125</f>
        <v/>
      </c>
      <c r="AQ708" s="37">
        <f>AK708/125</f>
        <v/>
      </c>
    </row>
    <row r="709" ht="15" customHeight="1" s="50">
      <c r="A709" s="32" t="inlineStr">
        <is>
          <t>Tingsha Bell</t>
        </is>
      </c>
      <c r="B709" s="32" t="inlineStr">
        <is>
          <t>Golden / Small</t>
        </is>
      </c>
      <c r="D709" s="32" t="n">
        <v>490</v>
      </c>
      <c r="E709" s="32" t="n">
        <v>80</v>
      </c>
      <c r="G709" s="32" t="n">
        <v>0</v>
      </c>
      <c r="H709" s="32" t="n">
        <v>10</v>
      </c>
      <c r="I709" s="41" t="n">
        <v>8306</v>
      </c>
      <c r="J709" s="30" t="n">
        <v>0.05</v>
      </c>
      <c r="K709" s="32">
        <f>D709*J709</f>
        <v/>
      </c>
      <c r="M709" s="32">
        <f>D709*4%</f>
        <v/>
      </c>
      <c r="N709" s="49">
        <f>M709+L709+K709+H709+G709+F709+E709+D709</f>
        <v/>
      </c>
      <c r="O709" s="32">
        <f>D709*1%</f>
        <v/>
      </c>
      <c r="P709" s="7">
        <f>N709*8%</f>
        <v/>
      </c>
      <c r="Q709" s="7">
        <f>N709*10%</f>
        <v/>
      </c>
      <c r="R709" s="7">
        <f>N709*5%</f>
        <v/>
      </c>
      <c r="S709" s="7">
        <f>N709*2%</f>
        <v/>
      </c>
      <c r="T709" s="7">
        <f>AE709*0.5%</f>
        <v/>
      </c>
      <c r="U709" s="7">
        <f>N709*1%</f>
        <v/>
      </c>
      <c r="V709" s="31">
        <f>U709+S709+R709+Q709+P709+O709</f>
        <v/>
      </c>
      <c r="W709" s="32">
        <f>AE709*1%</f>
        <v/>
      </c>
      <c r="X709" s="32">
        <f>AE709*10%</f>
        <v/>
      </c>
      <c r="Y709" s="32">
        <f>AE709*1%</f>
        <v/>
      </c>
      <c r="Z709" s="32">
        <f>AE709*8%</f>
        <v/>
      </c>
      <c r="AA709" s="32">
        <f>W709+X709+Y709+Z709</f>
        <v/>
      </c>
      <c r="AB709" s="31">
        <f>AA709+V709+N709</f>
        <v/>
      </c>
      <c r="AC709" s="6">
        <f>AB709*20%</f>
        <v/>
      </c>
      <c r="AD709" s="7">
        <f>AB709+AC709</f>
        <v/>
      </c>
      <c r="AE709" s="32">
        <f>D709*2.1</f>
        <v/>
      </c>
      <c r="AF709" s="7">
        <f>AD709-AE709</f>
        <v/>
      </c>
      <c r="AG709" s="7">
        <f>AF709/AD709*100</f>
        <v/>
      </c>
      <c r="AI709" s="33" t="n"/>
      <c r="AJ709" s="34">
        <f>AD709</f>
        <v/>
      </c>
      <c r="AK709" s="34">
        <f>AJ709-(AJ709*7%)</f>
        <v/>
      </c>
      <c r="AL709" s="35">
        <f>AJ709/94</f>
        <v/>
      </c>
      <c r="AM709" s="35">
        <f>AK709/94</f>
        <v/>
      </c>
      <c r="AN709" s="36">
        <f>AJ709/24</f>
        <v/>
      </c>
      <c r="AO709" s="36">
        <f>AK709/24</f>
        <v/>
      </c>
      <c r="AP709" s="37">
        <f>AJ709/125</f>
        <v/>
      </c>
      <c r="AQ709" s="37">
        <f>AK709/125</f>
        <v/>
      </c>
    </row>
    <row r="710" ht="15.75" customHeight="1" s="50">
      <c r="A710" s="32" t="n"/>
      <c r="B710" s="32" t="inlineStr">
        <is>
          <t>Standard / Golden</t>
        </is>
      </c>
      <c r="D710" s="32" t="n">
        <v>535</v>
      </c>
      <c r="E710" s="32" t="n">
        <v>80</v>
      </c>
      <c r="G710" s="32" t="n">
        <v>0</v>
      </c>
      <c r="H710" s="32" t="n">
        <v>10</v>
      </c>
      <c r="I710" s="41" t="n">
        <v>8306</v>
      </c>
      <c r="J710" s="30" t="n">
        <v>0.05</v>
      </c>
      <c r="K710" s="32">
        <f>D710*J710</f>
        <v/>
      </c>
      <c r="M710" s="32">
        <f>D710*4%</f>
        <v/>
      </c>
      <c r="N710" s="49">
        <f>M710+L710+K710+H710+G710+F710+E710+D710</f>
        <v/>
      </c>
      <c r="O710" s="32">
        <f>D710*1%</f>
        <v/>
      </c>
      <c r="P710" s="7">
        <f>N710*8%</f>
        <v/>
      </c>
      <c r="Q710" s="7">
        <f>N710*10%</f>
        <v/>
      </c>
      <c r="R710" s="7">
        <f>N710*5%</f>
        <v/>
      </c>
      <c r="S710" s="7">
        <f>N710*2%</f>
        <v/>
      </c>
      <c r="T710" s="7">
        <f>AE710*0.5%</f>
        <v/>
      </c>
      <c r="U710" s="7">
        <f>N710*1%</f>
        <v/>
      </c>
      <c r="V710" s="31">
        <f>U710+S710+R710+Q710+P710+O710</f>
        <v/>
      </c>
      <c r="W710" s="32">
        <f>AE710*1%</f>
        <v/>
      </c>
      <c r="X710" s="32">
        <f>AE710*10%</f>
        <v/>
      </c>
      <c r="Y710" s="32">
        <f>AE710*1%</f>
        <v/>
      </c>
      <c r="Z710" s="32">
        <f>AE710*8%</f>
        <v/>
      </c>
      <c r="AA710" s="32">
        <f>W710+X710+Y710+Z710</f>
        <v/>
      </c>
      <c r="AB710" s="31">
        <f>AA710+V710+N710</f>
        <v/>
      </c>
      <c r="AC710" s="6">
        <f>AB710*20%</f>
        <v/>
      </c>
      <c r="AD710" s="7">
        <f>AB710+AC710</f>
        <v/>
      </c>
      <c r="AE710" s="32">
        <f>D710*2.1</f>
        <v/>
      </c>
      <c r="AF710" s="7">
        <f>AD710-AE710</f>
        <v/>
      </c>
      <c r="AG710" s="7">
        <f>AF710/AD710*100</f>
        <v/>
      </c>
      <c r="AI710" s="33" t="n"/>
      <c r="AJ710" s="34">
        <f>AD710</f>
        <v/>
      </c>
      <c r="AK710" s="34">
        <f>AJ710-(AJ710*7%)</f>
        <v/>
      </c>
      <c r="AL710" s="35">
        <f>AJ710/94</f>
        <v/>
      </c>
      <c r="AM710" s="35">
        <f>AK710/94</f>
        <v/>
      </c>
      <c r="AN710" s="36">
        <f>AJ710/24</f>
        <v/>
      </c>
      <c r="AO710" s="36">
        <f>AK710/24</f>
        <v/>
      </c>
      <c r="AP710" s="37">
        <f>AJ710/125</f>
        <v/>
      </c>
      <c r="AQ710" s="37">
        <f>AK710/125</f>
        <v/>
      </c>
    </row>
    <row r="711" ht="15.75" customHeight="1" s="50">
      <c r="A711" s="32" t="n"/>
      <c r="B711" s="32" t="inlineStr">
        <is>
          <t>Dark / Small</t>
        </is>
      </c>
      <c r="D711" s="32" t="n">
        <v>490</v>
      </c>
      <c r="E711" s="32" t="n">
        <v>80</v>
      </c>
      <c r="G711" s="32" t="n">
        <v>0</v>
      </c>
      <c r="H711" s="32" t="n">
        <v>10</v>
      </c>
      <c r="I711" s="41" t="n">
        <v>8306</v>
      </c>
      <c r="J711" s="30" t="n">
        <v>0.05</v>
      </c>
      <c r="K711" s="32">
        <f>D711*J711</f>
        <v/>
      </c>
      <c r="M711" s="32">
        <f>D711*4%</f>
        <v/>
      </c>
      <c r="N711" s="49">
        <f>M711+L711+K711+H711+G711+F711+E711+D711</f>
        <v/>
      </c>
      <c r="O711" s="32">
        <f>D711*1%</f>
        <v/>
      </c>
      <c r="P711" s="7">
        <f>N711*8%</f>
        <v/>
      </c>
      <c r="Q711" s="7">
        <f>N711*10%</f>
        <v/>
      </c>
      <c r="R711" s="7">
        <f>N711*5%</f>
        <v/>
      </c>
      <c r="S711" s="7">
        <f>N711*2%</f>
        <v/>
      </c>
      <c r="T711" s="7">
        <f>AE711*0.5%</f>
        <v/>
      </c>
      <c r="U711" s="7">
        <f>N711*1%</f>
        <v/>
      </c>
      <c r="V711" s="31">
        <f>U711+S711+R711+Q711+P711+O711</f>
        <v/>
      </c>
      <c r="W711" s="32">
        <f>AE711*1%</f>
        <v/>
      </c>
      <c r="X711" s="32">
        <f>AE711*10%</f>
        <v/>
      </c>
      <c r="Y711" s="32">
        <f>AE711*1%</f>
        <v/>
      </c>
      <c r="Z711" s="32">
        <f>AE711*8%</f>
        <v/>
      </c>
      <c r="AA711" s="32">
        <f>W711+X711+Y711+Z711</f>
        <v/>
      </c>
      <c r="AB711" s="31">
        <f>AA711+V711+N711</f>
        <v/>
      </c>
      <c r="AC711" s="6">
        <f>AB711*20%</f>
        <v/>
      </c>
      <c r="AD711" s="7">
        <f>AB711+AC711</f>
        <v/>
      </c>
      <c r="AE711" s="32">
        <f>D711*2.1</f>
        <v/>
      </c>
      <c r="AF711" s="7">
        <f>AD711-AE711</f>
        <v/>
      </c>
      <c r="AG711" s="7">
        <f>AF711/AD711*100</f>
        <v/>
      </c>
      <c r="AI711" s="33" t="n"/>
      <c r="AJ711" s="34">
        <f>AD711</f>
        <v/>
      </c>
      <c r="AK711" s="34">
        <f>AJ711-(AJ711*7%)</f>
        <v/>
      </c>
      <c r="AL711" s="35">
        <f>AJ711/94</f>
        <v/>
      </c>
      <c r="AM711" s="35">
        <f>AK711/94</f>
        <v/>
      </c>
      <c r="AN711" s="36">
        <f>AJ711/24</f>
        <v/>
      </c>
      <c r="AO711" s="36">
        <f>AK711/24</f>
        <v/>
      </c>
      <c r="AP711" s="37">
        <f>AJ711/125</f>
        <v/>
      </c>
      <c r="AQ711" s="37">
        <f>AK711/125</f>
        <v/>
      </c>
    </row>
    <row r="712" ht="15.75" customHeight="1" s="50">
      <c r="A712" s="32" t="n"/>
      <c r="B712" s="32" t="inlineStr">
        <is>
          <t>Standard / Dark</t>
        </is>
      </c>
      <c r="D712" s="32" t="n">
        <v>535</v>
      </c>
      <c r="E712" s="32" t="n">
        <v>80</v>
      </c>
      <c r="G712" s="32" t="n">
        <v>0</v>
      </c>
      <c r="H712" s="32" t="n">
        <v>10</v>
      </c>
      <c r="I712" s="41" t="n">
        <v>8306</v>
      </c>
      <c r="J712" s="30" t="n">
        <v>0.05</v>
      </c>
      <c r="K712" s="32">
        <f>D712*J712</f>
        <v/>
      </c>
      <c r="M712" s="32">
        <f>D712*4%</f>
        <v/>
      </c>
      <c r="N712" s="49">
        <f>M712+L712+K712+H712+G712+F712+E712+D712</f>
        <v/>
      </c>
      <c r="O712" s="32">
        <f>D712*1%</f>
        <v/>
      </c>
      <c r="P712" s="7">
        <f>N712*8%</f>
        <v/>
      </c>
      <c r="Q712" s="7">
        <f>N712*10%</f>
        <v/>
      </c>
      <c r="R712" s="7">
        <f>N712*5%</f>
        <v/>
      </c>
      <c r="S712" s="7">
        <f>N712*2%</f>
        <v/>
      </c>
      <c r="T712" s="7">
        <f>AE712*0.5%</f>
        <v/>
      </c>
      <c r="U712" s="7">
        <f>N712*1%</f>
        <v/>
      </c>
      <c r="V712" s="31">
        <f>U712+S712+R712+Q712+P712+O712</f>
        <v/>
      </c>
      <c r="W712" s="32">
        <f>AE712*1%</f>
        <v/>
      </c>
      <c r="X712" s="32">
        <f>AE712*10%</f>
        <v/>
      </c>
      <c r="Y712" s="32">
        <f>AE712*1%</f>
        <v/>
      </c>
      <c r="Z712" s="32">
        <f>AE712*8%</f>
        <v/>
      </c>
      <c r="AA712" s="32">
        <f>W712+X712+Y712+Z712</f>
        <v/>
      </c>
      <c r="AB712" s="31">
        <f>AA712+V712+N712</f>
        <v/>
      </c>
      <c r="AC712" s="6">
        <f>AB712*20%</f>
        <v/>
      </c>
      <c r="AD712" s="7">
        <f>AB712+AC712</f>
        <v/>
      </c>
      <c r="AE712" s="32">
        <f>D712*2.1</f>
        <v/>
      </c>
      <c r="AF712" s="7">
        <f>AD712-AE712</f>
        <v/>
      </c>
      <c r="AG712" s="7">
        <f>AF712/AD712*100</f>
        <v/>
      </c>
      <c r="AI712" s="33" t="n"/>
      <c r="AJ712" s="34">
        <f>AD712</f>
        <v/>
      </c>
      <c r="AK712" s="34">
        <f>AJ712-(AJ712*7%)</f>
        <v/>
      </c>
      <c r="AL712" s="35">
        <f>AJ712/94</f>
        <v/>
      </c>
      <c r="AM712" s="35">
        <f>AK712/94</f>
        <v/>
      </c>
      <c r="AN712" s="36">
        <f>AJ712/24</f>
        <v/>
      </c>
      <c r="AO712" s="36">
        <f>AK712/24</f>
        <v/>
      </c>
      <c r="AP712" s="37">
        <f>AJ712/125</f>
        <v/>
      </c>
      <c r="AQ712" s="37">
        <f>AK712/125</f>
        <v/>
      </c>
    </row>
    <row r="713" ht="15.75" customHeight="1" s="50">
      <c r="A713" s="32" t="n"/>
      <c r="B713" s="32" t="inlineStr">
        <is>
          <t>Small / Etched</t>
        </is>
      </c>
      <c r="D713" s="32" t="n">
        <v>500</v>
      </c>
      <c r="E713" s="32" t="n">
        <v>80</v>
      </c>
      <c r="G713" s="32" t="n">
        <v>0</v>
      </c>
      <c r="H713" s="32" t="n">
        <v>10</v>
      </c>
      <c r="I713" s="41" t="n">
        <v>8306</v>
      </c>
      <c r="J713" s="30" t="n">
        <v>0.05</v>
      </c>
      <c r="K713" s="32">
        <f>D713*J713</f>
        <v/>
      </c>
      <c r="M713" s="32">
        <f>D713*4%</f>
        <v/>
      </c>
      <c r="N713" s="49">
        <f>M713+L713+K713+H713+G713+F713+E713+D713</f>
        <v/>
      </c>
      <c r="O713" s="32">
        <f>D713*1%</f>
        <v/>
      </c>
      <c r="P713" s="7">
        <f>N713*8%</f>
        <v/>
      </c>
      <c r="Q713" s="7">
        <f>N713*10%</f>
        <v/>
      </c>
      <c r="R713" s="7">
        <f>N713*5%</f>
        <v/>
      </c>
      <c r="S713" s="7">
        <f>N713*2%</f>
        <v/>
      </c>
      <c r="T713" s="7">
        <f>AE713*0.5%</f>
        <v/>
      </c>
      <c r="U713" s="7">
        <f>N713*1%</f>
        <v/>
      </c>
      <c r="V713" s="31">
        <f>U713+S713+R713+Q713+P713+O713</f>
        <v/>
      </c>
      <c r="W713" s="32">
        <f>AE713*1%</f>
        <v/>
      </c>
      <c r="X713" s="32">
        <f>AE713*10%</f>
        <v/>
      </c>
      <c r="Y713" s="32">
        <f>AE713*1%</f>
        <v/>
      </c>
      <c r="Z713" s="32">
        <f>AE713*8%</f>
        <v/>
      </c>
      <c r="AA713" s="32">
        <f>W713+X713+Y713+Z713</f>
        <v/>
      </c>
      <c r="AB713" s="31">
        <f>AA713+V713+N713</f>
        <v/>
      </c>
      <c r="AC713" s="6">
        <f>AB713*20%</f>
        <v/>
      </c>
      <c r="AD713" s="7">
        <f>AB713+AC713</f>
        <v/>
      </c>
      <c r="AE713" s="32">
        <f>D713*2.1</f>
        <v/>
      </c>
      <c r="AF713" s="7">
        <f>AD713-AE713</f>
        <v/>
      </c>
      <c r="AG713" s="7">
        <f>AF713/AD713*100</f>
        <v/>
      </c>
      <c r="AI713" s="33" t="n"/>
      <c r="AJ713" s="34">
        <f>AD713</f>
        <v/>
      </c>
      <c r="AK713" s="34">
        <f>AJ713-(AJ713*7%)</f>
        <v/>
      </c>
      <c r="AL713" s="35">
        <f>AJ713/94</f>
        <v/>
      </c>
      <c r="AM713" s="35">
        <f>AK713/94</f>
        <v/>
      </c>
      <c r="AN713" s="36">
        <f>AJ713/24</f>
        <v/>
      </c>
      <c r="AO713" s="36">
        <f>AK713/24</f>
        <v/>
      </c>
      <c r="AP713" s="37">
        <f>AJ713/125</f>
        <v/>
      </c>
      <c r="AQ713" s="37">
        <f>AK713/125</f>
        <v/>
      </c>
    </row>
    <row r="714" ht="15.75" customHeight="1" s="50">
      <c r="A714" s="32" t="n"/>
      <c r="B714" s="32" t="inlineStr">
        <is>
          <t>Standard / Etched</t>
        </is>
      </c>
      <c r="D714" s="32" t="n">
        <v>520</v>
      </c>
      <c r="E714" s="32" t="n">
        <v>80</v>
      </c>
      <c r="G714" s="32" t="n">
        <v>0</v>
      </c>
      <c r="H714" s="32" t="n">
        <v>10</v>
      </c>
      <c r="I714" s="41" t="n">
        <v>8306</v>
      </c>
      <c r="J714" s="30" t="n">
        <v>0.05</v>
      </c>
      <c r="K714" s="32">
        <f>D714*J714</f>
        <v/>
      </c>
      <c r="M714" s="32">
        <f>D714*4%</f>
        <v/>
      </c>
      <c r="N714" s="49">
        <f>M714+L714+K714+H714+G714+F714+E714+D714</f>
        <v/>
      </c>
      <c r="O714" s="32">
        <f>D714*1%</f>
        <v/>
      </c>
      <c r="P714" s="7">
        <f>N714*8%</f>
        <v/>
      </c>
      <c r="Q714" s="7">
        <f>N714*10%</f>
        <v/>
      </c>
      <c r="R714" s="7">
        <f>N714*5%</f>
        <v/>
      </c>
      <c r="S714" s="7">
        <f>N714*2%</f>
        <v/>
      </c>
      <c r="T714" s="7">
        <f>AE714*0.5%</f>
        <v/>
      </c>
      <c r="U714" s="7">
        <f>N714*1%</f>
        <v/>
      </c>
      <c r="V714" s="31">
        <f>U714+S714+R714+Q714+P714+O714</f>
        <v/>
      </c>
      <c r="W714" s="32">
        <f>AE714*1%</f>
        <v/>
      </c>
      <c r="X714" s="32">
        <f>AE714*10%</f>
        <v/>
      </c>
      <c r="Y714" s="32">
        <f>AE714*1%</f>
        <v/>
      </c>
      <c r="Z714" s="32">
        <f>AE714*8%</f>
        <v/>
      </c>
      <c r="AA714" s="32">
        <f>W714+X714+Y714+Z714</f>
        <v/>
      </c>
      <c r="AB714" s="31">
        <f>AA714+V714+N714</f>
        <v/>
      </c>
      <c r="AC714" s="6">
        <f>AB714*20%</f>
        <v/>
      </c>
      <c r="AD714" s="7">
        <f>AB714+AC714</f>
        <v/>
      </c>
      <c r="AE714" s="32">
        <f>D714*2.1</f>
        <v/>
      </c>
      <c r="AF714" s="7">
        <f>AD714-AE714</f>
        <v/>
      </c>
      <c r="AG714" s="7">
        <f>AF714/AD714*100</f>
        <v/>
      </c>
      <c r="AI714" s="33" t="n"/>
      <c r="AJ714" s="34">
        <f>AD714</f>
        <v/>
      </c>
      <c r="AK714" s="34">
        <f>AJ714-(AJ714*7%)</f>
        <v/>
      </c>
      <c r="AL714" s="35">
        <f>AJ714/94</f>
        <v/>
      </c>
      <c r="AM714" s="35">
        <f>AK714/94</f>
        <v/>
      </c>
      <c r="AN714" s="36">
        <f>AJ714/24</f>
        <v/>
      </c>
      <c r="AO714" s="36">
        <f>AK714/24</f>
        <v/>
      </c>
      <c r="AP714" s="37">
        <f>AJ714/125</f>
        <v/>
      </c>
      <c r="AQ714" s="37">
        <f>AK714/125</f>
        <v/>
      </c>
    </row>
    <row r="715" ht="15" customHeight="1" s="50">
      <c r="A715" s="32" t="inlineStr">
        <is>
          <t>Triad Crystal Bowl Set</t>
        </is>
      </c>
      <c r="B715" s="32" t="inlineStr">
        <is>
          <t>CEG</t>
        </is>
      </c>
      <c r="D715" s="32" t="n">
        <v>22000</v>
      </c>
      <c r="G715" s="32" t="n">
        <v>0</v>
      </c>
      <c r="H715" s="32" t="n">
        <v>10</v>
      </c>
      <c r="I715" s="44" t="n">
        <v>70139900</v>
      </c>
      <c r="J715" s="45" t="n">
        <v>0.18</v>
      </c>
      <c r="K715" s="32">
        <f>D715*J715</f>
        <v/>
      </c>
      <c r="M715" s="32">
        <f>D715*4%</f>
        <v/>
      </c>
      <c r="N715" s="49">
        <f>M715+L715+K715+H715+G715+F715+D716+D715</f>
        <v/>
      </c>
      <c r="O715" s="32">
        <f>D715*1%</f>
        <v/>
      </c>
      <c r="P715" s="7">
        <f>N715*8%</f>
        <v/>
      </c>
      <c r="Q715" s="7">
        <f>N715*10%</f>
        <v/>
      </c>
      <c r="R715" s="7">
        <f>N715*5%</f>
        <v/>
      </c>
      <c r="S715" s="7">
        <f>N715*2%</f>
        <v/>
      </c>
      <c r="T715" s="7">
        <f>AE715*0.5%</f>
        <v/>
      </c>
      <c r="U715" s="7">
        <f>N715*1%</f>
        <v/>
      </c>
      <c r="V715" s="49">
        <f>U715+S715+R715+Q715+P715+O715</f>
        <v/>
      </c>
      <c r="W715" s="32">
        <f>AE715*1%</f>
        <v/>
      </c>
      <c r="X715" s="32">
        <f>AE715*10%</f>
        <v/>
      </c>
      <c r="Y715" s="32">
        <f>AE715*1%</f>
        <v/>
      </c>
      <c r="Z715" s="32">
        <f>AE715*8%</f>
        <v/>
      </c>
      <c r="AA715" s="32">
        <f>W715+X715+Y715+Z715</f>
        <v/>
      </c>
      <c r="AB715" s="31">
        <f>AA715+V715+N715</f>
        <v/>
      </c>
      <c r="AC715" s="6">
        <f>AB715*20%</f>
        <v/>
      </c>
      <c r="AD715" s="32">
        <f>AB715+AC715</f>
        <v/>
      </c>
      <c r="AE715" s="32">
        <f>D715*2.1</f>
        <v/>
      </c>
      <c r="AF715" s="7">
        <f>AD715-AE715</f>
        <v/>
      </c>
      <c r="AG715" s="7">
        <f>AF715/AD715*100</f>
        <v/>
      </c>
      <c r="AI715" s="33" t="n"/>
      <c r="AJ715" s="34">
        <f>AD715</f>
        <v/>
      </c>
      <c r="AK715" s="34">
        <f>AJ715-(AJ715*7%)</f>
        <v/>
      </c>
      <c r="AL715" s="35">
        <f>AJ715/94</f>
        <v/>
      </c>
      <c r="AM715" s="35">
        <f>AK715/94</f>
        <v/>
      </c>
      <c r="AN715" s="36">
        <f>AJ715/24</f>
        <v/>
      </c>
      <c r="AO715" s="36">
        <f>AK715/24</f>
        <v/>
      </c>
      <c r="AP715" s="37">
        <f>AJ715/125</f>
        <v/>
      </c>
      <c r="AQ715" s="37">
        <f>AK715/125</f>
        <v/>
      </c>
    </row>
    <row r="716" ht="15.75" customHeight="1" s="50">
      <c r="A716" s="32" t="n"/>
      <c r="B716" s="32" t="inlineStr">
        <is>
          <t>DFA</t>
        </is>
      </c>
      <c r="D716" s="32" t="inlineStr">
        <is>
          <t>prasonit</t>
        </is>
      </c>
      <c r="G716" s="32" t="n">
        <v>0</v>
      </c>
      <c r="H716" s="32" t="n">
        <v>10</v>
      </c>
      <c r="I716" s="41" t="n">
        <v>83061000</v>
      </c>
      <c r="J716" s="30" t="n">
        <v>0.05</v>
      </c>
      <c r="K716" s="32">
        <f>#REF!*J716</f>
        <v/>
      </c>
      <c r="M716" s="32">
        <f>#REF!*4%</f>
        <v/>
      </c>
      <c r="N716" s="49">
        <f>M716+L716+K716+H716+G716+F716+E716+#REF!</f>
        <v/>
      </c>
      <c r="O716" s="32">
        <f>#REF!*1%</f>
        <v/>
      </c>
      <c r="P716" s="7">
        <f>N716*8%</f>
        <v/>
      </c>
      <c r="Q716" s="7">
        <f>N716*10%</f>
        <v/>
      </c>
      <c r="R716" s="7">
        <f>N716*5%</f>
        <v/>
      </c>
      <c r="S716" s="7">
        <f>N716*2%</f>
        <v/>
      </c>
      <c r="T716" s="7">
        <f>AE716*0.5%</f>
        <v/>
      </c>
      <c r="U716" s="7">
        <f>N716*1%</f>
        <v/>
      </c>
      <c r="V716" s="49">
        <f>U716+S716+R716+Q716+P716+O716</f>
        <v/>
      </c>
      <c r="W716" s="32">
        <f>AE716*1%</f>
        <v/>
      </c>
      <c r="X716" s="32">
        <f>AE716*10%</f>
        <v/>
      </c>
      <c r="Y716" s="32">
        <f>AE716*1%</f>
        <v/>
      </c>
      <c r="Z716" s="32">
        <f>AE716*8%</f>
        <v/>
      </c>
      <c r="AA716" s="32">
        <f>W716+X716+Y716+Z716</f>
        <v/>
      </c>
      <c r="AB716" s="31">
        <f>AA716+V716+N716</f>
        <v/>
      </c>
      <c r="AC716" s="6">
        <f>AB716*20%</f>
        <v/>
      </c>
      <c r="AD716" s="32">
        <f>AB716+AC716</f>
        <v/>
      </c>
      <c r="AE716" s="32">
        <f>#REF!*2.1</f>
        <v/>
      </c>
      <c r="AF716" s="7">
        <f>AD716-AE716</f>
        <v/>
      </c>
      <c r="AG716" s="7">
        <f>AF716/AD716*100</f>
        <v/>
      </c>
      <c r="AI716" s="33" t="n"/>
      <c r="AJ716" s="34">
        <f>AD716</f>
        <v/>
      </c>
      <c r="AK716" s="34">
        <f>AJ716-(AJ716*7%)</f>
        <v/>
      </c>
      <c r="AL716" s="35">
        <f>AJ716/94</f>
        <v/>
      </c>
      <c r="AM716" s="35">
        <f>AK716/94</f>
        <v/>
      </c>
      <c r="AN716" s="36">
        <f>AJ716/24</f>
        <v/>
      </c>
      <c r="AO716" s="36">
        <f>AK716/24</f>
        <v/>
      </c>
      <c r="AP716" s="37">
        <f>AJ716/125</f>
        <v/>
      </c>
      <c r="AQ716" s="37">
        <f>AK716/125</f>
        <v/>
      </c>
    </row>
    <row r="717" ht="15.75" customHeight="1" s="50">
      <c r="A717" s="32" t="n"/>
      <c r="B717" s="32" t="inlineStr">
        <is>
          <t>EGB</t>
        </is>
      </c>
      <c r="D717" s="32" t="n">
        <v>18000</v>
      </c>
      <c r="G717" s="32" t="n">
        <v>0</v>
      </c>
      <c r="H717" s="32" t="n">
        <v>10</v>
      </c>
      <c r="I717" s="44" t="n">
        <v>70139900</v>
      </c>
      <c r="J717" s="45" t="n">
        <v>0.18</v>
      </c>
      <c r="K717" s="32">
        <f>D717*J717</f>
        <v/>
      </c>
      <c r="M717" s="32">
        <f>D717*4%</f>
        <v/>
      </c>
      <c r="N717" s="49">
        <f>M717+L717+K717+H717+G717+F717+E717+D717</f>
        <v/>
      </c>
      <c r="O717" s="32">
        <f>D717*1%</f>
        <v/>
      </c>
      <c r="P717" s="7">
        <f>N717*8%</f>
        <v/>
      </c>
      <c r="Q717" s="7">
        <f>N717*10%</f>
        <v/>
      </c>
      <c r="R717" s="7">
        <f>N717*5%</f>
        <v/>
      </c>
      <c r="S717" s="7">
        <f>N717*2%</f>
        <v/>
      </c>
      <c r="T717" s="7">
        <f>AE717*0.5%</f>
        <v/>
      </c>
      <c r="U717" s="7">
        <f>N717*1%</f>
        <v/>
      </c>
      <c r="V717" s="31">
        <f>U717+S717+R717+Q717+P717+O717</f>
        <v/>
      </c>
      <c r="W717" s="32">
        <f>AE717*1%</f>
        <v/>
      </c>
      <c r="X717" s="32">
        <f>AE717*10%</f>
        <v/>
      </c>
      <c r="Y717" s="32">
        <f>AE717*1%</f>
        <v/>
      </c>
      <c r="Z717" s="32">
        <f>AE717*8%</f>
        <v/>
      </c>
      <c r="AA717" s="32">
        <f>W717+X717+Y717+Z717</f>
        <v/>
      </c>
      <c r="AB717" s="31">
        <f>AA717+V717+N717</f>
        <v/>
      </c>
      <c r="AC717" s="6">
        <f>AB717*20%</f>
        <v/>
      </c>
      <c r="AD717" s="7">
        <f>AB717+AC717</f>
        <v/>
      </c>
      <c r="AE717" s="32">
        <f>D717*2.1</f>
        <v/>
      </c>
      <c r="AF717" s="7">
        <f>AD717-AE717</f>
        <v/>
      </c>
      <c r="AG717" s="7">
        <f>AF717/AD717*100</f>
        <v/>
      </c>
      <c r="AI717" s="33" t="n"/>
      <c r="AJ717" s="34">
        <f>AD717</f>
        <v/>
      </c>
      <c r="AK717" s="34">
        <f>AJ717-(AJ717*7%)</f>
        <v/>
      </c>
      <c r="AL717" s="35">
        <f>AJ717/94</f>
        <v/>
      </c>
      <c r="AM717" s="35">
        <f>AK717/94</f>
        <v/>
      </c>
      <c r="AN717" s="36">
        <f>AJ717/24</f>
        <v/>
      </c>
      <c r="AO717" s="36">
        <f>AK717/24</f>
        <v/>
      </c>
      <c r="AP717" s="37">
        <f>AJ717/125</f>
        <v/>
      </c>
      <c r="AQ717" s="37">
        <f>AK717/125</f>
        <v/>
      </c>
    </row>
    <row r="718" ht="15" customHeight="1" s="50">
      <c r="A718" s="32" t="inlineStr">
        <is>
          <t>Tuning Fork - Single Weighted &amp; Unweighted</t>
        </is>
      </c>
      <c r="B718" s="32" t="inlineStr">
        <is>
          <t>Weighted / 128 Hz</t>
        </is>
      </c>
      <c r="C718" s="32" t="inlineStr">
        <is>
          <t>MI-TF-W-128</t>
        </is>
      </c>
      <c r="D718" s="32" t="n">
        <v>590</v>
      </c>
      <c r="G718" s="32" t="n">
        <v>0</v>
      </c>
      <c r="H718" s="32" t="n">
        <v>10</v>
      </c>
      <c r="I718" s="41" t="n">
        <v>9202</v>
      </c>
      <c r="J718" s="30" t="n">
        <v>0.18</v>
      </c>
      <c r="K718" s="32">
        <f>D718*J718</f>
        <v/>
      </c>
      <c r="M718" s="32">
        <f>D718*4%</f>
        <v/>
      </c>
      <c r="N718" s="49">
        <f>M718+L718+K718+H718+G718+F718+E718+D718</f>
        <v/>
      </c>
      <c r="O718" s="32">
        <f>D718*1%</f>
        <v/>
      </c>
      <c r="P718" s="7">
        <f>N718*8%</f>
        <v/>
      </c>
      <c r="Q718" s="7">
        <f>N718*10%</f>
        <v/>
      </c>
      <c r="R718" s="7">
        <f>N718*5%</f>
        <v/>
      </c>
      <c r="S718" s="7">
        <f>N718*2%</f>
        <v/>
      </c>
      <c r="T718" s="7">
        <f>AE718*0.5%</f>
        <v/>
      </c>
      <c r="U718" s="7">
        <f>N718*1%</f>
        <v/>
      </c>
      <c r="V718" s="31">
        <f>U718+S718+R718+Q718+P718+O718</f>
        <v/>
      </c>
      <c r="W718" s="32">
        <f>AE718*1%</f>
        <v/>
      </c>
      <c r="X718" s="32">
        <f>AE718*10%</f>
        <v/>
      </c>
      <c r="Y718" s="32">
        <f>AE718*1%</f>
        <v/>
      </c>
      <c r="Z718" s="32">
        <f>AE718*8%</f>
        <v/>
      </c>
      <c r="AA718" s="32">
        <f>W718+X718+Y718+Z718</f>
        <v/>
      </c>
      <c r="AB718" s="31">
        <f>AA718+V718+N718</f>
        <v/>
      </c>
      <c r="AC718" s="6">
        <f>AB718*20%</f>
        <v/>
      </c>
      <c r="AD718" s="7">
        <f>AB718+AC718</f>
        <v/>
      </c>
      <c r="AE718" s="32">
        <f>D718*2.1</f>
        <v/>
      </c>
      <c r="AF718" s="7">
        <f>AD718-AE718</f>
        <v/>
      </c>
      <c r="AG718" s="7">
        <f>AF718/AD718*100</f>
        <v/>
      </c>
      <c r="AH718" s="0" t="n">
        <v>2290</v>
      </c>
      <c r="AI718" s="33" t="n">
        <v>1700</v>
      </c>
      <c r="AJ718" s="34">
        <f>AD718</f>
        <v/>
      </c>
      <c r="AK718" s="34">
        <f>AJ718-(AJ718*7%)</f>
        <v/>
      </c>
      <c r="AL718" s="35">
        <f>AJ718/94</f>
        <v/>
      </c>
      <c r="AM718" s="35">
        <f>AK718/94</f>
        <v/>
      </c>
      <c r="AN718" s="36">
        <f>AJ718/24</f>
        <v/>
      </c>
      <c r="AO718" s="36">
        <f>AK718/24</f>
        <v/>
      </c>
      <c r="AP718" s="37">
        <f>AJ718/125</f>
        <v/>
      </c>
      <c r="AQ718" s="37">
        <f>AK718/125</f>
        <v/>
      </c>
    </row>
    <row r="719" ht="15.75" customHeight="1" s="50">
      <c r="A719" s="32" t="n"/>
      <c r="B719" s="32" t="inlineStr">
        <is>
          <t>Weighted / 256 Hz</t>
        </is>
      </c>
      <c r="C719" s="32" t="inlineStr">
        <is>
          <t>MI-TF-W-256</t>
        </is>
      </c>
      <c r="D719" s="32" t="n">
        <v>590</v>
      </c>
      <c r="G719" s="32" t="n">
        <v>0</v>
      </c>
      <c r="H719" s="32" t="n">
        <v>10</v>
      </c>
      <c r="I719" s="41" t="n">
        <v>9202</v>
      </c>
      <c r="J719" s="30" t="n">
        <v>0.18</v>
      </c>
      <c r="K719" s="32">
        <f>D719*J719</f>
        <v/>
      </c>
      <c r="M719" s="32">
        <f>D719*4%</f>
        <v/>
      </c>
      <c r="N719" s="49">
        <f>M719+L719+K719+H719+G719+F719+E719+D719</f>
        <v/>
      </c>
      <c r="O719" s="32">
        <f>D719*1%</f>
        <v/>
      </c>
      <c r="P719" s="7">
        <f>N719*8%</f>
        <v/>
      </c>
      <c r="Q719" s="7">
        <f>N719*10%</f>
        <v/>
      </c>
      <c r="R719" s="7">
        <f>N719*5%</f>
        <v/>
      </c>
      <c r="S719" s="7">
        <f>N719*2%</f>
        <v/>
      </c>
      <c r="T719" s="7">
        <f>AE719*0.5%</f>
        <v/>
      </c>
      <c r="U719" s="7">
        <f>N719*1%</f>
        <v/>
      </c>
      <c r="V719" s="31">
        <f>U719+S719+R719+Q719+P719+O719</f>
        <v/>
      </c>
      <c r="W719" s="32">
        <f>AE719*1%</f>
        <v/>
      </c>
      <c r="X719" s="32">
        <f>AE719*10%</f>
        <v/>
      </c>
      <c r="Y719" s="32">
        <f>AE719*1%</f>
        <v/>
      </c>
      <c r="Z719" s="32">
        <f>AE719*8%</f>
        <v/>
      </c>
      <c r="AA719" s="32">
        <f>W719+X719+Y719+Z719</f>
        <v/>
      </c>
      <c r="AB719" s="31">
        <f>AA719+V719+N719</f>
        <v/>
      </c>
      <c r="AC719" s="6">
        <f>AB719*20%</f>
        <v/>
      </c>
      <c r="AD719" s="7">
        <f>AB719+AC719</f>
        <v/>
      </c>
      <c r="AE719" s="32">
        <f>D719*2.1</f>
        <v/>
      </c>
      <c r="AF719" s="7">
        <f>AD719-AE719</f>
        <v/>
      </c>
      <c r="AG719" s="7">
        <f>AF719/AD719*100</f>
        <v/>
      </c>
      <c r="AH719" s="0" t="n">
        <v>1990</v>
      </c>
      <c r="AI719" s="33" t="n">
        <v>1400</v>
      </c>
      <c r="AJ719" s="34">
        <f>AD719</f>
        <v/>
      </c>
      <c r="AK719" s="34">
        <f>AJ719-(AJ719*7%)</f>
        <v/>
      </c>
      <c r="AL719" s="35">
        <f>AJ719/94</f>
        <v/>
      </c>
      <c r="AM719" s="35">
        <f>AK719/94</f>
        <v/>
      </c>
      <c r="AN719" s="36">
        <f>AJ719/24</f>
        <v/>
      </c>
      <c r="AO719" s="36">
        <f>AK719/24</f>
        <v/>
      </c>
      <c r="AP719" s="37">
        <f>AJ719/125</f>
        <v/>
      </c>
      <c r="AQ719" s="37">
        <f>AK719/125</f>
        <v/>
      </c>
    </row>
    <row r="720" ht="15.75" customHeight="1" s="50">
      <c r="A720" s="32" t="n"/>
      <c r="B720" s="32" t="inlineStr">
        <is>
          <t>Weighted / 432 Hz</t>
        </is>
      </c>
      <c r="C720" s="32" t="inlineStr">
        <is>
          <t>MI-TF-W-432</t>
        </is>
      </c>
      <c r="D720" s="32" t="n">
        <v>590</v>
      </c>
      <c r="G720" s="32" t="n">
        <v>0</v>
      </c>
      <c r="H720" s="32" t="n">
        <v>10</v>
      </c>
      <c r="I720" s="41" t="n">
        <v>9202</v>
      </c>
      <c r="J720" s="30" t="n">
        <v>0.18</v>
      </c>
      <c r="K720" s="32">
        <f>D720*J720</f>
        <v/>
      </c>
      <c r="M720" s="32">
        <f>D720*4%</f>
        <v/>
      </c>
      <c r="N720" s="49">
        <f>M720+L720+K720+H720+G720+F720+E720+D720</f>
        <v/>
      </c>
      <c r="O720" s="32">
        <f>D720*1%</f>
        <v/>
      </c>
      <c r="P720" s="7">
        <f>N720*8%</f>
        <v/>
      </c>
      <c r="Q720" s="7">
        <f>N720*10%</f>
        <v/>
      </c>
      <c r="R720" s="7">
        <f>N720*5%</f>
        <v/>
      </c>
      <c r="S720" s="7">
        <f>N720*2%</f>
        <v/>
      </c>
      <c r="T720" s="7">
        <f>AE720*0.5%</f>
        <v/>
      </c>
      <c r="U720" s="7">
        <f>N720*1%</f>
        <v/>
      </c>
      <c r="V720" s="31">
        <f>U720+S720+R720+Q720+P720+O720</f>
        <v/>
      </c>
      <c r="W720" s="32">
        <f>AE720*1%</f>
        <v/>
      </c>
      <c r="X720" s="32">
        <f>AE720*10%</f>
        <v/>
      </c>
      <c r="Y720" s="32">
        <f>AE720*1%</f>
        <v/>
      </c>
      <c r="Z720" s="32">
        <f>AE720*8%</f>
        <v/>
      </c>
      <c r="AA720" s="32">
        <f>W720+X720+Y720+Z720</f>
        <v/>
      </c>
      <c r="AB720" s="31">
        <f>AA720+V720+N720</f>
        <v/>
      </c>
      <c r="AC720" s="6">
        <f>AB720*20%</f>
        <v/>
      </c>
      <c r="AD720" s="7">
        <f>AB720+AC720</f>
        <v/>
      </c>
      <c r="AE720" s="32">
        <f>D720*2.1</f>
        <v/>
      </c>
      <c r="AF720" s="7">
        <f>AD720-AE720</f>
        <v/>
      </c>
      <c r="AG720" s="7">
        <f>AF720/AD720*100</f>
        <v/>
      </c>
      <c r="AH720" s="0" t="n">
        <v>1990</v>
      </c>
      <c r="AI720" s="33" t="n">
        <v>1400</v>
      </c>
      <c r="AJ720" s="34">
        <f>AD720</f>
        <v/>
      </c>
      <c r="AK720" s="34">
        <f>AJ720-(AJ720*7%)</f>
        <v/>
      </c>
      <c r="AL720" s="35">
        <f>AJ720/94</f>
        <v/>
      </c>
      <c r="AM720" s="35">
        <f>AK720/94</f>
        <v/>
      </c>
      <c r="AN720" s="36">
        <f>AJ720/24</f>
        <v/>
      </c>
      <c r="AO720" s="36">
        <f>AK720/24</f>
        <v/>
      </c>
      <c r="AP720" s="37">
        <f>AJ720/125</f>
        <v/>
      </c>
      <c r="AQ720" s="37">
        <f>AK720/125</f>
        <v/>
      </c>
    </row>
    <row r="721" ht="15.75" customHeight="1" s="50">
      <c r="A721" s="32" t="n"/>
      <c r="B721" s="32" t="inlineStr">
        <is>
          <t>Weighted / 68.05 Hz</t>
        </is>
      </c>
      <c r="D721" s="32" t="n">
        <v>590</v>
      </c>
      <c r="G721" s="32" t="n">
        <v>0</v>
      </c>
      <c r="H721" s="32" t="n">
        <v>10</v>
      </c>
      <c r="I721" s="41" t="n">
        <v>9202</v>
      </c>
      <c r="J721" s="30" t="n">
        <v>0.18</v>
      </c>
      <c r="K721" s="32">
        <f>D721*J721</f>
        <v/>
      </c>
      <c r="M721" s="32">
        <f>D721*4%</f>
        <v/>
      </c>
      <c r="N721" s="49">
        <f>M721+L721+K721+H721+G721+F721+E721+D721</f>
        <v/>
      </c>
      <c r="O721" s="32">
        <f>D721*1%</f>
        <v/>
      </c>
      <c r="P721" s="7">
        <f>N721*8%</f>
        <v/>
      </c>
      <c r="Q721" s="7">
        <f>N721*10%</f>
        <v/>
      </c>
      <c r="R721" s="7">
        <f>N721*5%</f>
        <v/>
      </c>
      <c r="S721" s="7">
        <f>N721*2%</f>
        <v/>
      </c>
      <c r="T721" s="7">
        <f>AE721*0.5%</f>
        <v/>
      </c>
      <c r="U721" s="7">
        <f>N721*1%</f>
        <v/>
      </c>
      <c r="V721" s="31">
        <f>U721+S721+R721+Q721+P721+O721</f>
        <v/>
      </c>
      <c r="W721" s="32">
        <f>AE721*1%</f>
        <v/>
      </c>
      <c r="X721" s="32">
        <f>AE721*10%</f>
        <v/>
      </c>
      <c r="Y721" s="32">
        <f>AE721*1%</f>
        <v/>
      </c>
      <c r="Z721" s="32">
        <f>AE721*8%</f>
        <v/>
      </c>
      <c r="AA721" s="32">
        <f>W721+X721+Y721+Z721</f>
        <v/>
      </c>
      <c r="AB721" s="31">
        <f>AA721+V721+N721</f>
        <v/>
      </c>
      <c r="AC721" s="6">
        <f>AB721*20%</f>
        <v/>
      </c>
      <c r="AD721" s="7">
        <f>AB721+AC721</f>
        <v/>
      </c>
      <c r="AE721" s="32">
        <f>D721*2.1</f>
        <v/>
      </c>
      <c r="AF721" s="7">
        <f>AD721-AE721</f>
        <v/>
      </c>
      <c r="AG721" s="7">
        <f>AF721/AD721*100</f>
        <v/>
      </c>
      <c r="AI721" s="33" t="n"/>
      <c r="AJ721" s="34">
        <f>AD721</f>
        <v/>
      </c>
      <c r="AK721" s="34">
        <f>AJ721-(AJ721*7%)</f>
        <v/>
      </c>
      <c r="AL721" s="35">
        <f>AJ721/94</f>
        <v/>
      </c>
      <c r="AM721" s="35">
        <f>AK721/94</f>
        <v/>
      </c>
      <c r="AN721" s="36">
        <f>AJ721/24</f>
        <v/>
      </c>
      <c r="AO721" s="36">
        <f>AK721/24</f>
        <v/>
      </c>
      <c r="AP721" s="37">
        <f>AJ721/125</f>
        <v/>
      </c>
      <c r="AQ721" s="37">
        <f>AK721/125</f>
        <v/>
      </c>
    </row>
    <row r="722" ht="15.75" customHeight="1" s="50">
      <c r="A722" s="32" t="n"/>
      <c r="B722" s="32" t="inlineStr">
        <is>
          <t>Unweighted / 68.05 Hz</t>
        </is>
      </c>
      <c r="D722" s="32" t="n">
        <v>365</v>
      </c>
      <c r="G722" s="32" t="n">
        <v>0</v>
      </c>
      <c r="H722" s="32" t="n">
        <v>10</v>
      </c>
      <c r="I722" s="41" t="n">
        <v>9202</v>
      </c>
      <c r="J722" s="30" t="n">
        <v>0.18</v>
      </c>
      <c r="K722" s="32">
        <f>D722*J722</f>
        <v/>
      </c>
      <c r="M722" s="32">
        <f>D722*4%</f>
        <v/>
      </c>
      <c r="N722" s="49">
        <f>M722+L722+K722+H722+G722+F722+E722+D722</f>
        <v/>
      </c>
      <c r="O722" s="32">
        <f>D722*1%</f>
        <v/>
      </c>
      <c r="P722" s="7">
        <f>N722*8%</f>
        <v/>
      </c>
      <c r="Q722" s="7">
        <f>N722*10%</f>
        <v/>
      </c>
      <c r="R722" s="7">
        <f>N722*5%</f>
        <v/>
      </c>
      <c r="S722" s="7">
        <f>N722*2%</f>
        <v/>
      </c>
      <c r="T722" s="7">
        <f>AE722*0.5%</f>
        <v/>
      </c>
      <c r="U722" s="7">
        <f>N722*1%</f>
        <v/>
      </c>
      <c r="V722" s="31">
        <f>U722+S722+R722+Q722+P722+O722</f>
        <v/>
      </c>
      <c r="W722" s="32">
        <f>AE722*1%</f>
        <v/>
      </c>
      <c r="X722" s="32">
        <f>AE722*10%</f>
        <v/>
      </c>
      <c r="Y722" s="32">
        <f>AE722*1%</f>
        <v/>
      </c>
      <c r="Z722" s="32">
        <f>AE722*8%</f>
        <v/>
      </c>
      <c r="AA722" s="32">
        <f>W722+X722+Y722+Z722</f>
        <v/>
      </c>
      <c r="AB722" s="31">
        <f>AA722+V722+N722</f>
        <v/>
      </c>
      <c r="AC722" s="6">
        <f>AB722*20%</f>
        <v/>
      </c>
      <c r="AD722" s="7">
        <f>AB722+AC722</f>
        <v/>
      </c>
      <c r="AE722" s="32">
        <f>D722*2.1</f>
        <v/>
      </c>
      <c r="AF722" s="7">
        <f>AD722-AE722</f>
        <v/>
      </c>
      <c r="AG722" s="7">
        <f>AF722/AD722*100</f>
        <v/>
      </c>
      <c r="AI722" s="33" t="n"/>
      <c r="AJ722" s="34">
        <f>AD722</f>
        <v/>
      </c>
      <c r="AK722" s="34">
        <f>AJ722-(AJ722*7%)</f>
        <v/>
      </c>
      <c r="AL722" s="35">
        <f>AJ722/94</f>
        <v/>
      </c>
      <c r="AM722" s="35">
        <f>AK722/94</f>
        <v/>
      </c>
      <c r="AN722" s="36">
        <f>AJ722/24</f>
        <v/>
      </c>
      <c r="AO722" s="36">
        <f>AK722/24</f>
        <v/>
      </c>
      <c r="AP722" s="37">
        <f>AJ722/125</f>
        <v/>
      </c>
      <c r="AQ722" s="37">
        <f>AK722/125</f>
        <v/>
      </c>
    </row>
    <row r="723" ht="15.75" customHeight="1" s="50">
      <c r="A723" s="32" t="n"/>
      <c r="B723" s="32" t="inlineStr">
        <is>
          <t>Weighted / 64 Hz</t>
        </is>
      </c>
      <c r="D723" s="32" t="n">
        <v>590</v>
      </c>
      <c r="G723" s="32" t="n">
        <v>0</v>
      </c>
      <c r="H723" s="32" t="n">
        <v>10</v>
      </c>
      <c r="I723" s="41" t="n">
        <v>9202</v>
      </c>
      <c r="J723" s="30" t="n">
        <v>0.18</v>
      </c>
      <c r="K723" s="32">
        <f>D723*J723</f>
        <v/>
      </c>
      <c r="M723" s="32">
        <f>D723*4%</f>
        <v/>
      </c>
      <c r="N723" s="49">
        <f>M723+L723+K723+H723+G723+F723+E723+D723</f>
        <v/>
      </c>
      <c r="O723" s="32">
        <f>D723*1%</f>
        <v/>
      </c>
      <c r="P723" s="7">
        <f>N723*8%</f>
        <v/>
      </c>
      <c r="Q723" s="7">
        <f>N723*10%</f>
        <v/>
      </c>
      <c r="R723" s="7">
        <f>N723*5%</f>
        <v/>
      </c>
      <c r="S723" s="7">
        <f>N723*2%</f>
        <v/>
      </c>
      <c r="T723" s="7">
        <f>AE723*0.5%</f>
        <v/>
      </c>
      <c r="U723" s="7">
        <f>N723*1%</f>
        <v/>
      </c>
      <c r="V723" s="31">
        <f>U723+S723+R723+Q723+P723+O723</f>
        <v/>
      </c>
      <c r="W723" s="32">
        <f>AE723*1%</f>
        <v/>
      </c>
      <c r="X723" s="32">
        <f>AE723*10%</f>
        <v/>
      </c>
      <c r="Y723" s="32">
        <f>AE723*1%</f>
        <v/>
      </c>
      <c r="Z723" s="32">
        <f>AE723*8%</f>
        <v/>
      </c>
      <c r="AA723" s="32">
        <f>W723+X723+Y723+Z723</f>
        <v/>
      </c>
      <c r="AB723" s="31">
        <f>AA723+V723+N723</f>
        <v/>
      </c>
      <c r="AC723" s="6">
        <f>AB723*20%</f>
        <v/>
      </c>
      <c r="AD723" s="7">
        <f>AB723+AC723</f>
        <v/>
      </c>
      <c r="AE723" s="32">
        <f>D723*2.1</f>
        <v/>
      </c>
      <c r="AF723" s="7">
        <f>AD723-AE723</f>
        <v/>
      </c>
      <c r="AG723" s="7">
        <f>AF723/AD723*100</f>
        <v/>
      </c>
      <c r="AI723" s="33" t="n"/>
      <c r="AJ723" s="34">
        <f>AD723</f>
        <v/>
      </c>
      <c r="AK723" s="34">
        <f>AJ723-(AJ723*7%)</f>
        <v/>
      </c>
      <c r="AL723" s="35">
        <f>AJ723/94</f>
        <v/>
      </c>
      <c r="AM723" s="35">
        <f>AK723/94</f>
        <v/>
      </c>
      <c r="AN723" s="36">
        <f>AJ723/24</f>
        <v/>
      </c>
      <c r="AO723" s="36">
        <f>AK723/24</f>
        <v/>
      </c>
      <c r="AP723" s="37">
        <f>AJ723/125</f>
        <v/>
      </c>
      <c r="AQ723" s="37">
        <f>AK723/125</f>
        <v/>
      </c>
    </row>
    <row r="724" ht="15.75" customHeight="1" s="50">
      <c r="A724" s="32" t="n"/>
      <c r="B724" s="32" t="inlineStr">
        <is>
          <t>64 Hz / Unweighted</t>
        </is>
      </c>
      <c r="D724" s="32" t="n">
        <v>365</v>
      </c>
      <c r="G724" s="32" t="n">
        <v>0</v>
      </c>
      <c r="H724" s="32" t="n">
        <v>10</v>
      </c>
      <c r="I724" s="41" t="n">
        <v>9202</v>
      </c>
      <c r="J724" s="30" t="n">
        <v>0.18</v>
      </c>
      <c r="K724" s="32">
        <f>D724*J724</f>
        <v/>
      </c>
      <c r="M724" s="32">
        <f>D724*4%</f>
        <v/>
      </c>
      <c r="N724" s="49">
        <f>M724+L724+K724+H724+G724+F724+E724+D724</f>
        <v/>
      </c>
      <c r="O724" s="32">
        <f>D724*1%</f>
        <v/>
      </c>
      <c r="P724" s="7">
        <f>N724*8%</f>
        <v/>
      </c>
      <c r="Q724" s="7">
        <f>N724*10%</f>
        <v/>
      </c>
      <c r="R724" s="7">
        <f>N724*5%</f>
        <v/>
      </c>
      <c r="S724" s="7">
        <f>N724*2%</f>
        <v/>
      </c>
      <c r="T724" s="7">
        <f>AE724*0.5%</f>
        <v/>
      </c>
      <c r="U724" s="7">
        <f>N724*1%</f>
        <v/>
      </c>
      <c r="V724" s="31">
        <f>U724+S724+R724+Q724+P724+O724</f>
        <v/>
      </c>
      <c r="W724" s="32">
        <f>AE724*1%</f>
        <v/>
      </c>
      <c r="X724" s="32">
        <f>AE724*10%</f>
        <v/>
      </c>
      <c r="Y724" s="32">
        <f>AE724*1%</f>
        <v/>
      </c>
      <c r="Z724" s="32">
        <f>AE724*8%</f>
        <v/>
      </c>
      <c r="AA724" s="32">
        <f>W724+X724+Y724+Z724</f>
        <v/>
      </c>
      <c r="AB724" s="31">
        <f>AA724+V724+N724</f>
        <v/>
      </c>
      <c r="AC724" s="6">
        <f>AB724*20%</f>
        <v/>
      </c>
      <c r="AD724" s="7">
        <f>AB724+AC724</f>
        <v/>
      </c>
      <c r="AE724" s="32">
        <f>D724*2.1</f>
        <v/>
      </c>
      <c r="AF724" s="7">
        <f>AD724-AE724</f>
        <v/>
      </c>
      <c r="AG724" s="7">
        <f>AF724/AD724*100</f>
        <v/>
      </c>
      <c r="AI724" s="33" t="n"/>
      <c r="AJ724" s="34">
        <f>AD724</f>
        <v/>
      </c>
      <c r="AK724" s="34">
        <f>AJ724-(AJ724*7%)</f>
        <v/>
      </c>
      <c r="AL724" s="35">
        <f>AJ724/94</f>
        <v/>
      </c>
      <c r="AM724" s="35">
        <f>AK724/94</f>
        <v/>
      </c>
      <c r="AN724" s="36">
        <f>AJ724/24</f>
        <v/>
      </c>
      <c r="AO724" s="36">
        <f>AK724/24</f>
        <v/>
      </c>
      <c r="AP724" s="37">
        <f>AJ724/125</f>
        <v/>
      </c>
      <c r="AQ724" s="37">
        <f>AK724/125</f>
        <v/>
      </c>
    </row>
    <row r="725" ht="15.75" customHeight="1" s="50">
      <c r="A725" s="32" t="n"/>
      <c r="B725" s="32" t="inlineStr">
        <is>
          <t>440 Hz / Unweighted</t>
        </is>
      </c>
      <c r="D725" s="32" t="n">
        <v>365</v>
      </c>
      <c r="G725" s="32" t="n">
        <v>0</v>
      </c>
      <c r="H725" s="32" t="n">
        <v>10</v>
      </c>
      <c r="I725" s="41" t="n">
        <v>9202</v>
      </c>
      <c r="J725" s="30" t="n">
        <v>0.18</v>
      </c>
      <c r="K725" s="32">
        <f>D725*J725</f>
        <v/>
      </c>
      <c r="M725" s="32">
        <f>D725*4%</f>
        <v/>
      </c>
      <c r="N725" s="49">
        <f>M725+L725+K725+H725+G725+F725+E725+D725</f>
        <v/>
      </c>
      <c r="O725" s="32">
        <f>D725*1%</f>
        <v/>
      </c>
      <c r="P725" s="7">
        <f>N725*8%</f>
        <v/>
      </c>
      <c r="Q725" s="7">
        <f>N725*10%</f>
        <v/>
      </c>
      <c r="R725" s="7">
        <f>N725*5%</f>
        <v/>
      </c>
      <c r="S725" s="7">
        <f>N725*2%</f>
        <v/>
      </c>
      <c r="T725" s="7">
        <f>AE725*0.5%</f>
        <v/>
      </c>
      <c r="U725" s="7">
        <f>N725*1%</f>
        <v/>
      </c>
      <c r="V725" s="31">
        <f>U725+S725+R725+Q725+P725+O725</f>
        <v/>
      </c>
      <c r="W725" s="32">
        <f>AE725*1%</f>
        <v/>
      </c>
      <c r="X725" s="32">
        <f>AE725*10%</f>
        <v/>
      </c>
      <c r="Y725" s="32">
        <f>AE725*1%</f>
        <v/>
      </c>
      <c r="Z725" s="32">
        <f>AE725*8%</f>
        <v/>
      </c>
      <c r="AA725" s="32">
        <f>W725+X725+Y725+Z725</f>
        <v/>
      </c>
      <c r="AB725" s="31">
        <f>AA725+V725+N725</f>
        <v/>
      </c>
      <c r="AC725" s="6">
        <f>AB725*20%</f>
        <v/>
      </c>
      <c r="AD725" s="7">
        <f>AB725+AC725</f>
        <v/>
      </c>
      <c r="AE725" s="32">
        <f>D725*2.1</f>
        <v/>
      </c>
      <c r="AF725" s="7">
        <f>AD725-AE725</f>
        <v/>
      </c>
      <c r="AG725" s="7">
        <f>AF725/AD725*100</f>
        <v/>
      </c>
      <c r="AI725" s="33" t="n"/>
      <c r="AJ725" s="34">
        <f>AD725</f>
        <v/>
      </c>
      <c r="AK725" s="34">
        <f>AJ725-(AJ725*7%)</f>
        <v/>
      </c>
      <c r="AL725" s="35">
        <f>AJ725/94</f>
        <v/>
      </c>
      <c r="AM725" s="35">
        <f>AK725/94</f>
        <v/>
      </c>
      <c r="AN725" s="36">
        <f>AJ725/24</f>
        <v/>
      </c>
      <c r="AO725" s="36">
        <f>AK725/24</f>
        <v/>
      </c>
      <c r="AP725" s="37">
        <f>AJ725/125</f>
        <v/>
      </c>
      <c r="AQ725" s="37">
        <f>AK725/125</f>
        <v/>
      </c>
    </row>
    <row r="726" ht="15.75" customHeight="1" s="50">
      <c r="A726" s="32" t="n"/>
      <c r="B726" s="32" t="inlineStr">
        <is>
          <t>Weighted / 440 Hz</t>
        </is>
      </c>
      <c r="D726" s="32" t="n">
        <v>590</v>
      </c>
      <c r="G726" s="32" t="n">
        <v>0</v>
      </c>
      <c r="H726" s="32" t="n">
        <v>10</v>
      </c>
      <c r="I726" s="41" t="n">
        <v>9202</v>
      </c>
      <c r="J726" s="30" t="n">
        <v>0.18</v>
      </c>
      <c r="K726" s="32">
        <f>D726*J726</f>
        <v/>
      </c>
      <c r="M726" s="32">
        <f>D726*4%</f>
        <v/>
      </c>
      <c r="N726" s="49">
        <f>M726+L726+K726+H726+G726+F726+E726+D726</f>
        <v/>
      </c>
      <c r="O726" s="32">
        <f>D726*1%</f>
        <v/>
      </c>
      <c r="P726" s="7">
        <f>N726*8%</f>
        <v/>
      </c>
      <c r="Q726" s="7">
        <f>N726*10%</f>
        <v/>
      </c>
      <c r="R726" s="7">
        <f>N726*5%</f>
        <v/>
      </c>
      <c r="S726" s="7">
        <f>N726*2%</f>
        <v/>
      </c>
      <c r="T726" s="7">
        <f>AE726*0.5%</f>
        <v/>
      </c>
      <c r="U726" s="7">
        <f>N726*1%</f>
        <v/>
      </c>
      <c r="V726" s="31">
        <f>U726+S726+R726+Q726+P726+O726</f>
        <v/>
      </c>
      <c r="W726" s="32">
        <f>AE726*1%</f>
        <v/>
      </c>
      <c r="X726" s="32">
        <f>AE726*10%</f>
        <v/>
      </c>
      <c r="Y726" s="32">
        <f>AE726*1%</f>
        <v/>
      </c>
      <c r="Z726" s="32">
        <f>AE726*8%</f>
        <v/>
      </c>
      <c r="AA726" s="32">
        <f>W726+X726+Y726+Z726</f>
        <v/>
      </c>
      <c r="AB726" s="31">
        <f>AA726+V726+N726</f>
        <v/>
      </c>
      <c r="AC726" s="6">
        <f>AB726*20%</f>
        <v/>
      </c>
      <c r="AD726" s="7">
        <f>AB726+AC726</f>
        <v/>
      </c>
      <c r="AE726" s="32">
        <f>D726*2.1</f>
        <v/>
      </c>
      <c r="AF726" s="7">
        <f>AD726-AE726</f>
        <v/>
      </c>
      <c r="AG726" s="7">
        <f>AF726/AD726*100</f>
        <v/>
      </c>
      <c r="AI726" s="33" t="n"/>
      <c r="AJ726" s="34">
        <f>AD726</f>
        <v/>
      </c>
      <c r="AK726" s="34">
        <f>AJ726-(AJ726*7%)</f>
        <v/>
      </c>
      <c r="AL726" s="35">
        <f>AJ726/94</f>
        <v/>
      </c>
      <c r="AM726" s="35">
        <f>AK726/94</f>
        <v/>
      </c>
      <c r="AN726" s="36">
        <f>AJ726/24</f>
        <v/>
      </c>
      <c r="AO726" s="36">
        <f>AK726/24</f>
        <v/>
      </c>
      <c r="AP726" s="37">
        <f>AJ726/125</f>
        <v/>
      </c>
      <c r="AQ726" s="37">
        <f>AK726/125</f>
        <v/>
      </c>
    </row>
    <row r="727" ht="15.75" customHeight="1" s="50">
      <c r="A727" s="32" t="n"/>
      <c r="B727" s="32" t="inlineStr">
        <is>
          <t>Unweighted / 93.96 Hz</t>
        </is>
      </c>
      <c r="D727" s="32" t="n">
        <v>365</v>
      </c>
      <c r="G727" s="32" t="n">
        <v>0</v>
      </c>
      <c r="H727" s="32" t="n">
        <v>10</v>
      </c>
      <c r="I727" s="41" t="n">
        <v>9202</v>
      </c>
      <c r="J727" s="30" t="n">
        <v>0.18</v>
      </c>
      <c r="K727" s="32">
        <f>D727*J727</f>
        <v/>
      </c>
      <c r="M727" s="32">
        <f>D727*4%</f>
        <v/>
      </c>
      <c r="N727" s="49">
        <f>M727+L727+K727+H727+G727+F727+E727+D727</f>
        <v/>
      </c>
      <c r="O727" s="32">
        <f>D727*1%</f>
        <v/>
      </c>
      <c r="P727" s="7">
        <f>N727*8%</f>
        <v/>
      </c>
      <c r="Q727" s="7">
        <f>N727*10%</f>
        <v/>
      </c>
      <c r="R727" s="7">
        <f>N727*5%</f>
        <v/>
      </c>
      <c r="S727" s="7">
        <f>N727*2%</f>
        <v/>
      </c>
      <c r="T727" s="7">
        <f>AE727*0.5%</f>
        <v/>
      </c>
      <c r="U727" s="7">
        <f>N727*1%</f>
        <v/>
      </c>
      <c r="V727" s="31">
        <f>U727+S727+R727+Q727+P727+O727</f>
        <v/>
      </c>
      <c r="W727" s="32">
        <f>AE727*1%</f>
        <v/>
      </c>
      <c r="X727" s="32">
        <f>AE727*10%</f>
        <v/>
      </c>
      <c r="Y727" s="32">
        <f>AE727*1%</f>
        <v/>
      </c>
      <c r="Z727" s="32">
        <f>AE727*8%</f>
        <v/>
      </c>
      <c r="AA727" s="32">
        <f>W727+X727+Y727+Z727</f>
        <v/>
      </c>
      <c r="AB727" s="31">
        <f>AA727+V727+N727</f>
        <v/>
      </c>
      <c r="AC727" s="6">
        <f>AB727*20%</f>
        <v/>
      </c>
      <c r="AD727" s="7">
        <f>AB727+AC727</f>
        <v/>
      </c>
      <c r="AE727" s="32">
        <f>D727*2.1</f>
        <v/>
      </c>
      <c r="AF727" s="7">
        <f>AD727-AE727</f>
        <v/>
      </c>
      <c r="AG727" s="7">
        <f>AF727/AD727*100</f>
        <v/>
      </c>
      <c r="AI727" s="33" t="n"/>
      <c r="AJ727" s="34">
        <f>AD727</f>
        <v/>
      </c>
      <c r="AK727" s="34">
        <f>AJ727-(AJ727*7%)</f>
        <v/>
      </c>
      <c r="AL727" s="35">
        <f>AJ727/94</f>
        <v/>
      </c>
      <c r="AM727" s="35">
        <f>AK727/94</f>
        <v/>
      </c>
      <c r="AN727" s="36">
        <f>AJ727/24</f>
        <v/>
      </c>
      <c r="AO727" s="36">
        <f>AK727/24</f>
        <v/>
      </c>
      <c r="AP727" s="37">
        <f>AJ727/125</f>
        <v/>
      </c>
      <c r="AQ727" s="37">
        <f>AK727/125</f>
        <v/>
      </c>
    </row>
    <row r="728" ht="15.75" customHeight="1" s="50">
      <c r="A728" s="32" t="n"/>
      <c r="B728" s="32" t="inlineStr">
        <is>
          <t>Weighted / 93.96 Hz</t>
        </is>
      </c>
      <c r="D728" s="32" t="n">
        <v>590</v>
      </c>
      <c r="G728" s="32" t="n">
        <v>0</v>
      </c>
      <c r="H728" s="32" t="n">
        <v>10</v>
      </c>
      <c r="I728" s="41" t="n">
        <v>9202</v>
      </c>
      <c r="J728" s="30" t="n">
        <v>0.18</v>
      </c>
      <c r="K728" s="32">
        <f>D728*J728</f>
        <v/>
      </c>
      <c r="M728" s="32">
        <f>D728*4%</f>
        <v/>
      </c>
      <c r="N728" s="49">
        <f>M728+L728+K728+H728+G728+F728+E728+D728</f>
        <v/>
      </c>
      <c r="O728" s="32">
        <f>D728*1%</f>
        <v/>
      </c>
      <c r="P728" s="7">
        <f>N728*8%</f>
        <v/>
      </c>
      <c r="Q728" s="7">
        <f>N728*10%</f>
        <v/>
      </c>
      <c r="R728" s="7">
        <f>N728*5%</f>
        <v/>
      </c>
      <c r="S728" s="7">
        <f>N728*2%</f>
        <v/>
      </c>
      <c r="T728" s="7">
        <f>AE728*0.5%</f>
        <v/>
      </c>
      <c r="U728" s="7">
        <f>N728*1%</f>
        <v/>
      </c>
      <c r="V728" s="31">
        <f>U728+S728+R728+Q728+P728+O728</f>
        <v/>
      </c>
      <c r="W728" s="32">
        <f>AE728*1%</f>
        <v/>
      </c>
      <c r="X728" s="32">
        <f>AE728*10%</f>
        <v/>
      </c>
      <c r="Y728" s="32">
        <f>AE728*1%</f>
        <v/>
      </c>
      <c r="Z728" s="32">
        <f>AE728*8%</f>
        <v/>
      </c>
      <c r="AA728" s="32">
        <f>W728+X728+Y728+Z728</f>
        <v/>
      </c>
      <c r="AB728" s="31">
        <f>AA728+V728+N728</f>
        <v/>
      </c>
      <c r="AC728" s="6">
        <f>AB728*20%</f>
        <v/>
      </c>
      <c r="AD728" s="7">
        <f>AB728+AC728</f>
        <v/>
      </c>
      <c r="AE728" s="32">
        <f>D728*2.1</f>
        <v/>
      </c>
      <c r="AF728" s="7">
        <f>AD728-AE728</f>
        <v/>
      </c>
      <c r="AG728" s="7">
        <f>AF728/AD728*100</f>
        <v/>
      </c>
      <c r="AI728" s="33" t="n"/>
      <c r="AJ728" s="34">
        <f>AD728</f>
        <v/>
      </c>
      <c r="AK728" s="34">
        <f>AJ728-(AJ728*7%)</f>
        <v/>
      </c>
      <c r="AL728" s="35">
        <f>AJ728/94</f>
        <v/>
      </c>
      <c r="AM728" s="35">
        <f>AK728/94</f>
        <v/>
      </c>
      <c r="AN728" s="36">
        <f>AJ728/24</f>
        <v/>
      </c>
      <c r="AO728" s="36">
        <f>AK728/24</f>
        <v/>
      </c>
      <c r="AP728" s="37">
        <f>AJ728/125</f>
        <v/>
      </c>
      <c r="AQ728" s="37">
        <f>AK728/125</f>
        <v/>
      </c>
    </row>
    <row r="729" ht="15.75" customHeight="1" s="50">
      <c r="A729" s="32" t="n"/>
      <c r="B729" s="32" t="inlineStr">
        <is>
          <t>Weighted / 136.10 Hz</t>
        </is>
      </c>
      <c r="D729" s="32" t="n">
        <v>590</v>
      </c>
      <c r="G729" s="32" t="n">
        <v>0</v>
      </c>
      <c r="H729" s="32" t="n">
        <v>10</v>
      </c>
      <c r="I729" s="41" t="n">
        <v>9202</v>
      </c>
      <c r="J729" s="30" t="n">
        <v>0.18</v>
      </c>
      <c r="K729" s="32">
        <f>D729*J729</f>
        <v/>
      </c>
      <c r="M729" s="32">
        <f>D729*4%</f>
        <v/>
      </c>
      <c r="N729" s="49">
        <f>M729+L729+K729+H729+G729+F729+E729+D729</f>
        <v/>
      </c>
      <c r="O729" s="32">
        <f>D729*1%</f>
        <v/>
      </c>
      <c r="P729" s="7">
        <f>N729*8%</f>
        <v/>
      </c>
      <c r="Q729" s="7">
        <f>N729*10%</f>
        <v/>
      </c>
      <c r="R729" s="7">
        <f>N729*5%</f>
        <v/>
      </c>
      <c r="S729" s="7">
        <f>N729*2%</f>
        <v/>
      </c>
      <c r="T729" s="7">
        <f>AE729*0.5%</f>
        <v/>
      </c>
      <c r="U729" s="7">
        <f>N729*1%</f>
        <v/>
      </c>
      <c r="V729" s="31">
        <f>U729+S729+R729+Q729+P729+O729</f>
        <v/>
      </c>
      <c r="W729" s="32">
        <f>AE729*1%</f>
        <v/>
      </c>
      <c r="X729" s="32">
        <f>AE729*10%</f>
        <v/>
      </c>
      <c r="Y729" s="32">
        <f>AE729*1%</f>
        <v/>
      </c>
      <c r="Z729" s="32">
        <f>AE729*8%</f>
        <v/>
      </c>
      <c r="AA729" s="32">
        <f>W729+X729+Y729+Z729</f>
        <v/>
      </c>
      <c r="AB729" s="31">
        <f>AA729+V729+N729</f>
        <v/>
      </c>
      <c r="AC729" s="6">
        <f>AB729*20%</f>
        <v/>
      </c>
      <c r="AD729" s="7">
        <f>AB729+AC729</f>
        <v/>
      </c>
      <c r="AE729" s="32">
        <f>D729*2.1</f>
        <v/>
      </c>
      <c r="AF729" s="7">
        <f>AD729-AE729</f>
        <v/>
      </c>
      <c r="AG729" s="7">
        <f>AF729/AD729*100</f>
        <v/>
      </c>
      <c r="AI729" s="33" t="n"/>
      <c r="AJ729" s="34">
        <f>AD729</f>
        <v/>
      </c>
      <c r="AK729" s="34">
        <f>AJ729-(AJ729*7%)</f>
        <v/>
      </c>
      <c r="AL729" s="35">
        <f>AJ729/94</f>
        <v/>
      </c>
      <c r="AM729" s="35">
        <f>AK729/94</f>
        <v/>
      </c>
      <c r="AN729" s="36">
        <f>AJ729/24</f>
        <v/>
      </c>
      <c r="AO729" s="36">
        <f>AK729/24</f>
        <v/>
      </c>
      <c r="AP729" s="37">
        <f>AJ729/125</f>
        <v/>
      </c>
      <c r="AQ729" s="37">
        <f>AK729/125</f>
        <v/>
      </c>
    </row>
    <row r="730" ht="15.75" customHeight="1" s="50">
      <c r="A730" s="32" t="n"/>
      <c r="B730" s="32" t="inlineStr">
        <is>
          <t>Weighted / 528 Hz</t>
        </is>
      </c>
      <c r="D730" s="32" t="n">
        <v>590</v>
      </c>
      <c r="G730" s="32" t="n">
        <v>0</v>
      </c>
      <c r="H730" s="32" t="n">
        <v>10</v>
      </c>
      <c r="I730" s="41" t="n">
        <v>9202</v>
      </c>
      <c r="J730" s="30" t="n">
        <v>0.18</v>
      </c>
      <c r="K730" s="32">
        <f>D730*J730</f>
        <v/>
      </c>
      <c r="M730" s="32">
        <f>D730*4%</f>
        <v/>
      </c>
      <c r="N730" s="49">
        <f>M730+L730+K730+H730+G730+F730+E730+D730</f>
        <v/>
      </c>
      <c r="O730" s="32">
        <f>D730*1%</f>
        <v/>
      </c>
      <c r="P730" s="7">
        <f>N730*8%</f>
        <v/>
      </c>
      <c r="Q730" s="7">
        <f>N730*10%</f>
        <v/>
      </c>
      <c r="R730" s="7">
        <f>N730*5%</f>
        <v/>
      </c>
      <c r="S730" s="7">
        <f>N730*2%</f>
        <v/>
      </c>
      <c r="T730" s="7">
        <f>AE730*0.5%</f>
        <v/>
      </c>
      <c r="U730" s="7">
        <f>N730*1%</f>
        <v/>
      </c>
      <c r="V730" s="31">
        <f>U730+S730+R730+Q730+P730+O730</f>
        <v/>
      </c>
      <c r="W730" s="32">
        <f>AE730*1%</f>
        <v/>
      </c>
      <c r="X730" s="32">
        <f>AE730*10%</f>
        <v/>
      </c>
      <c r="Y730" s="32">
        <f>AE730*1%</f>
        <v/>
      </c>
      <c r="Z730" s="32">
        <f>AE730*8%</f>
        <v/>
      </c>
      <c r="AA730" s="32">
        <f>W730+X730+Y730+Z730</f>
        <v/>
      </c>
      <c r="AB730" s="31">
        <f>AA730+V730+N730</f>
        <v/>
      </c>
      <c r="AC730" s="6">
        <f>AB730*20%</f>
        <v/>
      </c>
      <c r="AD730" s="7">
        <f>AB730+AC730</f>
        <v/>
      </c>
      <c r="AE730" s="32">
        <f>D730*2.1</f>
        <v/>
      </c>
      <c r="AF730" s="7">
        <f>AD730-AE730</f>
        <v/>
      </c>
      <c r="AG730" s="7">
        <f>AF730/AD730*100</f>
        <v/>
      </c>
      <c r="AI730" s="33" t="n"/>
      <c r="AJ730" s="34">
        <f>AD730</f>
        <v/>
      </c>
      <c r="AK730" s="34">
        <f>AJ730-(AJ730*7%)</f>
        <v/>
      </c>
      <c r="AL730" s="35">
        <f>AJ730/94</f>
        <v/>
      </c>
      <c r="AM730" s="35">
        <f>AK730/94</f>
        <v/>
      </c>
      <c r="AN730" s="36">
        <f>AJ730/24</f>
        <v/>
      </c>
      <c r="AO730" s="36">
        <f>AK730/24</f>
        <v/>
      </c>
      <c r="AP730" s="37">
        <f>AJ730/125</f>
        <v/>
      </c>
      <c r="AQ730" s="37">
        <f>AK730/125</f>
        <v/>
      </c>
    </row>
    <row r="731" ht="15.75" customHeight="1" s="50">
      <c r="A731" s="32" t="n"/>
      <c r="B731" s="32" t="inlineStr">
        <is>
          <t>Unweighted / 128 Hz</t>
        </is>
      </c>
      <c r="D731" s="32" t="n">
        <v>365</v>
      </c>
      <c r="G731" s="32" t="n">
        <v>0</v>
      </c>
      <c r="H731" s="32" t="n">
        <v>10</v>
      </c>
      <c r="I731" s="41" t="n">
        <v>9202</v>
      </c>
      <c r="J731" s="30" t="n">
        <v>0.18</v>
      </c>
      <c r="K731" s="32">
        <f>D731*J731</f>
        <v/>
      </c>
      <c r="M731" s="32">
        <f>D731*4%</f>
        <v/>
      </c>
      <c r="N731" s="49">
        <f>M731+L731+K731+H731+G731+F731+E731+D731</f>
        <v/>
      </c>
      <c r="O731" s="32">
        <f>D731*1%</f>
        <v/>
      </c>
      <c r="P731" s="7">
        <f>N731*8%</f>
        <v/>
      </c>
      <c r="Q731" s="7">
        <f>N731*10%</f>
        <v/>
      </c>
      <c r="R731" s="7">
        <f>N731*5%</f>
        <v/>
      </c>
      <c r="S731" s="7">
        <f>N731*2%</f>
        <v/>
      </c>
      <c r="T731" s="7">
        <f>AE731*0.5%</f>
        <v/>
      </c>
      <c r="U731" s="7">
        <f>N731*1%</f>
        <v/>
      </c>
      <c r="V731" s="31">
        <f>U731+S731+R731+Q731+P731+O731</f>
        <v/>
      </c>
      <c r="W731" s="32">
        <f>AE731*1%</f>
        <v/>
      </c>
      <c r="X731" s="32">
        <f>AE731*10%</f>
        <v/>
      </c>
      <c r="Y731" s="32">
        <f>AE731*1%</f>
        <v/>
      </c>
      <c r="Z731" s="32">
        <f>AE731*8%</f>
        <v/>
      </c>
      <c r="AA731" s="32">
        <f>W731+X731+Y731+Z731</f>
        <v/>
      </c>
      <c r="AB731" s="31">
        <f>AA731+V731+N731</f>
        <v/>
      </c>
      <c r="AC731" s="6">
        <f>AB731*20%</f>
        <v/>
      </c>
      <c r="AD731" s="7">
        <f>AB731+AC731</f>
        <v/>
      </c>
      <c r="AE731" s="32">
        <f>D731*2.1</f>
        <v/>
      </c>
      <c r="AF731" s="7">
        <f>AD731-AE731</f>
        <v/>
      </c>
      <c r="AG731" s="7">
        <f>AF731/AD731*100</f>
        <v/>
      </c>
      <c r="AI731" s="33" t="n"/>
      <c r="AJ731" s="34">
        <f>AD731</f>
        <v/>
      </c>
      <c r="AK731" s="34">
        <f>AJ731-(AJ731*7%)</f>
        <v/>
      </c>
      <c r="AL731" s="35">
        <f>AJ731/94</f>
        <v/>
      </c>
      <c r="AM731" s="35">
        <f>AK731/94</f>
        <v/>
      </c>
      <c r="AN731" s="36">
        <f>AJ731/24</f>
        <v/>
      </c>
      <c r="AO731" s="36">
        <f>AK731/24</f>
        <v/>
      </c>
      <c r="AP731" s="37">
        <f>AJ731/125</f>
        <v/>
      </c>
      <c r="AQ731" s="37">
        <f>AK731/125</f>
        <v/>
      </c>
    </row>
    <row r="732" ht="15.75" customHeight="1" s="50">
      <c r="A732" s="32" t="n"/>
      <c r="B732" s="32" t="inlineStr">
        <is>
          <t>136.10 Hz / Unweighted</t>
        </is>
      </c>
      <c r="D732" s="32" t="n">
        <v>365</v>
      </c>
      <c r="G732" s="32" t="n">
        <v>0</v>
      </c>
      <c r="H732" s="32" t="n">
        <v>10</v>
      </c>
      <c r="I732" s="41" t="n">
        <v>9202</v>
      </c>
      <c r="J732" s="30" t="n">
        <v>0.18</v>
      </c>
      <c r="K732" s="32">
        <f>D732*J732</f>
        <v/>
      </c>
      <c r="M732" s="32">
        <f>D732*4%</f>
        <v/>
      </c>
      <c r="N732" s="49">
        <f>M732+L732+K732+H732+G732+F732+E732+D732</f>
        <v/>
      </c>
      <c r="O732" s="32">
        <f>D732*1%</f>
        <v/>
      </c>
      <c r="P732" s="7">
        <f>N732*8%</f>
        <v/>
      </c>
      <c r="Q732" s="7">
        <f>N732*10%</f>
        <v/>
      </c>
      <c r="R732" s="7">
        <f>N732*5%</f>
        <v/>
      </c>
      <c r="S732" s="7">
        <f>N732*2%</f>
        <v/>
      </c>
      <c r="T732" s="7">
        <f>AE732*0.5%</f>
        <v/>
      </c>
      <c r="U732" s="7">
        <f>N732*1%</f>
        <v/>
      </c>
      <c r="V732" s="31">
        <f>U732+S732+R732+Q732+P732+O732</f>
        <v/>
      </c>
      <c r="W732" s="32">
        <f>AE732*1%</f>
        <v/>
      </c>
      <c r="X732" s="32">
        <f>AE732*10%</f>
        <v/>
      </c>
      <c r="Y732" s="32">
        <f>AE732*1%</f>
        <v/>
      </c>
      <c r="Z732" s="32">
        <f>AE732*8%</f>
        <v/>
      </c>
      <c r="AA732" s="32">
        <f>W732+X732+Y732+Z732</f>
        <v/>
      </c>
      <c r="AB732" s="31">
        <f>AA732+V732+N732</f>
        <v/>
      </c>
      <c r="AC732" s="6">
        <f>AB732*20%</f>
        <v/>
      </c>
      <c r="AD732" s="7">
        <f>AB732+AC732</f>
        <v/>
      </c>
      <c r="AE732" s="32">
        <f>D732*2.1</f>
        <v/>
      </c>
      <c r="AF732" s="7">
        <f>AD732-AE732</f>
        <v/>
      </c>
      <c r="AG732" s="7">
        <f>AF732/AD732*100</f>
        <v/>
      </c>
      <c r="AI732" s="33" t="n"/>
      <c r="AJ732" s="34">
        <f>AD732</f>
        <v/>
      </c>
      <c r="AK732" s="34">
        <f>AJ732-(AJ732*7%)</f>
        <v/>
      </c>
      <c r="AL732" s="35">
        <f>AJ732/94</f>
        <v/>
      </c>
      <c r="AM732" s="35">
        <f>AK732/94</f>
        <v/>
      </c>
      <c r="AN732" s="36">
        <f>AJ732/24</f>
        <v/>
      </c>
      <c r="AO732" s="36">
        <f>AK732/24</f>
        <v/>
      </c>
      <c r="AP732" s="37">
        <f>AJ732/125</f>
        <v/>
      </c>
      <c r="AQ732" s="37">
        <f>AK732/125</f>
        <v/>
      </c>
    </row>
    <row r="733" ht="15.75" customHeight="1" s="50">
      <c r="A733" s="32" t="n"/>
      <c r="B733" s="32" t="inlineStr">
        <is>
          <t>Unweighted / 256 Hz</t>
        </is>
      </c>
      <c r="D733" s="32" t="n">
        <v>365</v>
      </c>
      <c r="G733" s="32" t="n">
        <v>0</v>
      </c>
      <c r="H733" s="32" t="n">
        <v>10</v>
      </c>
      <c r="I733" s="41" t="n">
        <v>9202</v>
      </c>
      <c r="J733" s="30" t="n">
        <v>0.18</v>
      </c>
      <c r="K733" s="32">
        <f>D733*J733</f>
        <v/>
      </c>
      <c r="M733" s="32">
        <f>D733*4%</f>
        <v/>
      </c>
      <c r="N733" s="49">
        <f>M733+L733+K733+H733+G733+F733+E733+D733</f>
        <v/>
      </c>
      <c r="O733" s="32">
        <f>D733*1%</f>
        <v/>
      </c>
      <c r="P733" s="7">
        <f>N733*8%</f>
        <v/>
      </c>
      <c r="Q733" s="7">
        <f>N733*10%</f>
        <v/>
      </c>
      <c r="R733" s="7">
        <f>N733*5%</f>
        <v/>
      </c>
      <c r="S733" s="7">
        <f>N733*2%</f>
        <v/>
      </c>
      <c r="T733" s="7">
        <f>AE733*0.5%</f>
        <v/>
      </c>
      <c r="U733" s="7">
        <f>N733*1%</f>
        <v/>
      </c>
      <c r="V733" s="31">
        <f>U733+S733+R733+Q733+P733+O733</f>
        <v/>
      </c>
      <c r="W733" s="32">
        <f>AE733*1%</f>
        <v/>
      </c>
      <c r="X733" s="32">
        <f>AE733*10%</f>
        <v/>
      </c>
      <c r="Y733" s="32">
        <f>AE733*1%</f>
        <v/>
      </c>
      <c r="Z733" s="32">
        <f>AE733*8%</f>
        <v/>
      </c>
      <c r="AA733" s="32">
        <f>W733+X733+Y733+Z733</f>
        <v/>
      </c>
      <c r="AB733" s="31">
        <f>AA733+V733+N733</f>
        <v/>
      </c>
      <c r="AC733" s="6">
        <f>AB733*20%</f>
        <v/>
      </c>
      <c r="AD733" s="7">
        <f>AB733+AC733</f>
        <v/>
      </c>
      <c r="AE733" s="32">
        <f>D733*2.1</f>
        <v/>
      </c>
      <c r="AF733" s="7">
        <f>AD733-AE733</f>
        <v/>
      </c>
      <c r="AG733" s="7">
        <f>AF733/AD733*100</f>
        <v/>
      </c>
      <c r="AI733" s="33" t="n"/>
      <c r="AJ733" s="34">
        <f>AD733</f>
        <v/>
      </c>
      <c r="AK733" s="34">
        <f>AJ733-(AJ733*7%)</f>
        <v/>
      </c>
      <c r="AL733" s="35">
        <f>AJ733/94</f>
        <v/>
      </c>
      <c r="AM733" s="35">
        <f>AK733/94</f>
        <v/>
      </c>
      <c r="AN733" s="36">
        <f>AJ733/24</f>
        <v/>
      </c>
      <c r="AO733" s="36">
        <f>AK733/24</f>
        <v/>
      </c>
      <c r="AP733" s="37">
        <f>AJ733/125</f>
        <v/>
      </c>
      <c r="AQ733" s="37">
        <f>AK733/125</f>
        <v/>
      </c>
    </row>
    <row r="734" ht="15.75" customHeight="1" s="50">
      <c r="A734" s="32" t="n"/>
      <c r="B734" s="32" t="inlineStr">
        <is>
          <t>Unweighted / 432 Hz</t>
        </is>
      </c>
      <c r="D734" s="32" t="n">
        <v>365</v>
      </c>
      <c r="G734" s="32" t="n">
        <v>0</v>
      </c>
      <c r="H734" s="32" t="n">
        <v>10</v>
      </c>
      <c r="I734" s="41" t="n">
        <v>9202</v>
      </c>
      <c r="J734" s="30" t="n">
        <v>0.18</v>
      </c>
      <c r="K734" s="32">
        <f>D734*J734</f>
        <v/>
      </c>
      <c r="M734" s="32">
        <f>D734*4%</f>
        <v/>
      </c>
      <c r="N734" s="49">
        <f>M734+L734+K734+H734+G734+F734+E734+D734</f>
        <v/>
      </c>
      <c r="O734" s="32">
        <f>D734*1%</f>
        <v/>
      </c>
      <c r="P734" s="7">
        <f>N734*8%</f>
        <v/>
      </c>
      <c r="Q734" s="7">
        <f>N734*10%</f>
        <v/>
      </c>
      <c r="R734" s="7">
        <f>N734*5%</f>
        <v/>
      </c>
      <c r="S734" s="7">
        <f>N734*2%</f>
        <v/>
      </c>
      <c r="T734" s="7">
        <f>AE734*0.5%</f>
        <v/>
      </c>
      <c r="U734" s="7">
        <f>N734*1%</f>
        <v/>
      </c>
      <c r="V734" s="31">
        <f>U734+S734+R734+Q734+P734+O734</f>
        <v/>
      </c>
      <c r="W734" s="32">
        <f>AE734*1%</f>
        <v/>
      </c>
      <c r="X734" s="32">
        <f>AE734*10%</f>
        <v/>
      </c>
      <c r="Y734" s="32">
        <f>AE734*1%</f>
        <v/>
      </c>
      <c r="Z734" s="32">
        <f>AE734*8%</f>
        <v/>
      </c>
      <c r="AA734" s="32">
        <f>W734+X734+Y734+Z734</f>
        <v/>
      </c>
      <c r="AB734" s="31">
        <f>AA734+V734+N734</f>
        <v/>
      </c>
      <c r="AC734" s="6">
        <f>AB734*20%</f>
        <v/>
      </c>
      <c r="AD734" s="7">
        <f>AB734+AC734</f>
        <v/>
      </c>
      <c r="AE734" s="32">
        <f>D734*2.1</f>
        <v/>
      </c>
      <c r="AF734" s="7">
        <f>AD734-AE734</f>
        <v/>
      </c>
      <c r="AG734" s="7">
        <f>AF734/AD734*100</f>
        <v/>
      </c>
      <c r="AI734" s="33" t="n"/>
      <c r="AJ734" s="34">
        <f>AD734</f>
        <v/>
      </c>
      <c r="AK734" s="34">
        <f>AJ734-(AJ734*7%)</f>
        <v/>
      </c>
      <c r="AL734" s="35">
        <f>AJ734/94</f>
        <v/>
      </c>
      <c r="AM734" s="35">
        <f>AK734/94</f>
        <v/>
      </c>
      <c r="AN734" s="36">
        <f>AJ734/24</f>
        <v/>
      </c>
      <c r="AO734" s="36">
        <f>AK734/24</f>
        <v/>
      </c>
      <c r="AP734" s="37">
        <f>AJ734/125</f>
        <v/>
      </c>
      <c r="AQ734" s="37">
        <f>AK734/125</f>
        <v/>
      </c>
    </row>
    <row r="735" ht="15.75" customHeight="1" s="50">
      <c r="A735" s="32" t="n"/>
      <c r="B735" s="32" t="inlineStr">
        <is>
          <t>Unweighted / 528 Hz</t>
        </is>
      </c>
      <c r="D735" s="32" t="n">
        <v>365</v>
      </c>
      <c r="G735" s="32" t="n">
        <v>0</v>
      </c>
      <c r="H735" s="32" t="n">
        <v>10</v>
      </c>
      <c r="I735" s="41" t="n">
        <v>9202</v>
      </c>
      <c r="J735" s="30" t="n">
        <v>0.18</v>
      </c>
      <c r="K735" s="32">
        <f>D735*J735</f>
        <v/>
      </c>
      <c r="M735" s="32">
        <f>D735*4%</f>
        <v/>
      </c>
      <c r="N735" s="49">
        <f>M735+L735+K735+H735+G735+F735+E735+D735</f>
        <v/>
      </c>
      <c r="O735" s="32">
        <f>D735*1%</f>
        <v/>
      </c>
      <c r="P735" s="7">
        <f>N735*8%</f>
        <v/>
      </c>
      <c r="Q735" s="7">
        <f>N735*10%</f>
        <v/>
      </c>
      <c r="R735" s="7">
        <f>N735*5%</f>
        <v/>
      </c>
      <c r="S735" s="7">
        <f>N735*2%</f>
        <v/>
      </c>
      <c r="T735" s="7">
        <f>AE735*0.5%</f>
        <v/>
      </c>
      <c r="U735" s="7">
        <f>N735*1%</f>
        <v/>
      </c>
      <c r="V735" s="31">
        <f>U735+S735+R735+Q735+P735+O735</f>
        <v/>
      </c>
      <c r="W735" s="32">
        <f>AE735*1%</f>
        <v/>
      </c>
      <c r="X735" s="32">
        <f>AE735*10%</f>
        <v/>
      </c>
      <c r="Y735" s="32">
        <f>AE735*1%</f>
        <v/>
      </c>
      <c r="Z735" s="32">
        <f>AE735*8%</f>
        <v/>
      </c>
      <c r="AA735" s="32">
        <f>W735+X735+Y735+Z735</f>
        <v/>
      </c>
      <c r="AB735" s="31">
        <f>AA735+V735+N735</f>
        <v/>
      </c>
      <c r="AC735" s="6">
        <f>AB735*20%</f>
        <v/>
      </c>
      <c r="AD735" s="7">
        <f>AB735+AC735</f>
        <v/>
      </c>
      <c r="AE735" s="32">
        <f>D735*2.1</f>
        <v/>
      </c>
      <c r="AF735" s="7">
        <f>AD735-AE735</f>
        <v/>
      </c>
      <c r="AG735" s="7">
        <f>AF735/AD735*100</f>
        <v/>
      </c>
      <c r="AI735" s="33" t="n"/>
      <c r="AJ735" s="34">
        <f>AD735</f>
        <v/>
      </c>
      <c r="AK735" s="34">
        <f>AJ735-(AJ735*7%)</f>
        <v/>
      </c>
      <c r="AL735" s="35">
        <f>AJ735/94</f>
        <v/>
      </c>
      <c r="AM735" s="35">
        <f>AK735/94</f>
        <v/>
      </c>
      <c r="AN735" s="36">
        <f>AJ735/24</f>
        <v/>
      </c>
      <c r="AO735" s="36">
        <f>AK735/24</f>
        <v/>
      </c>
      <c r="AP735" s="37">
        <f>AJ735/125</f>
        <v/>
      </c>
      <c r="AQ735" s="37">
        <f>AK735/125</f>
        <v/>
      </c>
    </row>
    <row r="736" ht="15" customHeight="1" s="50">
      <c r="A736" s="32" t="inlineStr">
        <is>
          <t>Tuning Fork Activators</t>
        </is>
      </c>
      <c r="B736" s="32" t="inlineStr">
        <is>
          <t>Activator</t>
        </is>
      </c>
      <c r="D736" s="32" t="n">
        <v>50</v>
      </c>
      <c r="G736" s="32" t="n">
        <v>0</v>
      </c>
      <c r="H736" s="32" t="n">
        <v>10</v>
      </c>
      <c r="I736" s="41" t="n">
        <v>9202</v>
      </c>
      <c r="J736" s="30" t="n">
        <v>0.18</v>
      </c>
      <c r="K736" s="32">
        <f>D736*J736</f>
        <v/>
      </c>
      <c r="M736" s="32">
        <f>D736*4%</f>
        <v/>
      </c>
      <c r="N736" s="49">
        <f>M736+L736+K736+H736+G736+F736+E736+D736</f>
        <v/>
      </c>
      <c r="O736" s="32">
        <f>D736*1%</f>
        <v/>
      </c>
      <c r="P736" s="7">
        <f>N736*8%</f>
        <v/>
      </c>
      <c r="Q736" s="7">
        <f>N736*10%</f>
        <v/>
      </c>
      <c r="R736" s="7">
        <f>N736*5%</f>
        <v/>
      </c>
      <c r="S736" s="7">
        <f>N736*2%</f>
        <v/>
      </c>
      <c r="T736" s="7">
        <f>AE736*0.5%</f>
        <v/>
      </c>
      <c r="U736" s="7">
        <f>N736*1%</f>
        <v/>
      </c>
      <c r="V736" s="31">
        <f>U736+S736+R736+Q736+P736+O736</f>
        <v/>
      </c>
      <c r="W736" s="32">
        <f>AE736*1%</f>
        <v/>
      </c>
      <c r="X736" s="32">
        <f>AE736*10%</f>
        <v/>
      </c>
      <c r="Y736" s="32">
        <f>AE736*1%</f>
        <v/>
      </c>
      <c r="Z736" s="32">
        <f>AE736*8%</f>
        <v/>
      </c>
      <c r="AA736" s="32">
        <f>W736+X736+Y736+Z736</f>
        <v/>
      </c>
      <c r="AB736" s="31">
        <f>AA736+V736+N736</f>
        <v/>
      </c>
      <c r="AC736" s="6">
        <f>AB736*20%</f>
        <v/>
      </c>
      <c r="AD736" s="7">
        <f>AB736+AC736</f>
        <v/>
      </c>
      <c r="AE736" s="32">
        <f>D736*2.1</f>
        <v/>
      </c>
      <c r="AF736" s="7">
        <f>AD736-AE736</f>
        <v/>
      </c>
      <c r="AG736" s="7">
        <f>AF736/AD736*100</f>
        <v/>
      </c>
      <c r="AI736" s="33" t="n"/>
      <c r="AJ736" s="34">
        <f>AD736</f>
        <v/>
      </c>
      <c r="AK736" s="34">
        <f>AJ736-(AJ736*7%)</f>
        <v/>
      </c>
      <c r="AL736" s="35">
        <f>AJ736/94</f>
        <v/>
      </c>
      <c r="AM736" s="35">
        <f>AK736/94</f>
        <v/>
      </c>
      <c r="AN736" s="36">
        <f>AJ736/24</f>
        <v/>
      </c>
      <c r="AO736" s="36">
        <f>AK736/24</f>
        <v/>
      </c>
      <c r="AP736" s="37">
        <f>AJ736/125</f>
        <v/>
      </c>
      <c r="AQ736" s="37">
        <f>AK736/125</f>
        <v/>
      </c>
    </row>
    <row r="737" ht="15.75" customHeight="1" s="50">
      <c r="A737" s="32" t="n"/>
      <c r="B737" s="32" t="inlineStr">
        <is>
          <t>Mallet</t>
        </is>
      </c>
      <c r="D737" s="32" t="n">
        <v>50</v>
      </c>
      <c r="G737" s="32" t="n">
        <v>0</v>
      </c>
      <c r="H737" s="32" t="n">
        <v>10</v>
      </c>
      <c r="I737" s="41" t="n">
        <v>9202</v>
      </c>
      <c r="J737" s="30" t="n">
        <v>0.18</v>
      </c>
      <c r="K737" s="32">
        <f>D737*J737</f>
        <v/>
      </c>
      <c r="M737" s="32">
        <f>D737*4%</f>
        <v/>
      </c>
      <c r="N737" s="49">
        <f>M737+L737+K737+H737+G737+F737+E737+D737</f>
        <v/>
      </c>
      <c r="O737" s="32">
        <f>D737*1%</f>
        <v/>
      </c>
      <c r="P737" s="7">
        <f>N737*8%</f>
        <v/>
      </c>
      <c r="Q737" s="7">
        <f>N737*10%</f>
        <v/>
      </c>
      <c r="R737" s="7">
        <f>N737*5%</f>
        <v/>
      </c>
      <c r="S737" s="7">
        <f>N737*2%</f>
        <v/>
      </c>
      <c r="T737" s="7">
        <f>AE737*0.5%</f>
        <v/>
      </c>
      <c r="U737" s="7">
        <f>N737*1%</f>
        <v/>
      </c>
      <c r="V737" s="31">
        <f>U737+S737+R737+Q737+P737+O737</f>
        <v/>
      </c>
      <c r="W737" s="32">
        <f>AE737*1%</f>
        <v/>
      </c>
      <c r="X737" s="32">
        <f>AE737*10%</f>
        <v/>
      </c>
      <c r="Y737" s="32">
        <f>AE737*1%</f>
        <v/>
      </c>
      <c r="Z737" s="32">
        <f>AE737*8%</f>
        <v/>
      </c>
      <c r="AA737" s="32">
        <f>W737+X737+Y737+Z737</f>
        <v/>
      </c>
      <c r="AB737" s="31">
        <f>AA737+V737+N737</f>
        <v/>
      </c>
      <c r="AC737" s="6">
        <f>AB737*20%</f>
        <v/>
      </c>
      <c r="AD737" s="7">
        <f>AB737+AC737</f>
        <v/>
      </c>
      <c r="AE737" s="32">
        <f>D737*2.1</f>
        <v/>
      </c>
      <c r="AF737" s="7">
        <f>AD737-AE737</f>
        <v/>
      </c>
      <c r="AG737" s="7">
        <f>AF737/AD737*100</f>
        <v/>
      </c>
      <c r="AI737" s="33" t="n"/>
      <c r="AJ737" s="34">
        <f>AD737</f>
        <v/>
      </c>
      <c r="AK737" s="34">
        <f>AJ737-(AJ737*7%)</f>
        <v/>
      </c>
      <c r="AL737" s="35">
        <f>AJ737/94</f>
        <v/>
      </c>
      <c r="AM737" s="35">
        <f>AK737/94</f>
        <v/>
      </c>
      <c r="AN737" s="36">
        <f>AJ737/24</f>
        <v/>
      </c>
      <c r="AO737" s="36">
        <f>AK737/24</f>
        <v/>
      </c>
      <c r="AP737" s="37">
        <f>AJ737/125</f>
        <v/>
      </c>
      <c r="AQ737" s="37">
        <f>AK737/125</f>
        <v/>
      </c>
    </row>
    <row r="738" ht="15.75" customHeight="1" s="50">
      <c r="A738" s="32" t="n"/>
      <c r="B738" s="32" t="inlineStr">
        <is>
          <t>Activator &amp; Mallet</t>
        </is>
      </c>
      <c r="D738" s="32" t="n">
        <v>100</v>
      </c>
      <c r="G738" s="32" t="n">
        <v>0</v>
      </c>
      <c r="H738" s="32" t="n">
        <v>10</v>
      </c>
      <c r="I738" s="41" t="n">
        <v>9202</v>
      </c>
      <c r="J738" s="30" t="n">
        <v>0.18</v>
      </c>
      <c r="K738" s="32">
        <f>D738*J738</f>
        <v/>
      </c>
      <c r="M738" s="32">
        <f>D738*4%</f>
        <v/>
      </c>
      <c r="N738" s="49">
        <f>M738+L738+K738+H738+G738+F738+E738+D738</f>
        <v/>
      </c>
      <c r="O738" s="32">
        <f>D738*1%</f>
        <v/>
      </c>
      <c r="P738" s="7">
        <f>N738*8%</f>
        <v/>
      </c>
      <c r="Q738" s="7">
        <f>N738*10%</f>
        <v/>
      </c>
      <c r="R738" s="7">
        <f>N738*5%</f>
        <v/>
      </c>
      <c r="S738" s="7">
        <f>N738*2%</f>
        <v/>
      </c>
      <c r="T738" s="7">
        <f>AE738*0.5%</f>
        <v/>
      </c>
      <c r="U738" s="7">
        <f>N738*1%</f>
        <v/>
      </c>
      <c r="V738" s="31">
        <f>U738+S738+R738+Q738+P738+O738</f>
        <v/>
      </c>
      <c r="W738" s="32">
        <f>AE738*1%</f>
        <v/>
      </c>
      <c r="X738" s="32">
        <f>AE738*10%</f>
        <v/>
      </c>
      <c r="Y738" s="32">
        <f>AE738*1%</f>
        <v/>
      </c>
      <c r="Z738" s="32">
        <f>AE738*8%</f>
        <v/>
      </c>
      <c r="AA738" s="32">
        <f>W738+X738+Y738+Z738</f>
        <v/>
      </c>
      <c r="AB738" s="31">
        <f>AA738+V738+N738</f>
        <v/>
      </c>
      <c r="AC738" s="6">
        <f>AB738*20%</f>
        <v/>
      </c>
      <c r="AD738" s="7">
        <f>AB738+AC738</f>
        <v/>
      </c>
      <c r="AE738" s="32">
        <f>D738*2.1</f>
        <v/>
      </c>
      <c r="AF738" s="7">
        <f>AD738-AE738</f>
        <v/>
      </c>
      <c r="AG738" s="7">
        <f>AF738/AD738*100</f>
        <v/>
      </c>
      <c r="AI738" s="33" t="n"/>
      <c r="AJ738" s="34">
        <f>AD738</f>
        <v/>
      </c>
      <c r="AK738" s="34">
        <f>AJ738-(AJ738*7%)</f>
        <v/>
      </c>
      <c r="AL738" s="35">
        <f>AJ738/94</f>
        <v/>
      </c>
      <c r="AM738" s="35">
        <f>AK738/94</f>
        <v/>
      </c>
      <c r="AN738" s="36">
        <f>AJ738/24</f>
        <v/>
      </c>
      <c r="AO738" s="36">
        <f>AK738/24</f>
        <v/>
      </c>
      <c r="AP738" s="37">
        <f>AJ738/125</f>
        <v/>
      </c>
      <c r="AQ738" s="37">
        <f>AK738/125</f>
        <v/>
      </c>
    </row>
    <row r="739" ht="15" customHeight="1" s="50">
      <c r="A739" s="32" t="inlineStr">
        <is>
          <t>Tuning Fork Extensions</t>
        </is>
      </c>
      <c r="B739" s="32" t="inlineStr">
        <is>
          <t>Extender</t>
        </is>
      </c>
      <c r="D739" s="32" t="n">
        <v>200</v>
      </c>
      <c r="G739" s="32" t="n">
        <v>0</v>
      </c>
      <c r="H739" s="32" t="n">
        <v>10</v>
      </c>
      <c r="I739" s="41" t="n">
        <v>9202</v>
      </c>
      <c r="J739" s="30" t="n">
        <v>0.18</v>
      </c>
      <c r="K739" s="32">
        <f>D739*J739</f>
        <v/>
      </c>
      <c r="M739" s="32">
        <f>D739*4%</f>
        <v/>
      </c>
      <c r="N739" s="49">
        <f>M739+L739+K739+H739+G739+F739+E739+D739</f>
        <v/>
      </c>
      <c r="O739" s="32">
        <f>D739*1%</f>
        <v/>
      </c>
      <c r="P739" s="7">
        <f>N739*8%</f>
        <v/>
      </c>
      <c r="Q739" s="7">
        <f>N739*10%</f>
        <v/>
      </c>
      <c r="R739" s="7">
        <f>N739*5%</f>
        <v/>
      </c>
      <c r="S739" s="7">
        <f>N739*2%</f>
        <v/>
      </c>
      <c r="T739" s="7">
        <f>AE739*0.5%</f>
        <v/>
      </c>
      <c r="U739" s="7">
        <f>N739*1%</f>
        <v/>
      </c>
      <c r="V739" s="31">
        <f>U739+S739+R739+Q739+P739+O739</f>
        <v/>
      </c>
      <c r="W739" s="32">
        <f>AE739*1%</f>
        <v/>
      </c>
      <c r="X739" s="32">
        <f>AE739*10%</f>
        <v/>
      </c>
      <c r="Y739" s="32">
        <f>AE739*1%</f>
        <v/>
      </c>
      <c r="Z739" s="32">
        <f>AE739*8%</f>
        <v/>
      </c>
      <c r="AA739" s="32">
        <f>W739+X739+Y739+Z739</f>
        <v/>
      </c>
      <c r="AB739" s="31">
        <f>AA739+V739+N739</f>
        <v/>
      </c>
      <c r="AC739" s="6">
        <f>AB739*20%</f>
        <v/>
      </c>
      <c r="AD739" s="7">
        <f>AB739+AC739</f>
        <v/>
      </c>
      <c r="AE739" s="32">
        <f>D739*2.1</f>
        <v/>
      </c>
      <c r="AF739" s="7">
        <f>AD739-AE739</f>
        <v/>
      </c>
      <c r="AG739" s="7">
        <f>AF739/AD739*100</f>
        <v/>
      </c>
      <c r="AI739" s="33" t="n"/>
      <c r="AJ739" s="34">
        <f>AD739</f>
        <v/>
      </c>
      <c r="AK739" s="34">
        <f>AJ739-(AJ739*7%)</f>
        <v/>
      </c>
      <c r="AL739" s="35">
        <f>AJ739/94</f>
        <v/>
      </c>
      <c r="AM739" s="35">
        <f>AK739/94</f>
        <v/>
      </c>
      <c r="AN739" s="36">
        <f>AJ739/24</f>
        <v/>
      </c>
      <c r="AO739" s="36">
        <f>AK739/24</f>
        <v/>
      </c>
      <c r="AP739" s="37">
        <f>AJ739/125</f>
        <v/>
      </c>
      <c r="AQ739" s="37">
        <f>AK739/125</f>
        <v/>
      </c>
    </row>
    <row r="740" ht="15.75" customHeight="1" s="50">
      <c r="A740" s="32" t="n"/>
      <c r="B740" s="32" t="inlineStr">
        <is>
          <t>Circuit Boot</t>
        </is>
      </c>
      <c r="D740" s="32" t="n">
        <v>400</v>
      </c>
      <c r="G740" s="32" t="n">
        <v>0</v>
      </c>
      <c r="H740" s="32" t="n">
        <v>10</v>
      </c>
      <c r="I740" s="41" t="n">
        <v>9202</v>
      </c>
      <c r="J740" s="30" t="n">
        <v>0.18</v>
      </c>
      <c r="K740" s="32">
        <f>D740*J740</f>
        <v/>
      </c>
      <c r="M740" s="32">
        <f>D740*4%</f>
        <v/>
      </c>
      <c r="N740" s="49">
        <f>M740+L740+K740+H740+G740+F740+E740+D740</f>
        <v/>
      </c>
      <c r="O740" s="32">
        <f>D740*1%</f>
        <v/>
      </c>
      <c r="P740" s="7">
        <f>N740*8%</f>
        <v/>
      </c>
      <c r="Q740" s="7">
        <f>N740*10%</f>
        <v/>
      </c>
      <c r="R740" s="7">
        <f>N740*5%</f>
        <v/>
      </c>
      <c r="S740" s="7">
        <f>N740*2%</f>
        <v/>
      </c>
      <c r="T740" s="7">
        <f>AE740*0.5%</f>
        <v/>
      </c>
      <c r="U740" s="7">
        <f>N740*1%</f>
        <v/>
      </c>
      <c r="V740" s="31">
        <f>U740+S740+R740+Q740+P740+O740</f>
        <v/>
      </c>
      <c r="W740" s="32">
        <f>AE740*1%</f>
        <v/>
      </c>
      <c r="X740" s="32">
        <f>AE740*10%</f>
        <v/>
      </c>
      <c r="Y740" s="32">
        <f>AE740*1%</f>
        <v/>
      </c>
      <c r="Z740" s="32">
        <f>AE740*8%</f>
        <v/>
      </c>
      <c r="AA740" s="32">
        <f>W740+X740+Y740+Z740</f>
        <v/>
      </c>
      <c r="AB740" s="31">
        <f>AA740+V740+N740</f>
        <v/>
      </c>
      <c r="AC740" s="6">
        <f>AB740*20%</f>
        <v/>
      </c>
      <c r="AD740" s="7">
        <f>AB740+AC740</f>
        <v/>
      </c>
      <c r="AE740" s="32">
        <f>D740*2.1</f>
        <v/>
      </c>
      <c r="AF740" s="7">
        <f>AD740-AE740</f>
        <v/>
      </c>
      <c r="AG740" s="7">
        <f>AF740/AD740*100</f>
        <v/>
      </c>
      <c r="AI740" s="33" t="n"/>
      <c r="AJ740" s="34">
        <f>AD740</f>
        <v/>
      </c>
      <c r="AK740" s="34">
        <f>AJ740-(AJ740*7%)</f>
        <v/>
      </c>
      <c r="AL740" s="35">
        <f>AJ740/94</f>
        <v/>
      </c>
      <c r="AM740" s="35">
        <f>AK740/94</f>
        <v/>
      </c>
      <c r="AN740" s="36">
        <f>AJ740/24</f>
        <v/>
      </c>
      <c r="AO740" s="36">
        <f>AK740/24</f>
        <v/>
      </c>
      <c r="AP740" s="37">
        <f>AJ740/125</f>
        <v/>
      </c>
      <c r="AQ740" s="37">
        <f>AK740/125</f>
        <v/>
      </c>
    </row>
    <row r="741" ht="15.75" customHeight="1" s="50">
      <c r="A741" s="32" t="n"/>
      <c r="B741" s="32" t="inlineStr">
        <is>
          <t>Massage Boot</t>
        </is>
      </c>
      <c r="D741" s="32" t="n">
        <v>400</v>
      </c>
      <c r="G741" s="32" t="n">
        <v>0</v>
      </c>
      <c r="H741" s="32" t="n">
        <v>10</v>
      </c>
      <c r="I741" s="41" t="n">
        <v>9202</v>
      </c>
      <c r="J741" s="30" t="n">
        <v>0.18</v>
      </c>
      <c r="K741" s="32">
        <f>D741*J741</f>
        <v/>
      </c>
      <c r="M741" s="32">
        <f>D741*4%</f>
        <v/>
      </c>
      <c r="N741" s="49">
        <f>M741+L741+K741+H741+G741+F741+E741+D741</f>
        <v/>
      </c>
      <c r="O741" s="32">
        <f>D741*1%</f>
        <v/>
      </c>
      <c r="P741" s="7">
        <f>N741*8%</f>
        <v/>
      </c>
      <c r="Q741" s="7">
        <f>N741*10%</f>
        <v/>
      </c>
      <c r="R741" s="7">
        <f>N741*5%</f>
        <v/>
      </c>
      <c r="S741" s="7">
        <f>N741*2%</f>
        <v/>
      </c>
      <c r="T741" s="7">
        <f>AE741*0.5%</f>
        <v/>
      </c>
      <c r="U741" s="7">
        <f>N741*1%</f>
        <v/>
      </c>
      <c r="V741" s="31">
        <f>U741+S741+R741+Q741+P741+O741</f>
        <v/>
      </c>
      <c r="W741" s="32">
        <f>AE741*1%</f>
        <v/>
      </c>
      <c r="X741" s="32">
        <f>AE741*10%</f>
        <v/>
      </c>
      <c r="Y741" s="32">
        <f>AE741*1%</f>
        <v/>
      </c>
      <c r="Z741" s="32">
        <f>AE741*8%</f>
        <v/>
      </c>
      <c r="AA741" s="32">
        <f>W741+X741+Y741+Z741</f>
        <v/>
      </c>
      <c r="AB741" s="31">
        <f>AA741+V741+N741</f>
        <v/>
      </c>
      <c r="AC741" s="6">
        <f>AB741*20%</f>
        <v/>
      </c>
      <c r="AD741" s="7">
        <f>AB741+AC741</f>
        <v/>
      </c>
      <c r="AE741" s="32">
        <f>D741*2.1</f>
        <v/>
      </c>
      <c r="AF741" s="7">
        <f>AD741-AE741</f>
        <v/>
      </c>
      <c r="AG741" s="7">
        <f>AF741/AD741*100</f>
        <v/>
      </c>
      <c r="AI741" s="33" t="n"/>
      <c r="AJ741" s="34">
        <f>AD741</f>
        <v/>
      </c>
      <c r="AK741" s="34">
        <f>AJ741-(AJ741*7%)</f>
        <v/>
      </c>
      <c r="AL741" s="35">
        <f>AJ741/94</f>
        <v/>
      </c>
      <c r="AM741" s="35">
        <f>AK741/94</f>
        <v/>
      </c>
      <c r="AN741" s="36">
        <f>AJ741/24</f>
        <v/>
      </c>
      <c r="AO741" s="36">
        <f>AK741/24</f>
        <v/>
      </c>
      <c r="AP741" s="37">
        <f>AJ741/125</f>
        <v/>
      </c>
      <c r="AQ741" s="37">
        <f>AK741/125</f>
        <v/>
      </c>
    </row>
    <row r="742" ht="15" customHeight="1" s="50">
      <c r="A742" s="32" t="inlineStr">
        <is>
          <t>Tuning Forks 7 Chakra Set</t>
        </is>
      </c>
      <c r="B742" s="32" t="inlineStr">
        <is>
          <t>Weighted / With Gem Foot</t>
        </is>
      </c>
      <c r="D742" s="32" t="n">
        <v>3400</v>
      </c>
      <c r="G742" s="32" t="n">
        <v>0</v>
      </c>
      <c r="H742" s="32" t="n">
        <v>10</v>
      </c>
      <c r="I742" s="41" t="n">
        <v>9202</v>
      </c>
      <c r="J742" s="30" t="n">
        <v>0.18</v>
      </c>
      <c r="K742" s="32">
        <f>D742*J742</f>
        <v/>
      </c>
      <c r="M742" s="32">
        <f>D742*4%</f>
        <v/>
      </c>
      <c r="N742" s="49">
        <f>M742+L742+K742+H742+G742+F742+E742+#REF!</f>
        <v/>
      </c>
      <c r="O742" s="32">
        <f>#REF!*1%</f>
        <v/>
      </c>
      <c r="P742" s="7">
        <f>N742*8%</f>
        <v/>
      </c>
      <c r="Q742" s="7">
        <f>N742*10%</f>
        <v/>
      </c>
      <c r="R742" s="7">
        <f>N742*5%</f>
        <v/>
      </c>
      <c r="S742" s="7">
        <f>N742*2%</f>
        <v/>
      </c>
      <c r="T742" s="7">
        <f>AE742*0.5%</f>
        <v/>
      </c>
      <c r="U742" s="7">
        <f>N742*1%</f>
        <v/>
      </c>
      <c r="V742" s="49">
        <f>U742+S742+R742+Q742+P742+O742</f>
        <v/>
      </c>
      <c r="W742" s="32">
        <f>AE742*1%</f>
        <v/>
      </c>
      <c r="X742" s="32">
        <f>AE742*10%</f>
        <v/>
      </c>
      <c r="Y742" s="32">
        <f>AE742*1%</f>
        <v/>
      </c>
      <c r="Z742" s="32">
        <f>AE742*8%</f>
        <v/>
      </c>
      <c r="AA742" s="32">
        <f>W742+X742+Y742+Z742</f>
        <v/>
      </c>
      <c r="AB742" s="31">
        <f>AA742+V742+N742</f>
        <v/>
      </c>
      <c r="AC742" s="6">
        <f>AB742*20%</f>
        <v/>
      </c>
      <c r="AD742" s="32">
        <f>AB742+AC742</f>
        <v/>
      </c>
      <c r="AE742" s="32">
        <f>D742*2.1</f>
        <v/>
      </c>
      <c r="AF742" s="7">
        <f>AD742-AE742</f>
        <v/>
      </c>
      <c r="AG742" s="7">
        <f>AF742/AD742*100</f>
        <v/>
      </c>
      <c r="AI742" s="33" t="n"/>
      <c r="AJ742" s="34">
        <f>AD742</f>
        <v/>
      </c>
      <c r="AK742" s="34">
        <f>AJ742-(AJ742*7%)</f>
        <v/>
      </c>
      <c r="AL742" s="35">
        <f>AJ742/94</f>
        <v/>
      </c>
      <c r="AM742" s="35">
        <f>AK742/94</f>
        <v/>
      </c>
      <c r="AN742" s="36">
        <f>AJ742/24</f>
        <v/>
      </c>
      <c r="AO742" s="36">
        <f>AK742/24</f>
        <v/>
      </c>
      <c r="AP742" s="37">
        <f>AJ742/125</f>
        <v/>
      </c>
      <c r="AQ742" s="37">
        <f>AK742/125</f>
        <v/>
      </c>
    </row>
    <row r="743" ht="15.75" customHeight="1" s="50">
      <c r="A743" s="32" t="n"/>
      <c r="B743" s="32" t="inlineStr">
        <is>
          <t>Weighted / Without Gem Foot</t>
        </is>
      </c>
      <c r="D743" s="32" t="n">
        <v>3900</v>
      </c>
      <c r="G743" s="32" t="n">
        <v>0</v>
      </c>
      <c r="H743" s="32" t="n">
        <v>10</v>
      </c>
      <c r="I743" s="41" t="n">
        <v>9202</v>
      </c>
      <c r="J743" s="30" t="n">
        <v>0.18</v>
      </c>
      <c r="K743" s="32">
        <f>D743*J743</f>
        <v/>
      </c>
      <c r="M743" s="32">
        <f>D743*4%</f>
        <v/>
      </c>
      <c r="N743" s="49">
        <f>M743+L743+K743+H743+G743+F743+E743+D742</f>
        <v/>
      </c>
      <c r="O743" s="32">
        <f>D742*1%</f>
        <v/>
      </c>
      <c r="P743" s="7">
        <f>N743*8%</f>
        <v/>
      </c>
      <c r="Q743" s="7">
        <f>N743*10%</f>
        <v/>
      </c>
      <c r="R743" s="7">
        <f>N743*5%</f>
        <v/>
      </c>
      <c r="S743" s="7">
        <f>N743*2%</f>
        <v/>
      </c>
      <c r="T743" s="7">
        <f>AE743*0.5%</f>
        <v/>
      </c>
      <c r="U743" s="7">
        <f>N743*1%</f>
        <v/>
      </c>
      <c r="V743" s="31">
        <f>U743+S743+R743+Q743+P743+O743</f>
        <v/>
      </c>
      <c r="W743" s="32">
        <f>AE743*1%</f>
        <v/>
      </c>
      <c r="X743" s="32">
        <f>AE743*10%</f>
        <v/>
      </c>
      <c r="Y743" s="32">
        <f>AE743*1%</f>
        <v/>
      </c>
      <c r="Z743" s="32">
        <f>AE743*8%</f>
        <v/>
      </c>
      <c r="AA743" s="32">
        <f>W743+X743+Y743+Z743</f>
        <v/>
      </c>
      <c r="AB743" s="31">
        <f>AA743+V743+N743</f>
        <v/>
      </c>
      <c r="AC743" s="6">
        <f>AB743*20%</f>
        <v/>
      </c>
      <c r="AD743" s="7">
        <f>AB743+AC743</f>
        <v/>
      </c>
      <c r="AE743" s="32">
        <f>D743*2.1</f>
        <v/>
      </c>
      <c r="AF743" s="7">
        <f>AD743-AE743</f>
        <v/>
      </c>
      <c r="AG743" s="7">
        <f>AF743/AD743*100</f>
        <v/>
      </c>
      <c r="AI743" s="33" t="n"/>
      <c r="AJ743" s="34">
        <f>AD743</f>
        <v/>
      </c>
      <c r="AK743" s="34">
        <f>AJ743-(AJ743*7%)</f>
        <v/>
      </c>
      <c r="AL743" s="35">
        <f>AJ743/94</f>
        <v/>
      </c>
      <c r="AM743" s="35">
        <f>AK743/94</f>
        <v/>
      </c>
      <c r="AN743" s="36">
        <f>AJ743/24</f>
        <v/>
      </c>
      <c r="AO743" s="36">
        <f>AK743/24</f>
        <v/>
      </c>
      <c r="AP743" s="37">
        <f>AJ743/125</f>
        <v/>
      </c>
      <c r="AQ743" s="37">
        <f>AK743/125</f>
        <v/>
      </c>
    </row>
    <row r="744" ht="15.75" customHeight="1" s="50">
      <c r="A744" s="32" t="n"/>
      <c r="B744" s="32" t="inlineStr">
        <is>
          <t>With Gem Foot / Unweighted</t>
        </is>
      </c>
      <c r="D744" s="32" t="n">
        <v>2900</v>
      </c>
      <c r="G744" s="32" t="n">
        <v>0</v>
      </c>
      <c r="H744" s="32" t="n">
        <v>10</v>
      </c>
      <c r="I744" s="41" t="n">
        <v>9202</v>
      </c>
      <c r="J744" s="30" t="n">
        <v>0.18</v>
      </c>
      <c r="K744" s="32">
        <f>D744*J744</f>
        <v/>
      </c>
      <c r="M744" s="32">
        <f>D744*4%</f>
        <v/>
      </c>
      <c r="N744" s="49">
        <f>M744+L744+K744+H744+G744+F744+E744+D743</f>
        <v/>
      </c>
      <c r="O744" s="32">
        <f>D743*1%</f>
        <v/>
      </c>
      <c r="P744" s="7">
        <f>N744*8%</f>
        <v/>
      </c>
      <c r="Q744" s="7">
        <f>N744*10%</f>
        <v/>
      </c>
      <c r="R744" s="7">
        <f>N744*5%</f>
        <v/>
      </c>
      <c r="S744" s="7">
        <f>N744*2%</f>
        <v/>
      </c>
      <c r="T744" s="7">
        <f>AE744*0.5%</f>
        <v/>
      </c>
      <c r="U744" s="7">
        <f>N744*1%</f>
        <v/>
      </c>
      <c r="V744" s="31">
        <f>U744+S744+R744+Q744+P744+O744</f>
        <v/>
      </c>
      <c r="W744" s="32">
        <f>AE744*1%</f>
        <v/>
      </c>
      <c r="X744" s="32">
        <f>AE744*10%</f>
        <v/>
      </c>
      <c r="Y744" s="32">
        <f>AE744*1%</f>
        <v/>
      </c>
      <c r="Z744" s="32">
        <f>AE744*8%</f>
        <v/>
      </c>
      <c r="AA744" s="32">
        <f>W744+X744+Y744+Z744</f>
        <v/>
      </c>
      <c r="AB744" s="31">
        <f>AA744+V744+N744</f>
        <v/>
      </c>
      <c r="AC744" s="6">
        <f>AB744*20%</f>
        <v/>
      </c>
      <c r="AD744" s="7">
        <f>AB744+AC744</f>
        <v/>
      </c>
      <c r="AE744" s="32">
        <f>D744*2.1</f>
        <v/>
      </c>
      <c r="AF744" s="7">
        <f>AD744-AE744</f>
        <v/>
      </c>
      <c r="AG744" s="7">
        <f>AF744/AD744*100</f>
        <v/>
      </c>
      <c r="AI744" s="33" t="n"/>
      <c r="AJ744" s="34">
        <f>AD744</f>
        <v/>
      </c>
      <c r="AK744" s="34">
        <f>AJ744-(AJ744*7%)</f>
        <v/>
      </c>
      <c r="AL744" s="35">
        <f>AJ744/94</f>
        <v/>
      </c>
      <c r="AM744" s="35">
        <f>AK744/94</f>
        <v/>
      </c>
      <c r="AN744" s="36">
        <f>AJ744/24</f>
        <v/>
      </c>
      <c r="AO744" s="36">
        <f>AK744/24</f>
        <v/>
      </c>
      <c r="AP744" s="37">
        <f>AJ744/125</f>
        <v/>
      </c>
      <c r="AQ744" s="37">
        <f>AK744/125</f>
        <v/>
      </c>
    </row>
    <row r="745" ht="15.75" customHeight="1" s="50">
      <c r="A745" s="32" t="n"/>
      <c r="B745" s="32" t="inlineStr">
        <is>
          <t>Without Gem Foot / Unweighted</t>
        </is>
      </c>
      <c r="D745" s="32" t="n">
        <v>2400</v>
      </c>
      <c r="E745" s="32" t="n">
        <v>0</v>
      </c>
      <c r="F745" s="32" t="n">
        <v>0</v>
      </c>
      <c r="G745" s="32" t="n">
        <v>0</v>
      </c>
      <c r="H745" s="32" t="n">
        <v>10</v>
      </c>
      <c r="I745" s="41" t="n">
        <v>9202</v>
      </c>
      <c r="J745" s="30" t="n">
        <v>0.18</v>
      </c>
      <c r="K745" s="32">
        <f>D745*J745</f>
        <v/>
      </c>
      <c r="M745" s="32">
        <f>D745*4%</f>
        <v/>
      </c>
      <c r="N745" s="49">
        <f>M745+L745+K745+H745+G745+F745+E745+D745</f>
        <v/>
      </c>
      <c r="O745" s="32">
        <f>D745*1%</f>
        <v/>
      </c>
      <c r="P745" s="7">
        <f>N745*8%</f>
        <v/>
      </c>
      <c r="Q745" s="7">
        <f>N745*10%</f>
        <v/>
      </c>
      <c r="R745" s="7">
        <f>N745*5%</f>
        <v/>
      </c>
      <c r="S745" s="7">
        <f>N745*2%</f>
        <v/>
      </c>
      <c r="T745" s="7">
        <f>AE745*0.5%</f>
        <v/>
      </c>
      <c r="U745" s="7">
        <f>N745*1%</f>
        <v/>
      </c>
      <c r="V745" s="31">
        <f>U745+S745+R745+Q745+P745+O745</f>
        <v/>
      </c>
      <c r="W745" s="32">
        <f>AE745*1%</f>
        <v/>
      </c>
      <c r="X745" s="32">
        <f>AE745*10%</f>
        <v/>
      </c>
      <c r="Y745" s="32">
        <f>AE745*1%</f>
        <v/>
      </c>
      <c r="Z745" s="32">
        <f>AE745*8%</f>
        <v/>
      </c>
      <c r="AA745" s="32">
        <f>W745+X745+Y745+Z745</f>
        <v/>
      </c>
      <c r="AB745" s="31">
        <f>AA745+V745+N745</f>
        <v/>
      </c>
      <c r="AC745" s="6">
        <f>AB745*20%</f>
        <v/>
      </c>
      <c r="AD745" s="7">
        <f>AB745+AC745</f>
        <v/>
      </c>
      <c r="AE745" s="32">
        <f>D745*2.1</f>
        <v/>
      </c>
      <c r="AF745" s="7">
        <f>AD745-AE745</f>
        <v/>
      </c>
      <c r="AG745" s="7">
        <f>AF745/AD745*100</f>
        <v/>
      </c>
      <c r="AI745" s="33" t="n"/>
      <c r="AJ745" s="34">
        <f>AD745</f>
        <v/>
      </c>
      <c r="AK745" s="34">
        <f>AJ745-(AJ745*7%)</f>
        <v/>
      </c>
      <c r="AL745" s="35">
        <f>AJ745/94</f>
        <v/>
      </c>
      <c r="AM745" s="35">
        <f>AK745/94</f>
        <v/>
      </c>
      <c r="AN745" s="36">
        <f>AJ745/24</f>
        <v/>
      </c>
      <c r="AO745" s="36">
        <f>AK745/24</f>
        <v/>
      </c>
      <c r="AP745" s="37">
        <f>AJ745/125</f>
        <v/>
      </c>
      <c r="AQ745" s="37">
        <f>AK745/125</f>
        <v/>
      </c>
    </row>
    <row r="746" ht="15.75" customHeight="1" s="50">
      <c r="A746" s="32" t="n"/>
      <c r="B746" s="32" t="inlineStr">
        <is>
          <t>Colour Weighted / With Gem Foot</t>
        </is>
      </c>
      <c r="D746" s="32" t="n">
        <v>4670</v>
      </c>
      <c r="E746" s="32" t="n">
        <v>0</v>
      </c>
      <c r="F746" s="32" t="n">
        <v>0</v>
      </c>
      <c r="G746" s="32" t="n">
        <v>0</v>
      </c>
      <c r="H746" s="32" t="n">
        <v>10</v>
      </c>
      <c r="I746" s="41" t="n">
        <v>9202</v>
      </c>
      <c r="J746" s="30" t="n">
        <v>0.18</v>
      </c>
      <c r="K746" s="32">
        <f>D746*J746</f>
        <v/>
      </c>
      <c r="M746" s="32">
        <f>D746*4%</f>
        <v/>
      </c>
      <c r="N746" s="49">
        <f>M746+L746+K746+H746+G746+F746+E746+D746</f>
        <v/>
      </c>
      <c r="O746" s="32">
        <f>D746*1%</f>
        <v/>
      </c>
      <c r="P746" s="7">
        <f>N746*8%</f>
        <v/>
      </c>
      <c r="Q746" s="7">
        <f>N746*10%</f>
        <v/>
      </c>
      <c r="R746" s="7">
        <f>N746*5%</f>
        <v/>
      </c>
      <c r="S746" s="7">
        <f>N746*2%</f>
        <v/>
      </c>
      <c r="T746" s="7">
        <f>AE746*0.5%</f>
        <v/>
      </c>
      <c r="U746" s="7">
        <f>N746*1%</f>
        <v/>
      </c>
      <c r="V746" s="31">
        <f>U746+S746+R746+Q746+P746+O746</f>
        <v/>
      </c>
      <c r="W746" s="32">
        <f>AE746*1%</f>
        <v/>
      </c>
      <c r="X746" s="32">
        <f>AE746*10%</f>
        <v/>
      </c>
      <c r="Y746" s="32">
        <f>AE746*1%</f>
        <v/>
      </c>
      <c r="Z746" s="32">
        <f>AE746*8%</f>
        <v/>
      </c>
      <c r="AA746" s="32">
        <f>W746+X746+Y746+Z746</f>
        <v/>
      </c>
      <c r="AB746" s="31">
        <f>AA746+V746+N746</f>
        <v/>
      </c>
      <c r="AC746" s="6">
        <f>AB746*20%</f>
        <v/>
      </c>
      <c r="AD746" s="7">
        <f>AB746+AC746</f>
        <v/>
      </c>
      <c r="AE746" s="32">
        <f>D746*2.1</f>
        <v/>
      </c>
      <c r="AF746" s="7">
        <f>AD746-AE746</f>
        <v/>
      </c>
      <c r="AG746" s="7">
        <f>AF746/AD746*100</f>
        <v/>
      </c>
      <c r="AI746" s="33" t="n"/>
      <c r="AJ746" s="34">
        <f>AD746</f>
        <v/>
      </c>
      <c r="AK746" s="34">
        <f>AJ746-(AJ746*7%)</f>
        <v/>
      </c>
      <c r="AL746" s="35">
        <f>AJ746/94</f>
        <v/>
      </c>
      <c r="AM746" s="35">
        <f>AK746/94</f>
        <v/>
      </c>
      <c r="AN746" s="36">
        <f>AJ746/24</f>
        <v/>
      </c>
      <c r="AO746" s="36">
        <f>AK746/24</f>
        <v/>
      </c>
      <c r="AP746" s="37">
        <f>AJ746/125</f>
        <v/>
      </c>
      <c r="AQ746" s="37">
        <f>AK746/125</f>
        <v/>
      </c>
    </row>
    <row r="747" ht="15.75" customHeight="1" s="50">
      <c r="A747" s="32" t="n"/>
      <c r="B747" s="32" t="inlineStr">
        <is>
          <t>Colour Weighted / Without Gem Foot</t>
        </is>
      </c>
      <c r="D747" s="32" t="n">
        <v>4170</v>
      </c>
      <c r="E747" s="32" t="n">
        <v>0</v>
      </c>
      <c r="F747" s="32" t="n">
        <v>0</v>
      </c>
      <c r="G747" s="32" t="n">
        <v>0</v>
      </c>
      <c r="H747" s="32" t="n">
        <v>10</v>
      </c>
      <c r="I747" s="41" t="n">
        <v>9202</v>
      </c>
      <c r="J747" s="30" t="n">
        <v>0.18</v>
      </c>
      <c r="K747" s="32">
        <f>D747*J747</f>
        <v/>
      </c>
      <c r="M747" s="32">
        <f>D747*4%</f>
        <v/>
      </c>
      <c r="N747" s="49">
        <f>M747+L747+K747+H747+G747+F747+E747+D747</f>
        <v/>
      </c>
      <c r="O747" s="32">
        <f>D747*1%</f>
        <v/>
      </c>
      <c r="P747" s="7">
        <f>N747*8%</f>
        <v/>
      </c>
      <c r="Q747" s="7">
        <f>N747*10%</f>
        <v/>
      </c>
      <c r="R747" s="7">
        <f>N747*5%</f>
        <v/>
      </c>
      <c r="S747" s="7">
        <f>N747*2%</f>
        <v/>
      </c>
      <c r="T747" s="7">
        <f>AE747*0.5%</f>
        <v/>
      </c>
      <c r="U747" s="7">
        <f>N747*1%</f>
        <v/>
      </c>
      <c r="V747" s="31">
        <f>U747+S747+R747+Q747+P747+O747</f>
        <v/>
      </c>
      <c r="W747" s="32">
        <f>AE747*1%</f>
        <v/>
      </c>
      <c r="X747" s="32">
        <f>AE747*10%</f>
        <v/>
      </c>
      <c r="Y747" s="32">
        <f>AE747*1%</f>
        <v/>
      </c>
      <c r="Z747" s="32">
        <f>AE747*8%</f>
        <v/>
      </c>
      <c r="AA747" s="32">
        <f>W747+X747+Y747+Z747</f>
        <v/>
      </c>
      <c r="AB747" s="31">
        <f>AA747+V747+N747</f>
        <v/>
      </c>
      <c r="AC747" s="6">
        <f>AB747*20%</f>
        <v/>
      </c>
      <c r="AD747" s="7">
        <f>AB747+AC747</f>
        <v/>
      </c>
      <c r="AE747" s="32">
        <f>D747*2.1</f>
        <v/>
      </c>
      <c r="AF747" s="7">
        <f>AD747-AE747</f>
        <v/>
      </c>
      <c r="AG747" s="7">
        <f>AF747/AD747*100</f>
        <v/>
      </c>
      <c r="AI747" s="33" t="n"/>
      <c r="AJ747" s="34">
        <f>AD747</f>
        <v/>
      </c>
      <c r="AK747" s="34">
        <f>AJ747-(AJ747*7%)</f>
        <v/>
      </c>
      <c r="AL747" s="35">
        <f>AJ747/94</f>
        <v/>
      </c>
      <c r="AM747" s="35">
        <f>AK747/94</f>
        <v/>
      </c>
      <c r="AN747" s="36">
        <f>AJ747/24</f>
        <v/>
      </c>
      <c r="AO747" s="36">
        <f>AK747/24</f>
        <v/>
      </c>
      <c r="AP747" s="37">
        <f>AJ747/125</f>
        <v/>
      </c>
      <c r="AQ747" s="37">
        <f>AK747/125</f>
        <v/>
      </c>
    </row>
    <row r="748" ht="15.75" customHeight="1" s="50">
      <c r="A748" s="32" t="n"/>
      <c r="B748" s="32" t="inlineStr">
        <is>
          <t>With Gem Foot / Colour Unweighted</t>
        </is>
      </c>
      <c r="D748" s="32" t="n">
        <v>3000</v>
      </c>
      <c r="E748" s="32" t="n">
        <v>0</v>
      </c>
      <c r="F748" s="32" t="n">
        <v>0</v>
      </c>
      <c r="G748" s="32" t="n">
        <v>0</v>
      </c>
      <c r="H748" s="32" t="n">
        <v>10</v>
      </c>
      <c r="I748" s="41" t="n">
        <v>9202</v>
      </c>
      <c r="J748" s="30" t="n">
        <v>0.18</v>
      </c>
      <c r="K748" s="32">
        <f>D748*J748</f>
        <v/>
      </c>
      <c r="M748" s="32">
        <f>D748*4%</f>
        <v/>
      </c>
      <c r="N748" s="49">
        <f>M748+L748+K748+H748+G748+F748+E748+D748</f>
        <v/>
      </c>
      <c r="O748" s="32">
        <f>D748*1%</f>
        <v/>
      </c>
      <c r="P748" s="7">
        <f>N748*8%</f>
        <v/>
      </c>
      <c r="Q748" s="7">
        <f>N748*10%</f>
        <v/>
      </c>
      <c r="R748" s="7">
        <f>N748*5%</f>
        <v/>
      </c>
      <c r="S748" s="7">
        <f>N748*2%</f>
        <v/>
      </c>
      <c r="T748" s="7">
        <f>AE748*0.5%</f>
        <v/>
      </c>
      <c r="U748" s="7">
        <f>N748*1%</f>
        <v/>
      </c>
      <c r="V748" s="31">
        <f>U748+S748+R748+Q748+P748+O748</f>
        <v/>
      </c>
      <c r="W748" s="32">
        <f>AE748*1%</f>
        <v/>
      </c>
      <c r="X748" s="32">
        <f>AE748*10%</f>
        <v/>
      </c>
      <c r="Y748" s="32">
        <f>AE748*1%</f>
        <v/>
      </c>
      <c r="Z748" s="32">
        <f>AE748*8%</f>
        <v/>
      </c>
      <c r="AA748" s="32">
        <f>W748+X748+Y748+Z748</f>
        <v/>
      </c>
      <c r="AB748" s="31">
        <f>AA748+V748+N748</f>
        <v/>
      </c>
      <c r="AC748" s="6">
        <f>AB748*20%</f>
        <v/>
      </c>
      <c r="AD748" s="7">
        <f>AB748+AC748</f>
        <v/>
      </c>
      <c r="AE748" s="32">
        <f>D748*2.1</f>
        <v/>
      </c>
      <c r="AF748" s="7">
        <f>AD748-AE748</f>
        <v/>
      </c>
      <c r="AG748" s="7">
        <f>AF748/AD748*100</f>
        <v/>
      </c>
      <c r="AI748" s="33" t="n"/>
      <c r="AJ748" s="34">
        <f>AD748</f>
        <v/>
      </c>
      <c r="AK748" s="34">
        <f>AJ748-(AJ748*7%)</f>
        <v/>
      </c>
      <c r="AL748" s="35">
        <f>AJ748/94</f>
        <v/>
      </c>
      <c r="AM748" s="35">
        <f>AK748/94</f>
        <v/>
      </c>
      <c r="AN748" s="36">
        <f>AJ748/24</f>
        <v/>
      </c>
      <c r="AO748" s="36">
        <f>AK748/24</f>
        <v/>
      </c>
      <c r="AP748" s="37">
        <f>AJ748/125</f>
        <v/>
      </c>
      <c r="AQ748" s="37">
        <f>AK748/125</f>
        <v/>
      </c>
    </row>
    <row r="749" ht="15.75" customHeight="1" s="50">
      <c r="A749" s="32" t="n"/>
      <c r="B749" s="32" t="inlineStr">
        <is>
          <t>Without Gem Foot / Colour Unweighted</t>
        </is>
      </c>
      <c r="D749" s="32" t="n">
        <v>2500</v>
      </c>
      <c r="E749" s="32" t="n">
        <v>0</v>
      </c>
      <c r="F749" s="32" t="n">
        <v>0</v>
      </c>
      <c r="G749" s="32" t="n">
        <v>0</v>
      </c>
      <c r="H749" s="32" t="n">
        <v>10</v>
      </c>
      <c r="I749" s="41" t="n">
        <v>9202</v>
      </c>
      <c r="J749" s="30" t="n">
        <v>0.18</v>
      </c>
      <c r="K749" s="32">
        <f>D749*J749</f>
        <v/>
      </c>
      <c r="M749" s="32">
        <f>D749*4%</f>
        <v/>
      </c>
      <c r="N749" s="49">
        <f>M749+L749+K749+H749+G749+F749+E749+D749</f>
        <v/>
      </c>
      <c r="O749" s="32">
        <f>D749*1%</f>
        <v/>
      </c>
      <c r="P749" s="7">
        <f>N749*8%</f>
        <v/>
      </c>
      <c r="Q749" s="7">
        <f>N749*10%</f>
        <v/>
      </c>
      <c r="R749" s="7">
        <f>N749*5%</f>
        <v/>
      </c>
      <c r="S749" s="7">
        <f>N749*2%</f>
        <v/>
      </c>
      <c r="T749" s="7">
        <f>AE749*0.5%</f>
        <v/>
      </c>
      <c r="U749" s="7">
        <f>N749*1%</f>
        <v/>
      </c>
      <c r="V749" s="31">
        <f>U749+S749+R749+Q749+P749+O749</f>
        <v/>
      </c>
      <c r="W749" s="32">
        <f>AE749*1%</f>
        <v/>
      </c>
      <c r="X749" s="32">
        <f>AE749*10%</f>
        <v/>
      </c>
      <c r="Y749" s="32">
        <f>AE749*1%</f>
        <v/>
      </c>
      <c r="Z749" s="32">
        <f>AE749*8%</f>
        <v/>
      </c>
      <c r="AA749" s="32">
        <f>W749+X749+Y749+Z749</f>
        <v/>
      </c>
      <c r="AB749" s="31">
        <f>AA749+V749+N749</f>
        <v/>
      </c>
      <c r="AC749" s="6">
        <f>AB749*20%</f>
        <v/>
      </c>
      <c r="AD749" s="7">
        <f>AB749+AC749</f>
        <v/>
      </c>
      <c r="AE749" s="32">
        <f>D749*2.1</f>
        <v/>
      </c>
      <c r="AF749" s="7">
        <f>AD749-AE749</f>
        <v/>
      </c>
      <c r="AG749" s="7">
        <f>AF749/AD749*100</f>
        <v/>
      </c>
      <c r="AI749" s="33" t="n"/>
      <c r="AJ749" s="34">
        <f>AD749</f>
        <v/>
      </c>
      <c r="AK749" s="34">
        <f>AJ749-(AJ749*7%)</f>
        <v/>
      </c>
      <c r="AL749" s="35">
        <f>AJ749/94</f>
        <v/>
      </c>
      <c r="AM749" s="35">
        <f>AK749/94</f>
        <v/>
      </c>
      <c r="AN749" s="36">
        <f>AJ749/24</f>
        <v/>
      </c>
      <c r="AO749" s="36">
        <f>AK749/24</f>
        <v/>
      </c>
      <c r="AP749" s="37">
        <f>AJ749/125</f>
        <v/>
      </c>
      <c r="AQ749" s="37">
        <f>AK749/125</f>
        <v/>
      </c>
    </row>
    <row r="750" ht="15" customHeight="1" s="50">
      <c r="A750" s="32" t="inlineStr">
        <is>
          <t>Tuning Forks Gem Feet</t>
        </is>
      </c>
      <c r="B750" s="32" t="inlineStr">
        <is>
          <t>Maroon</t>
        </is>
      </c>
      <c r="D750" s="32" t="n">
        <v>80</v>
      </c>
      <c r="E750" s="32" t="n">
        <v>0</v>
      </c>
      <c r="F750" s="32" t="n">
        <v>0</v>
      </c>
      <c r="G750" s="32" t="n">
        <v>0</v>
      </c>
      <c r="H750" s="32" t="n">
        <v>10</v>
      </c>
      <c r="I750" s="41" t="n">
        <v>9202</v>
      </c>
      <c r="J750" s="30" t="n">
        <v>0.18</v>
      </c>
      <c r="K750" s="32">
        <f>D750*J750</f>
        <v/>
      </c>
      <c r="M750" s="32">
        <f>D750*4%</f>
        <v/>
      </c>
      <c r="N750" s="49">
        <f>M750+L750+K750+H750+G750+F750+E750+D750</f>
        <v/>
      </c>
      <c r="O750" s="32">
        <f>D750*1%</f>
        <v/>
      </c>
      <c r="P750" s="7">
        <f>N750*8%</f>
        <v/>
      </c>
      <c r="Q750" s="7">
        <f>N750*10%</f>
        <v/>
      </c>
      <c r="R750" s="7">
        <f>N750*5%</f>
        <v/>
      </c>
      <c r="S750" s="7">
        <f>N750*2%</f>
        <v/>
      </c>
      <c r="T750" s="7">
        <f>AE750*0.5%</f>
        <v/>
      </c>
      <c r="U750" s="7">
        <f>N750*1%</f>
        <v/>
      </c>
      <c r="V750" s="31">
        <f>U750+S750+R750+Q750+P750+O750</f>
        <v/>
      </c>
      <c r="W750" s="32">
        <f>AE750*1%</f>
        <v/>
      </c>
      <c r="X750" s="32">
        <f>AE750*10%</f>
        <v/>
      </c>
      <c r="Y750" s="32">
        <f>AE750*1%</f>
        <v/>
      </c>
      <c r="Z750" s="32">
        <f>AE750*8%</f>
        <v/>
      </c>
      <c r="AA750" s="32">
        <f>W750+X750+Y750+Z750</f>
        <v/>
      </c>
      <c r="AB750" s="31">
        <f>AA750+V750+N750</f>
        <v/>
      </c>
      <c r="AC750" s="6">
        <f>AB750*20%</f>
        <v/>
      </c>
      <c r="AD750" s="7">
        <f>AB750+AC750</f>
        <v/>
      </c>
      <c r="AE750" s="32">
        <f>D750*2.1</f>
        <v/>
      </c>
      <c r="AF750" s="7">
        <f>AD750-AE750</f>
        <v/>
      </c>
      <c r="AG750" s="7">
        <f>AF750/AD750*100</f>
        <v/>
      </c>
      <c r="AI750" s="33" t="n"/>
      <c r="AJ750" s="34">
        <f>AD750</f>
        <v/>
      </c>
      <c r="AK750" s="34">
        <f>AJ750-(AJ750*7%)</f>
        <v/>
      </c>
      <c r="AL750" s="35">
        <f>AJ750/94</f>
        <v/>
      </c>
      <c r="AM750" s="35">
        <f>AK750/94</f>
        <v/>
      </c>
      <c r="AN750" s="36">
        <f>AJ750/24</f>
        <v/>
      </c>
      <c r="AO750" s="36">
        <f>AK750/24</f>
        <v/>
      </c>
      <c r="AP750" s="37">
        <f>AJ750/125</f>
        <v/>
      </c>
      <c r="AQ750" s="37">
        <f>AK750/125</f>
        <v/>
      </c>
    </row>
    <row r="751" ht="15.75" customHeight="1" s="50">
      <c r="A751" s="32" t="n"/>
      <c r="B751" s="32" t="inlineStr">
        <is>
          <t>Yellow</t>
        </is>
      </c>
      <c r="D751" s="32" t="n">
        <v>80</v>
      </c>
      <c r="E751" s="32" t="n">
        <v>0</v>
      </c>
      <c r="F751" s="32" t="n">
        <v>0</v>
      </c>
      <c r="G751" s="32" t="n">
        <v>0</v>
      </c>
      <c r="H751" s="32" t="n">
        <v>10</v>
      </c>
      <c r="I751" s="41" t="n">
        <v>9202</v>
      </c>
      <c r="J751" s="30" t="n">
        <v>0.18</v>
      </c>
      <c r="K751" s="32">
        <f>D751*J751</f>
        <v/>
      </c>
      <c r="M751" s="32">
        <f>D751*4%</f>
        <v/>
      </c>
      <c r="N751" s="49">
        <f>M751+L751+K751+H751+G751+F751+E751+D751</f>
        <v/>
      </c>
      <c r="O751" s="32">
        <f>D751*1%</f>
        <v/>
      </c>
      <c r="P751" s="7">
        <f>N751*8%</f>
        <v/>
      </c>
      <c r="Q751" s="7">
        <f>N751*10%</f>
        <v/>
      </c>
      <c r="R751" s="7">
        <f>N751*5%</f>
        <v/>
      </c>
      <c r="S751" s="7">
        <f>N751*2%</f>
        <v/>
      </c>
      <c r="T751" s="7">
        <f>AE751*0.5%</f>
        <v/>
      </c>
      <c r="U751" s="7">
        <f>N751*1%</f>
        <v/>
      </c>
      <c r="V751" s="31">
        <f>U751+S751+R751+Q751+P751+O751</f>
        <v/>
      </c>
      <c r="W751" s="32">
        <f>AE751*1%</f>
        <v/>
      </c>
      <c r="X751" s="32">
        <f>AE751*10%</f>
        <v/>
      </c>
      <c r="Y751" s="32">
        <f>AE751*1%</f>
        <v/>
      </c>
      <c r="Z751" s="32">
        <f>AE751*8%</f>
        <v/>
      </c>
      <c r="AA751" s="32">
        <f>W751+X751+Y751+Z751</f>
        <v/>
      </c>
      <c r="AB751" s="31">
        <f>AA751+V751+N751</f>
        <v/>
      </c>
      <c r="AC751" s="6">
        <f>AB751*20%</f>
        <v/>
      </c>
      <c r="AD751" s="7">
        <f>AB751+AC751</f>
        <v/>
      </c>
      <c r="AE751" s="32">
        <f>D751*2.1</f>
        <v/>
      </c>
      <c r="AF751" s="7">
        <f>AD751-AE751</f>
        <v/>
      </c>
      <c r="AG751" s="7">
        <f>AF751/AD751*100</f>
        <v/>
      </c>
      <c r="AI751" s="33" t="n"/>
      <c r="AJ751" s="34">
        <f>AD751</f>
        <v/>
      </c>
      <c r="AK751" s="34">
        <f>AJ751-(AJ751*7%)</f>
        <v/>
      </c>
      <c r="AL751" s="35">
        <f>AJ751/94</f>
        <v/>
      </c>
      <c r="AM751" s="35">
        <f>AK751/94</f>
        <v/>
      </c>
      <c r="AN751" s="36">
        <f>AJ751/24</f>
        <v/>
      </c>
      <c r="AO751" s="36">
        <f>AK751/24</f>
        <v/>
      </c>
      <c r="AP751" s="37">
        <f>AJ751/125</f>
        <v/>
      </c>
      <c r="AQ751" s="37">
        <f>AK751/125</f>
        <v/>
      </c>
    </row>
    <row r="752" ht="15.75" customHeight="1" s="50">
      <c r="A752" s="32" t="n"/>
      <c r="B752" s="32" t="inlineStr">
        <is>
          <t>Violet</t>
        </is>
      </c>
      <c r="D752" s="32" t="n">
        <v>80</v>
      </c>
      <c r="E752" s="32" t="n">
        <v>0</v>
      </c>
      <c r="F752" s="32" t="n">
        <v>0</v>
      </c>
      <c r="G752" s="32" t="n">
        <v>0</v>
      </c>
      <c r="H752" s="32" t="n">
        <v>10</v>
      </c>
      <c r="I752" s="41" t="n">
        <v>9202</v>
      </c>
      <c r="J752" s="30" t="n">
        <v>0.18</v>
      </c>
      <c r="K752" s="32">
        <f>D752*J752</f>
        <v/>
      </c>
      <c r="M752" s="32">
        <f>D752*4%</f>
        <v/>
      </c>
      <c r="N752" s="49">
        <f>M752+L752+K752+H752+G752+F752+E752+D752</f>
        <v/>
      </c>
      <c r="O752" s="32">
        <f>D752*1%</f>
        <v/>
      </c>
      <c r="P752" s="7">
        <f>N752*8%</f>
        <v/>
      </c>
      <c r="Q752" s="7">
        <f>N752*10%</f>
        <v/>
      </c>
      <c r="R752" s="7">
        <f>N752*5%</f>
        <v/>
      </c>
      <c r="S752" s="7">
        <f>N752*2%</f>
        <v/>
      </c>
      <c r="T752" s="7">
        <f>AE752*0.5%</f>
        <v/>
      </c>
      <c r="U752" s="7">
        <f>N752*1%</f>
        <v/>
      </c>
      <c r="V752" s="31">
        <f>U752+S752+R752+Q752+P752+O752</f>
        <v/>
      </c>
      <c r="W752" s="32">
        <f>AE752*1%</f>
        <v/>
      </c>
      <c r="X752" s="32">
        <f>AE752*10%</f>
        <v/>
      </c>
      <c r="Y752" s="32">
        <f>AE752*1%</f>
        <v/>
      </c>
      <c r="Z752" s="32">
        <f>AE752*8%</f>
        <v/>
      </c>
      <c r="AA752" s="32">
        <f>W752+X752+Y752+Z752</f>
        <v/>
      </c>
      <c r="AB752" s="31">
        <f>AA752+V752+N752</f>
        <v/>
      </c>
      <c r="AC752" s="6">
        <f>AB752*20%</f>
        <v/>
      </c>
      <c r="AD752" s="7">
        <f>AB752+AC752</f>
        <v/>
      </c>
      <c r="AE752" s="32">
        <f>D752*2.1</f>
        <v/>
      </c>
      <c r="AF752" s="7">
        <f>AD752-AE752</f>
        <v/>
      </c>
      <c r="AG752" s="7">
        <f>AF752/AD752*100</f>
        <v/>
      </c>
      <c r="AI752" s="33" t="n"/>
      <c r="AJ752" s="34">
        <f>AD752</f>
        <v/>
      </c>
      <c r="AK752" s="34">
        <f>AJ752-(AJ752*7%)</f>
        <v/>
      </c>
      <c r="AL752" s="35">
        <f>AJ752/94</f>
        <v/>
      </c>
      <c r="AM752" s="35">
        <f>AK752/94</f>
        <v/>
      </c>
      <c r="AN752" s="36">
        <f>AJ752/24</f>
        <v/>
      </c>
      <c r="AO752" s="36">
        <f>AK752/24</f>
        <v/>
      </c>
      <c r="AP752" s="37">
        <f>AJ752/125</f>
        <v/>
      </c>
      <c r="AQ752" s="37">
        <f>AK752/125</f>
        <v/>
      </c>
    </row>
    <row r="753" ht="15.75" customHeight="1" s="50">
      <c r="A753" s="32" t="n"/>
      <c r="B753" s="32" t="inlineStr">
        <is>
          <t>Blue</t>
        </is>
      </c>
      <c r="D753" s="32" t="n">
        <v>80</v>
      </c>
      <c r="E753" s="32" t="n">
        <v>0</v>
      </c>
      <c r="F753" s="32" t="n">
        <v>0</v>
      </c>
      <c r="G753" s="32" t="n">
        <v>0</v>
      </c>
      <c r="H753" s="32" t="n">
        <v>10</v>
      </c>
      <c r="I753" s="41" t="n">
        <v>9202</v>
      </c>
      <c r="J753" s="30" t="n">
        <v>0.18</v>
      </c>
      <c r="K753" s="32">
        <f>D753*J753</f>
        <v/>
      </c>
      <c r="M753" s="32">
        <f>D753*4%</f>
        <v/>
      </c>
      <c r="N753" s="49">
        <f>M753+L753+K753+H753+G753+F753+E753+D753</f>
        <v/>
      </c>
      <c r="O753" s="32">
        <f>D753*1%</f>
        <v/>
      </c>
      <c r="P753" s="7">
        <f>N753*8%</f>
        <v/>
      </c>
      <c r="Q753" s="7">
        <f>N753*10%</f>
        <v/>
      </c>
      <c r="R753" s="7">
        <f>N753*5%</f>
        <v/>
      </c>
      <c r="S753" s="7">
        <f>N753*2%</f>
        <v/>
      </c>
      <c r="T753" s="7">
        <f>AE753*0.5%</f>
        <v/>
      </c>
      <c r="U753" s="7">
        <f>N753*1%</f>
        <v/>
      </c>
      <c r="V753" s="31">
        <f>U753+S753+R753+Q753+P753+O753</f>
        <v/>
      </c>
      <c r="W753" s="32">
        <f>AE753*1%</f>
        <v/>
      </c>
      <c r="X753" s="32">
        <f>AE753*10%</f>
        <v/>
      </c>
      <c r="Y753" s="32">
        <f>AE753*1%</f>
        <v/>
      </c>
      <c r="Z753" s="32">
        <f>AE753*8%</f>
        <v/>
      </c>
      <c r="AA753" s="32">
        <f>W753+X753+Y753+Z753</f>
        <v/>
      </c>
      <c r="AB753" s="31">
        <f>AA753+V753+N753</f>
        <v/>
      </c>
      <c r="AC753" s="6">
        <f>AB753*20%</f>
        <v/>
      </c>
      <c r="AD753" s="7">
        <f>AB753+AC753</f>
        <v/>
      </c>
      <c r="AE753" s="32">
        <f>D753*2.1</f>
        <v/>
      </c>
      <c r="AF753" s="7">
        <f>AD753-AE753</f>
        <v/>
      </c>
      <c r="AG753" s="7">
        <f>AF753/AD753*100</f>
        <v/>
      </c>
      <c r="AI753" s="33" t="n"/>
      <c r="AJ753" s="34">
        <f>AD753</f>
        <v/>
      </c>
      <c r="AK753" s="34">
        <f>AJ753-(AJ753*7%)</f>
        <v/>
      </c>
      <c r="AL753" s="35">
        <f>AJ753/94</f>
        <v/>
      </c>
      <c r="AM753" s="35">
        <f>AK753/94</f>
        <v/>
      </c>
      <c r="AN753" s="36">
        <f>AJ753/24</f>
        <v/>
      </c>
      <c r="AO753" s="36">
        <f>AK753/24</f>
        <v/>
      </c>
      <c r="AP753" s="37">
        <f>AJ753/125</f>
        <v/>
      </c>
      <c r="AQ753" s="37">
        <f>AK753/125</f>
        <v/>
      </c>
    </row>
    <row r="754" ht="15.75" customHeight="1" s="50">
      <c r="A754" s="32" t="n"/>
      <c r="B754" s="32" t="inlineStr">
        <is>
          <t>Green</t>
        </is>
      </c>
      <c r="D754" s="32" t="n">
        <v>80</v>
      </c>
      <c r="E754" s="32" t="n">
        <v>0</v>
      </c>
      <c r="F754" s="32" t="n">
        <v>0</v>
      </c>
      <c r="G754" s="32" t="n">
        <v>0</v>
      </c>
      <c r="H754" s="32" t="n">
        <v>10</v>
      </c>
      <c r="I754" s="41" t="n">
        <v>9202</v>
      </c>
      <c r="J754" s="30" t="n">
        <v>0.18</v>
      </c>
      <c r="K754" s="32">
        <f>D754*J754</f>
        <v/>
      </c>
      <c r="M754" s="32">
        <f>D754*4%</f>
        <v/>
      </c>
      <c r="N754" s="49">
        <f>M754+L754+K754+H754+G754+F754+E754+D754</f>
        <v/>
      </c>
      <c r="O754" s="32">
        <f>D754*1%</f>
        <v/>
      </c>
      <c r="P754" s="7">
        <f>N754*8%</f>
        <v/>
      </c>
      <c r="Q754" s="7">
        <f>N754*10%</f>
        <v/>
      </c>
      <c r="R754" s="7">
        <f>N754*5%</f>
        <v/>
      </c>
      <c r="S754" s="7">
        <f>N754*2%</f>
        <v/>
      </c>
      <c r="T754" s="7">
        <f>AE754*0.5%</f>
        <v/>
      </c>
      <c r="U754" s="7">
        <f>N754*1%</f>
        <v/>
      </c>
      <c r="V754" s="31">
        <f>U754+S754+R754+Q754+P754+O754</f>
        <v/>
      </c>
      <c r="W754" s="32">
        <f>AE754*1%</f>
        <v/>
      </c>
      <c r="X754" s="32">
        <f>AE754*10%</f>
        <v/>
      </c>
      <c r="Y754" s="32">
        <f>AE754*1%</f>
        <v/>
      </c>
      <c r="Z754" s="32">
        <f>AE754*8%</f>
        <v/>
      </c>
      <c r="AA754" s="32">
        <f>W754+X754+Y754+Z754</f>
        <v/>
      </c>
      <c r="AB754" s="31">
        <f>AA754+V754+N754</f>
        <v/>
      </c>
      <c r="AC754" s="6">
        <f>AB754*20%</f>
        <v/>
      </c>
      <c r="AD754" s="7">
        <f>AB754+AC754</f>
        <v/>
      </c>
      <c r="AE754" s="32">
        <f>D754*2.1</f>
        <v/>
      </c>
      <c r="AF754" s="7">
        <f>AD754-AE754</f>
        <v/>
      </c>
      <c r="AG754" s="7">
        <f>AF754/AD754*100</f>
        <v/>
      </c>
      <c r="AI754" s="33" t="n"/>
      <c r="AJ754" s="34">
        <f>AD754</f>
        <v/>
      </c>
      <c r="AK754" s="34">
        <f>AJ754-(AJ754*7%)</f>
        <v/>
      </c>
      <c r="AL754" s="35">
        <f>AJ754/94</f>
        <v/>
      </c>
      <c r="AM754" s="35">
        <f>AK754/94</f>
        <v/>
      </c>
      <c r="AN754" s="36">
        <f>AJ754/24</f>
        <v/>
      </c>
      <c r="AO754" s="36">
        <f>AK754/24</f>
        <v/>
      </c>
      <c r="AP754" s="37">
        <f>AJ754/125</f>
        <v/>
      </c>
      <c r="AQ754" s="37">
        <f>AK754/125</f>
        <v/>
      </c>
    </row>
    <row r="755" ht="15.75" customHeight="1" s="50">
      <c r="A755" s="32" t="n"/>
      <c r="B755" s="32" t="inlineStr">
        <is>
          <t>Dark Blue</t>
        </is>
      </c>
      <c r="D755" s="32" t="n">
        <v>80</v>
      </c>
      <c r="E755" s="32" t="n">
        <v>0</v>
      </c>
      <c r="F755" s="32" t="n">
        <v>0</v>
      </c>
      <c r="G755" s="32" t="n">
        <v>0</v>
      </c>
      <c r="H755" s="32" t="n">
        <v>10</v>
      </c>
      <c r="I755" s="41" t="n">
        <v>9202</v>
      </c>
      <c r="J755" s="30" t="n">
        <v>0.18</v>
      </c>
      <c r="K755" s="32">
        <f>D755*J755</f>
        <v/>
      </c>
      <c r="M755" s="32">
        <f>D755*4%</f>
        <v/>
      </c>
      <c r="N755" s="49">
        <f>M755+L755+K755+H755+G755+F755+E755+D755</f>
        <v/>
      </c>
      <c r="O755" s="32">
        <f>D755*1%</f>
        <v/>
      </c>
      <c r="P755" s="7">
        <f>N755*8%</f>
        <v/>
      </c>
      <c r="Q755" s="7">
        <f>N755*10%</f>
        <v/>
      </c>
      <c r="R755" s="7">
        <f>N755*5%</f>
        <v/>
      </c>
      <c r="S755" s="7">
        <f>N755*2%</f>
        <v/>
      </c>
      <c r="T755" s="7">
        <f>AE755*0.5%</f>
        <v/>
      </c>
      <c r="U755" s="7">
        <f>N755*1%</f>
        <v/>
      </c>
      <c r="V755" s="31">
        <f>U755+S755+R755+Q755+P755+O755</f>
        <v/>
      </c>
      <c r="W755" s="32">
        <f>AE755*1%</f>
        <v/>
      </c>
      <c r="X755" s="32">
        <f>AE755*10%</f>
        <v/>
      </c>
      <c r="Y755" s="32">
        <f>AE755*1%</f>
        <v/>
      </c>
      <c r="Z755" s="32">
        <f>AE755*8%</f>
        <v/>
      </c>
      <c r="AA755" s="32">
        <f>W755+X755+Y755+Z755</f>
        <v/>
      </c>
      <c r="AB755" s="31">
        <f>AA755+V755+N755</f>
        <v/>
      </c>
      <c r="AC755" s="6">
        <f>AB755*20%</f>
        <v/>
      </c>
      <c r="AD755" s="7">
        <f>AB755+AC755</f>
        <v/>
      </c>
      <c r="AE755" s="32">
        <f>D755*2.1</f>
        <v/>
      </c>
      <c r="AF755" s="7">
        <f>AD755-AE755</f>
        <v/>
      </c>
      <c r="AG755" s="7">
        <f>AF755/AD755*100</f>
        <v/>
      </c>
      <c r="AI755" s="33" t="n"/>
      <c r="AJ755" s="34">
        <f>AD755</f>
        <v/>
      </c>
      <c r="AK755" s="34">
        <f>AJ755-(AJ755*7%)</f>
        <v/>
      </c>
      <c r="AL755" s="35">
        <f>AJ755/94</f>
        <v/>
      </c>
      <c r="AM755" s="35">
        <f>AK755/94</f>
        <v/>
      </c>
      <c r="AN755" s="36">
        <f>AJ755/24</f>
        <v/>
      </c>
      <c r="AO755" s="36">
        <f>AK755/24</f>
        <v/>
      </c>
      <c r="AP755" s="37">
        <f>AJ755/125</f>
        <v/>
      </c>
      <c r="AQ755" s="37">
        <f>AK755/125</f>
        <v/>
      </c>
    </row>
    <row r="756" ht="15.75" customHeight="1" s="50">
      <c r="A756" s="32" t="n"/>
      <c r="B756" s="32" t="inlineStr">
        <is>
          <t>Red</t>
        </is>
      </c>
      <c r="D756" s="32" t="n">
        <v>80</v>
      </c>
      <c r="E756" s="32" t="n">
        <v>0</v>
      </c>
      <c r="F756" s="32" t="n">
        <v>0</v>
      </c>
      <c r="G756" s="32" t="n">
        <v>0</v>
      </c>
      <c r="H756" s="32" t="n">
        <v>10</v>
      </c>
      <c r="I756" s="41" t="n">
        <v>9202</v>
      </c>
      <c r="J756" s="30" t="n">
        <v>0.18</v>
      </c>
      <c r="K756" s="32">
        <f>D756*J756</f>
        <v/>
      </c>
      <c r="M756" s="32">
        <f>D756*4%</f>
        <v/>
      </c>
      <c r="N756" s="49">
        <f>M756+L756+K756+H756+G756+F756+E756+D756</f>
        <v/>
      </c>
      <c r="O756" s="32">
        <f>D756*1%</f>
        <v/>
      </c>
      <c r="P756" s="7">
        <f>N756*8%</f>
        <v/>
      </c>
      <c r="Q756" s="7">
        <f>N756*10%</f>
        <v/>
      </c>
      <c r="R756" s="7">
        <f>N756*5%</f>
        <v/>
      </c>
      <c r="S756" s="7">
        <f>N756*2%</f>
        <v/>
      </c>
      <c r="T756" s="7">
        <f>AE756*0.5%</f>
        <v/>
      </c>
      <c r="U756" s="7">
        <f>N756*1%</f>
        <v/>
      </c>
      <c r="V756" s="31">
        <f>U756+S756+R756+Q756+P756+O756</f>
        <v/>
      </c>
      <c r="W756" s="32">
        <f>AE756*1%</f>
        <v/>
      </c>
      <c r="X756" s="32">
        <f>AE756*10%</f>
        <v/>
      </c>
      <c r="Y756" s="32">
        <f>AE756*1%</f>
        <v/>
      </c>
      <c r="Z756" s="32">
        <f>AE756*8%</f>
        <v/>
      </c>
      <c r="AA756" s="32">
        <f>W756+X756+Y756+Z756</f>
        <v/>
      </c>
      <c r="AB756" s="31">
        <f>AA756+V756+N756</f>
        <v/>
      </c>
      <c r="AC756" s="6">
        <f>AB756*20%</f>
        <v/>
      </c>
      <c r="AD756" s="7">
        <f>AB756+AC756</f>
        <v/>
      </c>
      <c r="AE756" s="32">
        <f>D756*2.1</f>
        <v/>
      </c>
      <c r="AF756" s="7">
        <f>AD756-AE756</f>
        <v/>
      </c>
      <c r="AG756" s="7">
        <f>AF756/AD756*100</f>
        <v/>
      </c>
      <c r="AI756" s="33" t="n"/>
      <c r="AJ756" s="34">
        <f>AD756</f>
        <v/>
      </c>
      <c r="AK756" s="34">
        <f>AJ756-(AJ756*7%)</f>
        <v/>
      </c>
      <c r="AL756" s="35">
        <f>AJ756/94</f>
        <v/>
      </c>
      <c r="AM756" s="35">
        <f>AK756/94</f>
        <v/>
      </c>
      <c r="AN756" s="36">
        <f>AJ756/24</f>
        <v/>
      </c>
      <c r="AO756" s="36">
        <f>AK756/24</f>
        <v/>
      </c>
      <c r="AP756" s="37">
        <f>AJ756/125</f>
        <v/>
      </c>
      <c r="AQ756" s="37">
        <f>AK756/125</f>
        <v/>
      </c>
    </row>
    <row r="757" ht="15.75" customHeight="1" s="50">
      <c r="A757" s="32" t="n"/>
      <c r="B757" s="32" t="inlineStr">
        <is>
          <t>Full Set</t>
        </is>
      </c>
      <c r="D757" s="32" t="n">
        <v>500</v>
      </c>
      <c r="E757" s="32" t="n">
        <v>0</v>
      </c>
      <c r="F757" s="32" t="n">
        <v>0</v>
      </c>
      <c r="G757" s="32" t="n">
        <v>0</v>
      </c>
      <c r="H757" s="32" t="n">
        <v>10</v>
      </c>
      <c r="I757" s="41" t="n">
        <v>9202</v>
      </c>
      <c r="J757" s="30" t="n">
        <v>0.18</v>
      </c>
      <c r="K757" s="32">
        <f>D757*J757</f>
        <v/>
      </c>
      <c r="M757" s="32">
        <f>D757*4%</f>
        <v/>
      </c>
      <c r="N757" s="49">
        <f>M757+L757+K757+H757+G757+F757+E757+D757</f>
        <v/>
      </c>
      <c r="O757" s="32">
        <f>D757*1%</f>
        <v/>
      </c>
      <c r="P757" s="7">
        <f>N757*8%</f>
        <v/>
      </c>
      <c r="Q757" s="7">
        <f>N757*10%</f>
        <v/>
      </c>
      <c r="R757" s="7">
        <f>N757*5%</f>
        <v/>
      </c>
      <c r="S757" s="7">
        <f>N757*2%</f>
        <v/>
      </c>
      <c r="T757" s="7">
        <f>AE757*0.5%</f>
        <v/>
      </c>
      <c r="U757" s="7">
        <f>N757*1%</f>
        <v/>
      </c>
      <c r="V757" s="31">
        <f>U757+S757+R757+Q757+P757+O757</f>
        <v/>
      </c>
      <c r="W757" s="32">
        <f>AE757*1%</f>
        <v/>
      </c>
      <c r="X757" s="32">
        <f>AE757*10%</f>
        <v/>
      </c>
      <c r="Y757" s="32">
        <f>AE757*1%</f>
        <v/>
      </c>
      <c r="Z757" s="32">
        <f>AE757*8%</f>
        <v/>
      </c>
      <c r="AA757" s="32">
        <f>W757+X757+Y757+Z757</f>
        <v/>
      </c>
      <c r="AB757" s="31">
        <f>AA757+V757+N757</f>
        <v/>
      </c>
      <c r="AC757" s="6">
        <f>AB757*20%</f>
        <v/>
      </c>
      <c r="AD757" s="7">
        <f>AB757+AC757</f>
        <v/>
      </c>
      <c r="AE757" s="32">
        <f>D757*2.1</f>
        <v/>
      </c>
      <c r="AF757" s="7">
        <f>AD757-AE757</f>
        <v/>
      </c>
      <c r="AG757" s="7">
        <f>AF757/AD757*100</f>
        <v/>
      </c>
      <c r="AI757" s="33" t="n"/>
      <c r="AJ757" s="34">
        <f>AD757</f>
        <v/>
      </c>
      <c r="AK757" s="34">
        <f>AJ757-(AJ757*7%)</f>
        <v/>
      </c>
      <c r="AL757" s="35">
        <f>AJ757/94</f>
        <v/>
      </c>
      <c r="AM757" s="35">
        <f>AK757/94</f>
        <v/>
      </c>
      <c r="AN757" s="36">
        <f>AJ757/24</f>
        <v/>
      </c>
      <c r="AO757" s="36">
        <f>AK757/24</f>
        <v/>
      </c>
      <c r="AP757" s="37">
        <f>AJ757/125</f>
        <v/>
      </c>
      <c r="AQ757" s="37">
        <f>AK757/125</f>
        <v/>
      </c>
    </row>
    <row r="758" ht="15" customHeight="1" s="50">
      <c r="A758" s="32" t="inlineStr">
        <is>
          <t>Tuning Forks Solfeggio Set</t>
        </is>
      </c>
      <c r="B758" s="32" t="inlineStr">
        <is>
          <t>Weighted</t>
        </is>
      </c>
      <c r="D758" s="32" t="n">
        <v>4100</v>
      </c>
      <c r="E758" s="32" t="n">
        <v>0</v>
      </c>
      <c r="F758" s="32" t="n">
        <v>0</v>
      </c>
      <c r="G758" s="32" t="n">
        <v>0</v>
      </c>
      <c r="H758" s="32" t="n">
        <v>10</v>
      </c>
      <c r="I758" s="41" t="n">
        <v>9202</v>
      </c>
      <c r="J758" s="30" t="n">
        <v>0.18</v>
      </c>
      <c r="K758" s="32">
        <f>D758*J758</f>
        <v/>
      </c>
      <c r="M758" s="32">
        <f>D758*4%</f>
        <v/>
      </c>
      <c r="N758" s="49">
        <f>M758+L758+K758+H758+G758+F758+E758+D758</f>
        <v/>
      </c>
      <c r="O758" s="32">
        <f>D758*1%</f>
        <v/>
      </c>
      <c r="P758" s="7">
        <f>N758*8%</f>
        <v/>
      </c>
      <c r="Q758" s="7">
        <f>N758*10%</f>
        <v/>
      </c>
      <c r="R758" s="7">
        <f>N758*5%</f>
        <v/>
      </c>
      <c r="S758" s="7">
        <f>N758*2%</f>
        <v/>
      </c>
      <c r="T758" s="7">
        <f>AE758*0.5%</f>
        <v/>
      </c>
      <c r="U758" s="7">
        <f>N758*1%</f>
        <v/>
      </c>
      <c r="V758" s="31">
        <f>U758+S758+R758+Q758+P758+O758</f>
        <v/>
      </c>
      <c r="W758" s="32">
        <f>AE758*1%</f>
        <v/>
      </c>
      <c r="X758" s="32">
        <f>AE758*10%</f>
        <v/>
      </c>
      <c r="Y758" s="32">
        <f>AE758*1%</f>
        <v/>
      </c>
      <c r="Z758" s="32">
        <f>AE758*8%</f>
        <v/>
      </c>
      <c r="AA758" s="32">
        <f>W758+X758+Y758+Z758</f>
        <v/>
      </c>
      <c r="AB758" s="31">
        <f>AA758+V758+N758</f>
        <v/>
      </c>
      <c r="AC758" s="6">
        <f>AB758*20%</f>
        <v/>
      </c>
      <c r="AD758" s="7">
        <f>AB758+AC758</f>
        <v/>
      </c>
      <c r="AE758" s="32">
        <f>D758*2.1</f>
        <v/>
      </c>
      <c r="AF758" s="7">
        <f>AD758-AE758</f>
        <v/>
      </c>
      <c r="AG758" s="7">
        <f>AF758/AD758*100</f>
        <v/>
      </c>
      <c r="AI758" s="33" t="n"/>
      <c r="AJ758" s="34">
        <f>AD758</f>
        <v/>
      </c>
      <c r="AK758" s="34">
        <f>AJ758-(AJ758*7%)</f>
        <v/>
      </c>
      <c r="AL758" s="35">
        <f>AJ758/94</f>
        <v/>
      </c>
      <c r="AM758" s="35">
        <f>AK758/94</f>
        <v/>
      </c>
      <c r="AN758" s="36">
        <f>AJ758/24</f>
        <v/>
      </c>
      <c r="AO758" s="36">
        <f>AK758/24</f>
        <v/>
      </c>
      <c r="AP758" s="37">
        <f>AJ758/125</f>
        <v/>
      </c>
      <c r="AQ758" s="37">
        <f>AK758/125</f>
        <v/>
      </c>
    </row>
    <row r="759" ht="15.75" customHeight="1" s="50">
      <c r="A759" s="32" t="n"/>
      <c r="B759" s="32" t="inlineStr">
        <is>
          <t>Unweighted</t>
        </is>
      </c>
      <c r="D759" s="32" t="n">
        <v>2300</v>
      </c>
      <c r="E759" s="32" t="n">
        <v>0</v>
      </c>
      <c r="F759" s="32" t="n">
        <v>0</v>
      </c>
      <c r="G759" s="32" t="n">
        <v>0</v>
      </c>
      <c r="H759" s="32" t="n">
        <v>10</v>
      </c>
      <c r="I759" s="41" t="n">
        <v>9202</v>
      </c>
      <c r="J759" s="30" t="n">
        <v>0.18</v>
      </c>
      <c r="K759" s="32">
        <f>D759*J759</f>
        <v/>
      </c>
      <c r="M759" s="32">
        <f>D759*4%</f>
        <v/>
      </c>
      <c r="N759" s="49">
        <f>M759+L759+K759+H759+G759+F759+E759+D759</f>
        <v/>
      </c>
      <c r="O759" s="32">
        <f>D759*1%</f>
        <v/>
      </c>
      <c r="P759" s="7">
        <f>N759*8%</f>
        <v/>
      </c>
      <c r="Q759" s="7">
        <f>N759*10%</f>
        <v/>
      </c>
      <c r="R759" s="7">
        <f>N759*5%</f>
        <v/>
      </c>
      <c r="S759" s="7">
        <f>N759*2%</f>
        <v/>
      </c>
      <c r="T759" s="7">
        <f>AE759*0.5%</f>
        <v/>
      </c>
      <c r="U759" s="7">
        <f>N759*1%</f>
        <v/>
      </c>
      <c r="V759" s="31">
        <f>U759+S759+R759+Q759+P759+O759</f>
        <v/>
      </c>
      <c r="W759" s="32">
        <f>AE759*1%</f>
        <v/>
      </c>
      <c r="X759" s="32">
        <f>AE759*10%</f>
        <v/>
      </c>
      <c r="Y759" s="32">
        <f>AE759*1%</f>
        <v/>
      </c>
      <c r="Z759" s="32">
        <f>AE759*8%</f>
        <v/>
      </c>
      <c r="AA759" s="32">
        <f>W759+X759+Y759+Z759</f>
        <v/>
      </c>
      <c r="AB759" s="31">
        <f>AA759+V759+N759</f>
        <v/>
      </c>
      <c r="AC759" s="6">
        <f>AB759*20%</f>
        <v/>
      </c>
      <c r="AD759" s="7">
        <f>AB759+AC759</f>
        <v/>
      </c>
      <c r="AE759" s="32">
        <f>D759*2.1</f>
        <v/>
      </c>
      <c r="AF759" s="7">
        <f>AD759-AE759</f>
        <v/>
      </c>
      <c r="AG759" s="7">
        <f>AF759/AD759*100</f>
        <v/>
      </c>
      <c r="AI759" s="33" t="n"/>
      <c r="AJ759" s="34">
        <f>AD759</f>
        <v/>
      </c>
      <c r="AK759" s="34">
        <f>AJ759-(AJ759*7%)</f>
        <v/>
      </c>
      <c r="AL759" s="35">
        <f>AJ759/94</f>
        <v/>
      </c>
      <c r="AM759" s="35">
        <f>AK759/94</f>
        <v/>
      </c>
      <c r="AN759" s="36">
        <f>AJ759/24</f>
        <v/>
      </c>
      <c r="AO759" s="36">
        <f>AK759/24</f>
        <v/>
      </c>
      <c r="AP759" s="37">
        <f>AJ759/125</f>
        <v/>
      </c>
      <c r="AQ759" s="37">
        <f>AK759/125</f>
        <v/>
      </c>
    </row>
    <row r="760" ht="15" customHeight="1" s="50">
      <c r="A760" s="32" t="inlineStr">
        <is>
          <t>Vibroacoustic Therapy Bowls - Universal, Belly and Head</t>
        </is>
      </c>
      <c r="B760" s="32" t="inlineStr">
        <is>
          <t>Universal Bowl</t>
        </is>
      </c>
      <c r="C760" s="32" t="inlineStr">
        <is>
          <t>Mi-SB-Z-8</t>
        </is>
      </c>
      <c r="D760" s="32" t="inlineStr">
        <is>
          <t>Parasonjeet</t>
        </is>
      </c>
      <c r="E760" s="32" t="n">
        <v>190</v>
      </c>
      <c r="F760" s="32" t="n">
        <v>65</v>
      </c>
      <c r="G760" s="32" t="n">
        <v>0</v>
      </c>
      <c r="H760" s="32" t="n">
        <v>10</v>
      </c>
      <c r="I760" s="41" t="n">
        <v>83061000</v>
      </c>
      <c r="J760" s="30" t="n">
        <v>0.05</v>
      </c>
      <c r="K760" s="32">
        <f>D760*J760</f>
        <v/>
      </c>
      <c r="M760" s="32">
        <f>D760*4%</f>
        <v/>
      </c>
      <c r="N760" s="49">
        <f>M760+L760+K760+H760+G760+F760+E760+D760</f>
        <v/>
      </c>
      <c r="O760" s="32">
        <f>D760*1%</f>
        <v/>
      </c>
      <c r="P760" s="7">
        <f>N760*8%</f>
        <v/>
      </c>
      <c r="Q760" s="7">
        <f>N760*10%</f>
        <v/>
      </c>
      <c r="R760" s="7">
        <f>N760*5%</f>
        <v/>
      </c>
      <c r="S760" s="7">
        <f>N760*2%</f>
        <v/>
      </c>
      <c r="T760" s="7">
        <f>AE760*0.5%</f>
        <v/>
      </c>
      <c r="U760" s="7">
        <f>N760*1%</f>
        <v/>
      </c>
      <c r="V760" s="49">
        <f>U760+S760+R760+Q760+P760+O760</f>
        <v/>
      </c>
      <c r="W760" s="32">
        <f>AE760*1%</f>
        <v/>
      </c>
      <c r="X760" s="32">
        <f>AE760*10%</f>
        <v/>
      </c>
      <c r="Y760" s="32">
        <f>AE760*1%</f>
        <v/>
      </c>
      <c r="Z760" s="32">
        <f>AE760*8%</f>
        <v/>
      </c>
      <c r="AA760" s="32">
        <f>W760+X760+Y760+Z760</f>
        <v/>
      </c>
      <c r="AB760" s="31">
        <f>AA760+V760+N760</f>
        <v/>
      </c>
      <c r="AC760" s="6">
        <f>AB760*20%</f>
        <v/>
      </c>
      <c r="AD760" s="32">
        <f>AB760+AC760</f>
        <v/>
      </c>
      <c r="AE760" s="32">
        <f>D760*2.1</f>
        <v/>
      </c>
      <c r="AF760" s="7">
        <f>AD760-AE760</f>
        <v/>
      </c>
      <c r="AG760" s="7">
        <f>AF760/AD760*100</f>
        <v/>
      </c>
      <c r="AI760" s="33" t="n"/>
      <c r="AJ760" s="34">
        <f>AD760</f>
        <v/>
      </c>
      <c r="AK760" s="34">
        <f>AJ760-(AJ760*7%)</f>
        <v/>
      </c>
      <c r="AL760" s="35">
        <f>AJ760/94</f>
        <v/>
      </c>
      <c r="AM760" s="35">
        <f>AK760/94</f>
        <v/>
      </c>
      <c r="AN760" s="36">
        <f>AJ760/24</f>
        <v/>
      </c>
      <c r="AO760" s="36">
        <f>AK760/24</f>
        <v/>
      </c>
      <c r="AP760" s="37">
        <f>AJ760/125</f>
        <v/>
      </c>
      <c r="AQ760" s="37">
        <f>AK760/125</f>
        <v/>
      </c>
    </row>
    <row r="761" ht="15.75" customHeight="1" s="50">
      <c r="A761" s="32" t="n"/>
      <c r="B761" s="32" t="inlineStr">
        <is>
          <t>Head Bowl</t>
        </is>
      </c>
      <c r="C761" s="32" t="inlineStr">
        <is>
          <t>Mi-SB-Z-10</t>
        </is>
      </c>
      <c r="D761" s="32" t="inlineStr">
        <is>
          <t>Parasonjeet</t>
        </is>
      </c>
      <c r="E761" s="32" t="n">
        <v>125</v>
      </c>
      <c r="F761" s="32" t="n">
        <v>65</v>
      </c>
      <c r="G761" s="32" t="n">
        <v>0</v>
      </c>
      <c r="H761" s="32" t="n">
        <v>10</v>
      </c>
      <c r="I761" s="41" t="n">
        <v>83061000</v>
      </c>
      <c r="J761" s="30" t="n">
        <v>0.05</v>
      </c>
      <c r="K761" s="32">
        <f>D761*J761</f>
        <v/>
      </c>
      <c r="M761" s="32">
        <f>D761*4%</f>
        <v/>
      </c>
      <c r="N761" s="49">
        <f>M761+L761+K761+H761+G761+F761+E761+D761</f>
        <v/>
      </c>
      <c r="O761" s="32">
        <f>D761*1%</f>
        <v/>
      </c>
      <c r="P761" s="7">
        <f>N761*8%</f>
        <v/>
      </c>
      <c r="Q761" s="7">
        <f>N761*10%</f>
        <v/>
      </c>
      <c r="R761" s="7">
        <f>N761*5%</f>
        <v/>
      </c>
      <c r="S761" s="7">
        <f>N761*2%</f>
        <v/>
      </c>
      <c r="T761" s="7">
        <f>AE761*0.5%</f>
        <v/>
      </c>
      <c r="U761" s="7">
        <f>N761*1%</f>
        <v/>
      </c>
      <c r="V761" s="49">
        <f>U761+S761+R761+Q761+P761+O761</f>
        <v/>
      </c>
      <c r="W761" s="32">
        <f>AE761*1%</f>
        <v/>
      </c>
      <c r="X761" s="32">
        <f>AE761*10%</f>
        <v/>
      </c>
      <c r="Y761" s="32">
        <f>AE761*1%</f>
        <v/>
      </c>
      <c r="Z761" s="32">
        <f>AE761*8%</f>
        <v/>
      </c>
      <c r="AA761" s="32">
        <f>W761+X761+Y761+Z761</f>
        <v/>
      </c>
      <c r="AB761" s="31">
        <f>AA761+V761+N761</f>
        <v/>
      </c>
      <c r="AC761" s="6">
        <f>AB761*20%</f>
        <v/>
      </c>
      <c r="AD761" s="32">
        <f>AB761+AC761</f>
        <v/>
      </c>
      <c r="AE761" s="32">
        <f>D761*2.1</f>
        <v/>
      </c>
      <c r="AF761" s="7">
        <f>AD761-AE761</f>
        <v/>
      </c>
      <c r="AG761" s="7">
        <f>AF761/AD761*100</f>
        <v/>
      </c>
      <c r="AI761" s="33" t="n"/>
      <c r="AJ761" s="34">
        <f>AD761</f>
        <v/>
      </c>
      <c r="AK761" s="34">
        <f>AJ761-(AJ761*7%)</f>
        <v/>
      </c>
      <c r="AL761" s="35">
        <f>AJ761/94</f>
        <v/>
      </c>
      <c r="AM761" s="35">
        <f>AK761/94</f>
        <v/>
      </c>
      <c r="AN761" s="36">
        <f>AJ761/24</f>
        <v/>
      </c>
      <c r="AO761" s="36">
        <f>AK761/24</f>
        <v/>
      </c>
      <c r="AP761" s="37">
        <f>AJ761/125</f>
        <v/>
      </c>
      <c r="AQ761" s="37">
        <f>AK761/125</f>
        <v/>
      </c>
    </row>
    <row r="762" ht="15.75" customHeight="1" s="50">
      <c r="A762" s="32" t="n"/>
      <c r="B762" s="32" t="inlineStr">
        <is>
          <t>Belly Bowl</t>
        </is>
      </c>
      <c r="C762" s="32" t="inlineStr">
        <is>
          <t>Mi-SB-Z-9</t>
        </is>
      </c>
      <c r="D762" s="32" t="inlineStr">
        <is>
          <t>Parasonjeet</t>
        </is>
      </c>
      <c r="E762" s="32" t="n">
        <v>125</v>
      </c>
      <c r="F762" s="32" t="n">
        <v>65</v>
      </c>
      <c r="G762" s="32" t="n">
        <v>0</v>
      </c>
      <c r="H762" s="32" t="n">
        <v>10</v>
      </c>
      <c r="I762" s="41" t="n">
        <v>83061000</v>
      </c>
      <c r="J762" s="30" t="n">
        <v>0.05</v>
      </c>
      <c r="K762" s="32">
        <f>D762*J762</f>
        <v/>
      </c>
      <c r="M762" s="32">
        <f>D762*4%</f>
        <v/>
      </c>
      <c r="N762" s="49">
        <f>M762+L762+K762+H762+G762+F762+E762+D762</f>
        <v/>
      </c>
      <c r="O762" s="32">
        <f>D762*1%</f>
        <v/>
      </c>
      <c r="P762" s="7">
        <f>N762*8%</f>
        <v/>
      </c>
      <c r="Q762" s="7">
        <f>N762*10%</f>
        <v/>
      </c>
      <c r="R762" s="7">
        <f>N762*5%</f>
        <v/>
      </c>
      <c r="S762" s="7">
        <f>N762*2%</f>
        <v/>
      </c>
      <c r="T762" s="7">
        <f>AE762*0.5%</f>
        <v/>
      </c>
      <c r="U762" s="7">
        <f>N762*1%</f>
        <v/>
      </c>
      <c r="V762" s="49">
        <f>U762+S762+R762+Q762+P762+O762</f>
        <v/>
      </c>
      <c r="W762" s="32">
        <f>AE762*1%</f>
        <v/>
      </c>
      <c r="X762" s="32">
        <f>AE762*10%</f>
        <v/>
      </c>
      <c r="Y762" s="32">
        <f>AE762*1%</f>
        <v/>
      </c>
      <c r="Z762" s="32">
        <f>AE762*8%</f>
        <v/>
      </c>
      <c r="AA762" s="32">
        <f>W762+X762+Y762+Z762</f>
        <v/>
      </c>
      <c r="AB762" s="31">
        <f>AA762+V762+N762</f>
        <v/>
      </c>
      <c r="AC762" s="6">
        <f>AB762*20%</f>
        <v/>
      </c>
      <c r="AD762" s="32">
        <f>AB762+AC762</f>
        <v/>
      </c>
      <c r="AE762" s="32">
        <f>D762*2.1</f>
        <v/>
      </c>
      <c r="AF762" s="7">
        <f>AD762-AE762</f>
        <v/>
      </c>
      <c r="AG762" s="7">
        <f>AF762/AD762*100</f>
        <v/>
      </c>
      <c r="AI762" s="33" t="n"/>
      <c r="AJ762" s="34">
        <f>AD762</f>
        <v/>
      </c>
      <c r="AK762" s="34">
        <f>AJ762-(AJ762*7%)</f>
        <v/>
      </c>
      <c r="AL762" s="35">
        <f>AJ762/94</f>
        <v/>
      </c>
      <c r="AM762" s="35">
        <f>AK762/94</f>
        <v/>
      </c>
      <c r="AN762" s="36">
        <f>AJ762/24</f>
        <v/>
      </c>
      <c r="AO762" s="36">
        <f>AK762/24</f>
        <v/>
      </c>
      <c r="AP762" s="37">
        <f>AJ762/125</f>
        <v/>
      </c>
      <c r="AQ762" s="37">
        <f>AK762/125</f>
        <v/>
      </c>
    </row>
    <row r="763" ht="15.75" customHeight="1" s="50">
      <c r="A763" s="32" t="n"/>
      <c r="B763" s="32" t="inlineStr">
        <is>
          <t>Set of 3</t>
        </is>
      </c>
      <c r="D763" s="32" t="inlineStr">
        <is>
          <t>Parasonjeet</t>
        </is>
      </c>
      <c r="E763" s="32" t="n">
        <v>250</v>
      </c>
      <c r="F763" s="32" t="n">
        <v>195</v>
      </c>
      <c r="G763" s="32" t="n">
        <v>0</v>
      </c>
      <c r="H763" s="32" t="n">
        <v>10</v>
      </c>
      <c r="I763" s="41" t="n">
        <v>9202</v>
      </c>
      <c r="J763" s="30" t="n">
        <v>0.18</v>
      </c>
      <c r="K763" s="32">
        <f>D763*J763</f>
        <v/>
      </c>
      <c r="M763" s="32">
        <f>D763*4%</f>
        <v/>
      </c>
      <c r="N763" s="49">
        <f>M763+L763+K763+H763+G763+F763+E763+D763</f>
        <v/>
      </c>
      <c r="O763" s="32">
        <f>D763*1%</f>
        <v/>
      </c>
      <c r="P763" s="7">
        <f>N763*8%</f>
        <v/>
      </c>
      <c r="Q763" s="7">
        <f>N763*10%</f>
        <v/>
      </c>
      <c r="R763" s="7">
        <f>N763*5%</f>
        <v/>
      </c>
      <c r="S763" s="7">
        <f>N763*2%</f>
        <v/>
      </c>
      <c r="T763" s="7">
        <f>AE763*0.5%</f>
        <v/>
      </c>
      <c r="U763" s="7">
        <f>N763*1%</f>
        <v/>
      </c>
      <c r="V763" s="49">
        <f>U763+S763+R763+Q763+P763+O763</f>
        <v/>
      </c>
      <c r="W763" s="32">
        <f>AE763*1%</f>
        <v/>
      </c>
      <c r="X763" s="32">
        <f>AE763*10%</f>
        <v/>
      </c>
      <c r="Y763" s="32">
        <f>AE763*1%</f>
        <v/>
      </c>
      <c r="Z763" s="32">
        <f>AE763*8%</f>
        <v/>
      </c>
      <c r="AA763" s="32">
        <f>W763+X763+Y763+Z763</f>
        <v/>
      </c>
      <c r="AB763" s="31">
        <f>AA763+V763+N763</f>
        <v/>
      </c>
      <c r="AC763" s="6">
        <f>AB763*20%</f>
        <v/>
      </c>
      <c r="AD763" s="32">
        <f>AB763+AC763</f>
        <v/>
      </c>
      <c r="AE763" s="32">
        <f>D763*2.1</f>
        <v/>
      </c>
      <c r="AF763" s="7">
        <f>AD763-AE763</f>
        <v/>
      </c>
      <c r="AG763" s="7">
        <f>AF763/AD763*100</f>
        <v/>
      </c>
      <c r="AI763" s="33" t="n"/>
      <c r="AJ763" s="34">
        <f>AD763</f>
        <v/>
      </c>
      <c r="AK763" s="34">
        <f>AJ763-(AJ763*7%)</f>
        <v/>
      </c>
      <c r="AL763" s="35">
        <f>AJ763/94</f>
        <v/>
      </c>
      <c r="AM763" s="35">
        <f>AK763/94</f>
        <v/>
      </c>
      <c r="AN763" s="36">
        <f>AJ763/24</f>
        <v/>
      </c>
      <c r="AO763" s="36">
        <f>AK763/24</f>
        <v/>
      </c>
      <c r="AP763" s="37">
        <f>AJ763/125</f>
        <v/>
      </c>
      <c r="AQ763" s="37">
        <f>AK763/125</f>
        <v/>
      </c>
    </row>
    <row r="764" ht="15" customHeight="1" s="50">
      <c r="A764" s="32" t="inlineStr">
        <is>
          <t>Wooden Mallets for Singing Bowls</t>
        </is>
      </c>
      <c r="B764" s="32" t="inlineStr">
        <is>
          <t>Red / Long Firm-Standard</t>
        </is>
      </c>
      <c r="D764" s="32" t="n">
        <v>150</v>
      </c>
      <c r="G764" s="32" t="n">
        <v>0</v>
      </c>
      <c r="H764" s="32" t="n">
        <v>10</v>
      </c>
      <c r="I764" s="41" t="n">
        <v>9202</v>
      </c>
      <c r="J764" s="30" t="n">
        <v>0.18</v>
      </c>
      <c r="K764" s="32">
        <f>D764*J764</f>
        <v/>
      </c>
      <c r="M764" s="32">
        <f>D764*4%</f>
        <v/>
      </c>
      <c r="N764" s="49">
        <f>M764+L764+K764+H764+G764+F764+E764+D764</f>
        <v/>
      </c>
      <c r="O764" s="32">
        <f>D764*1%</f>
        <v/>
      </c>
      <c r="P764" s="7">
        <f>N764*8%</f>
        <v/>
      </c>
      <c r="Q764" s="7">
        <f>N764*10%</f>
        <v/>
      </c>
      <c r="R764" s="7">
        <f>N764*5%</f>
        <v/>
      </c>
      <c r="S764" s="7">
        <f>N764*2%</f>
        <v/>
      </c>
      <c r="T764" s="7">
        <f>AE764*0.5%</f>
        <v/>
      </c>
      <c r="U764" s="7">
        <f>N764*1%</f>
        <v/>
      </c>
      <c r="V764" s="31">
        <f>U764+S764+R764+Q764+P764+O764</f>
        <v/>
      </c>
      <c r="W764" s="32">
        <f>AE764*1%</f>
        <v/>
      </c>
      <c r="X764" s="32">
        <f>AE764*10%</f>
        <v/>
      </c>
      <c r="Y764" s="32">
        <f>AE764*1%</f>
        <v/>
      </c>
      <c r="Z764" s="32">
        <f>AE764*8%</f>
        <v/>
      </c>
      <c r="AA764" s="32">
        <f>W764+X764+Y764+Z764</f>
        <v/>
      </c>
      <c r="AB764" s="31">
        <f>AA764+V764+N764</f>
        <v/>
      </c>
      <c r="AC764" s="6">
        <f>AB764*20%</f>
        <v/>
      </c>
      <c r="AD764" s="7">
        <f>AB764+AC764</f>
        <v/>
      </c>
      <c r="AE764" s="32">
        <f>D764*2.1</f>
        <v/>
      </c>
      <c r="AF764" s="7">
        <f>AD764-AE764</f>
        <v/>
      </c>
      <c r="AG764" s="7">
        <f>AF764/AD764*100</f>
        <v/>
      </c>
      <c r="AI764" s="33" t="n"/>
      <c r="AJ764" s="34">
        <f>AD764</f>
        <v/>
      </c>
      <c r="AK764" s="34">
        <f>AJ764-(AJ764*7%)</f>
        <v/>
      </c>
      <c r="AL764" s="35">
        <f>AJ764/94</f>
        <v/>
      </c>
      <c r="AM764" s="35">
        <f>AK764/94</f>
        <v/>
      </c>
      <c r="AN764" s="36">
        <f>AJ764/24</f>
        <v/>
      </c>
      <c r="AO764" s="36">
        <f>AK764/24</f>
        <v/>
      </c>
      <c r="AP764" s="37">
        <f>AJ764/125</f>
        <v/>
      </c>
      <c r="AQ764" s="37">
        <f>AK764/125</f>
        <v/>
      </c>
    </row>
    <row r="765" ht="15.75" customHeight="1" s="50">
      <c r="A765" s="32" t="n"/>
      <c r="B765" s="32" t="inlineStr">
        <is>
          <t>Black / Curved</t>
        </is>
      </c>
      <c r="C765" s="32" t="inlineStr">
        <is>
          <t>MI-SB-M-B-C</t>
        </is>
      </c>
      <c r="D765" s="32" t="n">
        <v>50</v>
      </c>
      <c r="G765" s="32" t="n">
        <v>0</v>
      </c>
      <c r="H765" s="32" t="n">
        <v>10</v>
      </c>
      <c r="I765" s="44" t="n">
        <v>70139900</v>
      </c>
      <c r="J765" s="45" t="n">
        <v>0.18</v>
      </c>
      <c r="K765" s="32">
        <f>D765*J765</f>
        <v/>
      </c>
      <c r="M765" s="32">
        <f>D765*4%</f>
        <v/>
      </c>
      <c r="N765" s="49">
        <f>M765+L765+K765+H765+G765+F765+E765+D765</f>
        <v/>
      </c>
      <c r="O765" s="32">
        <f>D765*1%</f>
        <v/>
      </c>
      <c r="P765" s="7">
        <f>N765*8%</f>
        <v/>
      </c>
      <c r="Q765" s="7">
        <f>N765*10%</f>
        <v/>
      </c>
      <c r="R765" s="7">
        <f>N765*5%</f>
        <v/>
      </c>
      <c r="S765" s="7">
        <f>N765*2%</f>
        <v/>
      </c>
      <c r="T765" s="7">
        <f>AE765*0.5%</f>
        <v/>
      </c>
      <c r="U765" s="7">
        <f>N765*1%</f>
        <v/>
      </c>
      <c r="V765" s="31">
        <f>U765+S765+R765+Q765+P765+O765</f>
        <v/>
      </c>
      <c r="W765" s="32">
        <f>AE765*1%</f>
        <v/>
      </c>
      <c r="X765" s="32">
        <f>AE765*10%</f>
        <v/>
      </c>
      <c r="Y765" s="32">
        <f>AE765*1%</f>
        <v/>
      </c>
      <c r="Z765" s="32">
        <f>AE765*8%</f>
        <v/>
      </c>
      <c r="AA765" s="32">
        <f>W765+X765+Y765+Z765</f>
        <v/>
      </c>
      <c r="AB765" s="31">
        <f>AA765+V765+N765</f>
        <v/>
      </c>
      <c r="AC765" s="6">
        <f>AB765*20%</f>
        <v/>
      </c>
      <c r="AD765" s="7">
        <f>AB765+AC765</f>
        <v/>
      </c>
      <c r="AE765" s="32">
        <f>D765*2.1</f>
        <v/>
      </c>
      <c r="AF765" s="7">
        <f>AD765-AE765</f>
        <v/>
      </c>
      <c r="AG765" s="7">
        <f>AF765/AD765*100</f>
        <v/>
      </c>
      <c r="AH765" s="0" t="n">
        <v>235</v>
      </c>
      <c r="AI765" s="33" t="n">
        <v>185</v>
      </c>
      <c r="AJ765" s="34">
        <f>AD765</f>
        <v/>
      </c>
      <c r="AK765" s="34">
        <f>AJ765-(AJ765*7%)</f>
        <v/>
      </c>
      <c r="AL765" s="35">
        <f>AJ765/94</f>
        <v/>
      </c>
      <c r="AM765" s="35">
        <f>AK765/94</f>
        <v/>
      </c>
      <c r="AN765" s="36">
        <f>AJ765/24</f>
        <v/>
      </c>
      <c r="AO765" s="36">
        <f>AK765/24</f>
        <v/>
      </c>
      <c r="AP765" s="37">
        <f>AJ765/125</f>
        <v/>
      </c>
      <c r="AQ765" s="37">
        <f>AK765/125</f>
        <v/>
      </c>
    </row>
    <row r="766" ht="15.75" customHeight="1" s="50">
      <c r="A766" s="32" t="n"/>
      <c r="B766" s="32" t="inlineStr">
        <is>
          <t>Straight / Black</t>
        </is>
      </c>
      <c r="C766" s="32" t="inlineStr">
        <is>
          <t>MI-SB-M-B-S</t>
        </is>
      </c>
      <c r="D766" s="32" t="n">
        <v>50</v>
      </c>
      <c r="G766" s="32" t="n">
        <v>0</v>
      </c>
      <c r="H766" s="32" t="n">
        <v>10</v>
      </c>
      <c r="I766" s="44" t="n">
        <v>70139900</v>
      </c>
      <c r="J766" s="45" t="n">
        <v>0.18</v>
      </c>
      <c r="K766" s="32">
        <f>D766*J766</f>
        <v/>
      </c>
      <c r="M766" s="32">
        <f>D766*4%</f>
        <v/>
      </c>
      <c r="N766" s="49">
        <f>M766+L766+K766+H766+G766+F766+E766+D766</f>
        <v/>
      </c>
      <c r="O766" s="32">
        <f>D766*1%</f>
        <v/>
      </c>
      <c r="P766" s="7">
        <f>N766*8%</f>
        <v/>
      </c>
      <c r="Q766" s="7">
        <f>N766*10%</f>
        <v/>
      </c>
      <c r="R766" s="7">
        <f>N766*5%</f>
        <v/>
      </c>
      <c r="S766" s="7">
        <f>N766*2%</f>
        <v/>
      </c>
      <c r="T766" s="7">
        <f>AE766*0.5%</f>
        <v/>
      </c>
      <c r="U766" s="7">
        <f>N766*1%</f>
        <v/>
      </c>
      <c r="V766" s="31">
        <f>U766+S766+R766+Q766+P766+O766</f>
        <v/>
      </c>
      <c r="W766" s="32">
        <f>AE766*1%</f>
        <v/>
      </c>
      <c r="X766" s="32">
        <f>AE766*10%</f>
        <v/>
      </c>
      <c r="Y766" s="32">
        <f>AE766*1%</f>
        <v/>
      </c>
      <c r="Z766" s="32">
        <f>AE766*8%</f>
        <v/>
      </c>
      <c r="AA766" s="32">
        <f>W766+X766+Y766+Z766</f>
        <v/>
      </c>
      <c r="AB766" s="31">
        <f>AA766+V766+N766</f>
        <v/>
      </c>
      <c r="AC766" s="6">
        <f>AB766*20%</f>
        <v/>
      </c>
      <c r="AD766" s="7">
        <f>AB766+AC766</f>
        <v/>
      </c>
      <c r="AE766" s="32">
        <f>D766*2.1</f>
        <v/>
      </c>
      <c r="AF766" s="7">
        <f>AD766-AE766</f>
        <v/>
      </c>
      <c r="AG766" s="7">
        <f>AF766/AD766*100</f>
        <v/>
      </c>
      <c r="AH766" s="0" t="n">
        <v>200</v>
      </c>
      <c r="AI766" s="33" t="n">
        <v>150</v>
      </c>
      <c r="AJ766" s="34">
        <f>AD766</f>
        <v/>
      </c>
      <c r="AK766" s="34">
        <f>AJ766-(AJ766*7%)</f>
        <v/>
      </c>
      <c r="AL766" s="35">
        <f>AJ766/94</f>
        <v/>
      </c>
      <c r="AM766" s="35">
        <f>AK766/94</f>
        <v/>
      </c>
      <c r="AN766" s="36">
        <f>AJ766/24</f>
        <v/>
      </c>
      <c r="AO766" s="36">
        <f>AK766/24</f>
        <v/>
      </c>
      <c r="AP766" s="37">
        <f>AJ766/125</f>
        <v/>
      </c>
      <c r="AQ766" s="37">
        <f>AK766/125</f>
        <v/>
      </c>
    </row>
    <row r="767" ht="15.75" customHeight="1" s="50">
      <c r="A767" s="32" t="n"/>
      <c r="B767" s="32" t="inlineStr">
        <is>
          <t>Long Soft-11" / Red</t>
        </is>
      </c>
      <c r="C767" s="32" t="inlineStr">
        <is>
          <t>MI-SB-M-L-R-11</t>
        </is>
      </c>
      <c r="D767" s="32" t="n">
        <v>150</v>
      </c>
      <c r="G767" s="32" t="n">
        <v>0</v>
      </c>
      <c r="H767" s="32" t="n">
        <v>10</v>
      </c>
      <c r="I767" s="44" t="n">
        <v>70139900</v>
      </c>
      <c r="J767" s="45" t="n">
        <v>0.18</v>
      </c>
      <c r="K767" s="32">
        <f>D767*J767</f>
        <v/>
      </c>
      <c r="M767" s="32">
        <f>D767*4%</f>
        <v/>
      </c>
      <c r="N767" s="49">
        <f>M767+L767+K767+H767+G767+F767+E767+D767</f>
        <v/>
      </c>
      <c r="O767" s="32">
        <f>D767*1%</f>
        <v/>
      </c>
      <c r="P767" s="7">
        <f>N767*8%</f>
        <v/>
      </c>
      <c r="Q767" s="7">
        <f>N767*10%</f>
        <v/>
      </c>
      <c r="R767" s="7">
        <f>N767*5%</f>
        <v/>
      </c>
      <c r="S767" s="7">
        <f>N767*2%</f>
        <v/>
      </c>
      <c r="T767" s="7">
        <f>AE767*0.5%</f>
        <v/>
      </c>
      <c r="U767" s="7">
        <f>N767*1%</f>
        <v/>
      </c>
      <c r="V767" s="31">
        <f>U767+S767+R767+Q767+P767+O767</f>
        <v/>
      </c>
      <c r="W767" s="32">
        <f>AE767*1%</f>
        <v/>
      </c>
      <c r="X767" s="32">
        <f>AE767*10%</f>
        <v/>
      </c>
      <c r="Y767" s="32">
        <f>AE767*1%</f>
        <v/>
      </c>
      <c r="Z767" s="32">
        <f>AE767*8%</f>
        <v/>
      </c>
      <c r="AA767" s="32">
        <f>W767+X767+Y767+Z767</f>
        <v/>
      </c>
      <c r="AB767" s="31">
        <f>AA767+V767+N767</f>
        <v/>
      </c>
      <c r="AC767" s="6">
        <f>AB767*20%</f>
        <v/>
      </c>
      <c r="AD767" s="7">
        <f>AB767+AC767</f>
        <v/>
      </c>
      <c r="AE767" s="32">
        <f>D767*2.1</f>
        <v/>
      </c>
      <c r="AF767" s="7">
        <f>AD767-AE767</f>
        <v/>
      </c>
      <c r="AG767" s="7">
        <f>AF767/AD767*100</f>
        <v/>
      </c>
      <c r="AH767" s="0" t="n">
        <v>645</v>
      </c>
      <c r="AI767" s="33" t="n">
        <v>495</v>
      </c>
      <c r="AJ767" s="34">
        <f>AD767</f>
        <v/>
      </c>
      <c r="AK767" s="34">
        <f>AJ767-(AJ767*7%)</f>
        <v/>
      </c>
      <c r="AL767" s="35">
        <f>AJ767/94</f>
        <v/>
      </c>
      <c r="AM767" s="35">
        <f>AK767/94</f>
        <v/>
      </c>
      <c r="AN767" s="36">
        <f>AJ767/24</f>
        <v/>
      </c>
      <c r="AO767" s="36">
        <f>AK767/24</f>
        <v/>
      </c>
      <c r="AP767" s="37">
        <f>AJ767/125</f>
        <v/>
      </c>
      <c r="AQ767" s="37">
        <f>AK767/125</f>
        <v/>
      </c>
    </row>
    <row r="768" ht="15.75" customHeight="1" s="50">
      <c r="A768" s="32" t="n"/>
      <c r="B768" s="32" t="inlineStr">
        <is>
          <t>Red / Long Soft-13"</t>
        </is>
      </c>
      <c r="C768" s="32" t="inlineStr">
        <is>
          <t>MI-SB-M-L-R-13</t>
        </is>
      </c>
      <c r="D768" s="32" t="n">
        <v>175</v>
      </c>
      <c r="G768" s="32" t="n">
        <v>0</v>
      </c>
      <c r="H768" s="32" t="n">
        <v>10</v>
      </c>
      <c r="I768" s="44" t="n">
        <v>70139900</v>
      </c>
      <c r="J768" s="45" t="n">
        <v>0.18</v>
      </c>
      <c r="K768" s="32">
        <f>D768*J768</f>
        <v/>
      </c>
      <c r="M768" s="32">
        <f>D768*4%</f>
        <v/>
      </c>
      <c r="N768" s="49">
        <f>M768+L768+K768+H768+G768+F768+E768+D768</f>
        <v/>
      </c>
      <c r="O768" s="32">
        <f>D768*1%</f>
        <v/>
      </c>
      <c r="P768" s="7">
        <f>N768*8%</f>
        <v/>
      </c>
      <c r="Q768" s="7">
        <f>N768*10%</f>
        <v/>
      </c>
      <c r="R768" s="7">
        <f>N768*5%</f>
        <v/>
      </c>
      <c r="S768" s="7">
        <f>N768*2%</f>
        <v/>
      </c>
      <c r="T768" s="7">
        <f>AE768*0.5%</f>
        <v/>
      </c>
      <c r="U768" s="7">
        <f>N768*1%</f>
        <v/>
      </c>
      <c r="V768" s="31">
        <f>U768+S768+R768+Q768+P768+O768</f>
        <v/>
      </c>
      <c r="W768" s="32">
        <f>AE768*1%</f>
        <v/>
      </c>
      <c r="X768" s="32">
        <f>AE768*10%</f>
        <v/>
      </c>
      <c r="Y768" s="32">
        <f>AE768*1%</f>
        <v/>
      </c>
      <c r="Z768" s="32">
        <f>AE768*8%</f>
        <v/>
      </c>
      <c r="AA768" s="32">
        <f>W768+X768+Y768+Z768</f>
        <v/>
      </c>
      <c r="AB768" s="31">
        <f>AA768+V768+N768</f>
        <v/>
      </c>
      <c r="AC768" s="6">
        <f>AB768*20%</f>
        <v/>
      </c>
      <c r="AD768" s="7">
        <f>AB768+AC768</f>
        <v/>
      </c>
      <c r="AE768" s="32">
        <f>D768*2.1</f>
        <v/>
      </c>
      <c r="AF768" s="7">
        <f>AD768-AE768</f>
        <v/>
      </c>
      <c r="AG768" s="7">
        <f>AF768/AD768*100</f>
        <v/>
      </c>
      <c r="AH768" s="0" t="n">
        <v>850</v>
      </c>
      <c r="AI768" s="33" t="n">
        <v>675</v>
      </c>
      <c r="AJ768" s="34">
        <f>AD768</f>
        <v/>
      </c>
      <c r="AK768" s="34">
        <f>AJ768-(AJ768*7%)</f>
        <v/>
      </c>
      <c r="AL768" s="35">
        <f>AJ768/94</f>
        <v/>
      </c>
      <c r="AM768" s="35">
        <f>AK768/94</f>
        <v/>
      </c>
      <c r="AN768" s="36">
        <f>AJ768/24</f>
        <v/>
      </c>
      <c r="AO768" s="36">
        <f>AK768/24</f>
        <v/>
      </c>
      <c r="AP768" s="37">
        <f>AJ768/125</f>
        <v/>
      </c>
      <c r="AQ768" s="37">
        <f>AK768/125</f>
        <v/>
      </c>
    </row>
    <row r="769" ht="15.75" customHeight="1" s="50">
      <c r="A769" s="32" t="n"/>
      <c r="B769" s="32" t="inlineStr">
        <is>
          <t>Red / Long Soft-9"</t>
        </is>
      </c>
      <c r="C769" s="32" t="inlineStr">
        <is>
          <t>MI-SB-M-L-R-9</t>
        </is>
      </c>
      <c r="D769" s="32" t="n">
        <v>125</v>
      </c>
      <c r="G769" s="32" t="n">
        <v>0</v>
      </c>
      <c r="H769" s="32" t="n">
        <v>10</v>
      </c>
      <c r="I769" s="44" t="n">
        <v>70139900</v>
      </c>
      <c r="J769" s="45" t="n">
        <v>0.18</v>
      </c>
      <c r="K769" s="32">
        <f>D769*J769</f>
        <v/>
      </c>
      <c r="M769" s="32">
        <f>D769*4%</f>
        <v/>
      </c>
      <c r="N769" s="49">
        <f>M769+L769+K769+H769+G769+F769+E769+D769</f>
        <v/>
      </c>
      <c r="O769" s="32">
        <f>D769*1%</f>
        <v/>
      </c>
      <c r="P769" s="7">
        <f>N769*8%</f>
        <v/>
      </c>
      <c r="Q769" s="7">
        <f>N769*10%</f>
        <v/>
      </c>
      <c r="R769" s="7">
        <f>N769*5%</f>
        <v/>
      </c>
      <c r="S769" s="7">
        <f>N769*2%</f>
        <v/>
      </c>
      <c r="T769" s="7">
        <f>AE769*0.5%</f>
        <v/>
      </c>
      <c r="U769" s="7">
        <f>N769*1%</f>
        <v/>
      </c>
      <c r="V769" s="31">
        <f>U769+S769+R769+Q769+P769+O769</f>
        <v/>
      </c>
      <c r="W769" s="32">
        <f>AE769*1%</f>
        <v/>
      </c>
      <c r="X769" s="32">
        <f>AE769*10%</f>
        <v/>
      </c>
      <c r="Y769" s="32">
        <f>AE769*1%</f>
        <v/>
      </c>
      <c r="Z769" s="32">
        <f>AE769*8%</f>
        <v/>
      </c>
      <c r="AA769" s="32">
        <f>W769+X769+Y769+Z769</f>
        <v/>
      </c>
      <c r="AB769" s="31">
        <f>AA769+V769+N769</f>
        <v/>
      </c>
      <c r="AC769" s="6">
        <f>AB769*20%</f>
        <v/>
      </c>
      <c r="AD769" s="7">
        <f>AB769+AC769</f>
        <v/>
      </c>
      <c r="AE769" s="32">
        <f>D769*2.1</f>
        <v/>
      </c>
      <c r="AF769" s="7">
        <f>AD769-AE769</f>
        <v/>
      </c>
      <c r="AG769" s="7">
        <f>AF769/AD769*100</f>
        <v/>
      </c>
      <c r="AH769" s="0" t="n">
        <v>645</v>
      </c>
      <c r="AI769" s="33" t="n">
        <v>520</v>
      </c>
      <c r="AJ769" s="34">
        <f>AD769</f>
        <v/>
      </c>
      <c r="AK769" s="34">
        <f>AJ769-(AJ769*7%)</f>
        <v/>
      </c>
      <c r="AL769" s="35">
        <f>AJ769/94</f>
        <v/>
      </c>
      <c r="AM769" s="35">
        <f>AK769/94</f>
        <v/>
      </c>
      <c r="AN769" s="36">
        <f>AJ769/24</f>
        <v/>
      </c>
      <c r="AO769" s="36">
        <f>AK769/24</f>
        <v/>
      </c>
      <c r="AP769" s="37">
        <f>AJ769/125</f>
        <v/>
      </c>
      <c r="AQ769" s="37">
        <f>AK769/125</f>
        <v/>
      </c>
    </row>
    <row r="770" ht="15.75" customHeight="1" s="50">
      <c r="A770" s="32" t="n"/>
      <c r="B770" s="32" t="inlineStr">
        <is>
          <t>White / Long Soft-11"</t>
        </is>
      </c>
      <c r="C770" s="32" t="inlineStr">
        <is>
          <t>MI-SB-M-L-W-11</t>
        </is>
      </c>
      <c r="D770" s="32" t="n">
        <v>150</v>
      </c>
      <c r="G770" s="32" t="n">
        <v>0</v>
      </c>
      <c r="H770" s="32" t="n">
        <v>10</v>
      </c>
      <c r="I770" s="44" t="n">
        <v>70139900</v>
      </c>
      <c r="J770" s="45" t="n">
        <v>0.18</v>
      </c>
      <c r="K770" s="32">
        <f>D770*J770</f>
        <v/>
      </c>
      <c r="M770" s="32">
        <f>D770*4%</f>
        <v/>
      </c>
      <c r="N770" s="49">
        <f>M770+L770+K770+H770+G770+F770+E770+D770</f>
        <v/>
      </c>
      <c r="O770" s="32">
        <f>D770*1%</f>
        <v/>
      </c>
      <c r="P770" s="7">
        <f>N770*8%</f>
        <v/>
      </c>
      <c r="Q770" s="7">
        <f>N770*10%</f>
        <v/>
      </c>
      <c r="R770" s="7">
        <f>N770*5%</f>
        <v/>
      </c>
      <c r="S770" s="7">
        <f>N770*2%</f>
        <v/>
      </c>
      <c r="T770" s="7">
        <f>AE770*0.5%</f>
        <v/>
      </c>
      <c r="U770" s="7">
        <f>N770*1%</f>
        <v/>
      </c>
      <c r="V770" s="31">
        <f>U770+S770+R770+Q770+P770+O770</f>
        <v/>
      </c>
      <c r="W770" s="32">
        <f>AE770*1%</f>
        <v/>
      </c>
      <c r="X770" s="32">
        <f>AE770*10%</f>
        <v/>
      </c>
      <c r="Y770" s="32">
        <f>AE770*1%</f>
        <v/>
      </c>
      <c r="Z770" s="32">
        <f>AE770*8%</f>
        <v/>
      </c>
      <c r="AA770" s="32">
        <f>W770+X770+Y770+Z770</f>
        <v/>
      </c>
      <c r="AB770" s="31">
        <f>AA770+V770+N770</f>
        <v/>
      </c>
      <c r="AC770" s="6">
        <f>AB770*20%</f>
        <v/>
      </c>
      <c r="AD770" s="7">
        <f>AB770+AC770</f>
        <v/>
      </c>
      <c r="AE770" s="32">
        <f>D770*2.1</f>
        <v/>
      </c>
      <c r="AF770" s="7">
        <f>AD770-AE770</f>
        <v/>
      </c>
      <c r="AG770" s="7">
        <f>AF770/AD770*100</f>
        <v/>
      </c>
      <c r="AH770" s="0" t="n">
        <v>695</v>
      </c>
      <c r="AI770" s="33" t="n">
        <v>545</v>
      </c>
      <c r="AJ770" s="34">
        <f>AD770</f>
        <v/>
      </c>
      <c r="AK770" s="34">
        <f>AJ770-(AJ770*7%)</f>
        <v/>
      </c>
      <c r="AL770" s="35">
        <f>AJ770/94</f>
        <v/>
      </c>
      <c r="AM770" s="35">
        <f>AK770/94</f>
        <v/>
      </c>
      <c r="AN770" s="36">
        <f>AJ770/24</f>
        <v/>
      </c>
      <c r="AO770" s="36">
        <f>AK770/24</f>
        <v/>
      </c>
      <c r="AP770" s="37">
        <f>AJ770/125</f>
        <v/>
      </c>
      <c r="AQ770" s="37">
        <f>AK770/125</f>
        <v/>
      </c>
    </row>
    <row r="771" ht="15.75" customHeight="1" s="50">
      <c r="A771" s="32" t="n"/>
      <c r="B771" s="32" t="inlineStr">
        <is>
          <t>White / Long Soft-13"</t>
        </is>
      </c>
      <c r="C771" s="32" t="inlineStr">
        <is>
          <t>MI-SB-M-L-W-13</t>
        </is>
      </c>
      <c r="D771" s="32" t="n">
        <v>175</v>
      </c>
      <c r="G771" s="32" t="n">
        <v>0</v>
      </c>
      <c r="H771" s="32" t="n">
        <v>10</v>
      </c>
      <c r="I771" s="44" t="n">
        <v>70139900</v>
      </c>
      <c r="J771" s="45" t="n">
        <v>0.18</v>
      </c>
      <c r="K771" s="32">
        <f>D771*J771</f>
        <v/>
      </c>
      <c r="M771" s="32">
        <f>D771*4%</f>
        <v/>
      </c>
      <c r="N771" s="49">
        <f>M771+L771+K771+H771+G771+F771+E771+D771</f>
        <v/>
      </c>
      <c r="O771" s="32">
        <f>D771*1%</f>
        <v/>
      </c>
      <c r="P771" s="7">
        <f>N771*8%</f>
        <v/>
      </c>
      <c r="Q771" s="7">
        <f>N771*10%</f>
        <v/>
      </c>
      <c r="R771" s="7">
        <f>N771*5%</f>
        <v/>
      </c>
      <c r="S771" s="7">
        <f>N771*2%</f>
        <v/>
      </c>
      <c r="T771" s="7">
        <f>AE771*0.5%</f>
        <v/>
      </c>
      <c r="U771" s="7">
        <f>N771*1%</f>
        <v/>
      </c>
      <c r="V771" s="31">
        <f>U771+S771+R771+Q771+P771+O771</f>
        <v/>
      </c>
      <c r="W771" s="32">
        <f>AE771*1%</f>
        <v/>
      </c>
      <c r="X771" s="32">
        <f>AE771*10%</f>
        <v/>
      </c>
      <c r="Y771" s="32">
        <f>AE771*1%</f>
        <v/>
      </c>
      <c r="Z771" s="32">
        <f>AE771*8%</f>
        <v/>
      </c>
      <c r="AA771" s="32">
        <f>W771+X771+Y771+Z771</f>
        <v/>
      </c>
      <c r="AB771" s="31">
        <f>AA771+V771+N771</f>
        <v/>
      </c>
      <c r="AC771" s="6">
        <f>AB771*20%</f>
        <v/>
      </c>
      <c r="AD771" s="7">
        <f>AB771+AC771</f>
        <v/>
      </c>
      <c r="AE771" s="32">
        <f>D771*2.1</f>
        <v/>
      </c>
      <c r="AF771" s="7">
        <f>AD771-AE771</f>
        <v/>
      </c>
      <c r="AG771" s="7">
        <f>AF771/AD771*100</f>
        <v/>
      </c>
      <c r="AH771" s="0" t="n">
        <v>850</v>
      </c>
      <c r="AI771" s="33" t="n">
        <v>675</v>
      </c>
      <c r="AJ771" s="34">
        <f>AD771</f>
        <v/>
      </c>
      <c r="AK771" s="34">
        <f>AJ771-(AJ771*7%)</f>
        <v/>
      </c>
      <c r="AL771" s="35">
        <f>AJ771/94</f>
        <v/>
      </c>
      <c r="AM771" s="35">
        <f>AK771/94</f>
        <v/>
      </c>
      <c r="AN771" s="36">
        <f>AJ771/24</f>
        <v/>
      </c>
      <c r="AO771" s="36">
        <f>AK771/24</f>
        <v/>
      </c>
      <c r="AP771" s="37">
        <f>AJ771/125</f>
        <v/>
      </c>
      <c r="AQ771" s="37">
        <f>AK771/125</f>
        <v/>
      </c>
    </row>
    <row r="772" ht="15.75" customHeight="1" s="50">
      <c r="A772" s="32" t="n"/>
      <c r="B772" s="32" t="inlineStr">
        <is>
          <t>White / Long Soft-9"</t>
        </is>
      </c>
      <c r="C772" s="32" t="inlineStr">
        <is>
          <t>MI-SB-M-L-W-9</t>
        </is>
      </c>
      <c r="D772" s="32" t="n">
        <v>125</v>
      </c>
      <c r="G772" s="32" t="n">
        <v>0</v>
      </c>
      <c r="H772" s="32" t="n">
        <v>10</v>
      </c>
      <c r="I772" s="44" t="n">
        <v>70139900</v>
      </c>
      <c r="J772" s="45" t="n">
        <v>0.18</v>
      </c>
      <c r="K772" s="32">
        <f>D772*J772</f>
        <v/>
      </c>
      <c r="M772" s="32">
        <f>D772*4%</f>
        <v/>
      </c>
      <c r="N772" s="49">
        <f>M772+L772+K772+H772+G772+F772+E772+D772</f>
        <v/>
      </c>
      <c r="O772" s="32">
        <f>D772*1%</f>
        <v/>
      </c>
      <c r="P772" s="7">
        <f>N772*8%</f>
        <v/>
      </c>
      <c r="Q772" s="7">
        <f>N772*10%</f>
        <v/>
      </c>
      <c r="R772" s="7">
        <f>N772*5%</f>
        <v/>
      </c>
      <c r="S772" s="7">
        <f>N772*2%</f>
        <v/>
      </c>
      <c r="T772" s="7">
        <f>AE772*0.5%</f>
        <v/>
      </c>
      <c r="U772" s="7">
        <f>N772*1%</f>
        <v/>
      </c>
      <c r="V772" s="31">
        <f>U772+S772+R772+Q772+P772+O772</f>
        <v/>
      </c>
      <c r="W772" s="32">
        <f>AE772*1%</f>
        <v/>
      </c>
      <c r="X772" s="32">
        <f>AE772*10%</f>
        <v/>
      </c>
      <c r="Y772" s="32">
        <f>AE772*1%</f>
        <v/>
      </c>
      <c r="Z772" s="32">
        <f>AE772*8%</f>
        <v/>
      </c>
      <c r="AA772" s="32">
        <f>W772+X772+Y772+Z772</f>
        <v/>
      </c>
      <c r="AB772" s="31">
        <f>AA772+V772+N772</f>
        <v/>
      </c>
      <c r="AC772" s="6">
        <f>AB772*20%</f>
        <v/>
      </c>
      <c r="AD772" s="7">
        <f>AB772+AC772</f>
        <v/>
      </c>
      <c r="AE772" s="32">
        <f>D772*2.1</f>
        <v/>
      </c>
      <c r="AF772" s="7">
        <f>AD772-AE772</f>
        <v/>
      </c>
      <c r="AG772" s="7">
        <f>AF772/AD772*100</f>
        <v/>
      </c>
      <c r="AH772" s="0" t="n">
        <v>645</v>
      </c>
      <c r="AI772" s="33" t="n">
        <v>520</v>
      </c>
      <c r="AJ772" s="34">
        <f>AD772</f>
        <v/>
      </c>
      <c r="AK772" s="34">
        <f>AJ772-(AJ772*7%)</f>
        <v/>
      </c>
      <c r="AL772" s="35">
        <f>AJ772/94</f>
        <v/>
      </c>
      <c r="AM772" s="35">
        <f>AK772/94</f>
        <v/>
      </c>
      <c r="AN772" s="36">
        <f>AJ772/24</f>
        <v/>
      </c>
      <c r="AO772" s="36">
        <f>AK772/24</f>
        <v/>
      </c>
      <c r="AP772" s="37">
        <f>AJ772/125</f>
        <v/>
      </c>
      <c r="AQ772" s="37">
        <f>AK772/125</f>
        <v/>
      </c>
    </row>
    <row r="773" ht="15.75" customHeight="1" s="50">
      <c r="A773" s="32" t="n"/>
      <c r="B773" s="32" t="inlineStr">
        <is>
          <t>Straight / Red</t>
        </is>
      </c>
      <c r="C773" s="32" t="inlineStr">
        <is>
          <t>MI-SB-M-R-S</t>
        </is>
      </c>
      <c r="D773" s="32" t="n">
        <v>50</v>
      </c>
      <c r="G773" s="32" t="n">
        <v>0</v>
      </c>
      <c r="H773" s="32" t="n">
        <v>10</v>
      </c>
      <c r="I773" s="44" t="n">
        <v>70139900</v>
      </c>
      <c r="J773" s="45" t="n">
        <v>0.18</v>
      </c>
      <c r="K773" s="32">
        <f>D773*J773</f>
        <v/>
      </c>
      <c r="M773" s="32">
        <f>D773*4%</f>
        <v/>
      </c>
      <c r="N773" s="49">
        <f>M773+L773+K773+H773+G773+F773+E773+D773</f>
        <v/>
      </c>
      <c r="O773" s="32">
        <f>D773*1%</f>
        <v/>
      </c>
      <c r="P773" s="7">
        <f>N773*8%</f>
        <v/>
      </c>
      <c r="Q773" s="7">
        <f>N773*10%</f>
        <v/>
      </c>
      <c r="R773" s="7">
        <f>N773*5%</f>
        <v/>
      </c>
      <c r="S773" s="7">
        <f>N773*2%</f>
        <v/>
      </c>
      <c r="T773" s="7">
        <f>AE773*0.5%</f>
        <v/>
      </c>
      <c r="U773" s="7">
        <f>N773*1%</f>
        <v/>
      </c>
      <c r="V773" s="31">
        <f>U773+S773+R773+Q773+P773+O773</f>
        <v/>
      </c>
      <c r="W773" s="32">
        <f>AE773*1%</f>
        <v/>
      </c>
      <c r="X773" s="32">
        <f>AE773*10%</f>
        <v/>
      </c>
      <c r="Y773" s="32">
        <f>AE773*1%</f>
        <v/>
      </c>
      <c r="Z773" s="32">
        <f>AE773*8%</f>
        <v/>
      </c>
      <c r="AA773" s="32">
        <f>W773+X773+Y773+Z773</f>
        <v/>
      </c>
      <c r="AB773" s="31">
        <f>AA773+V773+N773</f>
        <v/>
      </c>
      <c r="AC773" s="6">
        <f>AB773*20%</f>
        <v/>
      </c>
      <c r="AD773" s="7">
        <f>AB773+AC773</f>
        <v/>
      </c>
      <c r="AE773" s="32">
        <f>D773*2.1</f>
        <v/>
      </c>
      <c r="AF773" s="7">
        <f>AD773-AE773</f>
        <v/>
      </c>
      <c r="AG773" s="7">
        <f>AF773/AD773*100</f>
        <v/>
      </c>
      <c r="AH773" s="0" t="n">
        <v>200</v>
      </c>
      <c r="AI773" s="33" t="n">
        <v>150</v>
      </c>
      <c r="AJ773" s="34">
        <f>AD773</f>
        <v/>
      </c>
      <c r="AK773" s="34">
        <f>AJ773-(AJ773*7%)</f>
        <v/>
      </c>
      <c r="AL773" s="35">
        <f>AJ773/94</f>
        <v/>
      </c>
      <c r="AM773" s="35">
        <f>AK773/94</f>
        <v/>
      </c>
      <c r="AN773" s="36">
        <f>AJ773/24</f>
        <v/>
      </c>
      <c r="AO773" s="36">
        <f>AK773/24</f>
        <v/>
      </c>
      <c r="AP773" s="37">
        <f>AJ773/125</f>
        <v/>
      </c>
      <c r="AQ773" s="37">
        <f>AK773/125</f>
        <v/>
      </c>
    </row>
    <row r="774" ht="15.75" customHeight="1" s="50">
      <c r="A774" s="32" t="n"/>
      <c r="B774" s="32" t="inlineStr">
        <is>
          <t>Red / Long Firm-Small</t>
        </is>
      </c>
      <c r="D774" s="32" t="n">
        <v>100</v>
      </c>
      <c r="G774" s="32" t="n">
        <v>0</v>
      </c>
      <c r="H774" s="32" t="n">
        <v>10</v>
      </c>
      <c r="I774" s="44" t="n">
        <v>70139900</v>
      </c>
      <c r="J774" s="45" t="n">
        <v>0.18</v>
      </c>
      <c r="K774" s="32">
        <f>D774*J774</f>
        <v/>
      </c>
      <c r="M774" s="32">
        <f>D774*4%</f>
        <v/>
      </c>
      <c r="N774" s="49">
        <f>M774+L774+K774+H774+G774+F774+E774+D774</f>
        <v/>
      </c>
      <c r="O774" s="32">
        <f>D774*1%</f>
        <v/>
      </c>
      <c r="P774" s="7">
        <f>N774*8%</f>
        <v/>
      </c>
      <c r="Q774" s="7">
        <f>N774*10%</f>
        <v/>
      </c>
      <c r="R774" s="7">
        <f>N774*5%</f>
        <v/>
      </c>
      <c r="S774" s="7">
        <f>N774*2%</f>
        <v/>
      </c>
      <c r="T774" s="7">
        <f>AE774*0.5%</f>
        <v/>
      </c>
      <c r="U774" s="7">
        <f>N774*1%</f>
        <v/>
      </c>
      <c r="V774" s="31">
        <f>U774+S774+R774+Q774+P774+O774</f>
        <v/>
      </c>
      <c r="W774" s="32">
        <f>AE774*1%</f>
        <v/>
      </c>
      <c r="X774" s="32">
        <f>AE774*10%</f>
        <v/>
      </c>
      <c r="Y774" s="32">
        <f>AE774*1%</f>
        <v/>
      </c>
      <c r="Z774" s="32">
        <f>AE774*8%</f>
        <v/>
      </c>
      <c r="AA774" s="32">
        <f>W774+X774+Y774+Z774</f>
        <v/>
      </c>
      <c r="AB774" s="31">
        <f>AA774+V774+N774</f>
        <v/>
      </c>
      <c r="AC774" s="6">
        <f>AB774*20%</f>
        <v/>
      </c>
      <c r="AD774" s="7">
        <f>AB774+AC774</f>
        <v/>
      </c>
      <c r="AE774" s="32">
        <f>D774*2.1</f>
        <v/>
      </c>
      <c r="AF774" s="7">
        <f>AD774-AE774</f>
        <v/>
      </c>
      <c r="AG774" s="7">
        <f>AF774/AD774*100</f>
        <v/>
      </c>
      <c r="AI774" s="33" t="n"/>
      <c r="AJ774" s="34">
        <f>AD774</f>
        <v/>
      </c>
      <c r="AK774" s="34">
        <f>AJ774-(AJ774*7%)</f>
        <v/>
      </c>
      <c r="AL774" s="35">
        <f>AJ774/94</f>
        <v/>
      </c>
      <c r="AM774" s="35">
        <f>AK774/94</f>
        <v/>
      </c>
      <c r="AN774" s="36">
        <f>AJ774/24</f>
        <v/>
      </c>
      <c r="AO774" s="36">
        <f>AK774/24</f>
        <v/>
      </c>
      <c r="AP774" s="37">
        <f>AJ774/125</f>
        <v/>
      </c>
      <c r="AQ774" s="37">
        <f>AK774/125</f>
        <v/>
      </c>
    </row>
    <row r="775" ht="15.75" customHeight="1" s="50">
      <c r="A775" s="32" t="n"/>
      <c r="B775" s="32" t="inlineStr">
        <is>
          <t>Black / Thick Wide</t>
        </is>
      </c>
      <c r="D775" s="32" t="n">
        <v>110</v>
      </c>
      <c r="G775" s="32" t="n">
        <v>0</v>
      </c>
      <c r="H775" s="32" t="n">
        <v>10</v>
      </c>
      <c r="I775" s="44" t="n">
        <v>70139900</v>
      </c>
      <c r="J775" s="45" t="n">
        <v>0.18</v>
      </c>
      <c r="K775" s="32">
        <f>D775*J775</f>
        <v/>
      </c>
      <c r="M775" s="32">
        <f>D775*4%</f>
        <v/>
      </c>
      <c r="N775" s="49">
        <f>M775+L775+K775+H775+G775+F775+E775+D775</f>
        <v/>
      </c>
      <c r="O775" s="32">
        <f>D775*1%</f>
        <v/>
      </c>
      <c r="P775" s="7">
        <f>N775*8%</f>
        <v/>
      </c>
      <c r="Q775" s="7">
        <f>N775*10%</f>
        <v/>
      </c>
      <c r="R775" s="7">
        <f>N775*5%</f>
        <v/>
      </c>
      <c r="S775" s="7">
        <f>N775*2%</f>
        <v/>
      </c>
      <c r="T775" s="7">
        <f>AE775*0.5%</f>
        <v/>
      </c>
      <c r="U775" s="7">
        <f>N775*1%</f>
        <v/>
      </c>
      <c r="V775" s="31">
        <f>U775+S775+R775+Q775+P775+O775</f>
        <v/>
      </c>
      <c r="W775" s="32">
        <f>AE775*1%</f>
        <v/>
      </c>
      <c r="X775" s="32">
        <f>AE775*10%</f>
        <v/>
      </c>
      <c r="Y775" s="32">
        <f>AE775*1%</f>
        <v/>
      </c>
      <c r="Z775" s="32">
        <f>AE775*8%</f>
        <v/>
      </c>
      <c r="AA775" s="32">
        <f>W775+X775+Y775+Z775</f>
        <v/>
      </c>
      <c r="AB775" s="31">
        <f>AA775+V775+N775</f>
        <v/>
      </c>
      <c r="AC775" s="6">
        <f>AB775*20%</f>
        <v/>
      </c>
      <c r="AD775" s="7">
        <f>AB775+AC775</f>
        <v/>
      </c>
      <c r="AE775" s="32">
        <f>D775*2.1</f>
        <v/>
      </c>
      <c r="AF775" s="7">
        <f>AD775-AE775</f>
        <v/>
      </c>
      <c r="AG775" s="7">
        <f>AF775/AD775*100</f>
        <v/>
      </c>
      <c r="AI775" s="33" t="n"/>
      <c r="AJ775" s="34">
        <f>AD775</f>
        <v/>
      </c>
      <c r="AK775" s="34">
        <f>AJ775-(AJ775*7%)</f>
        <v/>
      </c>
      <c r="AL775" s="35">
        <f>AJ775/94</f>
        <v/>
      </c>
      <c r="AM775" s="35">
        <f>AK775/94</f>
        <v/>
      </c>
      <c r="AN775" s="36">
        <f>AJ775/24</f>
        <v/>
      </c>
      <c r="AO775" s="36">
        <f>AK775/24</f>
        <v/>
      </c>
      <c r="AP775" s="37">
        <f>AJ775/125</f>
        <v/>
      </c>
      <c r="AQ775" s="37">
        <f>AK775/125</f>
        <v/>
      </c>
    </row>
    <row r="776" ht="15.75" customHeight="1" s="50">
      <c r="A776" s="32" t="n"/>
      <c r="B776" s="32" t="inlineStr">
        <is>
          <t>Red / Thick Wide</t>
        </is>
      </c>
      <c r="D776" s="32" t="n">
        <v>110</v>
      </c>
      <c r="G776" s="32" t="n">
        <v>0</v>
      </c>
      <c r="H776" s="32" t="n">
        <v>10</v>
      </c>
      <c r="I776" s="44" t="n">
        <v>70139900</v>
      </c>
      <c r="J776" s="45" t="n">
        <v>0.18</v>
      </c>
      <c r="K776" s="32">
        <f>D776*J776</f>
        <v/>
      </c>
      <c r="M776" s="32">
        <f>D776*4%</f>
        <v/>
      </c>
      <c r="N776" s="49">
        <f>M776+L776+K776+H776+G776+F776+E776+D776</f>
        <v/>
      </c>
      <c r="O776" s="32">
        <f>D776*1%</f>
        <v/>
      </c>
      <c r="P776" s="7">
        <f>N776*8%</f>
        <v/>
      </c>
      <c r="Q776" s="7">
        <f>N776*10%</f>
        <v/>
      </c>
      <c r="R776" s="7">
        <f>N776*5%</f>
        <v/>
      </c>
      <c r="S776" s="7">
        <f>N776*2%</f>
        <v/>
      </c>
      <c r="T776" s="7">
        <f>AE776*0.5%</f>
        <v/>
      </c>
      <c r="U776" s="7">
        <f>N776*1%</f>
        <v/>
      </c>
      <c r="V776" s="31">
        <f>U776+S776+R776+Q776+P776+O776</f>
        <v/>
      </c>
      <c r="W776" s="32">
        <f>AE776*1%</f>
        <v/>
      </c>
      <c r="X776" s="32">
        <f>AE776*10%</f>
        <v/>
      </c>
      <c r="Y776" s="32">
        <f>AE776*1%</f>
        <v/>
      </c>
      <c r="Z776" s="32">
        <f>AE776*8%</f>
        <v/>
      </c>
      <c r="AA776" s="32">
        <f>W776+X776+Y776+Z776</f>
        <v/>
      </c>
      <c r="AB776" s="31">
        <f>AA776+V776+N776</f>
        <v/>
      </c>
      <c r="AC776" s="6">
        <f>AB776*20%</f>
        <v/>
      </c>
      <c r="AD776" s="7">
        <f>AB776+AC776</f>
        <v/>
      </c>
      <c r="AE776" s="32">
        <f>D776*2.1</f>
        <v/>
      </c>
      <c r="AF776" s="7">
        <f>AD776-AE776</f>
        <v/>
      </c>
      <c r="AG776" s="7">
        <f>AF776/AD776*100</f>
        <v/>
      </c>
      <c r="AI776" s="33" t="n"/>
      <c r="AJ776" s="34">
        <f>AD776</f>
        <v/>
      </c>
      <c r="AK776" s="34">
        <f>AJ776-(AJ776*7%)</f>
        <v/>
      </c>
      <c r="AL776" s="35">
        <f>AJ776/94</f>
        <v/>
      </c>
      <c r="AM776" s="35">
        <f>AK776/94</f>
        <v/>
      </c>
      <c r="AN776" s="36">
        <f>AJ776/24</f>
        <v/>
      </c>
      <c r="AO776" s="36">
        <f>AK776/24</f>
        <v/>
      </c>
      <c r="AP776" s="37">
        <f>AJ776/125</f>
        <v/>
      </c>
      <c r="AQ776" s="37">
        <f>AK776/125</f>
        <v/>
      </c>
    </row>
    <row r="777" ht="15.75" customHeight="1" s="50">
      <c r="A777" s="32" t="n"/>
      <c r="B777" s="32" t="inlineStr">
        <is>
          <t>Black / Standard Wide</t>
        </is>
      </c>
      <c r="D777" s="32" t="n">
        <v>100</v>
      </c>
      <c r="G777" s="32" t="n">
        <v>0</v>
      </c>
      <c r="H777" s="32" t="n">
        <v>10</v>
      </c>
      <c r="I777" s="44" t="n">
        <v>70139900</v>
      </c>
      <c r="J777" s="45" t="n">
        <v>0.18</v>
      </c>
      <c r="K777" s="32">
        <f>D777*J777</f>
        <v/>
      </c>
      <c r="M777" s="32">
        <f>D777*4%</f>
        <v/>
      </c>
      <c r="N777" s="49">
        <f>M777+L777+K777+H777+G777+F777+E777+D777</f>
        <v/>
      </c>
      <c r="O777" s="32">
        <f>D777*1%</f>
        <v/>
      </c>
      <c r="P777" s="7">
        <f>N777*8%</f>
        <v/>
      </c>
      <c r="Q777" s="7">
        <f>N777*10%</f>
        <v/>
      </c>
      <c r="R777" s="7">
        <f>N777*5%</f>
        <v/>
      </c>
      <c r="S777" s="7">
        <f>N777*2%</f>
        <v/>
      </c>
      <c r="T777" s="7">
        <f>AE777*0.5%</f>
        <v/>
      </c>
      <c r="U777" s="7">
        <f>N777*1%</f>
        <v/>
      </c>
      <c r="V777" s="31">
        <f>U777+S777+R777+Q777+P777+O777</f>
        <v/>
      </c>
      <c r="W777" s="32">
        <f>AE777*1%</f>
        <v/>
      </c>
      <c r="X777" s="32">
        <f>AE777*10%</f>
        <v/>
      </c>
      <c r="Y777" s="32">
        <f>AE777*1%</f>
        <v/>
      </c>
      <c r="Z777" s="32">
        <f>AE777*8%</f>
        <v/>
      </c>
      <c r="AA777" s="32">
        <f>W777+X777+Y777+Z777</f>
        <v/>
      </c>
      <c r="AB777" s="31">
        <f>AA777+V777+N777</f>
        <v/>
      </c>
      <c r="AC777" s="6">
        <f>AB777*20%</f>
        <v/>
      </c>
      <c r="AD777" s="7">
        <f>AB777+AC777</f>
        <v/>
      </c>
      <c r="AE777" s="32">
        <f>D777*2.1</f>
        <v/>
      </c>
      <c r="AF777" s="7">
        <f>AD777-AE777</f>
        <v/>
      </c>
      <c r="AG777" s="7">
        <f>AF777/AD777*100</f>
        <v/>
      </c>
      <c r="AI777" s="33" t="n"/>
      <c r="AJ777" s="34">
        <f>AD777</f>
        <v/>
      </c>
      <c r="AK777" s="34">
        <f>AJ777-(AJ777*7%)</f>
        <v/>
      </c>
      <c r="AL777" s="35">
        <f>AJ777/94</f>
        <v/>
      </c>
      <c r="AM777" s="35">
        <f>AK777/94</f>
        <v/>
      </c>
      <c r="AN777" s="36">
        <f>AJ777/24</f>
        <v/>
      </c>
      <c r="AO777" s="36">
        <f>AK777/24</f>
        <v/>
      </c>
      <c r="AP777" s="37">
        <f>AJ777/125</f>
        <v/>
      </c>
      <c r="AQ777" s="37">
        <f>AK777/125</f>
        <v/>
      </c>
    </row>
    <row r="778" ht="15.75" customHeight="1" s="50">
      <c r="A778" s="32" t="n"/>
      <c r="B778" s="32" t="inlineStr">
        <is>
          <t>Red / Standard Wide</t>
        </is>
      </c>
      <c r="D778" s="32" t="n">
        <v>100</v>
      </c>
      <c r="G778" s="32" t="n">
        <v>0</v>
      </c>
      <c r="H778" s="32" t="n">
        <v>10</v>
      </c>
      <c r="I778" s="44" t="n">
        <v>70139900</v>
      </c>
      <c r="J778" s="45" t="n">
        <v>0.18</v>
      </c>
      <c r="K778" s="32">
        <f>D778*J778</f>
        <v/>
      </c>
      <c r="M778" s="32">
        <f>D778*4%</f>
        <v/>
      </c>
      <c r="N778" s="49">
        <f>M778+L778+K778+H778+G778+F778+E778+D778</f>
        <v/>
      </c>
      <c r="O778" s="32">
        <f>D778*1%</f>
        <v/>
      </c>
      <c r="P778" s="7">
        <f>N778*8%</f>
        <v/>
      </c>
      <c r="Q778" s="7">
        <f>N778*10%</f>
        <v/>
      </c>
      <c r="R778" s="7">
        <f>N778*5%</f>
        <v/>
      </c>
      <c r="S778" s="7">
        <f>N778*2%</f>
        <v/>
      </c>
      <c r="T778" s="7">
        <f>AE778*0.5%</f>
        <v/>
      </c>
      <c r="U778" s="7">
        <f>N778*1%</f>
        <v/>
      </c>
      <c r="V778" s="31">
        <f>U778+S778+R778+Q778+P778+O778</f>
        <v/>
      </c>
      <c r="W778" s="32">
        <f>AE778*1%</f>
        <v/>
      </c>
      <c r="X778" s="32">
        <f>AE778*10%</f>
        <v/>
      </c>
      <c r="Y778" s="32">
        <f>AE778*1%</f>
        <v/>
      </c>
      <c r="Z778" s="32">
        <f>AE778*8%</f>
        <v/>
      </c>
      <c r="AA778" s="32">
        <f>W778+X778+Y778+Z778</f>
        <v/>
      </c>
      <c r="AB778" s="31">
        <f>AA778+V778+N778</f>
        <v/>
      </c>
      <c r="AC778" s="6">
        <f>AB778*20%</f>
        <v/>
      </c>
      <c r="AD778" s="7">
        <f>AB778+AC778</f>
        <v/>
      </c>
      <c r="AE778" s="32">
        <f>D778*2.1</f>
        <v/>
      </c>
      <c r="AF778" s="7">
        <f>AD778-AE778</f>
        <v/>
      </c>
      <c r="AG778" s="7">
        <f>AF778/AD778*100</f>
        <v/>
      </c>
      <c r="AI778" s="33" t="n"/>
      <c r="AJ778" s="34">
        <f>AD778</f>
        <v/>
      </c>
      <c r="AK778" s="34">
        <f>AJ778-(AJ778*7%)</f>
        <v/>
      </c>
      <c r="AL778" s="35">
        <f>AJ778/94</f>
        <v/>
      </c>
      <c r="AM778" s="35">
        <f>AK778/94</f>
        <v/>
      </c>
      <c r="AN778" s="36">
        <f>AJ778/24</f>
        <v/>
      </c>
      <c r="AO778" s="36">
        <f>AK778/24</f>
        <v/>
      </c>
      <c r="AP778" s="37">
        <f>AJ778/125</f>
        <v/>
      </c>
      <c r="AQ778" s="37">
        <f>AK778/125</f>
        <v/>
      </c>
    </row>
    <row r="779" ht="15.75" customHeight="1" s="50">
      <c r="A779" s="32" t="n"/>
      <c r="B779" s="32" t="inlineStr">
        <is>
          <t>White / Long Firm-Small</t>
        </is>
      </c>
      <c r="D779" s="32" t="n">
        <v>100</v>
      </c>
      <c r="G779" s="32" t="n">
        <v>0</v>
      </c>
      <c r="H779" s="32" t="n">
        <v>10</v>
      </c>
      <c r="I779" s="44" t="n">
        <v>70139900</v>
      </c>
      <c r="J779" s="45" t="n">
        <v>0.18</v>
      </c>
      <c r="K779" s="32">
        <f>D779*J779</f>
        <v/>
      </c>
      <c r="M779" s="32">
        <f>D779*4%</f>
        <v/>
      </c>
      <c r="N779" s="49">
        <f>M779+L779+K779+H779+G779+F779+E779+D779</f>
        <v/>
      </c>
      <c r="O779" s="32">
        <f>D779*1%</f>
        <v/>
      </c>
      <c r="P779" s="7">
        <f>N779*8%</f>
        <v/>
      </c>
      <c r="Q779" s="7">
        <f>N779*10%</f>
        <v/>
      </c>
      <c r="R779" s="7">
        <f>N779*5%</f>
        <v/>
      </c>
      <c r="S779" s="7">
        <f>N779*2%</f>
        <v/>
      </c>
      <c r="T779" s="7">
        <f>AE779*0.5%</f>
        <v/>
      </c>
      <c r="U779" s="7">
        <f>N779*1%</f>
        <v/>
      </c>
      <c r="V779" s="31">
        <f>U779+S779+R779+Q779+P779+O779</f>
        <v/>
      </c>
      <c r="W779" s="32">
        <f>AE779*1%</f>
        <v/>
      </c>
      <c r="X779" s="32">
        <f>AE779*10%</f>
        <v/>
      </c>
      <c r="Y779" s="32">
        <f>AE779*1%</f>
        <v/>
      </c>
      <c r="Z779" s="32">
        <f>AE779*8%</f>
        <v/>
      </c>
      <c r="AA779" s="32">
        <f>W779+X779+Y779+Z779</f>
        <v/>
      </c>
      <c r="AB779" s="31">
        <f>AA779+V779+N779</f>
        <v/>
      </c>
      <c r="AC779" s="6">
        <f>AB779*20%</f>
        <v/>
      </c>
      <c r="AD779" s="7">
        <f>AB779+AC779</f>
        <v/>
      </c>
      <c r="AE779" s="32">
        <f>D779*2.1</f>
        <v/>
      </c>
      <c r="AF779" s="7">
        <f>AD779-AE779</f>
        <v/>
      </c>
      <c r="AG779" s="7">
        <f>AF779/AD779*100</f>
        <v/>
      </c>
      <c r="AI779" s="33" t="n"/>
      <c r="AJ779" s="34">
        <f>AD779</f>
        <v/>
      </c>
      <c r="AK779" s="34">
        <f>AJ779-(AJ779*7%)</f>
        <v/>
      </c>
      <c r="AL779" s="35">
        <f>AJ779/94</f>
        <v/>
      </c>
      <c r="AM779" s="35">
        <f>AK779/94</f>
        <v/>
      </c>
      <c r="AN779" s="36">
        <f>AJ779/24</f>
        <v/>
      </c>
      <c r="AO779" s="36">
        <f>AK779/24</f>
        <v/>
      </c>
      <c r="AP779" s="37">
        <f>AJ779/125</f>
        <v/>
      </c>
      <c r="AQ779" s="37">
        <f>AK779/125</f>
        <v/>
      </c>
    </row>
    <row r="780" ht="15.75" customHeight="1" s="50">
      <c r="A780" s="32" t="n"/>
      <c r="B780" s="32" t="inlineStr">
        <is>
          <t>White / Long Firm-Standard</t>
        </is>
      </c>
      <c r="D780" s="32" t="n">
        <v>100</v>
      </c>
      <c r="G780" s="32" t="n">
        <v>0</v>
      </c>
      <c r="H780" s="32" t="n">
        <v>10</v>
      </c>
      <c r="I780" s="44" t="n">
        <v>70139900</v>
      </c>
      <c r="J780" s="45" t="n">
        <v>0.18</v>
      </c>
      <c r="K780" s="32">
        <f>D780*J780</f>
        <v/>
      </c>
      <c r="M780" s="32">
        <f>D780*4%</f>
        <v/>
      </c>
      <c r="N780" s="49">
        <f>M780+L780+K780+H780+G780+F780+E780+D780</f>
        <v/>
      </c>
      <c r="O780" s="32">
        <f>D780*1%</f>
        <v/>
      </c>
      <c r="P780" s="7">
        <f>N780*8%</f>
        <v/>
      </c>
      <c r="Q780" s="7">
        <f>N780*10%</f>
        <v/>
      </c>
      <c r="R780" s="7">
        <f>N780*5%</f>
        <v/>
      </c>
      <c r="S780" s="7">
        <f>N780*2%</f>
        <v/>
      </c>
      <c r="T780" s="7">
        <f>AE780*0.5%</f>
        <v/>
      </c>
      <c r="U780" s="7">
        <f>N780*1%</f>
        <v/>
      </c>
      <c r="V780" s="31">
        <f>U780+S780+R780+Q780+P780+O780</f>
        <v/>
      </c>
      <c r="W780" s="32">
        <f>AE780*1%</f>
        <v/>
      </c>
      <c r="X780" s="32">
        <f>AE780*10%</f>
        <v/>
      </c>
      <c r="Y780" s="32">
        <f>AE780*1%</f>
        <v/>
      </c>
      <c r="Z780" s="32">
        <f>AE780*8%</f>
        <v/>
      </c>
      <c r="AA780" s="32">
        <f>W780+X780+Y780+Z780</f>
        <v/>
      </c>
      <c r="AB780" s="31">
        <f>AA780+V780+N780</f>
        <v/>
      </c>
      <c r="AC780" s="6">
        <f>AB780*20%</f>
        <v/>
      </c>
      <c r="AD780" s="7">
        <f>AB780+AC780</f>
        <v/>
      </c>
      <c r="AE780" s="32">
        <f>D780*2.1</f>
        <v/>
      </c>
      <c r="AF780" s="7">
        <f>AD780-AE780</f>
        <v/>
      </c>
      <c r="AG780" s="7">
        <f>AF780/AD780*100</f>
        <v/>
      </c>
      <c r="AI780" s="33" t="n"/>
      <c r="AJ780" s="34">
        <f>AD780</f>
        <v/>
      </c>
      <c r="AK780" s="34">
        <f>AJ780-(AJ780*7%)</f>
        <v/>
      </c>
      <c r="AL780" s="35">
        <f>AJ780/94</f>
        <v/>
      </c>
      <c r="AM780" s="35">
        <f>AK780/94</f>
        <v/>
      </c>
      <c r="AN780" s="36">
        <f>AJ780/24</f>
        <v/>
      </c>
      <c r="AO780" s="36">
        <f>AK780/24</f>
        <v/>
      </c>
      <c r="AP780" s="37">
        <f>AJ780/125</f>
        <v/>
      </c>
      <c r="AQ780" s="37">
        <f>AK780/125</f>
        <v/>
      </c>
    </row>
    <row r="781" ht="15" customHeight="1" s="50">
      <c r="A781" s="32" t="inlineStr">
        <is>
          <t>Wooden Maracas Shakers | Plain &amp; Dot Painted</t>
        </is>
      </c>
      <c r="B781" s="32" t="inlineStr">
        <is>
          <t>Plain</t>
        </is>
      </c>
      <c r="G781" s="32" t="n">
        <v>0</v>
      </c>
      <c r="H781" s="32" t="n">
        <v>10</v>
      </c>
      <c r="I781" s="41" t="n">
        <v>44201900</v>
      </c>
      <c r="J781" s="30" t="n">
        <v>0.05</v>
      </c>
      <c r="K781" s="32">
        <f>D781*J781</f>
        <v/>
      </c>
      <c r="M781" s="32">
        <f>D781*4%</f>
        <v/>
      </c>
      <c r="N781" s="49">
        <f>M781+L781+K781+H781+G781+F781+E781+D781</f>
        <v/>
      </c>
      <c r="O781" s="32">
        <f>D781*1%</f>
        <v/>
      </c>
      <c r="P781" s="7">
        <f>N781*8%</f>
        <v/>
      </c>
      <c r="Q781" s="7">
        <f>N781*10%</f>
        <v/>
      </c>
      <c r="R781" s="7">
        <f>N781*5%</f>
        <v/>
      </c>
      <c r="S781" s="7">
        <f>N781*2%</f>
        <v/>
      </c>
      <c r="T781" s="7">
        <f>AE781*0.5%</f>
        <v/>
      </c>
      <c r="U781" s="7">
        <f>N781*1%</f>
        <v/>
      </c>
      <c r="V781" s="31">
        <f>U781+S781+R781+Q781+P781+O781</f>
        <v/>
      </c>
      <c r="W781" s="32">
        <f>AE781*1%</f>
        <v/>
      </c>
      <c r="X781" s="32">
        <f>AE781*10%</f>
        <v/>
      </c>
      <c r="Y781" s="32">
        <f>AE781*1%</f>
        <v/>
      </c>
      <c r="Z781" s="32">
        <f>AE781*8%</f>
        <v/>
      </c>
      <c r="AA781" s="32">
        <f>W781+X781+Y781+Z781</f>
        <v/>
      </c>
      <c r="AB781" s="31">
        <f>AA781+V781+N781</f>
        <v/>
      </c>
      <c r="AC781" s="6">
        <f>AB781*20%</f>
        <v/>
      </c>
      <c r="AD781" s="7">
        <f>AB781+AC781</f>
        <v/>
      </c>
      <c r="AE781" s="32">
        <f>D781*2.1</f>
        <v/>
      </c>
      <c r="AF781" s="7">
        <f>AD781-AE781</f>
        <v/>
      </c>
      <c r="AG781" s="7">
        <f>AF781/AD781*100</f>
        <v/>
      </c>
      <c r="AI781" s="33" t="n"/>
      <c r="AJ781" s="34">
        <f>AD781</f>
        <v/>
      </c>
      <c r="AK781" s="34">
        <f>AJ781-(AJ781*7%)</f>
        <v/>
      </c>
      <c r="AL781" s="35">
        <f>AJ781/94</f>
        <v/>
      </c>
      <c r="AM781" s="35">
        <f>AK781/94</f>
        <v/>
      </c>
      <c r="AN781" s="36">
        <f>AJ781/24</f>
        <v/>
      </c>
      <c r="AO781" s="36">
        <f>AK781/24</f>
        <v/>
      </c>
      <c r="AP781" s="37">
        <f>AJ781/125</f>
        <v/>
      </c>
      <c r="AQ781" s="37">
        <f>AK781/125</f>
        <v/>
      </c>
    </row>
    <row r="782" ht="15.75" customHeight="1" s="50">
      <c r="A782" s="32" t="n"/>
      <c r="B782" s="32" t="inlineStr">
        <is>
          <t>Dot Painted</t>
        </is>
      </c>
      <c r="G782" s="32" t="n">
        <v>0</v>
      </c>
      <c r="H782" s="32" t="n">
        <v>10</v>
      </c>
      <c r="I782" s="41" t="n">
        <v>44201900</v>
      </c>
      <c r="J782" s="30" t="n">
        <v>0.05</v>
      </c>
      <c r="K782" s="32">
        <f>D782*J782</f>
        <v/>
      </c>
      <c r="M782" s="32">
        <f>D782*4%</f>
        <v/>
      </c>
      <c r="N782" s="49">
        <f>M782+L782+K782+H782+G782+F782+E782+D782</f>
        <v/>
      </c>
      <c r="O782" s="32">
        <f>D782*1%</f>
        <v/>
      </c>
      <c r="P782" s="7">
        <f>N782*8%</f>
        <v/>
      </c>
      <c r="Q782" s="7">
        <f>N782*10%</f>
        <v/>
      </c>
      <c r="R782" s="7">
        <f>N782*5%</f>
        <v/>
      </c>
      <c r="S782" s="7">
        <f>N782*2%</f>
        <v/>
      </c>
      <c r="T782" s="7">
        <f>AE782*0.5%</f>
        <v/>
      </c>
      <c r="U782" s="7">
        <f>N782*1%</f>
        <v/>
      </c>
      <c r="V782" s="31">
        <f>U782+S782+R782+Q782+P782+O782</f>
        <v/>
      </c>
      <c r="W782" s="32">
        <f>AE782*1%</f>
        <v/>
      </c>
      <c r="X782" s="32">
        <f>AE782*10%</f>
        <v/>
      </c>
      <c r="Y782" s="32">
        <f>AE782*1%</f>
        <v/>
      </c>
      <c r="Z782" s="32">
        <f>AE782*8%</f>
        <v/>
      </c>
      <c r="AA782" s="32">
        <f>W782+X782+Y782+Z782</f>
        <v/>
      </c>
      <c r="AB782" s="31">
        <f>AA782+V782+N782</f>
        <v/>
      </c>
      <c r="AC782" s="6">
        <f>AB782*20%</f>
        <v/>
      </c>
      <c r="AD782" s="7">
        <f>AB782+AC782</f>
        <v/>
      </c>
      <c r="AE782" s="32">
        <f>D782*2.1</f>
        <v/>
      </c>
      <c r="AF782" s="7">
        <f>AD782-AE782</f>
        <v/>
      </c>
      <c r="AG782" s="7">
        <f>AF782/AD782*100</f>
        <v/>
      </c>
      <c r="AI782" s="33" t="n"/>
      <c r="AJ782" s="34">
        <f>AD782</f>
        <v/>
      </c>
      <c r="AK782" s="34">
        <f>AJ782-(AJ782*7%)</f>
        <v/>
      </c>
      <c r="AL782" s="35">
        <f>AJ782/94</f>
        <v/>
      </c>
      <c r="AM782" s="35">
        <f>AK782/94</f>
        <v/>
      </c>
      <c r="AN782" s="36">
        <f>AJ782/24</f>
        <v/>
      </c>
      <c r="AO782" s="36">
        <f>AK782/24</f>
        <v/>
      </c>
      <c r="AP782" s="37">
        <f>AJ782/125</f>
        <v/>
      </c>
      <c r="AQ782" s="37">
        <f>AK782/125</f>
        <v/>
      </c>
    </row>
    <row r="783" ht="15" customHeight="1" s="50">
      <c r="A783" s="32" t="inlineStr">
        <is>
          <t>Wooden Stand for Tuning Forks</t>
        </is>
      </c>
      <c r="B783" s="32" t="inlineStr">
        <is>
          <t>Three</t>
        </is>
      </c>
      <c r="G783" s="32" t="n">
        <v>0</v>
      </c>
      <c r="H783" s="32" t="n">
        <v>10</v>
      </c>
      <c r="I783" s="41" t="n">
        <v>9023</v>
      </c>
      <c r="J783" s="30" t="n">
        <v>0.18</v>
      </c>
      <c r="K783" s="32">
        <f>D783*J788</f>
        <v/>
      </c>
      <c r="M783" s="32">
        <f>D783*4%</f>
        <v/>
      </c>
      <c r="N783" s="49">
        <f>M783+L783+K783+H783+G783+F783+E783+D783</f>
        <v/>
      </c>
      <c r="O783" s="32">
        <f>D783*1%</f>
        <v/>
      </c>
      <c r="P783" s="7">
        <f>N783*8%</f>
        <v/>
      </c>
      <c r="Q783" s="7">
        <f>N783*10%</f>
        <v/>
      </c>
      <c r="R783" s="7">
        <f>N783*5%</f>
        <v/>
      </c>
      <c r="S783" s="7">
        <f>N783*2%</f>
        <v/>
      </c>
      <c r="T783" s="7">
        <f>AE783*0.5%</f>
        <v/>
      </c>
      <c r="U783" s="7">
        <f>N783*1%</f>
        <v/>
      </c>
      <c r="V783" s="31">
        <f>U783+S783+R783+Q783+P783+O783</f>
        <v/>
      </c>
      <c r="W783" s="32">
        <f>AE783*1%</f>
        <v/>
      </c>
      <c r="X783" s="32">
        <f>AE783*10%</f>
        <v/>
      </c>
      <c r="Y783" s="32">
        <f>AE783*1%</f>
        <v/>
      </c>
      <c r="Z783" s="32">
        <f>AE783*8%</f>
        <v/>
      </c>
      <c r="AA783" s="32">
        <f>W783+X783+Y783+Z783</f>
        <v/>
      </c>
      <c r="AB783" s="31">
        <f>AA783+V783+N783</f>
        <v/>
      </c>
      <c r="AC783" s="6">
        <f>AB783*20%</f>
        <v/>
      </c>
      <c r="AD783" s="7">
        <f>AB783+AC783</f>
        <v/>
      </c>
      <c r="AE783" s="32">
        <f>D783*2.1</f>
        <v/>
      </c>
      <c r="AF783" s="7">
        <f>AD783-AE783</f>
        <v/>
      </c>
      <c r="AG783" s="7">
        <f>AF783/AD783*100</f>
        <v/>
      </c>
      <c r="AI783" s="33" t="n"/>
      <c r="AJ783" s="34">
        <f>AD783</f>
        <v/>
      </c>
      <c r="AK783" s="34">
        <f>AJ783-(AJ783*7%)</f>
        <v/>
      </c>
      <c r="AL783" s="35">
        <f>AJ783/94</f>
        <v/>
      </c>
      <c r="AM783" s="35">
        <f>AK783/94</f>
        <v/>
      </c>
      <c r="AN783" s="36">
        <f>AJ783/24</f>
        <v/>
      </c>
      <c r="AO783" s="36">
        <f>AK783/24</f>
        <v/>
      </c>
      <c r="AP783" s="37">
        <f>AJ783/125</f>
        <v/>
      </c>
      <c r="AQ783" s="37">
        <f>AK783/125</f>
        <v/>
      </c>
    </row>
    <row r="784" ht="15.75" customHeight="1" s="50">
      <c r="A784" s="32" t="n"/>
      <c r="B784" s="32" t="inlineStr">
        <is>
          <t>Five</t>
        </is>
      </c>
      <c r="G784" s="32" t="n">
        <v>0</v>
      </c>
      <c r="H784" s="32" t="n">
        <v>10</v>
      </c>
      <c r="I784" s="41" t="n">
        <v>9023</v>
      </c>
      <c r="J784" s="30" t="n">
        <v>0.18</v>
      </c>
      <c r="K784" s="32">
        <f>D784*J784</f>
        <v/>
      </c>
      <c r="M784" s="32">
        <f>D784*4%</f>
        <v/>
      </c>
      <c r="N784" s="49">
        <f>M784+L784+K784+H784+G784+F784+E784+D784</f>
        <v/>
      </c>
      <c r="O784" s="32">
        <f>D784*1%</f>
        <v/>
      </c>
      <c r="P784" s="7">
        <f>N784*8%</f>
        <v/>
      </c>
      <c r="Q784" s="7">
        <f>N784*10%</f>
        <v/>
      </c>
      <c r="R784" s="7">
        <f>N784*5%</f>
        <v/>
      </c>
      <c r="S784" s="7">
        <f>N784*2%</f>
        <v/>
      </c>
      <c r="T784" s="7">
        <f>AE784*0.5%</f>
        <v/>
      </c>
      <c r="U784" s="7">
        <f>N784*1%</f>
        <v/>
      </c>
      <c r="V784" s="31">
        <f>U784+S784+R784+Q784+P784+O784</f>
        <v/>
      </c>
      <c r="W784" s="32">
        <f>AE784*1%</f>
        <v/>
      </c>
      <c r="X784" s="32">
        <f>AE784*10%</f>
        <v/>
      </c>
      <c r="Y784" s="32">
        <f>AE784*1%</f>
        <v/>
      </c>
      <c r="Z784" s="32">
        <f>AE784*8%</f>
        <v/>
      </c>
      <c r="AA784" s="32">
        <f>W784+X784+Y784+Z784</f>
        <v/>
      </c>
      <c r="AB784" s="31">
        <f>AA784+V784+N784</f>
        <v/>
      </c>
      <c r="AC784" s="6">
        <f>AB784*20%</f>
        <v/>
      </c>
      <c r="AD784" s="7">
        <f>AB784+AC784</f>
        <v/>
      </c>
      <c r="AE784" s="32">
        <f>D784*2.1</f>
        <v/>
      </c>
      <c r="AF784" s="7">
        <f>AD784-AE784</f>
        <v/>
      </c>
      <c r="AG784" s="7">
        <f>AF784/AD784*100</f>
        <v/>
      </c>
      <c r="AI784" s="33" t="n"/>
      <c r="AJ784" s="34">
        <f>AD784</f>
        <v/>
      </c>
      <c r="AK784" s="34">
        <f>AJ784-(AJ784*7%)</f>
        <v/>
      </c>
      <c r="AL784" s="35">
        <f>AJ784/94</f>
        <v/>
      </c>
      <c r="AM784" s="35">
        <f>AK784/94</f>
        <v/>
      </c>
      <c r="AN784" s="36">
        <f>AJ784/24</f>
        <v/>
      </c>
      <c r="AO784" s="36">
        <f>AK784/24</f>
        <v/>
      </c>
      <c r="AP784" s="37">
        <f>AJ784/125</f>
        <v/>
      </c>
      <c r="AQ784" s="37">
        <f>AK784/125</f>
        <v/>
      </c>
    </row>
    <row r="785" ht="15.75" customHeight="1" s="50">
      <c r="A785" s="32" t="n"/>
      <c r="B785" s="32" t="inlineStr">
        <is>
          <t>Seven</t>
        </is>
      </c>
      <c r="G785" s="32" t="n">
        <v>0</v>
      </c>
      <c r="H785" s="32" t="n">
        <v>10</v>
      </c>
      <c r="I785" s="41" t="n">
        <v>9023</v>
      </c>
      <c r="J785" s="30" t="n">
        <v>0.18</v>
      </c>
      <c r="K785" s="32">
        <f>D785*J785</f>
        <v/>
      </c>
      <c r="M785" s="32">
        <f>D785*4%</f>
        <v/>
      </c>
      <c r="N785" s="49">
        <f>M785+L785+K785+H785+G785+F785+E785+D785</f>
        <v/>
      </c>
      <c r="O785" s="32">
        <f>D785*1%</f>
        <v/>
      </c>
      <c r="P785" s="7">
        <f>N785*8%</f>
        <v/>
      </c>
      <c r="Q785" s="7">
        <f>N785*10%</f>
        <v/>
      </c>
      <c r="R785" s="7">
        <f>N785*5%</f>
        <v/>
      </c>
      <c r="S785" s="7">
        <f>N785*2%</f>
        <v/>
      </c>
      <c r="T785" s="7">
        <f>AE785*0.5%</f>
        <v/>
      </c>
      <c r="U785" s="7">
        <f>N785*1%</f>
        <v/>
      </c>
      <c r="V785" s="31">
        <f>U785+S785+R785+Q785+P785+O785</f>
        <v/>
      </c>
      <c r="W785" s="32">
        <f>AE785*1%</f>
        <v/>
      </c>
      <c r="X785" s="32">
        <f>AE785*10%</f>
        <v/>
      </c>
      <c r="Y785" s="32">
        <f>AE785*1%</f>
        <v/>
      </c>
      <c r="Z785" s="32">
        <f>AE785*8%</f>
        <v/>
      </c>
      <c r="AA785" s="32">
        <f>W785+X785+Y785+Z785</f>
        <v/>
      </c>
      <c r="AB785" s="31">
        <f>AA785+V785+N785</f>
        <v/>
      </c>
      <c r="AC785" s="6">
        <f>AB785*20%</f>
        <v/>
      </c>
      <c r="AD785" s="7">
        <f>AB785+AC785</f>
        <v/>
      </c>
      <c r="AE785" s="32">
        <f>D785*2.1</f>
        <v/>
      </c>
      <c r="AF785" s="7">
        <f>AD785-AE785</f>
        <v/>
      </c>
      <c r="AG785" s="7">
        <f>AF785/AD785*100</f>
        <v/>
      </c>
      <c r="AI785" s="33" t="n"/>
      <c r="AJ785" s="34">
        <f>AD785</f>
        <v/>
      </c>
      <c r="AK785" s="34">
        <f>AJ785-(AJ785*7%)</f>
        <v/>
      </c>
      <c r="AL785" s="35">
        <f>AJ785/94</f>
        <v/>
      </c>
      <c r="AM785" s="35">
        <f>AK785/94</f>
        <v/>
      </c>
      <c r="AN785" s="36">
        <f>AJ785/24</f>
        <v/>
      </c>
      <c r="AO785" s="36">
        <f>AK785/24</f>
        <v/>
      </c>
      <c r="AP785" s="37">
        <f>AJ785/125</f>
        <v/>
      </c>
      <c r="AQ785" s="37">
        <f>AK785/125</f>
        <v/>
      </c>
    </row>
    <row r="786" ht="15.75" customHeight="1" s="50">
      <c r="A786" s="32" t="n"/>
      <c r="B786" s="32" t="inlineStr">
        <is>
          <t>Nine</t>
        </is>
      </c>
      <c r="D786" s="32" t="n">
        <v>75</v>
      </c>
      <c r="G786" s="32" t="n">
        <v>0</v>
      </c>
      <c r="H786" s="32" t="n">
        <v>10</v>
      </c>
      <c r="I786" s="41" t="n">
        <v>9023</v>
      </c>
      <c r="J786" s="30" t="n">
        <v>0.18</v>
      </c>
      <c r="K786" s="32">
        <f>D786*J786</f>
        <v/>
      </c>
      <c r="M786" s="32">
        <f>D786*4%</f>
        <v/>
      </c>
      <c r="N786" s="49">
        <f>M786+L786+K786+H786+G786+F786+E786+D786</f>
        <v/>
      </c>
      <c r="O786" s="32">
        <f>D786*1%</f>
        <v/>
      </c>
      <c r="P786" s="7">
        <f>N786*8%</f>
        <v/>
      </c>
      <c r="Q786" s="7">
        <f>N786*10%</f>
        <v/>
      </c>
      <c r="R786" s="7">
        <f>N786*5%</f>
        <v/>
      </c>
      <c r="S786" s="7">
        <f>N786*2%</f>
        <v/>
      </c>
      <c r="T786" s="7">
        <f>AE786*0.5%</f>
        <v/>
      </c>
      <c r="U786" s="7">
        <f>N786*1%</f>
        <v/>
      </c>
      <c r="V786" s="31">
        <f>U786+S786+R786+Q786+P786+O786</f>
        <v/>
      </c>
      <c r="W786" s="32">
        <f>AE786*1%</f>
        <v/>
      </c>
      <c r="X786" s="32">
        <f>AE786*10%</f>
        <v/>
      </c>
      <c r="Y786" s="32">
        <f>AE786*1%</f>
        <v/>
      </c>
      <c r="Z786" s="32">
        <f>AE786*8%</f>
        <v/>
      </c>
      <c r="AA786" s="32">
        <f>W786+X786+Y786+Z786</f>
        <v/>
      </c>
      <c r="AB786" s="31">
        <f>AA786+V786+N786</f>
        <v/>
      </c>
      <c r="AC786" s="6">
        <f>AB786*20%</f>
        <v/>
      </c>
      <c r="AD786" s="7">
        <f>AB786+AC786</f>
        <v/>
      </c>
      <c r="AE786" s="32">
        <f>D786*2.1</f>
        <v/>
      </c>
      <c r="AF786" s="7">
        <f>AD786-AE786</f>
        <v/>
      </c>
      <c r="AG786" s="7">
        <f>AF786/AD786*100</f>
        <v/>
      </c>
      <c r="AI786" s="33" t="n"/>
      <c r="AJ786" s="34">
        <f>AD786</f>
        <v/>
      </c>
      <c r="AK786" s="34">
        <f>AJ786-(AJ786*7%)</f>
        <v/>
      </c>
      <c r="AL786" s="35">
        <f>AJ786/94</f>
        <v/>
      </c>
      <c r="AM786" s="35">
        <f>AK786/94</f>
        <v/>
      </c>
      <c r="AN786" s="36">
        <f>AJ786/24</f>
        <v/>
      </c>
      <c r="AO786" s="36">
        <f>AK786/24</f>
        <v/>
      </c>
      <c r="AP786" s="37">
        <f>AJ786/125</f>
        <v/>
      </c>
      <c r="AQ786" s="37">
        <f>AK786/125</f>
        <v/>
      </c>
    </row>
    <row r="787" ht="15" customHeight="1" s="50">
      <c r="A787" s="32" t="inlineStr">
        <is>
          <t>Wooden Tambourines</t>
        </is>
      </c>
      <c r="B787" s="32" t="inlineStr">
        <is>
          <t>Half-Moon</t>
        </is>
      </c>
      <c r="G787" s="32" t="n">
        <v>0</v>
      </c>
      <c r="H787" s="32" t="n">
        <v>10</v>
      </c>
      <c r="I787" s="41" t="n">
        <v>46021100</v>
      </c>
      <c r="J787" s="30" t="n">
        <v>0.05</v>
      </c>
      <c r="K787" s="32">
        <f>D787*J787</f>
        <v/>
      </c>
      <c r="M787" s="32">
        <f>D787*4%</f>
        <v/>
      </c>
      <c r="N787" s="49">
        <f>M787+L787+K787+H787+G787+F787+E787+D787</f>
        <v/>
      </c>
      <c r="O787" s="32">
        <f>D787*1%</f>
        <v/>
      </c>
      <c r="P787" s="7">
        <f>N787*8%</f>
        <v/>
      </c>
      <c r="Q787" s="7">
        <f>N787*10%</f>
        <v/>
      </c>
      <c r="R787" s="7">
        <f>N787*5%</f>
        <v/>
      </c>
      <c r="S787" s="7">
        <f>N787*2%</f>
        <v/>
      </c>
      <c r="T787" s="7">
        <f>AE787*0.5%</f>
        <v/>
      </c>
      <c r="U787" s="7">
        <f>N787*1%</f>
        <v/>
      </c>
      <c r="V787" s="31">
        <f>U787+S787+R787+Q787+P787+O787</f>
        <v/>
      </c>
      <c r="W787" s="32">
        <f>AE787*1%</f>
        <v/>
      </c>
      <c r="X787" s="32">
        <f>AE787*10%</f>
        <v/>
      </c>
      <c r="Y787" s="32">
        <f>AE787*1%</f>
        <v/>
      </c>
      <c r="Z787" s="32">
        <f>AE787*8%</f>
        <v/>
      </c>
      <c r="AA787" s="32">
        <f>W787+X787+Y787+Z787</f>
        <v/>
      </c>
      <c r="AB787" s="31">
        <f>AA787+V787+N787</f>
        <v/>
      </c>
      <c r="AC787" s="6">
        <f>AB787*20%</f>
        <v/>
      </c>
      <c r="AD787" s="7">
        <f>AB787+AC787</f>
        <v/>
      </c>
      <c r="AE787" s="32">
        <f>D787*2.1</f>
        <v/>
      </c>
      <c r="AF787" s="7">
        <f>AD787-AE787</f>
        <v/>
      </c>
      <c r="AG787" s="7">
        <f>AF787/AD787*100</f>
        <v/>
      </c>
      <c r="AI787" s="33" t="n"/>
      <c r="AJ787" s="34">
        <f>AD787</f>
        <v/>
      </c>
      <c r="AK787" s="34">
        <f>AJ787-(AJ787*7%)</f>
        <v/>
      </c>
      <c r="AL787" s="35">
        <f>AJ787/94</f>
        <v/>
      </c>
      <c r="AM787" s="35">
        <f>AK787/94</f>
        <v/>
      </c>
      <c r="AN787" s="36">
        <f>AJ787/24</f>
        <v/>
      </c>
      <c r="AO787" s="36">
        <f>AK787/24</f>
        <v/>
      </c>
      <c r="AP787" s="37">
        <f>AJ787/125</f>
        <v/>
      </c>
      <c r="AQ787" s="37">
        <f>AK787/125</f>
        <v/>
      </c>
    </row>
    <row r="788" ht="15.75" customHeight="1" s="50">
      <c r="A788" s="32" t="n"/>
      <c r="B788" s="32" t="inlineStr">
        <is>
          <t>Circular</t>
        </is>
      </c>
      <c r="G788" s="32" t="n">
        <v>0</v>
      </c>
      <c r="H788" s="32" t="n">
        <v>10</v>
      </c>
      <c r="I788" s="41" t="n">
        <v>46021100</v>
      </c>
      <c r="J788" s="30" t="n">
        <v>0.05</v>
      </c>
      <c r="K788" s="32">
        <f>D788*#REF!</f>
        <v/>
      </c>
      <c r="M788" s="32">
        <f>D788*4%</f>
        <v/>
      </c>
      <c r="N788" s="49">
        <f>M788+L788+K788+H788+G788+F788+E788+D788</f>
        <v/>
      </c>
      <c r="O788" s="32">
        <f>D788*1%</f>
        <v/>
      </c>
      <c r="P788" s="7">
        <f>N788*8%</f>
        <v/>
      </c>
      <c r="Q788" s="7">
        <f>N788*10%</f>
        <v/>
      </c>
      <c r="R788" s="7">
        <f>N788*5%</f>
        <v/>
      </c>
      <c r="S788" s="7">
        <f>N788*2%</f>
        <v/>
      </c>
      <c r="T788" s="7">
        <f>AE788*0.5%</f>
        <v/>
      </c>
      <c r="U788" s="7">
        <f>N788*1%</f>
        <v/>
      </c>
      <c r="V788" s="49">
        <f>U788+S788+R788+Q788+P788+O788</f>
        <v/>
      </c>
      <c r="W788" s="32">
        <f>AE788*1%</f>
        <v/>
      </c>
      <c r="X788" s="32">
        <f>AE788*10%</f>
        <v/>
      </c>
      <c r="Y788" s="32">
        <f>AE788*1%</f>
        <v/>
      </c>
      <c r="Z788" s="32">
        <f>AE788*8%</f>
        <v/>
      </c>
      <c r="AA788" s="32">
        <f>W788+X788+Y788+Z788</f>
        <v/>
      </c>
      <c r="AB788" s="31">
        <f>AA788+V788+N788</f>
        <v/>
      </c>
      <c r="AC788" s="6">
        <f>AB788*20%</f>
        <v/>
      </c>
      <c r="AD788" s="32">
        <f>AB788+AC788</f>
        <v/>
      </c>
      <c r="AE788" s="32">
        <f>D788*2.1</f>
        <v/>
      </c>
      <c r="AF788" s="7">
        <f>AD788-AE788</f>
        <v/>
      </c>
      <c r="AG788" s="7">
        <f>AF788/AD788*100</f>
        <v/>
      </c>
      <c r="AI788" s="33" t="n"/>
      <c r="AJ788" s="34">
        <f>AD788</f>
        <v/>
      </c>
      <c r="AK788" s="34">
        <f>AJ788-(AJ788*7%)</f>
        <v/>
      </c>
      <c r="AL788" s="35">
        <f>AJ788/94</f>
        <v/>
      </c>
      <c r="AM788" s="35">
        <f>AK788/94</f>
        <v/>
      </c>
      <c r="AN788" s="36">
        <f>AJ788/24</f>
        <v/>
      </c>
      <c r="AO788" s="36">
        <f>AK788/24</f>
        <v/>
      </c>
      <c r="AP788" s="37">
        <f>AJ788/125</f>
        <v/>
      </c>
      <c r="AQ788" s="37">
        <f>AK788/125</f>
        <v/>
      </c>
    </row>
    <row r="789" ht="15" customHeight="1" s="50">
      <c r="A789" s="32" t="inlineStr">
        <is>
          <t>Yoga Belt/Strap for Sturdy Grip</t>
        </is>
      </c>
      <c r="B789" s="32" t="inlineStr">
        <is>
          <t>Sky Blue</t>
        </is>
      </c>
      <c r="C789" s="32" t="inlineStr">
        <is>
          <t>Yo-BL-D-SB</t>
        </is>
      </c>
      <c r="D789" s="32" t="n">
        <v>145</v>
      </c>
      <c r="G789" s="32" t="n">
        <v>0</v>
      </c>
      <c r="H789" s="32" t="n">
        <v>10</v>
      </c>
      <c r="I789" s="41" t="n">
        <v>94041000</v>
      </c>
      <c r="J789" s="30" t="n">
        <v>0.18</v>
      </c>
      <c r="K789" s="32">
        <f>D789*J789</f>
        <v/>
      </c>
      <c r="M789" s="32">
        <f>D789*4%</f>
        <v/>
      </c>
      <c r="N789" s="49">
        <f>M789+L789+K789+H789+G789+F789+E789+D789</f>
        <v/>
      </c>
      <c r="O789" s="32">
        <f>D789*1%</f>
        <v/>
      </c>
      <c r="P789" s="7">
        <f>N789*8%</f>
        <v/>
      </c>
      <c r="Q789" s="7">
        <f>N789*10%</f>
        <v/>
      </c>
      <c r="R789" s="7">
        <f>N789*5%</f>
        <v/>
      </c>
      <c r="S789" s="7">
        <f>N789*2%</f>
        <v/>
      </c>
      <c r="T789" s="7">
        <f>AE789*0.5%</f>
        <v/>
      </c>
      <c r="U789" s="7">
        <f>N789*1%</f>
        <v/>
      </c>
      <c r="V789" s="31">
        <f>U789+S789+R789+Q789+P789+O789</f>
        <v/>
      </c>
      <c r="W789" s="32">
        <f>AE789*1%</f>
        <v/>
      </c>
      <c r="X789" s="32">
        <f>AE789*10%</f>
        <v/>
      </c>
      <c r="Y789" s="32">
        <f>AE789*1%</f>
        <v/>
      </c>
      <c r="Z789" s="32">
        <f>AE789*8%</f>
        <v/>
      </c>
      <c r="AA789" s="32">
        <f>W789+X789+Y789+Z789</f>
        <v/>
      </c>
      <c r="AB789" s="31">
        <f>AA789+V789+N789</f>
        <v/>
      </c>
      <c r="AC789" s="6">
        <f>AB789*20%</f>
        <v/>
      </c>
      <c r="AD789" s="7">
        <f>AB789+AC789</f>
        <v/>
      </c>
      <c r="AE789" s="32">
        <f>D789*2.1</f>
        <v/>
      </c>
      <c r="AF789" s="7">
        <f>AD789-AE789</f>
        <v/>
      </c>
      <c r="AG789" s="7">
        <f>AF789/AD789*100</f>
        <v/>
      </c>
      <c r="AH789" s="0" t="n">
        <v>345</v>
      </c>
      <c r="AI789" s="33" t="n">
        <v>200</v>
      </c>
      <c r="AJ789" s="34">
        <f>AD789</f>
        <v/>
      </c>
      <c r="AK789" s="34">
        <f>AJ789-(AJ789*7%)</f>
        <v/>
      </c>
      <c r="AL789" s="35">
        <f>AJ789/94</f>
        <v/>
      </c>
      <c r="AM789" s="35">
        <f>AK789/94</f>
        <v/>
      </c>
      <c r="AN789" s="36">
        <f>AJ789/24</f>
        <v/>
      </c>
      <c r="AO789" s="36">
        <f>AK789/24</f>
        <v/>
      </c>
      <c r="AP789" s="37">
        <f>AJ789/125</f>
        <v/>
      </c>
      <c r="AQ789" s="37">
        <f>AK789/125</f>
        <v/>
      </c>
    </row>
    <row r="790" ht="15.75" customHeight="1" s="50">
      <c r="A790" s="32" t="n"/>
      <c r="B790" s="32" t="inlineStr">
        <is>
          <t>Beige</t>
        </is>
      </c>
      <c r="C790" s="32" t="inlineStr">
        <is>
          <t>Yo-BL-D-BE</t>
        </is>
      </c>
      <c r="D790" s="32" t="n">
        <v>145</v>
      </c>
      <c r="G790" s="32" t="n">
        <v>0</v>
      </c>
      <c r="H790" s="32" t="n">
        <v>10</v>
      </c>
      <c r="I790" s="41" t="n">
        <v>94041000</v>
      </c>
      <c r="J790" s="30" t="n">
        <v>0.18</v>
      </c>
      <c r="K790" s="32">
        <f>D790*J790</f>
        <v/>
      </c>
      <c r="M790" s="32">
        <f>D790*4%</f>
        <v/>
      </c>
      <c r="N790" s="49">
        <f>M790+L790+K790+H790+G790+F790+E790+D790</f>
        <v/>
      </c>
      <c r="O790" s="32">
        <f>D790*1%</f>
        <v/>
      </c>
      <c r="P790" s="7">
        <f>N790*8%</f>
        <v/>
      </c>
      <c r="Q790" s="7">
        <f>N790*10%</f>
        <v/>
      </c>
      <c r="R790" s="7">
        <f>N790*5%</f>
        <v/>
      </c>
      <c r="S790" s="7">
        <f>N790*2%</f>
        <v/>
      </c>
      <c r="T790" s="7">
        <f>AE790*0.5%</f>
        <v/>
      </c>
      <c r="U790" s="7">
        <f>N790*1%</f>
        <v/>
      </c>
      <c r="V790" s="31">
        <f>U790+S790+R790+Q790+P790+O790</f>
        <v/>
      </c>
      <c r="W790" s="32">
        <f>AE790*1%</f>
        <v/>
      </c>
      <c r="X790" s="32">
        <f>AE790*10%</f>
        <v/>
      </c>
      <c r="Y790" s="32">
        <f>AE790*1%</f>
        <v/>
      </c>
      <c r="Z790" s="32">
        <f>AE790*8%</f>
        <v/>
      </c>
      <c r="AA790" s="32">
        <f>W790+X790+Y790+Z790</f>
        <v/>
      </c>
      <c r="AB790" s="31">
        <f>AA790+V790+N790</f>
        <v/>
      </c>
      <c r="AC790" s="6">
        <f>AB790*20%</f>
        <v/>
      </c>
      <c r="AD790" s="7">
        <f>AB790+AC790</f>
        <v/>
      </c>
      <c r="AE790" s="32">
        <f>D790*2.1</f>
        <v/>
      </c>
      <c r="AF790" s="7">
        <f>AD790-AE790</f>
        <v/>
      </c>
      <c r="AG790" s="7">
        <f>AF790/AD790*100</f>
        <v/>
      </c>
      <c r="AH790" s="0" t="n">
        <v>345</v>
      </c>
      <c r="AI790" s="33" t="n">
        <v>200</v>
      </c>
      <c r="AJ790" s="34">
        <f>AD790</f>
        <v/>
      </c>
      <c r="AK790" s="34">
        <f>AJ790-(AJ790*7%)</f>
        <v/>
      </c>
      <c r="AL790" s="35">
        <f>AJ790/94</f>
        <v/>
      </c>
      <c r="AM790" s="35">
        <f>AK790/94</f>
        <v/>
      </c>
      <c r="AN790" s="36">
        <f>AJ790/24</f>
        <v/>
      </c>
      <c r="AO790" s="36">
        <f>AK790/24</f>
        <v/>
      </c>
      <c r="AP790" s="37">
        <f>AJ790/125</f>
        <v/>
      </c>
      <c r="AQ790" s="37">
        <f>AK790/125</f>
        <v/>
      </c>
    </row>
    <row r="791" ht="15.75" customHeight="1" s="50">
      <c r="A791" s="32" t="n"/>
      <c r="B791" s="32" t="inlineStr">
        <is>
          <t>Green</t>
        </is>
      </c>
      <c r="C791" s="32" t="inlineStr">
        <is>
          <t>Yo-BL-D-GR</t>
        </is>
      </c>
      <c r="D791" s="32" t="n">
        <v>145</v>
      </c>
      <c r="G791" s="32" t="n">
        <v>0</v>
      </c>
      <c r="H791" s="32" t="n">
        <v>10</v>
      </c>
      <c r="I791" s="41" t="n">
        <v>94041000</v>
      </c>
      <c r="J791" s="30" t="n">
        <v>0.18</v>
      </c>
      <c r="K791" s="32">
        <f>D791*J791</f>
        <v/>
      </c>
      <c r="M791" s="32">
        <f>D791*4%</f>
        <v/>
      </c>
      <c r="N791" s="49">
        <f>M791+L791+K791+H791+G791+F791+E791+D791</f>
        <v/>
      </c>
      <c r="O791" s="32">
        <f>D791*1%</f>
        <v/>
      </c>
      <c r="P791" s="7">
        <f>N791*8%</f>
        <v/>
      </c>
      <c r="Q791" s="7">
        <f>N791*10%</f>
        <v/>
      </c>
      <c r="R791" s="7">
        <f>N791*5%</f>
        <v/>
      </c>
      <c r="S791" s="7">
        <f>N791*2%</f>
        <v/>
      </c>
      <c r="T791" s="7">
        <f>AE791*0.5%</f>
        <v/>
      </c>
      <c r="U791" s="7">
        <f>N791*1%</f>
        <v/>
      </c>
      <c r="V791" s="31">
        <f>U791+S791+R791+Q791+P791+O791</f>
        <v/>
      </c>
      <c r="W791" s="32">
        <f>AE791*1%</f>
        <v/>
      </c>
      <c r="X791" s="32">
        <f>AE791*10%</f>
        <v/>
      </c>
      <c r="Y791" s="32">
        <f>AE791*1%</f>
        <v/>
      </c>
      <c r="Z791" s="32">
        <f>AE791*8%</f>
        <v/>
      </c>
      <c r="AA791" s="32">
        <f>W791+X791+Y791+Z791</f>
        <v/>
      </c>
      <c r="AB791" s="31">
        <f>AA791+V791+N791</f>
        <v/>
      </c>
      <c r="AC791" s="6">
        <f>AB791*20%</f>
        <v/>
      </c>
      <c r="AD791" s="7">
        <f>AB791+AC791</f>
        <v/>
      </c>
      <c r="AE791" s="32">
        <f>D791*2.1</f>
        <v/>
      </c>
      <c r="AF791" s="7">
        <f>AD791-AE791</f>
        <v/>
      </c>
      <c r="AG791" s="7">
        <f>AF791/AD791*100</f>
        <v/>
      </c>
      <c r="AH791" s="0" t="n">
        <v>345</v>
      </c>
      <c r="AI791" s="33" t="n">
        <v>200</v>
      </c>
      <c r="AJ791" s="34">
        <f>AD791</f>
        <v/>
      </c>
      <c r="AK791" s="34">
        <f>AJ791-(AJ791*7%)</f>
        <v/>
      </c>
      <c r="AL791" s="35">
        <f>AJ791/94</f>
        <v/>
      </c>
      <c r="AM791" s="35">
        <f>AK791/94</f>
        <v/>
      </c>
      <c r="AN791" s="36">
        <f>AJ791/24</f>
        <v/>
      </c>
      <c r="AO791" s="36">
        <f>AK791/24</f>
        <v/>
      </c>
      <c r="AP791" s="37">
        <f>AJ791/125</f>
        <v/>
      </c>
      <c r="AQ791" s="37">
        <f>AK791/125</f>
        <v/>
      </c>
    </row>
    <row r="792" ht="15.75" customHeight="1" s="50">
      <c r="A792" s="32" t="n"/>
      <c r="B792" s="32" t="inlineStr">
        <is>
          <t>Navy Blue</t>
        </is>
      </c>
      <c r="C792" s="32" t="inlineStr">
        <is>
          <t>Yo-BL-D-NB</t>
        </is>
      </c>
      <c r="D792" s="32" t="n">
        <v>145</v>
      </c>
      <c r="G792" s="32" t="n">
        <v>0</v>
      </c>
      <c r="H792" s="32" t="n">
        <v>10</v>
      </c>
      <c r="I792" s="41" t="n">
        <v>94041000</v>
      </c>
      <c r="J792" s="30" t="n">
        <v>0.18</v>
      </c>
      <c r="K792" s="32">
        <f>D792*J792</f>
        <v/>
      </c>
      <c r="M792" s="32">
        <f>D792*4%</f>
        <v/>
      </c>
      <c r="N792" s="49">
        <f>M792+L792+K792+H792+G792+F792+E792+D792</f>
        <v/>
      </c>
      <c r="O792" s="32">
        <f>D792*1%</f>
        <v/>
      </c>
      <c r="P792" s="7">
        <f>N792*8%</f>
        <v/>
      </c>
      <c r="Q792" s="7">
        <f>N792*10%</f>
        <v/>
      </c>
      <c r="R792" s="7">
        <f>N792*5%</f>
        <v/>
      </c>
      <c r="S792" s="7">
        <f>N792*2%</f>
        <v/>
      </c>
      <c r="T792" s="7">
        <f>AE792*0.5%</f>
        <v/>
      </c>
      <c r="U792" s="7">
        <f>N792*1%</f>
        <v/>
      </c>
      <c r="V792" s="31">
        <f>U792+S792+R792+Q792+P792+O792</f>
        <v/>
      </c>
      <c r="W792" s="32">
        <f>AE792*1%</f>
        <v/>
      </c>
      <c r="X792" s="32">
        <f>AE792*10%</f>
        <v/>
      </c>
      <c r="Y792" s="32">
        <f>AE792*1%</f>
        <v/>
      </c>
      <c r="Z792" s="32">
        <f>AE792*8%</f>
        <v/>
      </c>
      <c r="AA792" s="32">
        <f>W792+X792+Y792+Z792</f>
        <v/>
      </c>
      <c r="AB792" s="31">
        <f>AA792+V792+N792</f>
        <v/>
      </c>
      <c r="AC792" s="6">
        <f>AB792*20%</f>
        <v/>
      </c>
      <c r="AD792" s="7">
        <f>AB792+AC792</f>
        <v/>
      </c>
      <c r="AE792" s="32">
        <f>D792*2.1</f>
        <v/>
      </c>
      <c r="AF792" s="7">
        <f>AD792-AE792</f>
        <v/>
      </c>
      <c r="AG792" s="7">
        <f>AF792/AD792*100</f>
        <v/>
      </c>
      <c r="AH792" s="0" t="n">
        <v>345</v>
      </c>
      <c r="AI792" s="33" t="n">
        <v>200</v>
      </c>
      <c r="AJ792" s="34">
        <f>AD792</f>
        <v/>
      </c>
      <c r="AK792" s="34">
        <f>AJ792-(AJ792*7%)</f>
        <v/>
      </c>
      <c r="AL792" s="35">
        <f>AJ792/94</f>
        <v/>
      </c>
      <c r="AM792" s="35">
        <f>AK792/94</f>
        <v/>
      </c>
      <c r="AN792" s="36">
        <f>AJ792/24</f>
        <v/>
      </c>
      <c r="AO792" s="36">
        <f>AK792/24</f>
        <v/>
      </c>
      <c r="AP792" s="37">
        <f>AJ792/125</f>
        <v/>
      </c>
      <c r="AQ792" s="37">
        <f>AK792/125</f>
        <v/>
      </c>
    </row>
    <row r="793" ht="15.75" customHeight="1" s="50">
      <c r="A793" s="32" t="n"/>
      <c r="B793" s="32" t="inlineStr">
        <is>
          <t>Rose</t>
        </is>
      </c>
      <c r="C793" s="32" t="inlineStr">
        <is>
          <t>Yo-BL-D-RE</t>
        </is>
      </c>
      <c r="D793" s="32" t="n">
        <v>145</v>
      </c>
      <c r="G793" s="32" t="n">
        <v>0</v>
      </c>
      <c r="H793" s="32" t="n">
        <v>10</v>
      </c>
      <c r="I793" s="41" t="n">
        <v>94041000</v>
      </c>
      <c r="J793" s="30" t="n">
        <v>0.18</v>
      </c>
      <c r="K793" s="32">
        <f>D793*J793</f>
        <v/>
      </c>
      <c r="M793" s="32">
        <f>D793*4%</f>
        <v/>
      </c>
      <c r="N793" s="49">
        <f>M793+L793+K793+H793+G793+F793+E793+D793</f>
        <v/>
      </c>
      <c r="O793" s="32">
        <f>D793*1%</f>
        <v/>
      </c>
      <c r="P793" s="7">
        <f>N793*8%</f>
        <v/>
      </c>
      <c r="Q793" s="7">
        <f>N793*10%</f>
        <v/>
      </c>
      <c r="R793" s="7">
        <f>N793*5%</f>
        <v/>
      </c>
      <c r="S793" s="7">
        <f>N793*2%</f>
        <v/>
      </c>
      <c r="T793" s="7">
        <f>AE793*0.5%</f>
        <v/>
      </c>
      <c r="U793" s="7">
        <f>N793*1%</f>
        <v/>
      </c>
      <c r="V793" s="31">
        <f>U793+S793+R793+Q793+P793+O793</f>
        <v/>
      </c>
      <c r="W793" s="32">
        <f>AE793*1%</f>
        <v/>
      </c>
      <c r="X793" s="32">
        <f>AE793*10%</f>
        <v/>
      </c>
      <c r="Y793" s="32">
        <f>AE793*1%</f>
        <v/>
      </c>
      <c r="Z793" s="32">
        <f>AE793*8%</f>
        <v/>
      </c>
      <c r="AA793" s="32">
        <f>W793+X793+Y793+Z793</f>
        <v/>
      </c>
      <c r="AB793" s="31">
        <f>AA793+V793+N793</f>
        <v/>
      </c>
      <c r="AC793" s="6">
        <f>AB793*20%</f>
        <v/>
      </c>
      <c r="AD793" s="7">
        <f>AB793+AC793</f>
        <v/>
      </c>
      <c r="AE793" s="32">
        <f>D793*2.1</f>
        <v/>
      </c>
      <c r="AF793" s="7">
        <f>AD793-AE793</f>
        <v/>
      </c>
      <c r="AG793" s="7">
        <f>AF793/AD793*100</f>
        <v/>
      </c>
      <c r="AH793" s="0" t="n">
        <v>345</v>
      </c>
      <c r="AI793" s="33" t="n">
        <v>200</v>
      </c>
      <c r="AJ793" s="34">
        <f>AD793</f>
        <v/>
      </c>
      <c r="AK793" s="34">
        <f>AJ793-(AJ793*7%)</f>
        <v/>
      </c>
      <c r="AL793" s="35">
        <f>AJ793/94</f>
        <v/>
      </c>
      <c r="AM793" s="35">
        <f>AK793/94</f>
        <v/>
      </c>
      <c r="AN793" s="36">
        <f>AJ793/24</f>
        <v/>
      </c>
      <c r="AO793" s="36">
        <f>AK793/24</f>
        <v/>
      </c>
      <c r="AP793" s="37">
        <f>AJ793/125</f>
        <v/>
      </c>
      <c r="AQ793" s="37">
        <f>AK793/125</f>
        <v/>
      </c>
    </row>
    <row r="794" ht="15" customHeight="1" s="50">
      <c r="A794" s="32" t="inlineStr">
        <is>
          <t>Yoga Blanket made from Organic Cotton</t>
        </is>
      </c>
      <c r="B794" s="32" t="inlineStr">
        <is>
          <t>Magenta</t>
        </is>
      </c>
      <c r="C794" s="32" t="inlineStr">
        <is>
          <t>Yo-BT-C-MG</t>
        </is>
      </c>
      <c r="D794" s="32" t="n">
        <v>690</v>
      </c>
      <c r="G794" s="32" t="n">
        <v>0</v>
      </c>
      <c r="H794" s="32" t="n">
        <v>10</v>
      </c>
      <c r="I794" s="41" t="n">
        <v>94041000</v>
      </c>
      <c r="J794" s="30" t="n">
        <v>0.18</v>
      </c>
      <c r="K794" s="32">
        <f>D794*J794</f>
        <v/>
      </c>
      <c r="M794" s="32">
        <f>D794*4%</f>
        <v/>
      </c>
      <c r="N794" s="49">
        <f>M794+L794+K794+H794+G794+F794+E794+D794</f>
        <v/>
      </c>
      <c r="O794" s="32">
        <f>D794*1%</f>
        <v/>
      </c>
      <c r="P794" s="7">
        <f>N794*8%</f>
        <v/>
      </c>
      <c r="Q794" s="7">
        <f>N794*10%</f>
        <v/>
      </c>
      <c r="R794" s="7">
        <f>N794*5%</f>
        <v/>
      </c>
      <c r="S794" s="7">
        <f>N794*2%</f>
        <v/>
      </c>
      <c r="T794" s="7">
        <f>AE794*0.5%</f>
        <v/>
      </c>
      <c r="U794" s="7">
        <f>N794*1%</f>
        <v/>
      </c>
      <c r="V794" s="31">
        <f>U794+S794+R794+Q794+P794+O794</f>
        <v/>
      </c>
      <c r="W794" s="32">
        <f>AE794*1%</f>
        <v/>
      </c>
      <c r="X794" s="32">
        <f>AE794*10%</f>
        <v/>
      </c>
      <c r="Y794" s="32">
        <f>AE794*1%</f>
        <v/>
      </c>
      <c r="Z794" s="32">
        <f>AE794*8%</f>
        <v/>
      </c>
      <c r="AA794" s="32">
        <f>W794+X794+Y794+Z794</f>
        <v/>
      </c>
      <c r="AB794" s="31">
        <f>AA794+V794+N794</f>
        <v/>
      </c>
      <c r="AC794" s="6">
        <f>AB794*20%</f>
        <v/>
      </c>
      <c r="AD794" s="7">
        <f>AB794+AC794</f>
        <v/>
      </c>
      <c r="AE794" s="32">
        <f>D794*2.1</f>
        <v/>
      </c>
      <c r="AF794" s="7">
        <f>AD794-AE794</f>
        <v/>
      </c>
      <c r="AG794" s="7">
        <f>AF794/AD794*100</f>
        <v/>
      </c>
      <c r="AH794" s="0" t="n">
        <v>1395</v>
      </c>
      <c r="AI794" s="33" t="n">
        <v>705</v>
      </c>
      <c r="AJ794" s="34">
        <f>AD794</f>
        <v/>
      </c>
      <c r="AK794" s="34">
        <f>AJ794-(AJ794*7%)</f>
        <v/>
      </c>
      <c r="AL794" s="35">
        <f>AJ794/94</f>
        <v/>
      </c>
      <c r="AM794" s="35">
        <f>AK794/94</f>
        <v/>
      </c>
      <c r="AN794" s="36">
        <f>AJ794/24</f>
        <v/>
      </c>
      <c r="AO794" s="36">
        <f>AK794/24</f>
        <v/>
      </c>
      <c r="AP794" s="37">
        <f>AJ794/125</f>
        <v/>
      </c>
      <c r="AQ794" s="37">
        <f>AK794/125</f>
        <v/>
      </c>
    </row>
    <row r="795" ht="15.75" customHeight="1" s="50">
      <c r="A795" s="32" t="n"/>
      <c r="B795" s="32" t="inlineStr">
        <is>
          <t>Brown</t>
        </is>
      </c>
      <c r="C795" s="32" t="inlineStr">
        <is>
          <t>Yo-BT-C-BW</t>
        </is>
      </c>
      <c r="D795" s="32" t="n">
        <v>690</v>
      </c>
      <c r="G795" s="32" t="n">
        <v>0</v>
      </c>
      <c r="H795" s="32" t="n">
        <v>10</v>
      </c>
      <c r="I795" s="41" t="n">
        <v>94041000</v>
      </c>
      <c r="J795" s="30" t="n">
        <v>0.18</v>
      </c>
      <c r="K795" s="32">
        <f>D795*J795</f>
        <v/>
      </c>
      <c r="M795" s="32">
        <f>D795*4%</f>
        <v/>
      </c>
      <c r="N795" s="49">
        <f>M795+L795+K795+H795+G795+F795+E795+D795</f>
        <v/>
      </c>
      <c r="O795" s="32">
        <f>D795*1%</f>
        <v/>
      </c>
      <c r="P795" s="7">
        <f>N795*8%</f>
        <v/>
      </c>
      <c r="Q795" s="7">
        <f>N795*10%</f>
        <v/>
      </c>
      <c r="R795" s="7">
        <f>N795*5%</f>
        <v/>
      </c>
      <c r="S795" s="7">
        <f>N795*2%</f>
        <v/>
      </c>
      <c r="T795" s="7">
        <f>AE795*0.5%</f>
        <v/>
      </c>
      <c r="U795" s="7">
        <f>N795*1%</f>
        <v/>
      </c>
      <c r="V795" s="31">
        <f>U795+S795+R795+Q795+P795+O795</f>
        <v/>
      </c>
      <c r="W795" s="32">
        <f>AE795*1%</f>
        <v/>
      </c>
      <c r="X795" s="32">
        <f>AE795*10%</f>
        <v/>
      </c>
      <c r="Y795" s="32">
        <f>AE795*1%</f>
        <v/>
      </c>
      <c r="Z795" s="32">
        <f>AE795*8%</f>
        <v/>
      </c>
      <c r="AA795" s="32">
        <f>W795+X795+Y795+Z795</f>
        <v/>
      </c>
      <c r="AB795" s="31">
        <f>AA795+V795+N795</f>
        <v/>
      </c>
      <c r="AC795" s="6">
        <f>AB795*20%</f>
        <v/>
      </c>
      <c r="AD795" s="7">
        <f>AB795+AC795</f>
        <v/>
      </c>
      <c r="AE795" s="32">
        <f>D795*2.1</f>
        <v/>
      </c>
      <c r="AF795" s="7">
        <f>AD795-AE795</f>
        <v/>
      </c>
      <c r="AG795" s="7">
        <f>AF795/AD795*100</f>
        <v/>
      </c>
      <c r="AH795" s="0" t="n">
        <v>1395</v>
      </c>
      <c r="AI795" s="33" t="n">
        <v>705</v>
      </c>
      <c r="AJ795" s="34">
        <f>AD795</f>
        <v/>
      </c>
      <c r="AK795" s="34">
        <f>AJ795-(AJ795*7%)</f>
        <v/>
      </c>
      <c r="AL795" s="35">
        <f>AJ795/94</f>
        <v/>
      </c>
      <c r="AM795" s="35">
        <f>AK795/94</f>
        <v/>
      </c>
      <c r="AN795" s="36">
        <f>AJ795/24</f>
        <v/>
      </c>
      <c r="AO795" s="36">
        <f>AK795/24</f>
        <v/>
      </c>
      <c r="AP795" s="37">
        <f>AJ795/125</f>
        <v/>
      </c>
      <c r="AQ795" s="37">
        <f>AK795/125</f>
        <v/>
      </c>
    </row>
    <row r="796" ht="15.75" customHeight="1" s="50">
      <c r="A796" s="32" t="n"/>
      <c r="B796" s="32" t="inlineStr">
        <is>
          <t>Natural White</t>
        </is>
      </c>
      <c r="C796" s="32" t="inlineStr">
        <is>
          <t>Yo-BT-C-NT</t>
        </is>
      </c>
      <c r="D796" s="32" t="n">
        <v>595</v>
      </c>
      <c r="G796" s="32" t="n">
        <v>0</v>
      </c>
      <c r="H796" s="32" t="n">
        <v>10</v>
      </c>
      <c r="I796" s="41" t="n">
        <v>94041000</v>
      </c>
      <c r="J796" s="30" t="n">
        <v>0.18</v>
      </c>
      <c r="K796" s="32">
        <f>D796*J796</f>
        <v/>
      </c>
      <c r="M796" s="32">
        <f>D796*4%</f>
        <v/>
      </c>
      <c r="N796" s="49">
        <f>M796+L796+K796+H796+G796+F796+E796+D796</f>
        <v/>
      </c>
      <c r="O796" s="32">
        <f>D796*1%</f>
        <v/>
      </c>
      <c r="P796" s="7">
        <f>N796*8%</f>
        <v/>
      </c>
      <c r="Q796" s="7">
        <f>N796*10%</f>
        <v/>
      </c>
      <c r="R796" s="7">
        <f>N796*5%</f>
        <v/>
      </c>
      <c r="S796" s="7">
        <f>N796*2%</f>
        <v/>
      </c>
      <c r="T796" s="7">
        <f>AE796*0.5%</f>
        <v/>
      </c>
      <c r="U796" s="7">
        <f>N796*1%</f>
        <v/>
      </c>
      <c r="V796" s="31">
        <f>U796+S796+R796+Q796+P796+O796</f>
        <v/>
      </c>
      <c r="W796" s="32">
        <f>AE796*1%</f>
        <v/>
      </c>
      <c r="X796" s="32">
        <f>AE796*10%</f>
        <v/>
      </c>
      <c r="Y796" s="32">
        <f>AE796*1%</f>
        <v/>
      </c>
      <c r="Z796" s="32">
        <f>AE796*8%</f>
        <v/>
      </c>
      <c r="AA796" s="32">
        <f>W796+X796+Y796+Z796</f>
        <v/>
      </c>
      <c r="AB796" s="31">
        <f>AA796+V796+N796</f>
        <v/>
      </c>
      <c r="AC796" s="6">
        <f>AB796*20%</f>
        <v/>
      </c>
      <c r="AD796" s="7">
        <f>AB796+AC796</f>
        <v/>
      </c>
      <c r="AE796" s="32">
        <f>D796*2.1</f>
        <v/>
      </c>
      <c r="AF796" s="7">
        <f>AD796-AE796</f>
        <v/>
      </c>
      <c r="AG796" s="7">
        <f>AF796/AD796*100</f>
        <v/>
      </c>
      <c r="AH796" s="0" t="n">
        <v>1295</v>
      </c>
      <c r="AI796" s="33" t="n">
        <v>700</v>
      </c>
      <c r="AJ796" s="34">
        <f>AD796</f>
        <v/>
      </c>
      <c r="AK796" s="34">
        <f>AJ796-(AJ796*7%)</f>
        <v/>
      </c>
      <c r="AL796" s="35">
        <f>AJ796/94</f>
        <v/>
      </c>
      <c r="AM796" s="35">
        <f>AK796/94</f>
        <v/>
      </c>
      <c r="AN796" s="36">
        <f>AJ796/24</f>
        <v/>
      </c>
      <c r="AO796" s="36">
        <f>AK796/24</f>
        <v/>
      </c>
      <c r="AP796" s="37">
        <f>AJ796/125</f>
        <v/>
      </c>
      <c r="AQ796" s="37">
        <f>AK796/125</f>
        <v/>
      </c>
    </row>
    <row r="797" ht="15" customHeight="1" s="50">
      <c r="A797" s="32" t="inlineStr">
        <is>
          <t>Zabuton Cushion for Meditation</t>
        </is>
      </c>
      <c r="B797" s="32" t="inlineStr">
        <is>
          <t>Navy Blue</t>
        </is>
      </c>
      <c r="C797" s="32" t="inlineStr">
        <is>
          <t>Me-C-Zn-NB</t>
        </is>
      </c>
      <c r="D797" s="32" t="n">
        <v>1080</v>
      </c>
      <c r="G797" s="32" t="n">
        <v>0</v>
      </c>
      <c r="H797" s="32" t="n">
        <v>10</v>
      </c>
      <c r="I797" s="41" t="n">
        <v>94041000</v>
      </c>
      <c r="J797" s="30" t="n">
        <v>0.18</v>
      </c>
      <c r="K797" s="32">
        <f>D797*J797</f>
        <v/>
      </c>
      <c r="M797" s="32">
        <f>D797*4%</f>
        <v/>
      </c>
      <c r="N797" s="49">
        <f>M797+L797+K797+H797+G797+F797+E797+D797</f>
        <v/>
      </c>
      <c r="O797" s="32">
        <f>D797*1%</f>
        <v/>
      </c>
      <c r="P797" s="7">
        <f>N797*8%</f>
        <v/>
      </c>
      <c r="Q797" s="7">
        <f>N797*10%</f>
        <v/>
      </c>
      <c r="R797" s="7">
        <f>N797*5%</f>
        <v/>
      </c>
      <c r="S797" s="7">
        <f>N797*2%</f>
        <v/>
      </c>
      <c r="T797" s="7">
        <f>AE797*0.5%</f>
        <v/>
      </c>
      <c r="U797" s="7">
        <f>N797*1%</f>
        <v/>
      </c>
      <c r="V797" s="31">
        <f>U797+S797+R797+Q797+P797+O797</f>
        <v/>
      </c>
      <c r="W797" s="32">
        <f>AE797*1%</f>
        <v/>
      </c>
      <c r="X797" s="32">
        <f>AE797*10%</f>
        <v/>
      </c>
      <c r="Y797" s="32">
        <f>AE797*1%</f>
        <v/>
      </c>
      <c r="Z797" s="32">
        <f>AE797*8%</f>
        <v/>
      </c>
      <c r="AA797" s="32">
        <f>W797+X797+Y797+Z797</f>
        <v/>
      </c>
      <c r="AB797" s="31">
        <f>AA797+V797+N797</f>
        <v/>
      </c>
      <c r="AC797" s="6">
        <f>AB797*20%</f>
        <v/>
      </c>
      <c r="AD797" s="7">
        <f>AB797+AC797</f>
        <v/>
      </c>
      <c r="AE797" s="32">
        <f>D797*2.1</f>
        <v/>
      </c>
      <c r="AF797" s="7">
        <f>AD797-AE797</f>
        <v/>
      </c>
      <c r="AG797" s="7">
        <f>AF797/AD797*100</f>
        <v/>
      </c>
      <c r="AH797" s="0" t="n">
        <v>1995</v>
      </c>
      <c r="AI797" s="33" t="n">
        <v>915</v>
      </c>
      <c r="AJ797" s="34">
        <f>AD797</f>
        <v/>
      </c>
      <c r="AK797" s="34">
        <f>AJ797-(AJ797*7%)</f>
        <v/>
      </c>
      <c r="AL797" s="35">
        <f>AJ797/94</f>
        <v/>
      </c>
      <c r="AM797" s="35">
        <f>AK797/94</f>
        <v/>
      </c>
      <c r="AN797" s="36">
        <f>AJ797/24</f>
        <v/>
      </c>
      <c r="AO797" s="36">
        <f>AK797/24</f>
        <v/>
      </c>
      <c r="AP797" s="37">
        <f>AJ797/125</f>
        <v/>
      </c>
      <c r="AQ797" s="37">
        <f>AK797/125</f>
        <v/>
      </c>
    </row>
    <row r="798" ht="15.75" customHeight="1" s="50">
      <c r="A798" s="32" t="n"/>
      <c r="B798" s="32" t="inlineStr">
        <is>
          <t>Grey</t>
        </is>
      </c>
      <c r="C798" s="32" t="inlineStr">
        <is>
          <t>Me-C-Zn-GY</t>
        </is>
      </c>
      <c r="D798" s="32" t="n">
        <v>1080</v>
      </c>
      <c r="G798" s="32" t="n">
        <v>0</v>
      </c>
      <c r="H798" s="32" t="n">
        <v>10</v>
      </c>
      <c r="I798" s="41" t="n">
        <v>94041000</v>
      </c>
      <c r="J798" s="30" t="n">
        <v>0.18</v>
      </c>
      <c r="K798" s="32">
        <f>D798*J798</f>
        <v/>
      </c>
      <c r="M798" s="32">
        <f>D798*4%</f>
        <v/>
      </c>
      <c r="N798" s="49">
        <f>M798+L798+K798+H798+G798+F798+E798+D798</f>
        <v/>
      </c>
      <c r="O798" s="32">
        <f>D798*1%</f>
        <v/>
      </c>
      <c r="P798" s="7">
        <f>N798*8%</f>
        <v/>
      </c>
      <c r="Q798" s="7">
        <f>N798*10%</f>
        <v/>
      </c>
      <c r="R798" s="7">
        <f>N798*5%</f>
        <v/>
      </c>
      <c r="S798" s="7">
        <f>N798*2%</f>
        <v/>
      </c>
      <c r="T798" s="7">
        <f>AE798*0.5%</f>
        <v/>
      </c>
      <c r="U798" s="7">
        <f>N798*1%</f>
        <v/>
      </c>
      <c r="V798" s="31">
        <f>U798+S798+R798+Q798+P798+O798</f>
        <v/>
      </c>
      <c r="W798" s="32">
        <f>AE798*1%</f>
        <v/>
      </c>
      <c r="X798" s="32">
        <f>AE798*10%</f>
        <v/>
      </c>
      <c r="Y798" s="32">
        <f>AE798*1%</f>
        <v/>
      </c>
      <c r="Z798" s="32">
        <f>AE798*8%</f>
        <v/>
      </c>
      <c r="AA798" s="32">
        <f>W798+X798+Y798+Z798</f>
        <v/>
      </c>
      <c r="AB798" s="31">
        <f>AA798+V798+N798</f>
        <v/>
      </c>
      <c r="AC798" s="6">
        <f>AB798*20%</f>
        <v/>
      </c>
      <c r="AD798" s="7">
        <f>AB798+AC798</f>
        <v/>
      </c>
      <c r="AE798" s="32">
        <f>D798*2.1</f>
        <v/>
      </c>
      <c r="AF798" s="7">
        <f>AD798-AE798</f>
        <v/>
      </c>
      <c r="AG798" s="7">
        <f>AF798/AD798*100</f>
        <v/>
      </c>
      <c r="AH798" s="0" t="n">
        <v>1995</v>
      </c>
      <c r="AI798" s="33" t="n">
        <v>915</v>
      </c>
      <c r="AJ798" s="34">
        <f>AD798</f>
        <v/>
      </c>
      <c r="AK798" s="34">
        <f>AJ798-(AJ798*7%)</f>
        <v/>
      </c>
      <c r="AL798" s="35">
        <f>AJ798/94</f>
        <v/>
      </c>
      <c r="AM798" s="35">
        <f>AK798/94</f>
        <v/>
      </c>
      <c r="AN798" s="36">
        <f>AJ798/24</f>
        <v/>
      </c>
      <c r="AO798" s="36">
        <f>AK798/24</f>
        <v/>
      </c>
      <c r="AP798" s="37">
        <f>AJ798/125</f>
        <v/>
      </c>
      <c r="AQ798" s="37">
        <f>AK798/125</f>
        <v/>
      </c>
    </row>
    <row r="799" ht="15.75" customHeight="1" s="50">
      <c r="A799" s="32" t="n"/>
      <c r="B799" s="32" t="inlineStr">
        <is>
          <t>Light Grey</t>
        </is>
      </c>
      <c r="C799" s="32" t="inlineStr">
        <is>
          <t>Me-C-Zn-LG</t>
        </is>
      </c>
      <c r="D799" s="32" t="n">
        <v>1080</v>
      </c>
      <c r="G799" s="32" t="n">
        <v>0</v>
      </c>
      <c r="H799" s="32" t="n">
        <v>10</v>
      </c>
      <c r="I799" s="41" t="n">
        <v>94041000</v>
      </c>
      <c r="J799" s="30" t="n">
        <v>0.18</v>
      </c>
      <c r="K799" s="32">
        <f>D799*J799</f>
        <v/>
      </c>
      <c r="M799" s="32">
        <f>D799*4%</f>
        <v/>
      </c>
      <c r="N799" s="49">
        <f>M799+L799+K799+H799+G799+F799+E799+D799</f>
        <v/>
      </c>
      <c r="O799" s="32">
        <f>D799*1%</f>
        <v/>
      </c>
      <c r="P799" s="7">
        <f>N799*8%</f>
        <v/>
      </c>
      <c r="Q799" s="7">
        <f>N799*10%</f>
        <v/>
      </c>
      <c r="R799" s="7">
        <f>N799*5%</f>
        <v/>
      </c>
      <c r="S799" s="7">
        <f>N799*2%</f>
        <v/>
      </c>
      <c r="T799" s="7">
        <f>AE799*0.5%</f>
        <v/>
      </c>
      <c r="U799" s="7">
        <f>N799*1%</f>
        <v/>
      </c>
      <c r="V799" s="31">
        <f>U799+S799+R799+Q799+P799+O799</f>
        <v/>
      </c>
      <c r="W799" s="32">
        <f>AE799*1%</f>
        <v/>
      </c>
      <c r="X799" s="32">
        <f>AE799*10%</f>
        <v/>
      </c>
      <c r="Y799" s="32">
        <f>AE799*1%</f>
        <v/>
      </c>
      <c r="Z799" s="32">
        <f>AE799*8%</f>
        <v/>
      </c>
      <c r="AA799" s="32">
        <f>W799+X799+Y799+Z799</f>
        <v/>
      </c>
      <c r="AB799" s="31">
        <f>AA799+V799+N799</f>
        <v/>
      </c>
      <c r="AC799" s="6">
        <f>AB799*20%</f>
        <v/>
      </c>
      <c r="AD799" s="7">
        <f>AB799+AC799</f>
        <v/>
      </c>
      <c r="AE799" s="32">
        <f>D799*2.1</f>
        <v/>
      </c>
      <c r="AF799" s="7">
        <f>AD799-AE799</f>
        <v/>
      </c>
      <c r="AG799" s="7">
        <f>AF799/AD799*100</f>
        <v/>
      </c>
      <c r="AH799" s="0" t="n">
        <v>1995</v>
      </c>
      <c r="AI799" s="33" t="n">
        <v>915</v>
      </c>
      <c r="AJ799" s="34">
        <f>AD799</f>
        <v/>
      </c>
      <c r="AK799" s="34">
        <f>AJ799-(AJ799*7%)</f>
        <v/>
      </c>
      <c r="AL799" s="35">
        <f>AJ799/94</f>
        <v/>
      </c>
      <c r="AM799" s="35">
        <f>AK799/94</f>
        <v/>
      </c>
      <c r="AN799" s="36">
        <f>AJ799/24</f>
        <v/>
      </c>
      <c r="AO799" s="36">
        <f>AK799/24</f>
        <v/>
      </c>
      <c r="AP799" s="37">
        <f>AJ799/125</f>
        <v/>
      </c>
      <c r="AQ799" s="37">
        <f>AK799/125</f>
        <v/>
      </c>
    </row>
    <row r="800" ht="15.75" customHeight="1" s="50">
      <c r="A800" s="32" t="n"/>
      <c r="B800" s="32" t="inlineStr">
        <is>
          <t>Lavender</t>
        </is>
      </c>
      <c r="C800" s="32" t="inlineStr">
        <is>
          <t>Me-C-Zn-LR</t>
        </is>
      </c>
      <c r="D800" s="32" t="n">
        <v>1080</v>
      </c>
      <c r="G800" s="32" t="n">
        <v>0</v>
      </c>
      <c r="H800" s="32" t="n">
        <v>10</v>
      </c>
      <c r="I800" s="41" t="n">
        <v>94041000</v>
      </c>
      <c r="J800" s="30" t="n">
        <v>0.18</v>
      </c>
      <c r="K800" s="32">
        <f>D800*J800</f>
        <v/>
      </c>
      <c r="M800" s="32">
        <f>D800*4%</f>
        <v/>
      </c>
      <c r="N800" s="49">
        <f>M800+L800+K800+H800+G800+F800+E800+D800</f>
        <v/>
      </c>
      <c r="O800" s="32">
        <f>D800*1%</f>
        <v/>
      </c>
      <c r="P800" s="7">
        <f>N800*8%</f>
        <v/>
      </c>
      <c r="Q800" s="7">
        <f>N800*10%</f>
        <v/>
      </c>
      <c r="R800" s="7">
        <f>N800*5%</f>
        <v/>
      </c>
      <c r="S800" s="7">
        <f>N800*2%</f>
        <v/>
      </c>
      <c r="T800" s="7">
        <f>AE800*0.5%</f>
        <v/>
      </c>
      <c r="U800" s="7">
        <f>N800*1%</f>
        <v/>
      </c>
      <c r="V800" s="31">
        <f>U800+S800+R800+Q800+P800+O800</f>
        <v/>
      </c>
      <c r="W800" s="32">
        <f>AE800*1%</f>
        <v/>
      </c>
      <c r="X800" s="32">
        <f>AE800*10%</f>
        <v/>
      </c>
      <c r="Y800" s="32">
        <f>AE800*1%</f>
        <v/>
      </c>
      <c r="Z800" s="32">
        <f>AE800*8%</f>
        <v/>
      </c>
      <c r="AA800" s="32">
        <f>W800+X800+Y800+Z800</f>
        <v/>
      </c>
      <c r="AB800" s="31">
        <f>AA800+V800+N800</f>
        <v/>
      </c>
      <c r="AC800" s="6">
        <f>AB800*20%</f>
        <v/>
      </c>
      <c r="AD800" s="7">
        <f>AB800+AC800</f>
        <v/>
      </c>
      <c r="AE800" s="32">
        <f>D800*2.1</f>
        <v/>
      </c>
      <c r="AF800" s="7">
        <f>AD800-AE800</f>
        <v/>
      </c>
      <c r="AG800" s="7">
        <f>AF800/AD800*100</f>
        <v/>
      </c>
      <c r="AH800" s="0" t="n">
        <v>1995</v>
      </c>
      <c r="AI800" s="33" t="n">
        <v>915</v>
      </c>
      <c r="AJ800" s="34">
        <f>AD800</f>
        <v/>
      </c>
      <c r="AK800" s="34">
        <f>AJ800-(AJ800*7%)</f>
        <v/>
      </c>
      <c r="AL800" s="35">
        <f>AJ800/94</f>
        <v/>
      </c>
      <c r="AM800" s="35">
        <f>AK800/94</f>
        <v/>
      </c>
      <c r="AN800" s="36">
        <f>AJ800/24</f>
        <v/>
      </c>
      <c r="AO800" s="36">
        <f>AK800/24</f>
        <v/>
      </c>
      <c r="AP800" s="37">
        <f>AJ800/125</f>
        <v/>
      </c>
      <c r="AQ800" s="37">
        <f>AK800/125</f>
        <v/>
      </c>
    </row>
    <row r="801" ht="15.75" customHeight="1" s="50">
      <c r="A801" s="32" t="n"/>
      <c r="B801" s="32" t="inlineStr">
        <is>
          <t>Misty Blue</t>
        </is>
      </c>
      <c r="C801" s="32" t="inlineStr">
        <is>
          <t>Me-C-Zn-MB</t>
        </is>
      </c>
      <c r="D801" s="32" t="n">
        <v>1080</v>
      </c>
      <c r="G801" s="32" t="n">
        <v>0</v>
      </c>
      <c r="H801" s="32" t="n">
        <v>10</v>
      </c>
      <c r="I801" s="41" t="n">
        <v>94041000</v>
      </c>
      <c r="J801" s="30" t="n">
        <v>0.18</v>
      </c>
      <c r="K801" s="32">
        <f>D801*J801</f>
        <v/>
      </c>
      <c r="M801" s="32">
        <f>D801*4%</f>
        <v/>
      </c>
      <c r="N801" s="49">
        <f>M801+L801+K801+H801+G801+F801+E801+D801</f>
        <v/>
      </c>
      <c r="O801" s="32">
        <f>D801*1%</f>
        <v/>
      </c>
      <c r="P801" s="7">
        <f>N801*8%</f>
        <v/>
      </c>
      <c r="Q801" s="7">
        <f>N801*10%</f>
        <v/>
      </c>
      <c r="R801" s="7">
        <f>N801*5%</f>
        <v/>
      </c>
      <c r="S801" s="7">
        <f>N801*2%</f>
        <v/>
      </c>
      <c r="T801" s="7">
        <f>AE801*0.5%</f>
        <v/>
      </c>
      <c r="U801" s="7">
        <f>N801*1%</f>
        <v/>
      </c>
      <c r="V801" s="31">
        <f>U801+S801+R801+Q801+P801+O801</f>
        <v/>
      </c>
      <c r="W801" s="32">
        <f>AE801*1%</f>
        <v/>
      </c>
      <c r="X801" s="32">
        <f>AE801*10%</f>
        <v/>
      </c>
      <c r="Y801" s="32">
        <f>AE801*1%</f>
        <v/>
      </c>
      <c r="Z801" s="32">
        <f>AE801*8%</f>
        <v/>
      </c>
      <c r="AA801" s="32">
        <f>W801+X801+Y801+Z801</f>
        <v/>
      </c>
      <c r="AB801" s="31">
        <f>AA801+V801+N801</f>
        <v/>
      </c>
      <c r="AC801" s="6">
        <f>AB801*20%</f>
        <v/>
      </c>
      <c r="AD801" s="7">
        <f>AB801+AC801</f>
        <v/>
      </c>
      <c r="AE801" s="32">
        <f>D801*2.1</f>
        <v/>
      </c>
      <c r="AF801" s="7">
        <f>AD801-AE801</f>
        <v/>
      </c>
      <c r="AG801" s="7">
        <f>AF801/AD801*100</f>
        <v/>
      </c>
      <c r="AH801" s="0" t="n">
        <v>1995</v>
      </c>
      <c r="AI801" s="33" t="n">
        <v>915</v>
      </c>
      <c r="AJ801" s="34">
        <f>AD801</f>
        <v/>
      </c>
      <c r="AK801" s="34">
        <f>AJ801-(AJ801*7%)</f>
        <v/>
      </c>
      <c r="AL801" s="35">
        <f>AJ801/94</f>
        <v/>
      </c>
      <c r="AM801" s="35">
        <f>AK801/94</f>
        <v/>
      </c>
      <c r="AN801" s="36">
        <f>AJ801/24</f>
        <v/>
      </c>
      <c r="AO801" s="36">
        <f>AK801/24</f>
        <v/>
      </c>
      <c r="AP801" s="37">
        <f>AJ801/125</f>
        <v/>
      </c>
      <c r="AQ801" s="37">
        <f>AK801/125</f>
        <v/>
      </c>
    </row>
    <row r="802" ht="15" customHeight="1" s="50">
      <c r="A802" s="32" t="inlineStr">
        <is>
          <t>Zafu &amp; Zabuton Meditation Cushion Combo</t>
        </is>
      </c>
      <c r="B802" s="32" t="inlineStr">
        <is>
          <t>Grey</t>
        </is>
      </c>
      <c r="C802" s="32" t="inlineStr">
        <is>
          <t>CO-Me-Zf-Zn-C-GY</t>
        </is>
      </c>
      <c r="D802" s="32" t="inlineStr">
        <is>
          <t>Parasonjeet</t>
        </is>
      </c>
      <c r="G802" s="32" t="n">
        <v>0</v>
      </c>
      <c r="H802" s="32" t="n">
        <v>10</v>
      </c>
      <c r="I802" s="41" t="n">
        <v>94041000</v>
      </c>
      <c r="J802" s="30" t="n">
        <v>0.18</v>
      </c>
      <c r="K802" s="32">
        <f>D802*J802</f>
        <v/>
      </c>
      <c r="M802" s="32">
        <f>D802*4%</f>
        <v/>
      </c>
      <c r="N802" s="49">
        <f>M802+L802+K802+H802+G802+F802+E802+D802</f>
        <v/>
      </c>
      <c r="O802" s="32">
        <f>D802*1%</f>
        <v/>
      </c>
      <c r="P802" s="7">
        <f>N802*8%</f>
        <v/>
      </c>
      <c r="Q802" s="7">
        <f>N802*10%</f>
        <v/>
      </c>
      <c r="R802" s="7">
        <f>N802*5%</f>
        <v/>
      </c>
      <c r="S802" s="7">
        <f>N802*2%</f>
        <v/>
      </c>
      <c r="T802" s="7">
        <f>AE802*0.5%</f>
        <v/>
      </c>
      <c r="U802" s="7">
        <f>N802*1%</f>
        <v/>
      </c>
      <c r="V802" s="49">
        <f>U802+S802+R802+Q802+P802+O802</f>
        <v/>
      </c>
      <c r="W802" s="32">
        <f>AE802*1%</f>
        <v/>
      </c>
      <c r="X802" s="32">
        <f>AE802*10%</f>
        <v/>
      </c>
      <c r="Y802" s="32">
        <f>AE802*1%</f>
        <v/>
      </c>
      <c r="Z802" s="32">
        <f>AE802*8%</f>
        <v/>
      </c>
      <c r="AA802" s="32">
        <f>W802+X802+Y802+Z802</f>
        <v/>
      </c>
      <c r="AB802" s="31">
        <f>AA802+V802+N802</f>
        <v/>
      </c>
      <c r="AC802" s="6">
        <f>AB802*20%</f>
        <v/>
      </c>
      <c r="AD802" s="32">
        <f>AB802+AC802</f>
        <v/>
      </c>
      <c r="AE802" s="32">
        <f>D802*2.1</f>
        <v/>
      </c>
      <c r="AF802" s="7">
        <f>AD802-AE802</f>
        <v/>
      </c>
      <c r="AG802" s="7">
        <f>AF802/AD802*100</f>
        <v/>
      </c>
      <c r="AH802" s="0" t="n">
        <v>2795</v>
      </c>
      <c r="AI802" s="33" t="n"/>
      <c r="AJ802" s="34">
        <f>AD802</f>
        <v/>
      </c>
      <c r="AK802" s="34">
        <f>AJ802-(AJ802*7%)</f>
        <v/>
      </c>
      <c r="AL802" s="35">
        <f>AJ802/94</f>
        <v/>
      </c>
      <c r="AM802" s="35">
        <f>AK802/94</f>
        <v/>
      </c>
      <c r="AN802" s="36">
        <f>AJ802/24</f>
        <v/>
      </c>
      <c r="AO802" s="36">
        <f>AK802/24</f>
        <v/>
      </c>
      <c r="AP802" s="37">
        <f>AJ802/125</f>
        <v/>
      </c>
      <c r="AQ802" s="37">
        <f>AK802/125</f>
        <v/>
      </c>
    </row>
    <row r="803" ht="15.75" customHeight="1" s="50">
      <c r="A803" s="32" t="n"/>
      <c r="B803" s="32" t="inlineStr">
        <is>
          <t>Light Grey</t>
        </is>
      </c>
      <c r="C803" s="32" t="inlineStr">
        <is>
          <t>Co-Me-C-Z-Zn-LG</t>
        </is>
      </c>
      <c r="D803" s="32" t="n">
        <v>1430</v>
      </c>
      <c r="G803" s="32" t="n">
        <v>0</v>
      </c>
      <c r="H803" s="32" t="n">
        <v>10</v>
      </c>
      <c r="I803" s="41" t="n">
        <v>94041000</v>
      </c>
      <c r="J803" s="30" t="n">
        <v>0.18</v>
      </c>
      <c r="K803" s="32">
        <f>D803*J803</f>
        <v/>
      </c>
      <c r="L803" s="32">
        <f>D803*5%</f>
        <v/>
      </c>
      <c r="M803" s="32">
        <f>D803*4%</f>
        <v/>
      </c>
      <c r="N803" s="49">
        <f>M803+L803+K803+H803+G803+F803+E803+D803</f>
        <v/>
      </c>
      <c r="O803" s="32">
        <f>D803*1%</f>
        <v/>
      </c>
      <c r="P803" s="7">
        <f>N803*8%</f>
        <v/>
      </c>
      <c r="Q803" s="7">
        <f>N803*10%</f>
        <v/>
      </c>
      <c r="R803" s="7">
        <f>N803*5%</f>
        <v/>
      </c>
      <c r="S803" s="7">
        <f>N803*2%</f>
        <v/>
      </c>
      <c r="T803" s="7">
        <f>AE803*0.5%</f>
        <v/>
      </c>
      <c r="U803" s="7">
        <f>N803*1%</f>
        <v/>
      </c>
      <c r="V803" s="31">
        <f>U803+S803+R803+Q803+P803+O803</f>
        <v/>
      </c>
      <c r="W803" s="32">
        <f>AE803*1%</f>
        <v/>
      </c>
      <c r="X803" s="32">
        <f>AE803*10%</f>
        <v/>
      </c>
      <c r="Y803" s="32">
        <f>AE803*1%</f>
        <v/>
      </c>
      <c r="Z803" s="32">
        <f>AE803*8%</f>
        <v/>
      </c>
      <c r="AA803" s="32">
        <f>W803+X803+Y803+Z803</f>
        <v/>
      </c>
      <c r="AB803" s="31">
        <f>AA803+V803+N803</f>
        <v/>
      </c>
      <c r="AC803" s="6">
        <f>AB803*20%</f>
        <v/>
      </c>
      <c r="AD803" s="7">
        <f>AB803+AC803</f>
        <v/>
      </c>
      <c r="AE803" s="32">
        <f>D803*2.1</f>
        <v/>
      </c>
      <c r="AF803" s="7">
        <f>AD803-AE803</f>
        <v/>
      </c>
      <c r="AG803" s="7">
        <f>AF803/AD803*100</f>
        <v/>
      </c>
      <c r="AH803" s="0" t="n">
        <v>2795</v>
      </c>
      <c r="AI803" s="33" t="n">
        <v>1365</v>
      </c>
      <c r="AJ803" s="34">
        <f>AD803</f>
        <v/>
      </c>
      <c r="AK803" s="34">
        <f>AJ803-(AJ803*7%)</f>
        <v/>
      </c>
      <c r="AL803" s="35">
        <f>AJ803/94</f>
        <v/>
      </c>
      <c r="AM803" s="35">
        <f>AK803/94</f>
        <v/>
      </c>
      <c r="AN803" s="36">
        <f>AJ803/24</f>
        <v/>
      </c>
      <c r="AO803" s="36">
        <f>AK803/24</f>
        <v/>
      </c>
      <c r="AP803" s="37">
        <f>AJ803/125</f>
        <v/>
      </c>
      <c r="AQ803" s="37">
        <f>AK803/125</f>
        <v/>
      </c>
    </row>
    <row r="804" ht="15.75" customHeight="1" s="50">
      <c r="A804" s="32" t="n"/>
      <c r="B804" s="32" t="inlineStr">
        <is>
          <t>Lavender</t>
        </is>
      </c>
      <c r="C804" s="32" t="inlineStr">
        <is>
          <t>Co-Me-C-Z-Zn-LR</t>
        </is>
      </c>
      <c r="D804" s="32" t="n">
        <v>1430</v>
      </c>
      <c r="G804" s="32" t="n">
        <v>0</v>
      </c>
      <c r="H804" s="32" t="n">
        <v>10</v>
      </c>
      <c r="I804" s="41" t="n">
        <v>94041000</v>
      </c>
      <c r="J804" s="30" t="n">
        <v>0.18</v>
      </c>
      <c r="K804" s="32">
        <f>D804*J804</f>
        <v/>
      </c>
      <c r="L804" s="32">
        <f>D804*5%</f>
        <v/>
      </c>
      <c r="M804" s="32">
        <f>D804*4%</f>
        <v/>
      </c>
      <c r="N804" s="49">
        <f>M804+L804+K804+H804+G804+F804+E804+D804</f>
        <v/>
      </c>
      <c r="O804" s="32">
        <f>D804*1%</f>
        <v/>
      </c>
      <c r="P804" s="7">
        <f>N804*8%</f>
        <v/>
      </c>
      <c r="Q804" s="7">
        <f>N804*10%</f>
        <v/>
      </c>
      <c r="R804" s="7">
        <f>N804*5%</f>
        <v/>
      </c>
      <c r="S804" s="7">
        <f>N804*2%</f>
        <v/>
      </c>
      <c r="T804" s="7">
        <f>AE804*0.5%</f>
        <v/>
      </c>
      <c r="U804" s="7">
        <f>N804*1%</f>
        <v/>
      </c>
      <c r="V804" s="31">
        <f>U804+S804+R804+Q804+P804+O804</f>
        <v/>
      </c>
      <c r="W804" s="32">
        <f>AE804*1%</f>
        <v/>
      </c>
      <c r="X804" s="32">
        <f>AE804*10%</f>
        <v/>
      </c>
      <c r="Y804" s="32">
        <f>AE804*1%</f>
        <v/>
      </c>
      <c r="Z804" s="32">
        <f>AE804*8%</f>
        <v/>
      </c>
      <c r="AA804" s="32">
        <f>W804+X804+Y804+Z804</f>
        <v/>
      </c>
      <c r="AB804" s="31">
        <f>AA804+V804+N804</f>
        <v/>
      </c>
      <c r="AC804" s="6">
        <f>AB804*20%</f>
        <v/>
      </c>
      <c r="AD804" s="7">
        <f>AB804+AC804</f>
        <v/>
      </c>
      <c r="AE804" s="32">
        <f>D804*2.1</f>
        <v/>
      </c>
      <c r="AF804" s="7">
        <f>AD804-AE804</f>
        <v/>
      </c>
      <c r="AG804" s="7">
        <f>AF804/AD804*100</f>
        <v/>
      </c>
      <c r="AH804" s="0" t="n">
        <v>2795</v>
      </c>
      <c r="AI804" s="33" t="n">
        <v>1365</v>
      </c>
      <c r="AJ804" s="34">
        <f>AD804</f>
        <v/>
      </c>
      <c r="AK804" s="34">
        <f>AJ804-(AJ804*7%)</f>
        <v/>
      </c>
      <c r="AL804" s="35">
        <f>AJ804/94</f>
        <v/>
      </c>
      <c r="AM804" s="35">
        <f>AK804/94</f>
        <v/>
      </c>
      <c r="AN804" s="36">
        <f>AJ804/24</f>
        <v/>
      </c>
      <c r="AO804" s="36">
        <f>AK804/24</f>
        <v/>
      </c>
      <c r="AP804" s="37">
        <f>AJ804/125</f>
        <v/>
      </c>
      <c r="AQ804" s="37">
        <f>AK804/125</f>
        <v/>
      </c>
    </row>
    <row r="805" ht="15.75" customHeight="1" s="50">
      <c r="A805" s="32" t="n"/>
      <c r="B805" s="32" t="inlineStr">
        <is>
          <t>Misty Blue</t>
        </is>
      </c>
      <c r="C805" s="32" t="inlineStr">
        <is>
          <t>Co-Me-C-Z-Zn-MB</t>
        </is>
      </c>
      <c r="D805" s="32" t="n">
        <v>1430</v>
      </c>
      <c r="G805" s="32" t="n">
        <v>0</v>
      </c>
      <c r="H805" s="32" t="n">
        <v>10</v>
      </c>
      <c r="I805" s="41" t="n">
        <v>94041000</v>
      </c>
      <c r="J805" s="30" t="n">
        <v>0.18</v>
      </c>
      <c r="K805" s="32">
        <f>D805*J805</f>
        <v/>
      </c>
      <c r="L805" s="32">
        <f>D805*5%</f>
        <v/>
      </c>
      <c r="M805" s="32">
        <f>D805*4%</f>
        <v/>
      </c>
      <c r="N805" s="49">
        <f>M805+L805+K805+H805+G805+F805+E805+D805</f>
        <v/>
      </c>
      <c r="O805" s="32">
        <f>D805*1%</f>
        <v/>
      </c>
      <c r="P805" s="7">
        <f>N805*8%</f>
        <v/>
      </c>
      <c r="Q805" s="7">
        <f>N805*10%</f>
        <v/>
      </c>
      <c r="R805" s="7">
        <f>N805*5%</f>
        <v/>
      </c>
      <c r="S805" s="7">
        <f>N805*2%</f>
        <v/>
      </c>
      <c r="T805" s="7">
        <f>AE805*0.5%</f>
        <v/>
      </c>
      <c r="U805" s="7">
        <f>N805*1%</f>
        <v/>
      </c>
      <c r="V805" s="31">
        <f>U805+S805+R805+Q805+P805+O805</f>
        <v/>
      </c>
      <c r="W805" s="32">
        <f>AE805*1%</f>
        <v/>
      </c>
      <c r="X805" s="32">
        <f>AE805*10%</f>
        <v/>
      </c>
      <c r="Y805" s="32">
        <f>AE805*1%</f>
        <v/>
      </c>
      <c r="Z805" s="32">
        <f>AE805*8%</f>
        <v/>
      </c>
      <c r="AA805" s="32">
        <f>W805+X805+Y805+Z805</f>
        <v/>
      </c>
      <c r="AB805" s="31">
        <f>AA805+V805+N805</f>
        <v/>
      </c>
      <c r="AC805" s="6">
        <f>AB805*20%</f>
        <v/>
      </c>
      <c r="AD805" s="7">
        <f>AB805+AC805</f>
        <v/>
      </c>
      <c r="AE805" s="32">
        <f>D805*2.1</f>
        <v/>
      </c>
      <c r="AF805" s="7">
        <f>AD805-AE805</f>
        <v/>
      </c>
      <c r="AG805" s="7">
        <f>AF805/AD805*100</f>
        <v/>
      </c>
      <c r="AH805" s="0" t="n">
        <v>2795</v>
      </c>
      <c r="AI805" s="33" t="n">
        <v>1365</v>
      </c>
      <c r="AJ805" s="34">
        <f>AD805</f>
        <v/>
      </c>
      <c r="AK805" s="34">
        <f>AJ805-(AJ805*7%)</f>
        <v/>
      </c>
      <c r="AL805" s="35">
        <f>AJ805/94</f>
        <v/>
      </c>
      <c r="AM805" s="35">
        <f>AK805/94</f>
        <v/>
      </c>
      <c r="AN805" s="36">
        <f>AJ805/24</f>
        <v/>
      </c>
      <c r="AO805" s="36">
        <f>AK805/24</f>
        <v/>
      </c>
      <c r="AP805" s="37">
        <f>AJ805/125</f>
        <v/>
      </c>
      <c r="AQ805" s="37">
        <f>AK805/125</f>
        <v/>
      </c>
    </row>
    <row r="806" ht="15.75" customHeight="1" s="50">
      <c r="A806" s="32" t="n"/>
      <c r="B806" s="32" t="inlineStr">
        <is>
          <t>Navy Blue</t>
        </is>
      </c>
      <c r="C806" s="32" t="inlineStr">
        <is>
          <t>CO-Me-Zf-Zn-C-NB</t>
        </is>
      </c>
      <c r="D806" s="32" t="n">
        <v>1430</v>
      </c>
      <c r="G806" s="32" t="n">
        <v>0</v>
      </c>
      <c r="H806" s="32" t="n">
        <v>10</v>
      </c>
      <c r="I806" s="41" t="n">
        <v>94041000</v>
      </c>
      <c r="J806" s="30" t="n">
        <v>0.18</v>
      </c>
      <c r="K806" s="32">
        <f>D806*J806</f>
        <v/>
      </c>
      <c r="L806" s="32">
        <f>D806*5%</f>
        <v/>
      </c>
      <c r="M806" s="32">
        <f>D806*4%</f>
        <v/>
      </c>
      <c r="N806" s="49">
        <f>M806+L806+K806+H806+G806+F806+E806+D806</f>
        <v/>
      </c>
      <c r="O806" s="32">
        <f>D806*1%</f>
        <v/>
      </c>
      <c r="P806" s="7">
        <f>N806*8%</f>
        <v/>
      </c>
      <c r="Q806" s="7">
        <f>N806*10%</f>
        <v/>
      </c>
      <c r="R806" s="7">
        <f>N806*5%</f>
        <v/>
      </c>
      <c r="S806" s="7">
        <f>N806*2%</f>
        <v/>
      </c>
      <c r="T806" s="7">
        <f>AE806*0.5%</f>
        <v/>
      </c>
      <c r="U806" s="7">
        <f>N806*1%</f>
        <v/>
      </c>
      <c r="V806" s="31">
        <f>U806+S806+R806+Q806+P806+O806</f>
        <v/>
      </c>
      <c r="W806" s="32">
        <f>AE806*1%</f>
        <v/>
      </c>
      <c r="X806" s="32">
        <f>AE806*10%</f>
        <v/>
      </c>
      <c r="Y806" s="32">
        <f>AE806*1%</f>
        <v/>
      </c>
      <c r="Z806" s="32">
        <f>AE806*8%</f>
        <v/>
      </c>
      <c r="AA806" s="32">
        <f>W806+X806+Y806+Z806</f>
        <v/>
      </c>
      <c r="AB806" s="31">
        <f>AA806+V806+N806</f>
        <v/>
      </c>
      <c r="AC806" s="6">
        <f>AB806*20%</f>
        <v/>
      </c>
      <c r="AD806" s="7">
        <f>AB806+AC806</f>
        <v/>
      </c>
      <c r="AE806" s="32">
        <f>D806*2.1</f>
        <v/>
      </c>
      <c r="AF806" s="7">
        <f>AD806-AE806</f>
        <v/>
      </c>
      <c r="AG806" s="7">
        <f>AF806/AD806*100</f>
        <v/>
      </c>
      <c r="AH806" s="0" t="n">
        <v>2795</v>
      </c>
      <c r="AI806" s="33" t="n">
        <v>1365</v>
      </c>
      <c r="AJ806" s="34">
        <f>AD806</f>
        <v/>
      </c>
      <c r="AK806" s="34">
        <f>AJ806-(AJ806*7%)</f>
        <v/>
      </c>
      <c r="AL806" s="35">
        <f>AJ806/94</f>
        <v/>
      </c>
      <c r="AM806" s="35">
        <f>AK806/94</f>
        <v/>
      </c>
      <c r="AN806" s="36">
        <f>AJ806/24</f>
        <v/>
      </c>
      <c r="AO806" s="36">
        <f>AK806/24</f>
        <v/>
      </c>
      <c r="AP806" s="37">
        <f>AJ806/125</f>
        <v/>
      </c>
      <c r="AQ806" s="37">
        <f>AK806/125</f>
        <v/>
      </c>
    </row>
    <row r="807" ht="15" customHeight="1" s="50">
      <c r="A807" s="32" t="inlineStr">
        <is>
          <t>Zafu &amp; Zabuton Meditation Cushion Combo - Lotus Embroidery</t>
        </is>
      </c>
      <c r="B807" s="32" t="inlineStr">
        <is>
          <t>Lavender</t>
        </is>
      </c>
      <c r="C807" s="32" t="inlineStr">
        <is>
          <t>Co-Me-C-Z-Zn-LR-E-L</t>
        </is>
      </c>
      <c r="D807" s="32" t="n">
        <v>1470</v>
      </c>
      <c r="G807" s="32" t="n">
        <v>0</v>
      </c>
      <c r="H807" s="32" t="n">
        <v>10</v>
      </c>
      <c r="I807" s="41" t="n">
        <v>94041000</v>
      </c>
      <c r="J807" s="30" t="n">
        <v>0.18</v>
      </c>
      <c r="K807" s="32">
        <f>D807*J807</f>
        <v/>
      </c>
      <c r="L807" s="32">
        <f>D807*5%</f>
        <v/>
      </c>
      <c r="M807" s="32">
        <f>D807*4%</f>
        <v/>
      </c>
      <c r="N807" s="49">
        <f>M807+L807+K807+H807+G807+F807+E807+D807</f>
        <v/>
      </c>
      <c r="O807" s="32">
        <f>D807*1%</f>
        <v/>
      </c>
      <c r="P807" s="7">
        <f>N807*8%</f>
        <v/>
      </c>
      <c r="Q807" s="7">
        <f>N807*10%</f>
        <v/>
      </c>
      <c r="R807" s="7">
        <f>N807*5%</f>
        <v/>
      </c>
      <c r="S807" s="7">
        <f>N807*2%</f>
        <v/>
      </c>
      <c r="T807" s="7">
        <f>AE807*0.5%</f>
        <v/>
      </c>
      <c r="U807" s="7">
        <f>N807*1%</f>
        <v/>
      </c>
      <c r="V807" s="31">
        <f>U807+S807+R807+Q807+P807+O807</f>
        <v/>
      </c>
      <c r="W807" s="32">
        <f>AE807*1%</f>
        <v/>
      </c>
      <c r="X807" s="32">
        <f>AE807*10%</f>
        <v/>
      </c>
      <c r="Y807" s="32">
        <f>AE807*1%</f>
        <v/>
      </c>
      <c r="Z807" s="32">
        <f>AE807*8%</f>
        <v/>
      </c>
      <c r="AA807" s="32">
        <f>W807+X807+Y807+Z807</f>
        <v/>
      </c>
      <c r="AB807" s="31">
        <f>AA807+V807+N807</f>
        <v/>
      </c>
      <c r="AC807" s="6">
        <f>AB807*20%</f>
        <v/>
      </c>
      <c r="AD807" s="7">
        <f>AB807+AC807</f>
        <v/>
      </c>
      <c r="AE807" s="32">
        <f>D807*2.1</f>
        <v/>
      </c>
      <c r="AF807" s="7">
        <f>AD807-AE807</f>
        <v/>
      </c>
      <c r="AG807" s="7">
        <f>AF807/AD807*100</f>
        <v/>
      </c>
      <c r="AH807" s="0" t="n">
        <v>2995</v>
      </c>
      <c r="AI807" s="33" t="n">
        <v>1525</v>
      </c>
      <c r="AJ807" s="34">
        <f>AD807</f>
        <v/>
      </c>
      <c r="AK807" s="34">
        <f>AJ807-(AJ807*7%)</f>
        <v/>
      </c>
      <c r="AL807" s="35">
        <f>AJ807/94</f>
        <v/>
      </c>
      <c r="AM807" s="35">
        <f>AK807/94</f>
        <v/>
      </c>
      <c r="AN807" s="36">
        <f>AJ807/24</f>
        <v/>
      </c>
      <c r="AO807" s="36">
        <f>AK807/24</f>
        <v/>
      </c>
      <c r="AP807" s="37">
        <f>AJ807/125</f>
        <v/>
      </c>
      <c r="AQ807" s="37">
        <f>AK807/125</f>
        <v/>
      </c>
    </row>
    <row r="808" ht="15.75" customHeight="1" s="50">
      <c r="A808" s="32" t="n"/>
      <c r="B808" s="32" t="inlineStr">
        <is>
          <t>Light Grey</t>
        </is>
      </c>
      <c r="C808" s="32" t="inlineStr">
        <is>
          <t>Co-Me-C-Z-Zn-LG-E-L</t>
        </is>
      </c>
      <c r="D808" s="32" t="n">
        <v>1470</v>
      </c>
      <c r="G808" s="32" t="n">
        <v>0</v>
      </c>
      <c r="H808" s="32" t="n">
        <v>10</v>
      </c>
      <c r="I808" s="41" t="n">
        <v>94041000</v>
      </c>
      <c r="J808" s="30" t="n">
        <v>0.18</v>
      </c>
      <c r="K808" s="32">
        <f>D808*J808</f>
        <v/>
      </c>
      <c r="L808" s="32">
        <f>D808*5%</f>
        <v/>
      </c>
      <c r="M808" s="32">
        <f>D808*4%</f>
        <v/>
      </c>
      <c r="N808" s="49">
        <f>M808+L808+K808+H808+G808+F808+E808+D808</f>
        <v/>
      </c>
      <c r="O808" s="32">
        <f>D808*1%</f>
        <v/>
      </c>
      <c r="P808" s="7">
        <f>N808*8%</f>
        <v/>
      </c>
      <c r="Q808" s="7">
        <f>N808*10%</f>
        <v/>
      </c>
      <c r="R808" s="7">
        <f>N808*5%</f>
        <v/>
      </c>
      <c r="S808" s="7">
        <f>N808*2%</f>
        <v/>
      </c>
      <c r="T808" s="7">
        <f>AE808*0.5%</f>
        <v/>
      </c>
      <c r="U808" s="7">
        <f>N808*1%</f>
        <v/>
      </c>
      <c r="V808" s="31">
        <f>U808+S808+R808+Q808+P808+O808</f>
        <v/>
      </c>
      <c r="W808" s="32">
        <f>AE808*1%</f>
        <v/>
      </c>
      <c r="X808" s="32">
        <f>AE808*10%</f>
        <v/>
      </c>
      <c r="Y808" s="32">
        <f>AE808*1%</f>
        <v/>
      </c>
      <c r="Z808" s="32">
        <f>AE808*8%</f>
        <v/>
      </c>
      <c r="AA808" s="32">
        <f>W808+X808+Y808+Z808</f>
        <v/>
      </c>
      <c r="AB808" s="31">
        <f>AA808+V808+N808</f>
        <v/>
      </c>
      <c r="AC808" s="6">
        <f>AB808*20%</f>
        <v/>
      </c>
      <c r="AD808" s="7">
        <f>AB808+AC808</f>
        <v/>
      </c>
      <c r="AE808" s="32">
        <f>D808*2.1</f>
        <v/>
      </c>
      <c r="AF808" s="7">
        <f>AD808-AE808</f>
        <v/>
      </c>
      <c r="AG808" s="7">
        <f>AF808/AD808*100</f>
        <v/>
      </c>
      <c r="AH808" s="0" t="n">
        <v>2995</v>
      </c>
      <c r="AI808" s="33" t="n">
        <v>1525</v>
      </c>
      <c r="AJ808" s="34">
        <f>AD808</f>
        <v/>
      </c>
      <c r="AK808" s="34">
        <f>AJ808-(AJ808*7%)</f>
        <v/>
      </c>
      <c r="AL808" s="35">
        <f>AJ808/94</f>
        <v/>
      </c>
      <c r="AM808" s="35">
        <f>AK808/94</f>
        <v/>
      </c>
      <c r="AN808" s="36">
        <f>AJ808/24</f>
        <v/>
      </c>
      <c r="AO808" s="36">
        <f>AK808/24</f>
        <v/>
      </c>
      <c r="AP808" s="37">
        <f>AJ808/125</f>
        <v/>
      </c>
      <c r="AQ808" s="37">
        <f>AK808/125</f>
        <v/>
      </c>
    </row>
    <row r="809" ht="15.75" customHeight="1" s="50">
      <c r="A809" s="32" t="n"/>
      <c r="B809" s="32" t="inlineStr">
        <is>
          <t>Misty Blue</t>
        </is>
      </c>
      <c r="C809" s="32" t="inlineStr">
        <is>
          <t>Co-Me-C-Z-Zn-MB-E-L</t>
        </is>
      </c>
      <c r="D809" s="32" t="n">
        <v>1470</v>
      </c>
      <c r="G809" s="32" t="n">
        <v>0</v>
      </c>
      <c r="H809" s="32" t="n">
        <v>10</v>
      </c>
      <c r="I809" s="41" t="n">
        <v>94041000</v>
      </c>
      <c r="J809" s="30" t="n">
        <v>0.18</v>
      </c>
      <c r="K809" s="32">
        <f>D809*J809</f>
        <v/>
      </c>
      <c r="L809" s="32">
        <f>D809*5%</f>
        <v/>
      </c>
      <c r="M809" s="32">
        <f>D809*4%</f>
        <v/>
      </c>
      <c r="N809" s="49">
        <f>M809+L809+K809+H809+G809+F809+E809+D809</f>
        <v/>
      </c>
      <c r="O809" s="32">
        <f>D809*1%</f>
        <v/>
      </c>
      <c r="P809" s="7">
        <f>N809*8%</f>
        <v/>
      </c>
      <c r="Q809" s="7">
        <f>N809*10%</f>
        <v/>
      </c>
      <c r="R809" s="7">
        <f>N809*5%</f>
        <v/>
      </c>
      <c r="S809" s="7">
        <f>N809*2%</f>
        <v/>
      </c>
      <c r="T809" s="7">
        <f>AE809*0.5%</f>
        <v/>
      </c>
      <c r="U809" s="7">
        <f>N809*1%</f>
        <v/>
      </c>
      <c r="V809" s="31">
        <f>U809+S809+R809+Q809+P809+O809</f>
        <v/>
      </c>
      <c r="W809" s="32">
        <f>AE809*1%</f>
        <v/>
      </c>
      <c r="X809" s="32">
        <f>AE809*10%</f>
        <v/>
      </c>
      <c r="Y809" s="32">
        <f>AE809*1%</f>
        <v/>
      </c>
      <c r="Z809" s="32">
        <f>AE809*8%</f>
        <v/>
      </c>
      <c r="AA809" s="32">
        <f>W809+X809+Y809+Z809</f>
        <v/>
      </c>
      <c r="AB809" s="31">
        <f>AA809+V809+N809</f>
        <v/>
      </c>
      <c r="AC809" s="6">
        <f>AB809*20%</f>
        <v/>
      </c>
      <c r="AD809" s="7">
        <f>AB809+AC809</f>
        <v/>
      </c>
      <c r="AE809" s="32">
        <f>D809*2.1</f>
        <v/>
      </c>
      <c r="AF809" s="7">
        <f>AD809-AE809</f>
        <v/>
      </c>
      <c r="AG809" s="7">
        <f>AF809/AD809*100</f>
        <v/>
      </c>
      <c r="AH809" s="0" t="n">
        <v>2995</v>
      </c>
      <c r="AI809" s="33" t="n">
        <v>1525</v>
      </c>
      <c r="AJ809" s="34">
        <f>AD809</f>
        <v/>
      </c>
      <c r="AK809" s="34">
        <f>AJ809-(AJ809*7%)</f>
        <v/>
      </c>
      <c r="AL809" s="35">
        <f>AJ809/94</f>
        <v/>
      </c>
      <c r="AM809" s="35">
        <f>AK809/94</f>
        <v/>
      </c>
      <c r="AN809" s="36">
        <f>AJ809/24</f>
        <v/>
      </c>
      <c r="AO809" s="36">
        <f>AK809/24</f>
        <v/>
      </c>
      <c r="AP809" s="37">
        <f>AJ809/125</f>
        <v/>
      </c>
      <c r="AQ809" s="37">
        <f>AK809/125</f>
        <v/>
      </c>
    </row>
    <row r="810" ht="15" customHeight="1" s="50">
      <c r="A810" s="32" t="inlineStr">
        <is>
          <t>Zafu Meditation Cushion Lotus - Embroidery Filled with Cotton</t>
        </is>
      </c>
      <c r="B810" s="32" t="inlineStr">
        <is>
          <t>Rose</t>
        </is>
      </c>
      <c r="C810" s="32" t="inlineStr">
        <is>
          <t>Me-C-RZ-R-E-L</t>
        </is>
      </c>
      <c r="D810" s="32" t="n">
        <v>524</v>
      </c>
      <c r="G810" s="32" t="n">
        <v>0</v>
      </c>
      <c r="H810" s="32" t="n">
        <v>10</v>
      </c>
      <c r="I810" s="41" t="n">
        <v>94041000</v>
      </c>
      <c r="J810" s="30" t="n">
        <v>0.18</v>
      </c>
      <c r="K810" s="32">
        <f>D810*J810</f>
        <v/>
      </c>
      <c r="M810" s="32">
        <f>D810*4%</f>
        <v/>
      </c>
      <c r="N810" s="49">
        <f>M810+L810+K810+H810+G810+F810+E810+D810</f>
        <v/>
      </c>
      <c r="O810" s="32">
        <f>D810*1%</f>
        <v/>
      </c>
      <c r="P810" s="7">
        <f>N810*8%</f>
        <v/>
      </c>
      <c r="Q810" s="7">
        <f>N810*10%</f>
        <v/>
      </c>
      <c r="R810" s="7">
        <f>N810*5%</f>
        <v/>
      </c>
      <c r="S810" s="7">
        <f>N810*2%</f>
        <v/>
      </c>
      <c r="T810" s="7">
        <f>AE810*0.5%</f>
        <v/>
      </c>
      <c r="U810" s="7">
        <f>N810*1%</f>
        <v/>
      </c>
      <c r="V810" s="31">
        <f>U810+S810+R810+Q810+P810+O810</f>
        <v/>
      </c>
      <c r="W810" s="32">
        <f>AE810*1%</f>
        <v/>
      </c>
      <c r="X810" s="32">
        <f>AE810*10%</f>
        <v/>
      </c>
      <c r="Y810" s="32">
        <f>AE810*1%</f>
        <v/>
      </c>
      <c r="Z810" s="32">
        <f>AE810*8%</f>
        <v/>
      </c>
      <c r="AA810" s="32">
        <f>W810+X810+Y810+Z810</f>
        <v/>
      </c>
      <c r="AB810" s="31">
        <f>AA810+V810+N810</f>
        <v/>
      </c>
      <c r="AC810" s="6">
        <f>AB810*20%</f>
        <v/>
      </c>
      <c r="AD810" s="7">
        <f>AB810+AC810</f>
        <v/>
      </c>
      <c r="AE810" s="32">
        <f>D810*2.1</f>
        <v/>
      </c>
      <c r="AF810" s="7">
        <f>AD810-AE810</f>
        <v/>
      </c>
      <c r="AG810" s="7">
        <f>AF810/AD810*100</f>
        <v/>
      </c>
      <c r="AH810" s="0" t="n">
        <v>1385</v>
      </c>
      <c r="AI810" s="33" t="n">
        <v>861</v>
      </c>
      <c r="AJ810" s="34">
        <f>AD810</f>
        <v/>
      </c>
      <c r="AK810" s="34">
        <f>AJ810-(AJ810*7%)</f>
        <v/>
      </c>
      <c r="AL810" s="35">
        <f>AJ810/94</f>
        <v/>
      </c>
      <c r="AM810" s="35">
        <f>AK810/94</f>
        <v/>
      </c>
      <c r="AN810" s="36">
        <f>AJ810/24</f>
        <v/>
      </c>
      <c r="AO810" s="36">
        <f>AK810/24</f>
        <v/>
      </c>
      <c r="AP810" s="37">
        <f>AJ810/125</f>
        <v/>
      </c>
      <c r="AQ810" s="37">
        <f>AK810/125</f>
        <v/>
      </c>
    </row>
    <row r="811" ht="15.75" customHeight="1" s="50">
      <c r="A811" s="32" t="n"/>
      <c r="B811" s="32" t="inlineStr">
        <is>
          <t>Light Grey</t>
        </is>
      </c>
      <c r="C811" s="32" t="inlineStr">
        <is>
          <t>Me-C-RZ-LG-E-L</t>
        </is>
      </c>
      <c r="D811" s="32" t="n">
        <v>524</v>
      </c>
      <c r="G811" s="32" t="n">
        <v>0</v>
      </c>
      <c r="H811" s="32" t="n">
        <v>10</v>
      </c>
      <c r="I811" s="41" t="n">
        <v>94041000</v>
      </c>
      <c r="J811" s="30" t="n">
        <v>0.18</v>
      </c>
      <c r="K811" s="32">
        <f>D811*J811</f>
        <v/>
      </c>
      <c r="M811" s="32">
        <f>D811*4%</f>
        <v/>
      </c>
      <c r="N811" s="49">
        <f>M811+L811+K811+H811+G811+F811+E811+D811</f>
        <v/>
      </c>
      <c r="O811" s="32">
        <f>D811*1%</f>
        <v/>
      </c>
      <c r="P811" s="7">
        <f>N811*8%</f>
        <v/>
      </c>
      <c r="Q811" s="7">
        <f>N811*10%</f>
        <v/>
      </c>
      <c r="R811" s="7">
        <f>N811*5%</f>
        <v/>
      </c>
      <c r="S811" s="7">
        <f>N811*2%</f>
        <v/>
      </c>
      <c r="T811" s="7">
        <f>AE811*0.5%</f>
        <v/>
      </c>
      <c r="U811" s="7">
        <f>N811*1%</f>
        <v/>
      </c>
      <c r="V811" s="31">
        <f>U811+S811+R811+Q811+P811+O811</f>
        <v/>
      </c>
      <c r="W811" s="32">
        <f>AE811*1%</f>
        <v/>
      </c>
      <c r="X811" s="32">
        <f>AE811*10%</f>
        <v/>
      </c>
      <c r="Y811" s="32">
        <f>AE811*1%</f>
        <v/>
      </c>
      <c r="Z811" s="32">
        <f>AE811*8%</f>
        <v/>
      </c>
      <c r="AA811" s="32">
        <f>W811+X811+Y811+Z811</f>
        <v/>
      </c>
      <c r="AB811" s="31">
        <f>AA811+V811+N811</f>
        <v/>
      </c>
      <c r="AC811" s="6">
        <f>AB811*20%</f>
        <v/>
      </c>
      <c r="AD811" s="7">
        <f>AB811+AC811</f>
        <v/>
      </c>
      <c r="AE811" s="32">
        <f>D811*2.1</f>
        <v/>
      </c>
      <c r="AF811" s="7">
        <f>AD811-AE811</f>
        <v/>
      </c>
      <c r="AG811" s="7">
        <f>AF811/AD811*100</f>
        <v/>
      </c>
      <c r="AH811" s="0" t="n">
        <v>1385</v>
      </c>
      <c r="AI811" s="33" t="n">
        <v>861</v>
      </c>
      <c r="AJ811" s="34">
        <f>AD811</f>
        <v/>
      </c>
      <c r="AK811" s="34">
        <f>AJ811-(AJ811*7%)</f>
        <v/>
      </c>
      <c r="AL811" s="35">
        <f>AJ811/94</f>
        <v/>
      </c>
      <c r="AM811" s="35">
        <f>AK811/94</f>
        <v/>
      </c>
      <c r="AN811" s="36">
        <f>AJ811/24</f>
        <v/>
      </c>
      <c r="AO811" s="36">
        <f>AK811/24</f>
        <v/>
      </c>
      <c r="AP811" s="37">
        <f>AJ811/125</f>
        <v/>
      </c>
      <c r="AQ811" s="37">
        <f>AK811/125</f>
        <v/>
      </c>
    </row>
    <row r="812" ht="15.75" customHeight="1" s="50">
      <c r="A812" s="32" t="n"/>
      <c r="B812" s="32" t="inlineStr">
        <is>
          <t>Lavender</t>
        </is>
      </c>
      <c r="C812" s="32" t="inlineStr">
        <is>
          <t>Me-C-RZ-LR-E-L</t>
        </is>
      </c>
      <c r="D812" s="32" t="n">
        <v>524</v>
      </c>
      <c r="G812" s="32" t="n">
        <v>0</v>
      </c>
      <c r="H812" s="32" t="n">
        <v>10</v>
      </c>
      <c r="I812" s="41" t="n">
        <v>94041000</v>
      </c>
      <c r="J812" s="30" t="n">
        <v>0.18</v>
      </c>
      <c r="K812" s="32">
        <f>D812*J812</f>
        <v/>
      </c>
      <c r="M812" s="32">
        <f>D812*4%</f>
        <v/>
      </c>
      <c r="N812" s="49">
        <f>M812+L812+K812+H812+G812+F812+E812+D812</f>
        <v/>
      </c>
      <c r="O812" s="32">
        <f>D812*1%</f>
        <v/>
      </c>
      <c r="P812" s="7">
        <f>N812*8%</f>
        <v/>
      </c>
      <c r="Q812" s="7">
        <f>N812*10%</f>
        <v/>
      </c>
      <c r="R812" s="7">
        <f>N812*5%</f>
        <v/>
      </c>
      <c r="S812" s="7">
        <f>N812*2%</f>
        <v/>
      </c>
      <c r="T812" s="7">
        <f>AE812*0.5%</f>
        <v/>
      </c>
      <c r="U812" s="7">
        <f>N812*1%</f>
        <v/>
      </c>
      <c r="V812" s="31">
        <f>U812+S812+R812+Q812+P812+O812</f>
        <v/>
      </c>
      <c r="W812" s="32">
        <f>AE812*1%</f>
        <v/>
      </c>
      <c r="X812" s="32">
        <f>AE812*10%</f>
        <v/>
      </c>
      <c r="Y812" s="32">
        <f>AE812*1%</f>
        <v/>
      </c>
      <c r="Z812" s="32">
        <f>AE812*8%</f>
        <v/>
      </c>
      <c r="AA812" s="32">
        <f>W812+X812+Y812+Z812</f>
        <v/>
      </c>
      <c r="AB812" s="31">
        <f>AA812+V812+N812</f>
        <v/>
      </c>
      <c r="AC812" s="6">
        <f>AB812*20%</f>
        <v/>
      </c>
      <c r="AD812" s="7">
        <f>AB812+AC812</f>
        <v/>
      </c>
      <c r="AE812" s="32">
        <f>D812*2.1</f>
        <v/>
      </c>
      <c r="AF812" s="7">
        <f>AD812-AE812</f>
        <v/>
      </c>
      <c r="AG812" s="7">
        <f>AF812/AD812*100</f>
        <v/>
      </c>
      <c r="AH812" s="0" t="n">
        <v>1385</v>
      </c>
      <c r="AI812" s="33" t="n">
        <v>861</v>
      </c>
      <c r="AJ812" s="34">
        <f>AD812</f>
        <v/>
      </c>
      <c r="AK812" s="34">
        <f>AJ812-(AJ812*7%)</f>
        <v/>
      </c>
      <c r="AL812" s="35">
        <f>AJ812/94</f>
        <v/>
      </c>
      <c r="AM812" s="35">
        <f>AK812/94</f>
        <v/>
      </c>
      <c r="AN812" s="36">
        <f>AJ812/24</f>
        <v/>
      </c>
      <c r="AO812" s="36">
        <f>AK812/24</f>
        <v/>
      </c>
      <c r="AP812" s="37">
        <f>AJ812/125</f>
        <v/>
      </c>
      <c r="AQ812" s="37">
        <f>AK812/125</f>
        <v/>
      </c>
    </row>
    <row r="813" ht="15.75" customHeight="1" s="50">
      <c r="A813" s="32" t="n"/>
      <c r="B813" s="32" t="inlineStr">
        <is>
          <t>Misty Blue</t>
        </is>
      </c>
      <c r="C813" s="32" t="inlineStr">
        <is>
          <t>Me-C-RZ-MB-E-L</t>
        </is>
      </c>
      <c r="D813" s="32" t="n">
        <v>524</v>
      </c>
      <c r="G813" s="32" t="n">
        <v>0</v>
      </c>
      <c r="H813" s="32" t="n">
        <v>10</v>
      </c>
      <c r="I813" s="41" t="n">
        <v>94041000</v>
      </c>
      <c r="J813" s="30" t="n">
        <v>0.18</v>
      </c>
      <c r="K813" s="32">
        <f>D813*J813</f>
        <v/>
      </c>
      <c r="M813" s="32">
        <f>D813*4%</f>
        <v/>
      </c>
      <c r="N813" s="49">
        <f>M813+L813+K813+H813+G813+F813+E813+D813</f>
        <v/>
      </c>
      <c r="O813" s="32">
        <f>D813*1%</f>
        <v/>
      </c>
      <c r="P813" s="7">
        <f>N813*8%</f>
        <v/>
      </c>
      <c r="Q813" s="7">
        <f>N813*10%</f>
        <v/>
      </c>
      <c r="R813" s="7">
        <f>N813*5%</f>
        <v/>
      </c>
      <c r="S813" s="7">
        <f>N813*2%</f>
        <v/>
      </c>
      <c r="T813" s="7">
        <f>AE813*0.5%</f>
        <v/>
      </c>
      <c r="U813" s="7">
        <f>N813*1%</f>
        <v/>
      </c>
      <c r="V813" s="31">
        <f>U813+S813+R813+Q813+P813+O813</f>
        <v/>
      </c>
      <c r="W813" s="32">
        <f>AE813*1%</f>
        <v/>
      </c>
      <c r="X813" s="32">
        <f>AE813*10%</f>
        <v/>
      </c>
      <c r="Y813" s="32">
        <f>AE813*1%</f>
        <v/>
      </c>
      <c r="Z813" s="32">
        <f>AE813*8%</f>
        <v/>
      </c>
      <c r="AA813" s="32">
        <f>W813+X813+Y813+Z813</f>
        <v/>
      </c>
      <c r="AB813" s="31">
        <f>AA813+V813+N813</f>
        <v/>
      </c>
      <c r="AC813" s="6">
        <f>AB813*20%</f>
        <v/>
      </c>
      <c r="AD813" s="7">
        <f>AB813+AC813</f>
        <v/>
      </c>
      <c r="AE813" s="32">
        <f>D813*2.1</f>
        <v/>
      </c>
      <c r="AF813" s="7">
        <f>AD813-AE813</f>
        <v/>
      </c>
      <c r="AG813" s="7">
        <f>AF813/AD813*100</f>
        <v/>
      </c>
      <c r="AH813" s="0" t="n">
        <v>1385</v>
      </c>
      <c r="AI813" s="33" t="n">
        <v>861</v>
      </c>
      <c r="AJ813" s="34">
        <f>AD813</f>
        <v/>
      </c>
      <c r="AK813" s="34">
        <f>AJ813-(AJ813*7%)</f>
        <v/>
      </c>
      <c r="AL813" s="35">
        <f>AJ813/94</f>
        <v/>
      </c>
      <c r="AM813" s="35">
        <f>AK813/94</f>
        <v/>
      </c>
      <c r="AN813" s="36">
        <f>AJ813/24</f>
        <v/>
      </c>
      <c r="AO813" s="36">
        <f>AK813/24</f>
        <v/>
      </c>
      <c r="AP813" s="37">
        <f>AJ813/125</f>
        <v/>
      </c>
      <c r="AQ813" s="37">
        <f>AK813/125</f>
        <v/>
      </c>
    </row>
    <row r="814" ht="15.75" customHeight="1" s="50">
      <c r="A814" s="32" t="n"/>
      <c r="B814" s="32" t="inlineStr">
        <is>
          <t>Sage</t>
        </is>
      </c>
      <c r="C814" s="32" t="inlineStr">
        <is>
          <t>Me-C-RZ-S-E-L</t>
        </is>
      </c>
      <c r="D814" s="32" t="n">
        <v>524</v>
      </c>
      <c r="G814" s="32" t="n">
        <v>0</v>
      </c>
      <c r="H814" s="32" t="n">
        <v>10</v>
      </c>
      <c r="I814" s="41" t="n">
        <v>94041000</v>
      </c>
      <c r="J814" s="30" t="n">
        <v>0.18</v>
      </c>
      <c r="K814" s="32">
        <f>D814*J814</f>
        <v/>
      </c>
      <c r="M814" s="32">
        <f>D814*4%</f>
        <v/>
      </c>
      <c r="N814" s="49">
        <f>M814+L814+K814+H814+G814+F814+E814+D814</f>
        <v/>
      </c>
      <c r="O814" s="32">
        <f>D814*1%</f>
        <v/>
      </c>
      <c r="P814" s="7">
        <f>N814*8%</f>
        <v/>
      </c>
      <c r="Q814" s="7">
        <f>N814*10%</f>
        <v/>
      </c>
      <c r="R814" s="7">
        <f>N814*5%</f>
        <v/>
      </c>
      <c r="S814" s="7">
        <f>N814*2%</f>
        <v/>
      </c>
      <c r="T814" s="7">
        <f>AE814*0.5%</f>
        <v/>
      </c>
      <c r="U814" s="7">
        <f>N814*1%</f>
        <v/>
      </c>
      <c r="V814" s="31">
        <f>U814+S814+R814+Q814+P814+O814</f>
        <v/>
      </c>
      <c r="W814" s="32">
        <f>AE814*1%</f>
        <v/>
      </c>
      <c r="X814" s="32">
        <f>AE814*10%</f>
        <v/>
      </c>
      <c r="Y814" s="32">
        <f>AE814*1%</f>
        <v/>
      </c>
      <c r="Z814" s="32">
        <f>AE814*8%</f>
        <v/>
      </c>
      <c r="AA814" s="32">
        <f>W814+X814+Y814+Z814</f>
        <v/>
      </c>
      <c r="AB814" s="31">
        <f>AA814+V814+N814</f>
        <v/>
      </c>
      <c r="AC814" s="6">
        <f>AB814*20%</f>
        <v/>
      </c>
      <c r="AD814" s="7">
        <f>AB814+AC814</f>
        <v/>
      </c>
      <c r="AE814" s="32">
        <f>D814*2.1</f>
        <v/>
      </c>
      <c r="AF814" s="7">
        <f>AD814-AE814</f>
        <v/>
      </c>
      <c r="AG814" s="7">
        <f>AF814/AD814*100</f>
        <v/>
      </c>
      <c r="AH814" s="0" t="n">
        <v>1385</v>
      </c>
      <c r="AI814" s="33" t="n">
        <v>861</v>
      </c>
      <c r="AJ814" s="34">
        <f>AD814</f>
        <v/>
      </c>
      <c r="AK814" s="34">
        <f>AJ814-(AJ814*7%)</f>
        <v/>
      </c>
      <c r="AL814" s="35">
        <f>AJ814/94</f>
        <v/>
      </c>
      <c r="AM814" s="35">
        <f>AK814/94</f>
        <v/>
      </c>
      <c r="AN814" s="36">
        <f>AJ814/24</f>
        <v/>
      </c>
      <c r="AO814" s="36">
        <f>AK814/24</f>
        <v/>
      </c>
      <c r="AP814" s="37">
        <f>AJ814/125</f>
        <v/>
      </c>
      <c r="AQ814" s="37">
        <f>AK814/125</f>
        <v/>
      </c>
    </row>
    <row r="815" ht="15" customHeight="1" s="50">
      <c r="A815" s="32" t="inlineStr">
        <is>
          <t>Zafu Meditation Cushion Plain Filled with Cotton</t>
        </is>
      </c>
      <c r="B815" s="32" t="inlineStr">
        <is>
          <t>Dark Grey</t>
        </is>
      </c>
      <c r="C815" s="32" t="inlineStr">
        <is>
          <t>Me-Z-R-C-DG</t>
        </is>
      </c>
      <c r="D815" s="32" t="n">
        <v>465</v>
      </c>
      <c r="G815" s="32" t="n">
        <v>0</v>
      </c>
      <c r="H815" s="32" t="n">
        <v>10</v>
      </c>
      <c r="I815" s="41" t="n">
        <v>94041000</v>
      </c>
      <c r="J815" s="30" t="n">
        <v>0.18</v>
      </c>
      <c r="K815" s="32">
        <f>D815*J815</f>
        <v/>
      </c>
      <c r="M815" s="32">
        <f>D815*4%</f>
        <v/>
      </c>
      <c r="N815" s="49">
        <f>M815+L815+K815+H815+G815+F815+E815+D815</f>
        <v/>
      </c>
      <c r="O815" s="32">
        <f>D815*1%</f>
        <v/>
      </c>
      <c r="P815" s="7">
        <f>N815*8%</f>
        <v/>
      </c>
      <c r="Q815" s="7">
        <f>N815*10%</f>
        <v/>
      </c>
      <c r="R815" s="7">
        <f>N815*5%</f>
        <v/>
      </c>
      <c r="S815" s="7">
        <f>N815*2%</f>
        <v/>
      </c>
      <c r="T815" s="7">
        <f>AE815*0.5%</f>
        <v/>
      </c>
      <c r="U815" s="7">
        <f>N815*1%</f>
        <v/>
      </c>
      <c r="V815" s="31">
        <f>U815+S815+R815+Q815+P815+O815</f>
        <v/>
      </c>
      <c r="W815" s="32">
        <f>AE815*1%</f>
        <v/>
      </c>
      <c r="X815" s="32">
        <f>AE815*10%</f>
        <v/>
      </c>
      <c r="Y815" s="32">
        <f>AE815*1%</f>
        <v/>
      </c>
      <c r="Z815" s="32">
        <f>AE815*8%</f>
        <v/>
      </c>
      <c r="AA815" s="32">
        <f>W815+X815+Y815+Z815</f>
        <v/>
      </c>
      <c r="AB815" s="31">
        <f>AA815+V815+N815</f>
        <v/>
      </c>
      <c r="AC815" s="6">
        <f>AB815*20%</f>
        <v/>
      </c>
      <c r="AD815" s="7">
        <f>AB815+AC815</f>
        <v/>
      </c>
      <c r="AE815" s="32">
        <f>D815*2.1</f>
        <v/>
      </c>
      <c r="AF815" s="7">
        <f>AD815-AE815</f>
        <v/>
      </c>
      <c r="AG815" s="7">
        <f>AF815/AD815*100</f>
        <v/>
      </c>
      <c r="AH815" s="0" t="n">
        <v>1185</v>
      </c>
      <c r="AI815" s="33" t="n">
        <v>720</v>
      </c>
      <c r="AJ815" s="34">
        <f>AD815</f>
        <v/>
      </c>
      <c r="AK815" s="34">
        <f>AJ815-(AJ815*7%)</f>
        <v/>
      </c>
      <c r="AL815" s="35">
        <f>AJ815/94</f>
        <v/>
      </c>
      <c r="AM815" s="35">
        <f>AK815/94</f>
        <v/>
      </c>
      <c r="AN815" s="36">
        <f>AJ815/24</f>
        <v/>
      </c>
      <c r="AO815" s="36">
        <f>AK815/24</f>
        <v/>
      </c>
      <c r="AP815" s="37">
        <f>AJ815/125</f>
        <v/>
      </c>
      <c r="AQ815" s="37">
        <f>AK815/125</f>
        <v/>
      </c>
    </row>
    <row r="816" ht="15.75" customHeight="1" s="50">
      <c r="A816" s="32" t="n"/>
      <c r="B816" s="32" t="inlineStr">
        <is>
          <t>Grey</t>
        </is>
      </c>
      <c r="C816" s="32" t="inlineStr">
        <is>
          <t>Me-Z-R-C-GY</t>
        </is>
      </c>
      <c r="D816" s="32" t="n">
        <v>465</v>
      </c>
      <c r="G816" s="32" t="n">
        <v>0</v>
      </c>
      <c r="H816" s="32" t="n">
        <v>10</v>
      </c>
      <c r="I816" s="41" t="n">
        <v>94041000</v>
      </c>
      <c r="J816" s="30" t="n">
        <v>0.18</v>
      </c>
      <c r="K816" s="32">
        <f>D816*J816</f>
        <v/>
      </c>
      <c r="M816" s="32">
        <f>D816*4%</f>
        <v/>
      </c>
      <c r="N816" s="49">
        <f>M816+L816+K816+H816+G816+F816+E816+D816</f>
        <v/>
      </c>
      <c r="O816" s="32">
        <f>D816*1%</f>
        <v/>
      </c>
      <c r="P816" s="7">
        <f>N816*8%</f>
        <v/>
      </c>
      <c r="Q816" s="7">
        <f>N816*10%</f>
        <v/>
      </c>
      <c r="R816" s="7">
        <f>N816*5%</f>
        <v/>
      </c>
      <c r="S816" s="7">
        <f>N816*2%</f>
        <v/>
      </c>
      <c r="T816" s="7">
        <f>AE816*0.5%</f>
        <v/>
      </c>
      <c r="U816" s="7">
        <f>N816*1%</f>
        <v/>
      </c>
      <c r="V816" s="31">
        <f>U816+S816+R816+Q816+P816+O816</f>
        <v/>
      </c>
      <c r="W816" s="32">
        <f>AE816*1%</f>
        <v/>
      </c>
      <c r="X816" s="32">
        <f>AE816*10%</f>
        <v/>
      </c>
      <c r="Y816" s="32">
        <f>AE816*1%</f>
        <v/>
      </c>
      <c r="Z816" s="32">
        <f>AE816*8%</f>
        <v/>
      </c>
      <c r="AA816" s="32">
        <f>W816+X816+Y816+Z816</f>
        <v/>
      </c>
      <c r="AB816" s="31">
        <f>AA816+V816+N816</f>
        <v/>
      </c>
      <c r="AC816" s="6">
        <f>AB816*20%</f>
        <v/>
      </c>
      <c r="AD816" s="7">
        <f>AB816+AC816</f>
        <v/>
      </c>
      <c r="AE816" s="32">
        <f>D816*2.1</f>
        <v/>
      </c>
      <c r="AF816" s="7">
        <f>AD816-AE816</f>
        <v/>
      </c>
      <c r="AG816" s="7">
        <f>AF816/AD816*100</f>
        <v/>
      </c>
      <c r="AH816" s="0" t="n">
        <v>1185</v>
      </c>
      <c r="AI816" s="33" t="n">
        <v>720</v>
      </c>
      <c r="AJ816" s="34">
        <f>AD816</f>
        <v/>
      </c>
      <c r="AK816" s="34">
        <f>AJ816-(AJ816*7%)</f>
        <v/>
      </c>
      <c r="AL816" s="35">
        <f>AJ816/94</f>
        <v/>
      </c>
      <c r="AM816" s="35">
        <f>AK816/94</f>
        <v/>
      </c>
      <c r="AN816" s="36">
        <f>AJ816/24</f>
        <v/>
      </c>
      <c r="AO816" s="36">
        <f>AK816/24</f>
        <v/>
      </c>
      <c r="AP816" s="37">
        <f>AJ816/125</f>
        <v/>
      </c>
      <c r="AQ816" s="37">
        <f>AK816/125</f>
        <v/>
      </c>
    </row>
    <row r="817" ht="15.75" customHeight="1" s="50">
      <c r="A817" s="32" t="n"/>
      <c r="B817" s="32" t="inlineStr">
        <is>
          <t>Navy Blue</t>
        </is>
      </c>
      <c r="C817" s="32" t="inlineStr">
        <is>
          <t>Me-Z-R-C-NB</t>
        </is>
      </c>
      <c r="D817" s="32" t="n">
        <v>465</v>
      </c>
      <c r="G817" s="32" t="n">
        <v>0</v>
      </c>
      <c r="H817" s="32" t="n">
        <v>10</v>
      </c>
      <c r="I817" s="41" t="n">
        <v>94041000</v>
      </c>
      <c r="J817" s="30" t="n">
        <v>0.18</v>
      </c>
      <c r="K817" s="32">
        <f>D817*J817</f>
        <v/>
      </c>
      <c r="M817" s="32">
        <f>D817*4%</f>
        <v/>
      </c>
      <c r="N817" s="49">
        <f>M817+L817+K817+H817+G817+F817+E817+D817</f>
        <v/>
      </c>
      <c r="O817" s="32">
        <f>D817*1%</f>
        <v/>
      </c>
      <c r="P817" s="7">
        <f>N817*8%</f>
        <v/>
      </c>
      <c r="Q817" s="7">
        <f>N817*10%</f>
        <v/>
      </c>
      <c r="R817" s="7">
        <f>N817*5%</f>
        <v/>
      </c>
      <c r="S817" s="7">
        <f>N817*2%</f>
        <v/>
      </c>
      <c r="T817" s="7">
        <f>AE817*0.5%</f>
        <v/>
      </c>
      <c r="U817" s="7">
        <f>N817*1%</f>
        <v/>
      </c>
      <c r="V817" s="31">
        <f>U817+S817+R817+Q817+P817+O817</f>
        <v/>
      </c>
      <c r="W817" s="32">
        <f>AE817*1%</f>
        <v/>
      </c>
      <c r="X817" s="32">
        <f>AE817*10%</f>
        <v/>
      </c>
      <c r="Y817" s="32">
        <f>AE817*1%</f>
        <v/>
      </c>
      <c r="Z817" s="32">
        <f>AE817*8%</f>
        <v/>
      </c>
      <c r="AA817" s="32">
        <f>W817+X817+Y817+Z817</f>
        <v/>
      </c>
      <c r="AB817" s="31">
        <f>AA817+V817+N817</f>
        <v/>
      </c>
      <c r="AC817" s="6">
        <f>AB817*20%</f>
        <v/>
      </c>
      <c r="AD817" s="7">
        <f>AB817+AC817</f>
        <v/>
      </c>
      <c r="AE817" s="32">
        <f>D817*2.1</f>
        <v/>
      </c>
      <c r="AF817" s="7">
        <f>AD817-AE817</f>
        <v/>
      </c>
      <c r="AG817" s="7">
        <f>AF817/AD817*100</f>
        <v/>
      </c>
      <c r="AH817" s="0" t="n">
        <v>1185</v>
      </c>
      <c r="AI817" s="33" t="n">
        <v>720</v>
      </c>
      <c r="AJ817" s="34">
        <f>AD817</f>
        <v/>
      </c>
      <c r="AK817" s="34">
        <f>AJ817-(AJ817*7%)</f>
        <v/>
      </c>
      <c r="AL817" s="35">
        <f>AJ817/94</f>
        <v/>
      </c>
      <c r="AM817" s="35">
        <f>AK817/94</f>
        <v/>
      </c>
      <c r="AN817" s="36">
        <f>AJ817/24</f>
        <v/>
      </c>
      <c r="AO817" s="36">
        <f>AK817/24</f>
        <v/>
      </c>
      <c r="AP817" s="37">
        <f>AJ817/125</f>
        <v/>
      </c>
      <c r="AQ817" s="37">
        <f>AK817/125</f>
        <v/>
      </c>
    </row>
    <row r="818" ht="15.75" customHeight="1" s="50">
      <c r="A818" s="32" t="n"/>
      <c r="B818" s="32" t="inlineStr">
        <is>
          <t>Orange</t>
        </is>
      </c>
      <c r="C818" s="32" t="inlineStr">
        <is>
          <t>Me-Z-R-C-O</t>
        </is>
      </c>
      <c r="D818" s="32" t="n">
        <v>465</v>
      </c>
      <c r="G818" s="32" t="n">
        <v>0</v>
      </c>
      <c r="H818" s="32" t="n">
        <v>10</v>
      </c>
      <c r="I818" s="41" t="n">
        <v>94041000</v>
      </c>
      <c r="J818" s="30" t="n">
        <v>0.18</v>
      </c>
      <c r="K818" s="32">
        <f>D818*J818</f>
        <v/>
      </c>
      <c r="M818" s="32">
        <f>D818*4%</f>
        <v/>
      </c>
      <c r="N818" s="49">
        <f>M818+L818+K818+H818+G818+F818+E818+D818</f>
        <v/>
      </c>
      <c r="O818" s="32">
        <f>D818*1%</f>
        <v/>
      </c>
      <c r="P818" s="7">
        <f>N818*8%</f>
        <v/>
      </c>
      <c r="Q818" s="7">
        <f>N818*10%</f>
        <v/>
      </c>
      <c r="R818" s="7">
        <f>N818*5%</f>
        <v/>
      </c>
      <c r="S818" s="7">
        <f>N818*2%</f>
        <v/>
      </c>
      <c r="T818" s="7">
        <f>AE818*0.5%</f>
        <v/>
      </c>
      <c r="U818" s="7">
        <f>N818*1%</f>
        <v/>
      </c>
      <c r="V818" s="31">
        <f>U818+S818+R818+Q818+P818+O818</f>
        <v/>
      </c>
      <c r="W818" s="32">
        <f>AE818*1%</f>
        <v/>
      </c>
      <c r="X818" s="32">
        <f>AE818*10%</f>
        <v/>
      </c>
      <c r="Y818" s="32">
        <f>AE818*1%</f>
        <v/>
      </c>
      <c r="Z818" s="32">
        <f>AE818*8%</f>
        <v/>
      </c>
      <c r="AA818" s="32">
        <f>W818+X818+Y818+Z818</f>
        <v/>
      </c>
      <c r="AB818" s="31">
        <f>AA818+V818+N818</f>
        <v/>
      </c>
      <c r="AC818" s="6">
        <f>AB818*20%</f>
        <v/>
      </c>
      <c r="AD818" s="7">
        <f>AB818+AC818</f>
        <v/>
      </c>
      <c r="AE818" s="32">
        <f>D818*2.1</f>
        <v/>
      </c>
      <c r="AF818" s="7">
        <f>AD818-AE818</f>
        <v/>
      </c>
      <c r="AG818" s="7">
        <f>AF818/AD818*100</f>
        <v/>
      </c>
      <c r="AH818" s="0" t="n">
        <v>1185</v>
      </c>
      <c r="AI818" s="33" t="n">
        <v>720</v>
      </c>
      <c r="AJ818" s="34">
        <f>AD818</f>
        <v/>
      </c>
      <c r="AK818" s="34">
        <f>AJ818-(AJ818*7%)</f>
        <v/>
      </c>
      <c r="AL818" s="35">
        <f>AJ818/94</f>
        <v/>
      </c>
      <c r="AM818" s="35">
        <f>AK818/94</f>
        <v/>
      </c>
      <c r="AN818" s="36">
        <f>AJ818/24</f>
        <v/>
      </c>
      <c r="AO818" s="36">
        <f>AK818/24</f>
        <v/>
      </c>
      <c r="AP818" s="37">
        <f>AJ818/125</f>
        <v/>
      </c>
      <c r="AQ818" s="37">
        <f>AK818/125</f>
        <v/>
      </c>
    </row>
    <row r="819" ht="15.75" customHeight="1" s="50">
      <c r="A819" s="32" t="n"/>
      <c r="B819" s="32" t="inlineStr">
        <is>
          <t>Rose</t>
        </is>
      </c>
      <c r="C819" s="32" t="inlineStr">
        <is>
          <t>Me-Z-R-C-RE</t>
        </is>
      </c>
      <c r="D819" s="32" t="n">
        <v>465</v>
      </c>
      <c r="G819" s="32" t="n">
        <v>0</v>
      </c>
      <c r="H819" s="32" t="n">
        <v>10</v>
      </c>
      <c r="I819" s="41" t="n">
        <v>94041000</v>
      </c>
      <c r="J819" s="30" t="n">
        <v>0.18</v>
      </c>
      <c r="K819" s="32">
        <f>D819*J819</f>
        <v/>
      </c>
      <c r="M819" s="32">
        <f>D819*4%</f>
        <v/>
      </c>
      <c r="N819" s="49">
        <f>M819+L819+K819+H819+G819+F819+E819+D819</f>
        <v/>
      </c>
      <c r="O819" s="32">
        <f>D819*1%</f>
        <v/>
      </c>
      <c r="P819" s="7">
        <f>N819*8%</f>
        <v/>
      </c>
      <c r="Q819" s="7">
        <f>N819*10%</f>
        <v/>
      </c>
      <c r="R819" s="7">
        <f>N819*5%</f>
        <v/>
      </c>
      <c r="S819" s="7">
        <f>N819*2%</f>
        <v/>
      </c>
      <c r="T819" s="7">
        <f>AE819*0.5%</f>
        <v/>
      </c>
      <c r="U819" s="7">
        <f>N819*1%</f>
        <v/>
      </c>
      <c r="V819" s="31">
        <f>U819+S819+R819+Q819+P819+O819</f>
        <v/>
      </c>
      <c r="W819" s="32">
        <f>AE819*1%</f>
        <v/>
      </c>
      <c r="X819" s="32">
        <f>AE819*10%</f>
        <v/>
      </c>
      <c r="Y819" s="32">
        <f>AE819*1%</f>
        <v/>
      </c>
      <c r="Z819" s="32">
        <f>AE819*8%</f>
        <v/>
      </c>
      <c r="AA819" s="32">
        <f>W819+X819+Y819+Z819</f>
        <v/>
      </c>
      <c r="AB819" s="31">
        <f>AA819+V819+N819</f>
        <v/>
      </c>
      <c r="AC819" s="6">
        <f>AB819*20%</f>
        <v/>
      </c>
      <c r="AD819" s="7">
        <f>AB819+AC819</f>
        <v/>
      </c>
      <c r="AE819" s="32">
        <f>D819*2.1</f>
        <v/>
      </c>
      <c r="AF819" s="7">
        <f>AD819-AE819</f>
        <v/>
      </c>
      <c r="AG819" s="7">
        <f>AF819/AD819*100</f>
        <v/>
      </c>
      <c r="AH819" s="0" t="n">
        <v>1185</v>
      </c>
      <c r="AI819" s="33" t="n">
        <v>720</v>
      </c>
      <c r="AJ819" s="34">
        <f>AD819</f>
        <v/>
      </c>
      <c r="AK819" s="34">
        <f>AJ819-(AJ819*7%)</f>
        <v/>
      </c>
      <c r="AL819" s="35">
        <f>AJ819/94</f>
        <v/>
      </c>
      <c r="AM819" s="35">
        <f>AK819/94</f>
        <v/>
      </c>
      <c r="AN819" s="36">
        <f>AJ819/24</f>
        <v/>
      </c>
      <c r="AO819" s="36">
        <f>AK819/24</f>
        <v/>
      </c>
      <c r="AP819" s="37">
        <f>AJ819/125</f>
        <v/>
      </c>
      <c r="AQ819" s="37">
        <f>AK819/125</f>
        <v/>
      </c>
    </row>
    <row r="820" ht="15.75" customHeight="1" s="50">
      <c r="A820" s="32" t="n"/>
      <c r="B820" s="32" t="inlineStr">
        <is>
          <t>Sage</t>
        </is>
      </c>
      <c r="C820" s="32" t="inlineStr">
        <is>
          <t>Me-Z-R-C-SE</t>
        </is>
      </c>
      <c r="D820" s="32" t="n">
        <v>465</v>
      </c>
      <c r="G820" s="32" t="n">
        <v>0</v>
      </c>
      <c r="H820" s="32" t="n">
        <v>10</v>
      </c>
      <c r="I820" s="41" t="n">
        <v>94041000</v>
      </c>
      <c r="J820" s="30" t="n">
        <v>0.18</v>
      </c>
      <c r="K820" s="32">
        <f>D820*J820</f>
        <v/>
      </c>
      <c r="M820" s="32">
        <f>D820*4%</f>
        <v/>
      </c>
      <c r="N820" s="49">
        <f>M820+L820+K820+H820+G820+F820+E820+D820</f>
        <v/>
      </c>
      <c r="O820" s="32">
        <f>D820*1%</f>
        <v/>
      </c>
      <c r="P820" s="7">
        <f>N820*8%</f>
        <v/>
      </c>
      <c r="Q820" s="7">
        <f>N820*10%</f>
        <v/>
      </c>
      <c r="R820" s="7">
        <f>N820*5%</f>
        <v/>
      </c>
      <c r="S820" s="7">
        <f>N820*2%</f>
        <v/>
      </c>
      <c r="T820" s="7">
        <f>AE820*0.5%</f>
        <v/>
      </c>
      <c r="U820" s="7">
        <f>N820*1%</f>
        <v/>
      </c>
      <c r="V820" s="31">
        <f>U820+S820+R820+Q820+P820+O820</f>
        <v/>
      </c>
      <c r="W820" s="32">
        <f>AE820*1%</f>
        <v/>
      </c>
      <c r="X820" s="32">
        <f>AE820*10%</f>
        <v/>
      </c>
      <c r="Y820" s="32">
        <f>AE820*1%</f>
        <v/>
      </c>
      <c r="Z820" s="32">
        <f>AE820*8%</f>
        <v/>
      </c>
      <c r="AA820" s="32">
        <f>W820+X820+Y820+Z820</f>
        <v/>
      </c>
      <c r="AB820" s="31">
        <f>AA820+V820+N820</f>
        <v/>
      </c>
      <c r="AC820" s="6">
        <f>AB820*20%</f>
        <v/>
      </c>
      <c r="AD820" s="7">
        <f>AB820+AC820</f>
        <v/>
      </c>
      <c r="AE820" s="32">
        <f>D820*2.1</f>
        <v/>
      </c>
      <c r="AF820" s="7">
        <f>AD820-AE820</f>
        <v/>
      </c>
      <c r="AG820" s="7">
        <f>AF820/AD820*100</f>
        <v/>
      </c>
      <c r="AH820" s="0" t="n">
        <v>1185</v>
      </c>
      <c r="AI820" s="33" t="n">
        <v>720</v>
      </c>
      <c r="AJ820" s="34">
        <f>AD820</f>
        <v/>
      </c>
      <c r="AK820" s="34">
        <f>AJ820-(AJ820*7%)</f>
        <v/>
      </c>
      <c r="AL820" s="35">
        <f>AJ820/94</f>
        <v/>
      </c>
      <c r="AM820" s="35">
        <f>AK820/94</f>
        <v/>
      </c>
      <c r="AN820" s="36">
        <f>AJ820/24</f>
        <v/>
      </c>
      <c r="AO820" s="36">
        <f>AK820/24</f>
        <v/>
      </c>
      <c r="AP820" s="37">
        <f>AJ820/125</f>
        <v/>
      </c>
      <c r="AQ820" s="37">
        <f>AK820/125</f>
        <v/>
      </c>
    </row>
    <row r="821" ht="15.75" customHeight="1" s="50">
      <c r="A821" s="32" t="n"/>
      <c r="B821" s="32" t="inlineStr">
        <is>
          <t>Light Grey</t>
        </is>
      </c>
      <c r="C821" s="32" t="inlineStr">
        <is>
          <t>Me-Z-R-LG</t>
        </is>
      </c>
      <c r="D821" s="32" t="n">
        <v>465</v>
      </c>
      <c r="G821" s="32" t="n">
        <v>0</v>
      </c>
      <c r="H821" s="32" t="n">
        <v>10</v>
      </c>
      <c r="I821" s="41" t="n">
        <v>94041000</v>
      </c>
      <c r="J821" s="30" t="n">
        <v>0.18</v>
      </c>
      <c r="K821" s="32">
        <f>D821*J821</f>
        <v/>
      </c>
      <c r="M821" s="32">
        <f>D821*4%</f>
        <v/>
      </c>
      <c r="N821" s="49">
        <f>M821+L821+K821+H821+G821+F821+E821+D821</f>
        <v/>
      </c>
      <c r="O821" s="32">
        <f>D821*1%</f>
        <v/>
      </c>
      <c r="P821" s="7">
        <f>N821*8%</f>
        <v/>
      </c>
      <c r="Q821" s="7">
        <f>N821*10%</f>
        <v/>
      </c>
      <c r="R821" s="7">
        <f>N821*5%</f>
        <v/>
      </c>
      <c r="S821" s="7">
        <f>N821*2%</f>
        <v/>
      </c>
      <c r="T821" s="7">
        <f>AE821*0.5%</f>
        <v/>
      </c>
      <c r="U821" s="7">
        <f>N821*1%</f>
        <v/>
      </c>
      <c r="V821" s="31">
        <f>U821+S821+R821+Q821+P821+O821</f>
        <v/>
      </c>
      <c r="W821" s="32">
        <f>AE821*1%</f>
        <v/>
      </c>
      <c r="X821" s="32">
        <f>AE821*10%</f>
        <v/>
      </c>
      <c r="Y821" s="32">
        <f>AE821*1%</f>
        <v/>
      </c>
      <c r="Z821" s="32">
        <f>AE821*8%</f>
        <v/>
      </c>
      <c r="AA821" s="32">
        <f>W821+X821+Y821+Z821</f>
        <v/>
      </c>
      <c r="AB821" s="31">
        <f>AA821+V821+N821</f>
        <v/>
      </c>
      <c r="AC821" s="6">
        <f>AB821*20%</f>
        <v/>
      </c>
      <c r="AD821" s="7">
        <f>AB821+AC821</f>
        <v/>
      </c>
      <c r="AE821" s="32">
        <f>D821*2.1</f>
        <v/>
      </c>
      <c r="AF821" s="7">
        <f>AD821-AE821</f>
        <v/>
      </c>
      <c r="AG821" s="7">
        <f>AF821/AD821*100</f>
        <v/>
      </c>
      <c r="AH821" s="0" t="n">
        <v>1185</v>
      </c>
      <c r="AI821" s="33" t="n">
        <v>720</v>
      </c>
      <c r="AJ821" s="34">
        <f>AD821</f>
        <v/>
      </c>
      <c r="AK821" s="34">
        <f>AJ821-(AJ821*7%)</f>
        <v/>
      </c>
      <c r="AL821" s="35">
        <f>AJ821/94</f>
        <v/>
      </c>
      <c r="AM821" s="35">
        <f>AK821/94</f>
        <v/>
      </c>
      <c r="AN821" s="36">
        <f>AJ821/24</f>
        <v/>
      </c>
      <c r="AO821" s="36">
        <f>AK821/24</f>
        <v/>
      </c>
      <c r="AP821" s="37">
        <f>AJ821/125</f>
        <v/>
      </c>
      <c r="AQ821" s="37">
        <f>AK821/125</f>
        <v/>
      </c>
    </row>
    <row r="822" ht="15.75" customHeight="1" s="50">
      <c r="A822" s="32" t="n"/>
      <c r="B822" s="32" t="inlineStr">
        <is>
          <t>Lavender</t>
        </is>
      </c>
      <c r="C822" s="32" t="inlineStr">
        <is>
          <t>Me-Z-R-LR</t>
        </is>
      </c>
      <c r="D822" s="32" t="n">
        <v>465</v>
      </c>
      <c r="G822" s="32" t="n">
        <v>0</v>
      </c>
      <c r="H822" s="32" t="n">
        <v>10</v>
      </c>
      <c r="I822" s="41" t="n">
        <v>94041000</v>
      </c>
      <c r="J822" s="30" t="n">
        <v>0.18</v>
      </c>
      <c r="K822" s="32">
        <f>D822*J822</f>
        <v/>
      </c>
      <c r="M822" s="32">
        <f>D822*4%</f>
        <v/>
      </c>
      <c r="N822" s="49">
        <f>M822+L822+K822+H822+G822+F822+E822+D822</f>
        <v/>
      </c>
      <c r="O822" s="32">
        <f>D822*1%</f>
        <v/>
      </c>
      <c r="P822" s="7">
        <f>N822*8%</f>
        <v/>
      </c>
      <c r="Q822" s="7">
        <f>N822*10%</f>
        <v/>
      </c>
      <c r="R822" s="7">
        <f>N822*5%</f>
        <v/>
      </c>
      <c r="S822" s="7">
        <f>N822*2%</f>
        <v/>
      </c>
      <c r="T822" s="7">
        <f>AE822*0.5%</f>
        <v/>
      </c>
      <c r="U822" s="7">
        <f>N822*1%</f>
        <v/>
      </c>
      <c r="V822" s="31">
        <f>U822+S822+R822+Q822+P822+O822</f>
        <v/>
      </c>
      <c r="W822" s="32">
        <f>AE822*1%</f>
        <v/>
      </c>
      <c r="X822" s="32">
        <f>AE822*10%</f>
        <v/>
      </c>
      <c r="Y822" s="32">
        <f>AE822*1%</f>
        <v/>
      </c>
      <c r="Z822" s="32">
        <f>AE822*8%</f>
        <v/>
      </c>
      <c r="AA822" s="32">
        <f>W822+X822+Y822+Z822</f>
        <v/>
      </c>
      <c r="AB822" s="31">
        <f>AA822+V822+N822</f>
        <v/>
      </c>
      <c r="AC822" s="6">
        <f>AB822*20%</f>
        <v/>
      </c>
      <c r="AD822" s="7">
        <f>AB822+AC822</f>
        <v/>
      </c>
      <c r="AE822" s="32">
        <f>D822*2.1</f>
        <v/>
      </c>
      <c r="AF822" s="7">
        <f>AD822-AE822</f>
        <v/>
      </c>
      <c r="AG822" s="7">
        <f>AF822/AD822*100</f>
        <v/>
      </c>
      <c r="AH822" s="0" t="n">
        <v>1185</v>
      </c>
      <c r="AI822" s="33" t="n">
        <v>720</v>
      </c>
      <c r="AJ822" s="34">
        <f>AD822</f>
        <v/>
      </c>
      <c r="AK822" s="34">
        <f>AJ822-(AJ822*7%)</f>
        <v/>
      </c>
      <c r="AL822" s="35">
        <f>AJ822/94</f>
        <v/>
      </c>
      <c r="AM822" s="35">
        <f>AK822/94</f>
        <v/>
      </c>
      <c r="AN822" s="36">
        <f>AJ822/24</f>
        <v/>
      </c>
      <c r="AO822" s="36">
        <f>AK822/24</f>
        <v/>
      </c>
      <c r="AP822" s="37">
        <f>AJ822/125</f>
        <v/>
      </c>
      <c r="AQ822" s="37">
        <f>AK822/125</f>
        <v/>
      </c>
    </row>
    <row r="823" ht="15.75" customHeight="1" s="50">
      <c r="A823" s="32" t="n"/>
      <c r="B823" s="32" t="inlineStr">
        <is>
          <t>Misty Blue</t>
        </is>
      </c>
      <c r="C823" s="32" t="inlineStr">
        <is>
          <t>Me-Z-R-MB</t>
        </is>
      </c>
      <c r="D823" s="32" t="n">
        <v>465</v>
      </c>
      <c r="G823" s="32" t="n">
        <v>0</v>
      </c>
      <c r="H823" s="32" t="n">
        <v>10</v>
      </c>
      <c r="I823" s="41" t="n">
        <v>94041000</v>
      </c>
      <c r="J823" s="30" t="n">
        <v>0.18</v>
      </c>
      <c r="K823" s="32">
        <f>D823*J823</f>
        <v/>
      </c>
      <c r="M823" s="32">
        <f>D823*4%</f>
        <v/>
      </c>
      <c r="N823" s="49">
        <f>M823+L823+K823+H823+G823+F823+E823+D823</f>
        <v/>
      </c>
      <c r="O823" s="32">
        <f>D823*1%</f>
        <v/>
      </c>
      <c r="P823" s="7">
        <f>N823*8%</f>
        <v/>
      </c>
      <c r="Q823" s="7">
        <f>N823*10%</f>
        <v/>
      </c>
      <c r="R823" s="7">
        <f>N823*5%</f>
        <v/>
      </c>
      <c r="S823" s="7">
        <f>N823*2%</f>
        <v/>
      </c>
      <c r="T823" s="7">
        <f>AE823*0.5%</f>
        <v/>
      </c>
      <c r="U823" s="7">
        <f>N823*1%</f>
        <v/>
      </c>
      <c r="V823" s="31">
        <f>U823+S823+R823+Q823+P823+O823</f>
        <v/>
      </c>
      <c r="W823" s="32">
        <f>AE823*1%</f>
        <v/>
      </c>
      <c r="X823" s="32">
        <f>AE823*10%</f>
        <v/>
      </c>
      <c r="Y823" s="32">
        <f>AE823*1%</f>
        <v/>
      </c>
      <c r="Z823" s="32">
        <f>AE823*8%</f>
        <v/>
      </c>
      <c r="AA823" s="32">
        <f>W823+X823+Y823+Z823</f>
        <v/>
      </c>
      <c r="AB823" s="31">
        <f>AA823+V823+N823</f>
        <v/>
      </c>
      <c r="AC823" s="6">
        <f>AB823*20%</f>
        <v/>
      </c>
      <c r="AD823" s="7">
        <f>AB823+AC823</f>
        <v/>
      </c>
      <c r="AE823" s="32">
        <f>D823*2.1</f>
        <v/>
      </c>
      <c r="AF823" s="7">
        <f>AD823-AE823</f>
        <v/>
      </c>
      <c r="AG823" s="7">
        <f>AF823/AD823*100</f>
        <v/>
      </c>
      <c r="AH823" s="0" t="n">
        <v>1185</v>
      </c>
      <c r="AI823" s="33" t="n">
        <v>720</v>
      </c>
      <c r="AJ823" s="34">
        <f>AD823</f>
        <v/>
      </c>
      <c r="AK823" s="34">
        <f>AJ823-(AJ823*7%)</f>
        <v/>
      </c>
      <c r="AL823" s="35">
        <f>AJ823/94</f>
        <v/>
      </c>
      <c r="AM823" s="35">
        <f>AK823/94</f>
        <v/>
      </c>
      <c r="AN823" s="36">
        <f>AJ823/24</f>
        <v/>
      </c>
      <c r="AO823" s="36">
        <f>AK823/24</f>
        <v/>
      </c>
      <c r="AP823" s="37">
        <f>AJ823/125</f>
        <v/>
      </c>
      <c r="AQ823" s="37">
        <f>AK823/125</f>
        <v/>
      </c>
    </row>
    <row r="824" ht="15.75" customHeight="1" s="50">
      <c r="A824" s="32" t="n"/>
      <c r="B824" s="32" t="inlineStr">
        <is>
          <t>Magenta</t>
        </is>
      </c>
      <c r="C824" s="32" t="inlineStr">
        <is>
          <t>Me-Z-R-MG</t>
        </is>
      </c>
      <c r="D824" s="32" t="n">
        <v>465</v>
      </c>
      <c r="G824" s="32" t="n">
        <v>0</v>
      </c>
      <c r="H824" s="32" t="n">
        <v>10</v>
      </c>
      <c r="I824" s="41" t="n">
        <v>94041000</v>
      </c>
      <c r="J824" s="30" t="n">
        <v>0.18</v>
      </c>
      <c r="K824" s="32">
        <f>D824*J824</f>
        <v/>
      </c>
      <c r="M824" s="32">
        <f>D824*4%</f>
        <v/>
      </c>
      <c r="N824" s="49">
        <f>M824+L824+K824+H824+G824+F824+E824+D824</f>
        <v/>
      </c>
      <c r="O824" s="32">
        <f>D824*1%</f>
        <v/>
      </c>
      <c r="P824" s="7">
        <f>N824*8%</f>
        <v/>
      </c>
      <c r="Q824" s="7">
        <f>N824*10%</f>
        <v/>
      </c>
      <c r="R824" s="7">
        <f>N824*5%</f>
        <v/>
      </c>
      <c r="S824" s="7">
        <f>N824*2%</f>
        <v/>
      </c>
      <c r="T824" s="7">
        <f>AE824*0.5%</f>
        <v/>
      </c>
      <c r="U824" s="7">
        <f>N824*1%</f>
        <v/>
      </c>
      <c r="V824" s="31">
        <f>U824+S824+R824+Q824+P824+O824</f>
        <v/>
      </c>
      <c r="W824" s="32">
        <f>AE824*1%</f>
        <v/>
      </c>
      <c r="X824" s="32">
        <f>AE824*10%</f>
        <v/>
      </c>
      <c r="Y824" s="32">
        <f>AE824*1%</f>
        <v/>
      </c>
      <c r="Z824" s="32">
        <f>AE824*8%</f>
        <v/>
      </c>
      <c r="AA824" s="32">
        <f>W824+X824+Y824+Z824</f>
        <v/>
      </c>
      <c r="AB824" s="31">
        <f>AA824+V824+N824</f>
        <v/>
      </c>
      <c r="AC824" s="6">
        <f>AB824*20%</f>
        <v/>
      </c>
      <c r="AD824" s="7">
        <f>AB824+AC824</f>
        <v/>
      </c>
      <c r="AE824" s="32">
        <f>D824*2.1</f>
        <v/>
      </c>
      <c r="AF824" s="7">
        <f>AD824-AE824</f>
        <v/>
      </c>
      <c r="AG824" s="7">
        <f>AF824/AD824*100</f>
        <v/>
      </c>
      <c r="AH824" s="0" t="n">
        <v>1185</v>
      </c>
      <c r="AI824" s="33" t="n">
        <v>720</v>
      </c>
      <c r="AJ824" s="34">
        <f>AD824</f>
        <v/>
      </c>
      <c r="AK824" s="34">
        <f>AJ824-(AJ824*7%)</f>
        <v/>
      </c>
      <c r="AL824" s="35">
        <f>AJ824/94</f>
        <v/>
      </c>
      <c r="AM824" s="35">
        <f>AK824/94</f>
        <v/>
      </c>
      <c r="AN824" s="36">
        <f>AJ824/24</f>
        <v/>
      </c>
      <c r="AO824" s="36">
        <f>AK824/24</f>
        <v/>
      </c>
      <c r="AP824" s="37">
        <f>AJ824/125</f>
        <v/>
      </c>
      <c r="AQ824" s="37">
        <f>AK824/125</f>
        <v/>
      </c>
    </row>
    <row r="825" ht="15" customHeight="1" s="50">
      <c r="A825" s="32" t="inlineStr">
        <is>
          <t>Zen Meditation Bench</t>
        </is>
      </c>
      <c r="B825" s="32" t="inlineStr">
        <is>
          <t>Small</t>
        </is>
      </c>
      <c r="D825" s="32" t="n">
        <v>1900</v>
      </c>
      <c r="H825" s="32" t="n">
        <v>10</v>
      </c>
      <c r="I825" s="41" t="n">
        <v>9403</v>
      </c>
      <c r="J825" s="30" t="n">
        <v>0.18</v>
      </c>
      <c r="K825" s="32">
        <f>D825*J825</f>
        <v/>
      </c>
      <c r="M825" s="32">
        <f>D825*4%</f>
        <v/>
      </c>
      <c r="N825" s="49">
        <f>M825+L825+K825+H825+G825+F825+E825+D825</f>
        <v/>
      </c>
      <c r="O825" s="32">
        <f>D825*1%</f>
        <v/>
      </c>
      <c r="P825" s="7">
        <f>N825*8%</f>
        <v/>
      </c>
      <c r="Q825" s="7">
        <f>N825*10%</f>
        <v/>
      </c>
      <c r="R825" s="7">
        <f>N825*5%</f>
        <v/>
      </c>
      <c r="S825" s="7">
        <f>N825*2%</f>
        <v/>
      </c>
      <c r="T825" s="7">
        <f>AE825*0.5%</f>
        <v/>
      </c>
      <c r="U825" s="7">
        <f>N825*1%</f>
        <v/>
      </c>
      <c r="V825" s="31">
        <f>U825+S825+R825+Q825+P825+O825</f>
        <v/>
      </c>
      <c r="W825" s="32">
        <f>AE825*1%</f>
        <v/>
      </c>
      <c r="X825" s="32">
        <f>AE825*10%</f>
        <v/>
      </c>
      <c r="Y825" s="32">
        <f>AE825*1%</f>
        <v/>
      </c>
      <c r="Z825" s="32">
        <f>AE825*8%</f>
        <v/>
      </c>
      <c r="AA825" s="32">
        <f>W825+X825+Y825+Z825</f>
        <v/>
      </c>
      <c r="AB825" s="31">
        <f>AA825+V825+N825</f>
        <v/>
      </c>
      <c r="AC825" s="6">
        <f>AB825*20%</f>
        <v/>
      </c>
      <c r="AD825" s="7">
        <f>AB825+AC825</f>
        <v/>
      </c>
      <c r="AE825" s="32">
        <f>D825*2.1</f>
        <v/>
      </c>
      <c r="AF825" s="7">
        <f>AD825-AE825</f>
        <v/>
      </c>
      <c r="AG825" s="7">
        <f>AF825/AD825*100</f>
        <v/>
      </c>
      <c r="AI825" s="33" t="n"/>
      <c r="AJ825" s="34">
        <f>AD825</f>
        <v/>
      </c>
      <c r="AK825" s="34">
        <f>AJ825-(AJ825*7%)</f>
        <v/>
      </c>
      <c r="AL825" s="35">
        <f>AJ825/94</f>
        <v/>
      </c>
      <c r="AM825" s="35">
        <f>AK825/94</f>
        <v/>
      </c>
      <c r="AN825" s="36">
        <f>AJ825/24</f>
        <v/>
      </c>
      <c r="AO825" s="36">
        <f>AK825/24</f>
        <v/>
      </c>
      <c r="AP825" s="37">
        <f>AJ825/125</f>
        <v/>
      </c>
      <c r="AQ825" s="37">
        <f>AK825/125</f>
        <v/>
      </c>
    </row>
    <row r="826" ht="15.75" customHeight="1" s="50">
      <c r="A826" s="32" t="n"/>
      <c r="B826" s="32" t="inlineStr">
        <is>
          <t>Medium</t>
        </is>
      </c>
      <c r="D826" s="32" t="n">
        <v>2100</v>
      </c>
      <c r="H826" s="32" t="n">
        <v>10</v>
      </c>
      <c r="I826" s="41" t="n">
        <v>9403</v>
      </c>
      <c r="J826" s="30" t="n">
        <v>0.18</v>
      </c>
      <c r="K826" s="32">
        <f>D826*J826</f>
        <v/>
      </c>
      <c r="M826" s="32">
        <f>D826*4%</f>
        <v/>
      </c>
      <c r="N826" s="49">
        <f>M826+L826+K826+H826+G826+F826+E826+D826</f>
        <v/>
      </c>
      <c r="O826" s="32">
        <f>D826*1%</f>
        <v/>
      </c>
      <c r="P826" s="7">
        <f>N826*8%</f>
        <v/>
      </c>
      <c r="Q826" s="7">
        <f>N826*10%</f>
        <v/>
      </c>
      <c r="R826" s="7">
        <f>N826*5%</f>
        <v/>
      </c>
      <c r="S826" s="7">
        <f>N826*2%</f>
        <v/>
      </c>
      <c r="T826" s="7">
        <f>AE826*0.5%</f>
        <v/>
      </c>
      <c r="U826" s="7">
        <f>N826*1%</f>
        <v/>
      </c>
      <c r="V826" s="31">
        <f>U826+S826+R826+Q826+P826+O826</f>
        <v/>
      </c>
      <c r="W826" s="32">
        <f>AE826*1%</f>
        <v/>
      </c>
      <c r="X826" s="32">
        <f>AE826*10%</f>
        <v/>
      </c>
      <c r="Y826" s="32">
        <f>AE826*1%</f>
        <v/>
      </c>
      <c r="Z826" s="32">
        <f>AE826*8%</f>
        <v/>
      </c>
      <c r="AA826" s="32">
        <f>W826+X826+Y826+Z826</f>
        <v/>
      </c>
      <c r="AB826" s="31">
        <f>AA826+V826+N826</f>
        <v/>
      </c>
      <c r="AC826" s="6">
        <f>AB826*20%</f>
        <v/>
      </c>
      <c r="AD826" s="7">
        <f>AB826+AC826</f>
        <v/>
      </c>
      <c r="AE826" s="32">
        <f>D826*2.1</f>
        <v/>
      </c>
      <c r="AF826" s="7">
        <f>AD826-AE826</f>
        <v/>
      </c>
      <c r="AG826" s="7">
        <f>AF826/AD826*100</f>
        <v/>
      </c>
      <c r="AI826" s="33" t="n"/>
      <c r="AJ826" s="34">
        <f>AD826</f>
        <v/>
      </c>
      <c r="AK826" s="34">
        <f>AJ826-(AJ826*7%)</f>
        <v/>
      </c>
      <c r="AL826" s="35">
        <f>AJ826/94</f>
        <v/>
      </c>
      <c r="AM826" s="35">
        <f>AK826/94</f>
        <v/>
      </c>
      <c r="AN826" s="36">
        <f>AJ826/24</f>
        <v/>
      </c>
      <c r="AO826" s="36">
        <f>AK826/24</f>
        <v/>
      </c>
      <c r="AP826" s="37">
        <f>AJ826/125</f>
        <v/>
      </c>
      <c r="AQ826" s="37">
        <f>AK826/125</f>
        <v/>
      </c>
    </row>
    <row r="827" ht="15.75" customHeight="1" s="50">
      <c r="A827" s="32" t="n"/>
      <c r="B827" s="32" t="inlineStr">
        <is>
          <t>Large</t>
        </is>
      </c>
      <c r="D827" s="32" t="n">
        <v>2250</v>
      </c>
      <c r="H827" s="32" t="n">
        <v>10</v>
      </c>
      <c r="I827" s="41" t="n">
        <v>9403</v>
      </c>
      <c r="J827" s="30" t="n">
        <v>0.18</v>
      </c>
      <c r="K827" s="32">
        <f>D827*J827</f>
        <v/>
      </c>
      <c r="M827" s="32">
        <f>D827*4%</f>
        <v/>
      </c>
      <c r="N827" s="49">
        <f>M827+L827+K827+H827+G827+F827+E827+D827</f>
        <v/>
      </c>
      <c r="O827" s="32">
        <f>D827*1%</f>
        <v/>
      </c>
      <c r="P827" s="7">
        <f>N827*8%</f>
        <v/>
      </c>
      <c r="Q827" s="7">
        <f>N827*10%</f>
        <v/>
      </c>
      <c r="R827" s="7">
        <f>N827*5%</f>
        <v/>
      </c>
      <c r="S827" s="7">
        <f>N827*2%</f>
        <v/>
      </c>
      <c r="T827" s="7">
        <f>AE827*0.5%</f>
        <v/>
      </c>
      <c r="U827" s="7">
        <f>N827*1%</f>
        <v/>
      </c>
      <c r="V827" s="31">
        <f>U827+S827+R827+Q827+P827+O827</f>
        <v/>
      </c>
      <c r="W827" s="32">
        <f>AE827*1%</f>
        <v/>
      </c>
      <c r="X827" s="32">
        <f>AE827*10%</f>
        <v/>
      </c>
      <c r="Y827" s="32">
        <f>AE827*1%</f>
        <v/>
      </c>
      <c r="Z827" s="32">
        <f>AE827*8%</f>
        <v/>
      </c>
      <c r="AA827" s="32">
        <f>W827+X827+Y827+Z827</f>
        <v/>
      </c>
      <c r="AB827" s="31">
        <f>AA827+V827+N827</f>
        <v/>
      </c>
      <c r="AC827" s="6">
        <f>AB827*20%</f>
        <v/>
      </c>
      <c r="AD827" s="7">
        <f>AB827+AC827</f>
        <v/>
      </c>
      <c r="AE827" s="32">
        <f>D827*2.1</f>
        <v/>
      </c>
      <c r="AF827" s="7">
        <f>AD827-AE827</f>
        <v/>
      </c>
      <c r="AG827" s="7">
        <f>AF827/AD827*100</f>
        <v/>
      </c>
      <c r="AI827" s="33" t="n"/>
      <c r="AJ827" s="34">
        <f>AD827</f>
        <v/>
      </c>
      <c r="AK827" s="34">
        <f>AJ827-(AJ827*7%)</f>
        <v/>
      </c>
      <c r="AL827" s="35">
        <f>AJ827/94</f>
        <v/>
      </c>
      <c r="AM827" s="35">
        <f>AK827/94</f>
        <v/>
      </c>
      <c r="AN827" s="36">
        <f>AJ827/24</f>
        <v/>
      </c>
      <c r="AO827" s="36">
        <f>AK827/24</f>
        <v/>
      </c>
      <c r="AP827" s="37">
        <f>AJ827/125</f>
        <v/>
      </c>
      <c r="AQ827" s="37">
        <f>AK827/125</f>
        <v/>
      </c>
    </row>
    <row r="828" ht="15.75" customHeight="1" s="50">
      <c r="A828" s="32" t="n"/>
      <c r="H828" s="32" t="n"/>
      <c r="I828" s="41" t="n"/>
      <c r="J828" s="41" t="n"/>
      <c r="K828" s="32">
        <f>D828*J828</f>
        <v/>
      </c>
      <c r="M828" s="32">
        <f>D828*4%</f>
        <v/>
      </c>
      <c r="N828" s="49" t="n"/>
      <c r="P828" s="7" t="n"/>
      <c r="Q828" s="7" t="n"/>
      <c r="R828" s="7" t="n"/>
      <c r="S828" s="7" t="n"/>
      <c r="T828" s="7" t="n"/>
      <c r="U828" s="7" t="n"/>
      <c r="V828" s="49" t="n"/>
      <c r="AA828" s="32" t="n"/>
      <c r="AB828" s="31">
        <f>AA828+V828+N828</f>
        <v/>
      </c>
      <c r="AC828" s="6" t="n"/>
      <c r="AD828" s="7">
        <f>AB828+AC828</f>
        <v/>
      </c>
      <c r="AF828" s="7" t="n"/>
      <c r="AG828" s="7" t="n"/>
      <c r="AI828" s="33" t="n"/>
      <c r="AJ828" s="34" t="n"/>
      <c r="AK828" s="34" t="n"/>
      <c r="AL828" s="35" t="n"/>
      <c r="AM828" s="35" t="n"/>
      <c r="AN828" s="36" t="n"/>
      <c r="AO828" s="36" t="n"/>
      <c r="AP828" s="37" t="n"/>
      <c r="AQ828" s="37" t="n"/>
    </row>
    <row r="829" ht="15.75" customHeight="1" s="50">
      <c r="A829" s="32" t="n"/>
      <c r="H829" s="32" t="n"/>
      <c r="I829" s="41" t="n"/>
      <c r="J829" s="41" t="n"/>
      <c r="N829" s="49" t="n"/>
      <c r="P829" s="7" t="n"/>
      <c r="Q829" s="7" t="n"/>
      <c r="R829" s="7" t="n"/>
      <c r="S829" s="7" t="n"/>
      <c r="T829" s="7" t="n"/>
      <c r="U829" s="7" t="n"/>
      <c r="V829" s="49" t="n"/>
      <c r="AA829" s="32" t="n"/>
      <c r="AB829" s="31">
        <f>AA829+V829+N829</f>
        <v/>
      </c>
      <c r="AC829" s="6" t="n"/>
      <c r="AF829" s="7" t="n"/>
      <c r="AG829" s="7" t="n"/>
      <c r="AI829" s="33" t="n"/>
      <c r="AJ829" s="34" t="n"/>
      <c r="AK829" s="34" t="n"/>
      <c r="AL829" s="35" t="n"/>
      <c r="AM829" s="35" t="n"/>
      <c r="AN829" s="36" t="n"/>
      <c r="AO829" s="36" t="n"/>
      <c r="AP829" s="37" t="n"/>
      <c r="AQ829" s="37" t="n"/>
    </row>
    <row r="830" ht="15.75" customHeight="1" s="50">
      <c r="A830" s="32" t="n"/>
      <c r="H830" s="32" t="n"/>
      <c r="I830" s="41" t="n"/>
      <c r="J830" s="41" t="n"/>
      <c r="N830" s="49" t="n"/>
      <c r="P830" s="7" t="n"/>
      <c r="Q830" s="7" t="n"/>
      <c r="R830" s="7" t="n"/>
      <c r="S830" s="7" t="n"/>
      <c r="T830" s="7" t="n"/>
      <c r="U830" s="7" t="n"/>
      <c r="V830" s="49" t="n"/>
      <c r="AA830" s="32" t="n"/>
      <c r="AB830" s="31">
        <f>AA830+V830+N830</f>
        <v/>
      </c>
      <c r="AC830" s="6" t="n"/>
      <c r="AF830" s="7" t="n"/>
      <c r="AG830" s="7" t="n"/>
      <c r="AI830" s="33" t="n"/>
      <c r="AJ830" s="34" t="n"/>
      <c r="AK830" s="34" t="n"/>
      <c r="AL830" s="35" t="n"/>
      <c r="AM830" s="35" t="n"/>
      <c r="AN830" s="36" t="n"/>
      <c r="AO830" s="36" t="n"/>
      <c r="AP830" s="37" t="n"/>
      <c r="AQ830" s="37" t="n"/>
    </row>
    <row r="831" ht="15.75" customHeight="1" s="50">
      <c r="A831" s="32" t="n"/>
      <c r="H831" s="32" t="n"/>
      <c r="I831" s="41" t="n"/>
      <c r="J831" s="41" t="n"/>
      <c r="N831" s="49" t="n"/>
      <c r="P831" s="7" t="n"/>
      <c r="Q831" s="7" t="n"/>
      <c r="R831" s="7" t="n"/>
      <c r="S831" s="7" t="n"/>
      <c r="T831" s="7" t="n"/>
      <c r="U831" s="7" t="n"/>
      <c r="V831" s="49" t="n"/>
      <c r="AA831" s="32" t="n"/>
      <c r="AB831" s="49" t="n"/>
      <c r="AC831" s="6" t="n"/>
      <c r="AF831" s="7" t="n"/>
      <c r="AG831" s="7" t="n"/>
      <c r="AI831" s="33" t="n"/>
      <c r="AJ831" s="34" t="n"/>
      <c r="AK831" s="34" t="n"/>
      <c r="AL831" s="35" t="n"/>
      <c r="AM831" s="35" t="n"/>
      <c r="AN831" s="36" t="n"/>
      <c r="AO831" s="36" t="n"/>
      <c r="AP831" s="37" t="n"/>
      <c r="AQ831" s="37" t="n"/>
    </row>
    <row r="832" ht="15.75" customHeight="1" s="50">
      <c r="A832" s="32" t="n"/>
      <c r="H832" s="32" t="n"/>
      <c r="I832" s="41" t="n"/>
      <c r="J832" s="41" t="n"/>
      <c r="N832" s="49" t="n"/>
      <c r="P832" s="7" t="n"/>
      <c r="Q832" s="7" t="n"/>
      <c r="R832" s="7" t="n"/>
      <c r="S832" s="7" t="n"/>
      <c r="T832" s="7" t="n"/>
      <c r="U832" s="7" t="n"/>
      <c r="V832" s="49" t="n"/>
      <c r="AA832" s="32" t="n"/>
      <c r="AB832" s="49" t="n"/>
      <c r="AC832" s="6" t="n"/>
      <c r="AF832" s="7" t="n"/>
      <c r="AG832" s="7" t="n"/>
      <c r="AI832" s="33" t="n"/>
      <c r="AJ832" s="34" t="n"/>
      <c r="AK832" s="34" t="n"/>
      <c r="AL832" s="35" t="n"/>
      <c r="AM832" s="35" t="n"/>
      <c r="AN832" s="36" t="n"/>
      <c r="AO832" s="36" t="n"/>
      <c r="AP832" s="37" t="n"/>
      <c r="AQ832" s="37" t="n"/>
    </row>
    <row r="833" ht="15.75" customHeight="1" s="50">
      <c r="A833" s="32" t="n"/>
      <c r="H833" s="32" t="n"/>
      <c r="I833" s="41" t="n"/>
      <c r="J833" s="41" t="n"/>
      <c r="N833" s="49" t="n"/>
      <c r="P833" s="7" t="n"/>
      <c r="Q833" s="7" t="n"/>
      <c r="R833" s="7" t="n"/>
      <c r="S833" s="7" t="n"/>
      <c r="T833" s="7" t="n"/>
      <c r="U833" s="7" t="n"/>
      <c r="V833" s="49" t="n"/>
      <c r="AA833" s="32" t="n"/>
      <c r="AB833" s="49" t="n"/>
      <c r="AC833" s="6" t="n"/>
      <c r="AF833" s="7" t="n"/>
      <c r="AG833" s="7" t="n"/>
      <c r="AI833" s="33" t="n"/>
      <c r="AJ833" s="34" t="n"/>
      <c r="AK833" s="34" t="n"/>
      <c r="AL833" s="35" t="n"/>
      <c r="AM833" s="35" t="n"/>
      <c r="AN833" s="36" t="n"/>
      <c r="AO833" s="36" t="n"/>
      <c r="AP833" s="37" t="n"/>
      <c r="AQ833" s="37" t="n"/>
    </row>
  </sheetData>
  <mergeCells count="8">
    <mergeCell ref="AJ2:AK2"/>
    <mergeCell ref="AN2:AO2"/>
    <mergeCell ref="AJ1:AQ1"/>
    <mergeCell ref="D1:M1"/>
    <mergeCell ref="AP2:AQ2"/>
    <mergeCell ref="AL2:AM2"/>
    <mergeCell ref="W1:Z1"/>
    <mergeCell ref="O1:U1"/>
  </mergeCells>
  <conditionalFormatting sqref="F101:F103 I110 I113:I115 J2:J112 J114:J833">
    <cfRule type="notContainsBlanks" priority="1" dxfId="0">
      <formula>LEN(TRIM(J2))&gt;0</formula>
    </cfRule>
  </conditionalFormatting>
  <hyperlinks>
    <hyperlink xmlns:r="http://schemas.openxmlformats.org/officeDocument/2006/relationships" ref="I93" r:id="rId1"/>
    <hyperlink xmlns:r="http://schemas.openxmlformats.org/officeDocument/2006/relationships" ref="I94" r:id="rId2"/>
    <hyperlink xmlns:r="http://schemas.openxmlformats.org/officeDocument/2006/relationships" ref="I95" r:id="rId3"/>
    <hyperlink xmlns:r="http://schemas.openxmlformats.org/officeDocument/2006/relationships" ref="I96" r:id="rId4"/>
  </hyperlink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2026-06-23T09:23:01Z</dcterms:created>
  <dcterms:modified xsi:type="dcterms:W3CDTF">2026-07-02T12:41:04Z</dcterms:modified>
</cp:coreProperties>
</file>